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555" windowWidth="18675" windowHeight="9930" tabRatio="811"/>
  </bookViews>
  <sheets>
    <sheet name="ImportantDisclosures" sheetId="76" r:id="rId1"/>
    <sheet name="DCF" sheetId="42" r:id="rId2"/>
    <sheet name="IS" sheetId="1" r:id="rId3"/>
    <sheet name="BS" sheetId="2" r:id="rId4"/>
    <sheet name="CF" sheetId="11" r:id="rId5"/>
    <sheet name="SMA Mkt Model" sheetId="54" r:id="rId6"/>
    <sheet name="IndexInformation" sheetId="77" r:id="rId7"/>
    <sheet name="ModPubIndex" sheetId="78" r:id="rId8"/>
    <sheet name="MW-Cache" sheetId="25" state="veryHidden" r:id="rId9"/>
  </sheets>
  <externalReferences>
    <externalReference r:id="rId10"/>
    <externalReference r:id="rId11"/>
    <externalReference r:id="rId12"/>
    <externalReference r:id="rId13"/>
    <externalReference r:id="rId14"/>
    <externalReference r:id="rId15"/>
    <externalReference r:id="rId16"/>
  </externalReferences>
  <definedNames>
    <definedName name="___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FDS_HYPERLINK_TOGGLE_STATE__" hidden="1">"ON"</definedName>
    <definedName name="__FDS_UNIQUE_RANGE_ID_GENERATOR_COUNTER" hidden="1">1</definedName>
    <definedName name="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1__FDSAUDITLINK__"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_2__FDSAUDITLINK__" hidden="1">{"fdsup://directions/FAT Viewer?action=UPDATE&amp;creator=factset&amp;DYN_ARGS=TRUE&amp;DOC_NAME=FAT:FQL_AUDITING_CLIENT_TEMPLATE.FAT&amp;display_string=Audit&amp;VAR:KEY=TKDCPCRGJO&amp;VAR:QUERY=RkZfRUJJVERBX0lCKCdBTk4nLDIwMDcp&amp;WINDOW=FIRST_POPUP&amp;HEIGHT=450&amp;WIDTH=450&amp;START_MAXIMI","ZED=FALSE&amp;VAR:CALENDAR=FIVEDAY&amp;VAR:SYMBOL=PFE&amp;VAR:INDEX=0"}</definedName>
    <definedName name="_3__FDSAUDITLINK__" hidden="1">{"fdsup://directions/FAT Viewer?action=UPDATE&amp;creator=factset&amp;DYN_ARGS=TRUE&amp;DOC_NAME=FAT:FQL_AUDITING_CLIENT_TEMPLATE.FAT&amp;display_string=Audit&amp;VAR:KEY=FAZYZAZOHS&amp;VAR:QUERY=RkZfRUJJVERBX0lCKCdBTk4nLDIwMDYp&amp;WINDOW=FIRST_POPUP&amp;HEIGHT=450&amp;WIDTH=450&amp;START_MAXIMI","ZED=FALSE&amp;VAR:CALENDAR=FIVEDAY&amp;VAR:SYMBOL=PFE&amp;VAR:INDEX=0"}</definedName>
    <definedName name="_bdm.02E29E7B1053433EA3CCCBE4E5141596.edm" hidden="1">[1]Sheet1!$A:$IV</definedName>
    <definedName name="_bdm.0465D0F8BD2C4E888AB9C11EA0CBE52C.edm" hidden="1">'[2]rev change analysis'!$A:$IV</definedName>
    <definedName name="_bdm.14200C51F23343DBA038D22B6303B8CC.edm" hidden="1">[3]Cashflow!$A:$IV</definedName>
    <definedName name="_bdm.22794A4B010A4A8692E496303EA793DB.edm" hidden="1">[4]Cashflow!$A:$IV</definedName>
    <definedName name="_bdm.324D53C82F8D478AA4269D3A520A6972.edm" hidden="1">[4]Figures!$A:$IV</definedName>
    <definedName name="_bdm.37E6BDDA51D64107AEC413E364833DAE.edm" hidden="1">'[3]Avastin-Patient Ramp'!$A:$IV</definedName>
    <definedName name="_bdm.3AE51B349CB64710914C57BF7EAD0F08.edm" hidden="1">[4]Marketing!$A:$IV</definedName>
    <definedName name="_bdm.5F1885707D3344F0A4139CF01D1D1F5E.edm" hidden="1">[3]Annual!$A:$IV</definedName>
    <definedName name="_bdm.65F9EB696FC746649BC61AD8D778200B.edm" hidden="1">[4]Annual!$A:$IV</definedName>
    <definedName name="_bdm.728F11F0AFCA412FB7ED10EC5A6B0D96.edm" hidden="1">'[3]Balance Sheet '!$A:$IV</definedName>
    <definedName name="_bdm.77453DAF91854373A25ACDB8F1877D47.edm" hidden="1">'[4]Balance Sheet '!$A:$IV</definedName>
    <definedName name="_bdm.7757076A173D4402BD533DE2F5EDA064.edm" hidden="1">[3]Manufacturing!$A:$IV</definedName>
    <definedName name="_bdm.9301DDFC67D846248C16E96B86458D94.edm" hidden="1">'[2]rev contribution analysis'!$A:$IV</definedName>
    <definedName name="_bdm.95B3BB646EED4CCE80790D8D8638B047.edm" hidden="1">'[4]MS Est. Vs Actual'!$A:$IV</definedName>
    <definedName name="_bdm.A14504C4685843CABFA70BDB420D1B49.edm" hidden="1">[4]ProcritAranesp!$A:$IV</definedName>
    <definedName name="_bdm.B21B9DDD275E448CBEA15C84DEF8CA9D.edm" hidden="1">'[3]MS Est vs. Rpt'!$A:$IV</definedName>
    <definedName name="_bdm.C143B498FEE343158C5059FD7AD9D747.edm" hidden="1">'[3]Changes to the Model'!$A:$IV</definedName>
    <definedName name="_bdm.CA0B0CAC6522419B8221BEA627D1C086.edm" hidden="1">'[3]Clinical data'!$A:$IV</definedName>
    <definedName name="_bdm.CA0B3AD6743A4F68B0D719ED6EBECAA8.edm" hidden="1">[3]Marketing!$A:$IV</definedName>
    <definedName name="_bdm.DA3D26E750D24936AEE5B87A52DD73E7.edm" hidden="1">[4]Quarterly!$A:$IV</definedName>
    <definedName name="_bdm.E21E382C69DA4447AFEB970D63072EC7.edm" hidden="1">[3]Quarterly!$A:$IV</definedName>
    <definedName name="_bdm.E740C0FDA4514EE4A13531D2644E24FE.edm" hidden="1">'[4]Changes to Model'!$A:$IV</definedName>
    <definedName name="_bdm.E93CF733CE1D4A5A94E3C95B0A7E783E.edm" hidden="1">[3]Model_Template!$A:$IV</definedName>
    <definedName name="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Order1" hidden="1">255</definedName>
    <definedName name="abc" hidden="1">{"cover a","1q",FALSE,"Cover";"Op Earn Mgd Q1",#N/A,FALSE,"Op-Earn (Mng)";"Op Earn Rpt Q1",#N/A,FALSE,"Op-Earn (Rpt)";"Loans",#N/A,FALSE,"Loans";"Credit Costs",#N/A,FALSE,"CCosts";"Net Interest Margin",#N/A,FALSE,"Margin";"Nonint Income",#N/A,FALSE,"NonII";"Nonint Exp",#N/A,FALSE,"NonIE";"Valuation",#N/A,FALSE,"Valuation"}</definedName>
    <definedName name="AdditionalInstructions">IndexInformation!$B$42</definedName>
    <definedName name="Address" localSheetId="0">ImportantDisclosures!$A$2:$A$2</definedName>
    <definedName name="ANA" localSheetId="7">ModPubIndex!$A$7</definedName>
    <definedName name="anscount" hidden="1">2</definedName>
    <definedName name="asd"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uthors" localSheetId="0">ImportantDisclosures!$A$7</definedName>
    <definedName name="Authors" localSheetId="6">IndexInformation!$B$18</definedName>
    <definedName name="BRO" localSheetId="7">ModPubIndex!$A$1</definedName>
    <definedName name="BSMethod">2</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opyrightStamp">ImportantDisclosures!$A$27</definedName>
    <definedName name="COU" localSheetId="7">ModPubIndex!$A$5</definedName>
    <definedName name="CQEnd" localSheetId="6">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hidden="1">1000000</definedName>
    <definedName name="cu71.ScalingFactor_1" hidden="1">1000</definedName>
    <definedName name="Currency" localSheetId="6">IndexInformation!$B$24</definedName>
    <definedName name="CurrentStockPrice" localSheetId="6">IndexInformation!$B$23</definedName>
    <definedName name="CurrQtrEPS" localSheetId="6">IndexInformation!$B$29</definedName>
    <definedName name="CurrYearEPS" localSheetId="6">IndexInformation!$B$11</definedName>
    <definedName name="CurrYearTotalRevenue" localSheetId="6">IndexInformation!$B$10</definedName>
    <definedName name="CurrYearTotalRevenueActual" localSheetId="6">IndexInformation!$B$32</definedName>
    <definedName name="CUSIP" localSheetId="6">IndexInformation!$B$20</definedName>
    <definedName name="CYEnd" localSheetId="6">IndexInformation!$B$30</definedName>
    <definedName name="dataseries4">OFFSET([5]c1!$G$12,0,0,COUNTA([5]c1!$G$12:$G$31),1)</definedName>
    <definedName name="Date" localSheetId="0">ImportantDisclosures!$A$8</definedName>
    <definedName name="Deleted" localSheetId="6">IndexInformation!$B$27</definedName>
    <definedName name="Description" localSheetId="6">IndexInformation!$B$7</definedName>
    <definedName name="DEVELOPMENT">5</definedName>
    <definedName name="Did" hidden="1">{"Salesass",#N/A,FALSE,"assumpt"}</definedName>
    <definedName name="Discipline" localSheetId="6">IndexInformation!$B$3</definedName>
    <definedName name="DISCIPLINE" localSheetId="7">ModPubIndex!$A$12</definedName>
    <definedName name="DisclosuresText">ImportantDisclosures!$A$22</definedName>
    <definedName name="Distribution" localSheetId="6">IndexInformation!$B$26</definedName>
    <definedName name="DistTable" localSheetId="0">ImportantDisclosures!#REF!</definedName>
    <definedName name="DistTablePreamble" localSheetId="0">ImportantDisclosures!#REF!</definedName>
    <definedName name="DOCDAT" localSheetId="7">ModPubIndex!$A$2</definedName>
    <definedName name="DOCTIME" localSheetId="7">ModPubIndex!$A$3</definedName>
    <definedName name="DocType" localSheetId="6">IndexInformation!$B$5</definedName>
    <definedName name="EMAIL_ALERT" localSheetId="7">ModPubIndex!$A$10</definedName>
    <definedName name="EmailAlert" localSheetId="6">IndexInformation!$B$28</definedName>
    <definedName name="ev.Calculation" hidden="1">-4135</definedName>
    <definedName name="ev.Initialized" hidden="1">FALSE</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2_0" hidden="1">"U25569"</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1" hidden="1">"A34699"</definedName>
    <definedName name="FDD_58_12" hidden="1">"A35064"</definedName>
    <definedName name="FDD_58_13" hidden="1">"A35430"</definedName>
    <definedName name="FDD_58_14" hidden="1">"A35795"</definedName>
    <definedName name="FDD_58_2" hidden="1">"A31412"</definedName>
    <definedName name="FDD_58_3" hidden="1">"A31777"</definedName>
    <definedName name="FDD_58_4" hidden="1">"A32142"</definedName>
    <definedName name="FDD_58_5" hidden="1">"A32508"</definedName>
    <definedName name="FDD_58_6" hidden="1">"A32873"</definedName>
    <definedName name="FDD_58_7" hidden="1">"A33238"</definedName>
    <definedName name="FDD_58_8" hidden="1">"A33603"</definedName>
    <definedName name="FDD_58_9" hidden="1">"A33969"</definedName>
    <definedName name="FDD_59_0" hidden="1">"A30681"</definedName>
    <definedName name="FDD_59_1" hidden="1">"A31047"</definedName>
    <definedName name="FDD_59_10" hidden="1">"A34334"</definedName>
    <definedName name="FDD_59_11" hidden="1">"A34699"</definedName>
    <definedName name="FDD_59_12" hidden="1">"A35064"</definedName>
    <definedName name="FDD_59_13" hidden="1">"A35430"</definedName>
    <definedName name="FDD_59_14" hidden="1">"A35795"</definedName>
    <definedName name="FDD_59_2" hidden="1">"A31412"</definedName>
    <definedName name="FDD_59_3" hidden="1">"A31777"</definedName>
    <definedName name="FDD_59_4" hidden="1">"A32142"</definedName>
    <definedName name="FDD_59_5" hidden="1">"A32508"</definedName>
    <definedName name="FDD_59_6" hidden="1">"A32873"</definedName>
    <definedName name="FDD_59_7" hidden="1">"A33238"</definedName>
    <definedName name="FDD_59_8" hidden="1">"A33603"</definedName>
    <definedName name="FDD_59_9" hidden="1">"A33969"</definedName>
    <definedName name="FDD_6_0" hidden="1">"A25569"</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DP_0_1_aSrv" hidden="1">[6]Comparison!$P$106</definedName>
    <definedName name="FDP_1_1_aDrv" hidden="1">[6]Comparison!$T$18</definedName>
    <definedName name="FDP_10_1_aUrv" hidden="1">[6]Comparison!$AA$21</definedName>
    <definedName name="FDP_100_1_aUrv" hidden="1">[6]Comparison!$E$96</definedName>
    <definedName name="FDP_101_1_aUrv" hidden="1">[6]Comparison!$E$97</definedName>
    <definedName name="FDP_102_1_aSrv" hidden="1">[6]Comparison!$E$98</definedName>
    <definedName name="FDP_103_1_aSrv" hidden="1">[6]Comparison!$E$100</definedName>
    <definedName name="FDP_104_1_aUrv" hidden="1">[6]Comparison!$E$101</definedName>
    <definedName name="FDP_105_1_aUrv" hidden="1">[6]Comparison!$E$102</definedName>
    <definedName name="FDP_106_1_aUrv" hidden="1">[6]Comparison!$E$103</definedName>
    <definedName name="FDP_107_1_aUrv" hidden="1">[6]Comparison!$E$104</definedName>
    <definedName name="FDP_108_1_aUrv" hidden="1">[6]Comparison!$E$105</definedName>
    <definedName name="FDP_109_1_aUrv" hidden="1">[6]Comparison!$E$106</definedName>
    <definedName name="FDP_11_1_aUrv" hidden="1">[6]Comparison!$AA$22</definedName>
    <definedName name="FDP_110_1_aUrv" hidden="1">[6]Comparison!$E$107</definedName>
    <definedName name="FDP_111_1_aUrv" hidden="1">[6]Comparison!$E$108</definedName>
    <definedName name="FDP_112_1_aUrv" hidden="1">[6]Comparison!$E$109</definedName>
    <definedName name="FDP_113_1_aUrv" hidden="1">[6]Comparison!$E$110</definedName>
    <definedName name="FDP_114_1_aUrv" hidden="1">[6]Comparison!$E$111</definedName>
    <definedName name="FDP_115_1_aSrv" hidden="1">[6]Comparison!$E$112</definedName>
    <definedName name="FDP_116_1_aSrv" hidden="1">[6]Comparison!$E$113</definedName>
    <definedName name="FDP_117_1_aUrv" hidden="1">[6]Comparison!$E$118</definedName>
    <definedName name="FDP_118_1_aUrv" hidden="1">[6]Comparison!$E$119</definedName>
    <definedName name="FDP_119_1_aUrv" hidden="1">[6]Comparison!$E$120</definedName>
    <definedName name="FDP_12_1_aUrv" hidden="1">[6]Comparison!$AA$23</definedName>
    <definedName name="FDP_120_1_aUrv" hidden="1">[6]Comparison!$E$121</definedName>
    <definedName name="FDP_121_1_aUrv" hidden="1">[6]Comparison!$E$122</definedName>
    <definedName name="FDP_122_1_aUrv" hidden="1">[6]Comparison!$E$123</definedName>
    <definedName name="FDP_123_1_aUrv" hidden="1">[6]Comparison!$E$124</definedName>
    <definedName name="FDP_124_1_aSrv" hidden="1">[6]Comparison!$E$125</definedName>
    <definedName name="FDP_125_1_aUrv" hidden="1">[6]Comparison!$E$127</definedName>
    <definedName name="FDP_126_1_aUrv" hidden="1">[6]Comparison!$E$128</definedName>
    <definedName name="FDP_127_1_aUrv" hidden="1">[6]Comparison!$E$129</definedName>
    <definedName name="FDP_128_1_aUrv" hidden="1">[6]Comparison!$E$130</definedName>
    <definedName name="FDP_129_1_aUrv" hidden="1">[6]Comparison!$E$131</definedName>
    <definedName name="FDP_13_1_aUrv" hidden="1">[6]Comparison!$AA$24</definedName>
    <definedName name="FDP_130_1_aUrv" hidden="1">[6]Comparison!$E$132</definedName>
    <definedName name="FDP_131_1_aUrv" hidden="1">[6]Comparison!$E$133</definedName>
    <definedName name="FDP_132_1_aSrv" hidden="1">[6]Comparison!$E$134</definedName>
    <definedName name="FDP_133_1_aSrv" hidden="1">[6]Comparison!$E$135</definedName>
    <definedName name="FDP_134_1_aUrv" hidden="1">[6]Comparison!$E$137</definedName>
    <definedName name="FDP_135_1_aUrv" hidden="1">[6]Comparison!$E$140</definedName>
    <definedName name="FDP_136_1_aUrv" hidden="1">[6]Comparison!$E$141</definedName>
    <definedName name="FDP_137_1_aSrv" hidden="1">[6]Comparison!$P$141</definedName>
    <definedName name="FDP_138_1_aSrv" hidden="1">[6]Comparison!$E$142</definedName>
    <definedName name="FDP_139_1_aSrv" hidden="1">[6]Comparison!$E$143</definedName>
    <definedName name="FDP_14_1_aUrv" hidden="1">[6]Comparison!$K$1</definedName>
    <definedName name="FDP_140_1_aSrv" hidden="1">[6]Comparison!$E$153</definedName>
    <definedName name="FDP_141_1_aUrv" hidden="1">[6]Comparison!$E$154</definedName>
    <definedName name="FDP_142_1_aUrv" hidden="1">[6]Comparison!$E$155</definedName>
    <definedName name="FDP_143_1_aUrv" hidden="1">[6]Comparison!$E$156</definedName>
    <definedName name="FDP_144_1_aUrv" hidden="1">[6]Comparison!$E$157</definedName>
    <definedName name="FDP_145_1_aUrv" hidden="1">[6]Comparison!$E$160</definedName>
    <definedName name="FDP_146_1_aUrv" hidden="1">[6]Comparison!$E$161</definedName>
    <definedName name="FDP_147_1_aUrv" hidden="1">[6]Comparison!$E$162</definedName>
    <definedName name="FDP_148_1_aUrv" hidden="1">[6]Comparison!$E$163</definedName>
    <definedName name="FDP_149_1_aUrv" hidden="1">[6]Comparison!$E$164</definedName>
    <definedName name="FDP_15_1_aUrv" hidden="1">[6]Comparison!$F$1</definedName>
    <definedName name="FDP_150_1_aUrv" hidden="1">[6]Comparison!$E$165</definedName>
    <definedName name="FDP_151_1_aUrv" hidden="1">[6]Comparison!$E$166</definedName>
    <definedName name="FDP_152_1_aUrv" hidden="1">[6]Comparison!$E$167</definedName>
    <definedName name="FDP_153_1_aUrv" hidden="1">[6]Comparison!$E$168</definedName>
    <definedName name="FDP_154_1_aUrv" hidden="1">[6]Comparison!$E$169</definedName>
    <definedName name="FDP_155_1_aUrv" hidden="1">[6]Comparison!$E$170</definedName>
    <definedName name="FDP_156_1_aUrv" hidden="1">[6]Comparison!$E$171</definedName>
    <definedName name="FDP_157_1_aUrv" hidden="1">[6]Comparison!$E$172</definedName>
    <definedName name="FDP_158_1_aUrv" hidden="1">[6]Comparison!$E$173</definedName>
    <definedName name="FDP_159_1_aSrv" hidden="1">[6]Comparison!$E$174</definedName>
    <definedName name="FDP_16_1_aUrv" hidden="1">[6]Comparison!$K$3</definedName>
    <definedName name="FDP_160_1_aUrv" hidden="1">[6]Comparison!$E$175</definedName>
    <definedName name="FDP_161_1_aSrv" hidden="1">[6]Comparison!$E$176</definedName>
    <definedName name="FDP_162_1_aUrv" hidden="1">[6]Comparison!$E$178</definedName>
    <definedName name="FDP_163_1_aUrv" hidden="1">[6]Comparison!$E$180</definedName>
    <definedName name="FDP_164_1_aUrv" hidden="1">[6]Comparison!$E$179</definedName>
    <definedName name="FDP_169_1_aSrv" hidden="1">[6]Comparison!$E$185</definedName>
    <definedName name="FDP_17_1_aUrv" hidden="1">[6]Comparison!$R$3</definedName>
    <definedName name="FDP_170_1_aUrv" hidden="1">[6]Comparison!$E$186</definedName>
    <definedName name="FDP_171_1_aSrv" hidden="1">[6]Comparison!$E$187</definedName>
    <definedName name="FDP_178_1_aUrv" hidden="1">[6]Comparison!$E$195</definedName>
    <definedName name="FDP_179_1_aUrv" hidden="1">[6]Comparison!$E$196</definedName>
    <definedName name="FDP_18_1_aUrv" hidden="1">[6]Comparison!$E$6</definedName>
    <definedName name="FDP_18_1_rUrv" hidden="1">[6]Comparison!$E$5</definedName>
    <definedName name="FDP_183_1_aUrv" hidden="1">[6]Comparison!$E$200</definedName>
    <definedName name="FDP_187_1_aUrv" hidden="1">[6]Comparison!$E$208</definedName>
    <definedName name="FDP_19_1_aUrv" hidden="1">[6]Comparison!$E$8</definedName>
    <definedName name="FDP_192_1_aUrv" hidden="1">[6]Comparison!$E$213</definedName>
    <definedName name="FDP_196_1_aUrv" hidden="1">[6]Comparison!$E$217</definedName>
    <definedName name="FDP_197_1_aSrv" hidden="1">[6]Comparison!$E$218</definedName>
    <definedName name="FDP_198_1_aUrv" hidden="1">[6]Comparison!$E$219</definedName>
    <definedName name="FDP_2_1_aUrv" hidden="1">[6]Comparison!$V$21</definedName>
    <definedName name="FDP_20_1_aUrv" hidden="1">[6]Comparison!$E$9</definedName>
    <definedName name="FDP_203_1_aUrv" hidden="1">[6]Comparison!$E$225</definedName>
    <definedName name="FDP_208_1_aUrv" hidden="1">[6]Comparison!$E$234</definedName>
    <definedName name="FDP_21_1_aUrv" hidden="1">[6]Comparison!$E$10</definedName>
    <definedName name="FDP_213_1_aUrv" hidden="1">[6]Comparison!$E$240</definedName>
    <definedName name="FDP_216_1_aSrv" hidden="1">[6]Comparison!$E$238</definedName>
    <definedName name="FDP_218_1_aUrv" hidden="1">[6]Comparison!$E$244</definedName>
    <definedName name="FDP_219_1_aUrv" hidden="1">[6]Comparison!$E$245</definedName>
    <definedName name="FDP_22_1_aUrv" hidden="1">[6]Comparison!$E$11</definedName>
    <definedName name="FDP_220_1_aUrv" hidden="1">[6]Comparison!$E$246</definedName>
    <definedName name="FDP_221_1_aUrv" hidden="1">[6]Comparison!$E$247</definedName>
    <definedName name="FDP_222_1_aUrv" hidden="1">[6]Comparison!$E$248</definedName>
    <definedName name="FDP_223_1_aUrv" hidden="1">[6]Comparison!$E$250</definedName>
    <definedName name="FDP_224_1_aSrv" hidden="1">[6]Comparison!$E$258</definedName>
    <definedName name="FDP_225_1_aSrv" hidden="1">[6]Comparison!$E$261</definedName>
    <definedName name="FDP_226_1_aSrv" hidden="1">[6]Comparison!$E$262</definedName>
    <definedName name="FDP_227_1_aSrv" hidden="1">[6]Comparison!$E$264</definedName>
    <definedName name="FDP_23_1_aUrv" hidden="1">[6]Comparison!$E$12</definedName>
    <definedName name="FDP_234_1_aSrv" hidden="1">[6]Comparison!$E$275</definedName>
    <definedName name="FDP_235_1_aSrv" hidden="1">[6]Comparison!$E$280</definedName>
    <definedName name="FDP_236_1_aSrv" hidden="1">[6]Comparison!$E$289</definedName>
    <definedName name="FDP_237_1_aSrv" hidden="1">[6]Comparison!$E$290</definedName>
    <definedName name="FDP_239_1_aSrv" hidden="1">[6]Comparison!$E$292</definedName>
    <definedName name="FDP_24_1_aSrv" hidden="1">[6]Comparison!$E$13</definedName>
    <definedName name="FDP_240_1_aSrv" hidden="1">[6]Comparison!$E$303</definedName>
    <definedName name="FDP_241_1_aSrv" hidden="1">[6]Comparison!$E$304</definedName>
    <definedName name="FDP_242_1_aSrv" hidden="1">[6]Comparison!$E$305</definedName>
    <definedName name="FDP_25_1_aUrv" hidden="1">[6]Comparison!$E$14</definedName>
    <definedName name="FDP_26_1_aUrv" hidden="1">[6]Comparison!$E$15</definedName>
    <definedName name="FDP_262_1_aSrv" hidden="1">[6]Comparison!$E$325</definedName>
    <definedName name="FDP_263_1_aSrv" hidden="1">[6]Comparison!$E$326</definedName>
    <definedName name="FDP_264_1_aSrv" hidden="1">[6]Comparison!$E$327</definedName>
    <definedName name="FDP_265_1_aSrv" hidden="1">[6]Comparison!$E$328</definedName>
    <definedName name="FDP_266_1_aSrv" hidden="1">[6]Comparison!$E$329</definedName>
    <definedName name="FDP_267_1_aSrv" hidden="1">[6]Comparison!$E$330</definedName>
    <definedName name="FDP_268_1_aSrv" hidden="1">[6]Comparison!$E$331</definedName>
    <definedName name="FDP_269_1_aSrv" hidden="1">[6]Comparison!$E$332</definedName>
    <definedName name="FDP_27_1_aUrv" hidden="1">[6]Comparison!$E$16</definedName>
    <definedName name="FDP_270_1_aSrv" hidden="1">[6]Comparison!$E$333</definedName>
    <definedName name="FDP_271_1_aSrv" hidden="1">[6]Comparison!$E$334</definedName>
    <definedName name="FDP_272_1_aSrv" hidden="1">[6]Comparison!$E$335</definedName>
    <definedName name="FDP_273_1_aSrv" hidden="1">[6]Comparison!$E$336</definedName>
    <definedName name="FDP_274_1_aSrv" hidden="1">[6]Comparison!$E$23</definedName>
    <definedName name="FDP_275_1_aSrv" hidden="1">[6]Comparison!$E$24</definedName>
    <definedName name="FDP_276_1_aSrv" hidden="1">[6]Comparison!$E$29</definedName>
    <definedName name="FDP_277_1_aSrv" hidden="1">[6]Comparison!$E$28</definedName>
    <definedName name="FDP_278_1_aSrv" hidden="1">[6]Comparison!$E$30</definedName>
    <definedName name="FDP_28_1_aUrv" hidden="1">[6]Comparison!$E$17</definedName>
    <definedName name="FDP_284_1_aSrv" hidden="1">[6]Comparison!$E$38</definedName>
    <definedName name="FDP_285_1_aSrv" hidden="1">[6]Comparison!$E$39</definedName>
    <definedName name="FDP_286_1_aSrv" hidden="1">[6]Comparison!$E$43</definedName>
    <definedName name="FDP_287_1_aSrv" hidden="1">[6]Comparison!$E$44</definedName>
    <definedName name="FDP_288_1_aSrv" hidden="1">[6]Comparison!$E$45</definedName>
    <definedName name="FDP_289_1_aSrv" hidden="1">[6]Comparison!$E$46</definedName>
    <definedName name="FDP_29_1_aUrv" hidden="1">[6]Comparison!$E$18</definedName>
    <definedName name="FDP_290_1_aSrv" hidden="1">[6]Comparison!$E$47</definedName>
    <definedName name="FDP_291_1_aSrv" hidden="1">[6]Comparison!$E$49</definedName>
    <definedName name="FDP_292_1_aSrv" hidden="1">[6]Comparison!$E$50</definedName>
    <definedName name="FDP_293_1_aSrv" hidden="1">[6]Comparison!$E$51</definedName>
    <definedName name="FDP_294_1_aSrv" hidden="1">[6]Comparison!$E$61</definedName>
    <definedName name="FDP_295_1_aSrv" hidden="1">[6]Comparison!$E$65</definedName>
    <definedName name="FDP_296_1_aSrv" hidden="1">[6]Comparison!$E$85</definedName>
    <definedName name="FDP_297_1_aSrv" hidden="1">[6]Comparison!$E$88</definedName>
    <definedName name="FDP_298_1_aSrv" hidden="1">[6]Comparison!$E$95</definedName>
    <definedName name="FDP_299_1_aSrv" hidden="1">[6]Comparison!$E$96</definedName>
    <definedName name="FDP_3_1_aUrv" hidden="1">[6]Comparison!$V$22</definedName>
    <definedName name="FDP_30_1_aSrv" hidden="1">[6]Comparison!$E$19</definedName>
    <definedName name="FDP_300_1_aSrv" hidden="1">[6]Comparison!$E$104</definedName>
    <definedName name="FDP_301_1_aSrv" hidden="1">[6]Comparison!$E$112</definedName>
    <definedName name="FDP_302_1_aSrv" hidden="1">[6]Comparison!$E$113</definedName>
    <definedName name="FDP_303_1_aSrv" hidden="1">[6]Comparison!$E$131</definedName>
    <definedName name="FDP_304_1_aSrv" hidden="1">[6]Comparison!$E$136</definedName>
    <definedName name="FDP_305_1_aSrv" hidden="1">[6]Comparison!$E$146</definedName>
    <definedName name="FDP_306_1_aSrv" hidden="1">[6]Comparison!$E$165</definedName>
    <definedName name="FDP_307_1_aSrv" hidden="1">[6]Comparison!$E$169</definedName>
    <definedName name="FDP_308_1_aSrv" hidden="1">[6]Comparison!$E$171</definedName>
    <definedName name="FDP_309_1_aSrv" hidden="1">[6]Comparison!$E$172</definedName>
    <definedName name="FDP_31_1_aSrv" hidden="1">[6]Comparison!$E$20</definedName>
    <definedName name="FDP_310_1_aSrv" hidden="1">[6]Comparison!$E$178</definedName>
    <definedName name="FDP_311_1_aSrv" hidden="1">[6]Comparison!$E$179</definedName>
    <definedName name="FDP_312_1_aSrv" hidden="1">[6]Comparison!$E$180</definedName>
    <definedName name="FDP_313_1_aSrv" hidden="1">[6]Comparison!$P$184</definedName>
    <definedName name="FDP_314_1_aSrv" hidden="1">[6]Comparison!$P$186</definedName>
    <definedName name="FDP_315_1_aSrv" hidden="1">[6]Comparison!$P$187</definedName>
    <definedName name="FDP_316_1_aSrv" hidden="1">[6]Comparison!$P$188</definedName>
    <definedName name="FDP_317_1_aSrv" hidden="1">[6]Comparison!$P$189</definedName>
    <definedName name="FDP_32_1_aUrv" hidden="1">[6]Comparison!$E$21</definedName>
    <definedName name="FDP_33_1_aUrv" hidden="1">[6]Comparison!$E$22</definedName>
    <definedName name="FDP_34_1_aUrv" hidden="1">[6]Comparison!$E$23</definedName>
    <definedName name="FDP_35_1_aUrv" hidden="1">[6]Comparison!$E$24</definedName>
    <definedName name="FDP_36_1_aUrv" hidden="1">[6]Comparison!$E$25</definedName>
    <definedName name="FDP_37_1_aSrv" hidden="1">[6]Comparison!$E$26</definedName>
    <definedName name="FDP_38_1_aUrv" hidden="1">[6]Comparison!$E$27</definedName>
    <definedName name="FDP_39_1_aUrv" hidden="1">[6]Comparison!$E$28</definedName>
    <definedName name="FDP_4_1_aUrv" hidden="1">[6]Comparison!$V$23</definedName>
    <definedName name="FDP_40_1_aUrv" hidden="1">[6]Comparison!$E$29</definedName>
    <definedName name="FDP_41_1_aUrv" hidden="1">[6]Comparison!$E$30</definedName>
    <definedName name="FDP_42_1_aUrv" hidden="1">[6]Comparison!$E$31</definedName>
    <definedName name="FDP_43_1_aUrv" hidden="1">[6]Comparison!$E$32</definedName>
    <definedName name="FDP_44_1_aUrv" hidden="1">[6]Comparison!$E$33</definedName>
    <definedName name="FDP_45_1_aUrv" hidden="1">[6]Comparison!$E$34</definedName>
    <definedName name="FDP_455_1_aSrv" hidden="1">[6]Comparison!$E$10</definedName>
    <definedName name="FDP_456_1_aSrv" hidden="1">[6]Comparison!$E$12</definedName>
    <definedName name="FDP_457_1_aSrv" hidden="1">[6]Comparison!$E$19</definedName>
    <definedName name="FDP_458_1_aSrv" hidden="1">[6]Comparison!$E$22</definedName>
    <definedName name="FDP_459_1_aSrv" hidden="1">[6]Comparison!$E$23</definedName>
    <definedName name="FDP_46_1_aUrv" hidden="1">[6]Comparison!$E$35</definedName>
    <definedName name="FDP_460_1_aSrv" hidden="1">[6]Comparison!$E$24</definedName>
    <definedName name="FDP_461_1_aSrv" hidden="1">[6]Comparison!$E$25</definedName>
    <definedName name="FDP_462_1_aSrv" hidden="1">[6]Comparison!$E$26</definedName>
    <definedName name="FDP_463_1_aSrv" hidden="1">[6]Comparison!$E$27</definedName>
    <definedName name="FDP_464_1_aSrv" hidden="1">[6]Comparison!$E$28</definedName>
    <definedName name="FDP_465_1_aSrv" hidden="1">[6]Comparison!$E$29</definedName>
    <definedName name="FDP_466_1_aSrv" hidden="1">[6]Comparison!$E$30</definedName>
    <definedName name="FDP_467_1_aSrv" hidden="1">[6]Comparison!$E$31</definedName>
    <definedName name="FDP_468_1_aSrv" hidden="1">[6]Comparison!$E$34</definedName>
    <definedName name="FDP_469_1_aSrv" hidden="1">[6]Comparison!$E$35</definedName>
    <definedName name="FDP_47_1_aUrv" hidden="1">[6]Comparison!$E$36</definedName>
    <definedName name="FDP_470_1_aSrv" hidden="1">[6]Comparison!$E$36</definedName>
    <definedName name="FDP_471_1_aSrv" hidden="1">[6]Comparison!$E$37</definedName>
    <definedName name="FDP_472_1_aSrv" hidden="1">[6]Comparison!$E$38</definedName>
    <definedName name="FDP_473_1_aSrv" hidden="1">[6]Comparison!$E$39</definedName>
    <definedName name="FDP_474_1_aSrv" hidden="1">[6]Comparison!$E$40</definedName>
    <definedName name="FDP_475_1_aSrv" hidden="1">[6]Comparison!$E$43</definedName>
    <definedName name="FDP_476_1_aSrv" hidden="1">[6]Comparison!$E$44</definedName>
    <definedName name="FDP_477_1_aSrv" hidden="1">[6]Comparison!$E$45</definedName>
    <definedName name="FDP_478_1_aSrv" hidden="1">[6]Comparison!$E$46</definedName>
    <definedName name="FDP_479_1_aSrv" hidden="1">[6]Comparison!$E$47</definedName>
    <definedName name="FDP_48_1_aUrv" hidden="1">[6]Comparison!$E$37</definedName>
    <definedName name="FDP_480_1_aSrv" hidden="1">[6]Comparison!$E$48</definedName>
    <definedName name="FDP_481_1_aSrv" hidden="1">[6]Comparison!$E$49</definedName>
    <definedName name="FDP_482_1_aSrv" hidden="1">[6]Comparison!$E$54</definedName>
    <definedName name="FDP_483_1_aSrv" hidden="1">[6]Comparison!$E$55</definedName>
    <definedName name="FDP_484_1_aSrv" hidden="1">[6]Comparison!$E$56</definedName>
    <definedName name="FDP_485_1_aSrv" hidden="1">[6]Comparison!$E$57</definedName>
    <definedName name="FDP_486_1_aSrv" hidden="1">[6]Comparison!$E$58</definedName>
    <definedName name="FDP_487_1_aSrv" hidden="1">[6]Comparison!$E$59</definedName>
    <definedName name="FDP_488_1_aSrv" hidden="1">[6]Comparison!$E$60</definedName>
    <definedName name="FDP_489_1_aSrv" hidden="1">[6]Comparison!$E$61</definedName>
    <definedName name="FDP_49_1_aUrv" hidden="1">[6]Comparison!$E$38</definedName>
    <definedName name="FDP_490_1_aSrv" hidden="1">[6]Comparison!$E$62</definedName>
    <definedName name="FDP_491_1_aSrv" hidden="1">[6]Comparison!$E$65</definedName>
    <definedName name="FDP_492_1_aSrv" hidden="1">[6]Comparison!$E$66</definedName>
    <definedName name="FDP_493_1_aSrv" hidden="1">[6]Comparison!$E$67</definedName>
    <definedName name="FDP_494_1_aSrv" hidden="1">[6]Comparison!$E$68</definedName>
    <definedName name="FDP_495_1_aSrv" hidden="1">[6]Comparison!$E$69</definedName>
    <definedName name="FDP_496_1_aSrv" hidden="1">[6]Comparison!$E$70</definedName>
    <definedName name="FDP_497_1_aSrv" hidden="1">[6]Comparison!$E$73</definedName>
    <definedName name="FDP_498_1_aSrv" hidden="1">[6]Comparison!$E$74</definedName>
    <definedName name="FDP_499_1_aSrv" hidden="1">[6]Comparison!$E$75</definedName>
    <definedName name="FDP_5_1_aUrv" hidden="1">[6]Comparison!$V$24</definedName>
    <definedName name="FDP_50_1_aSrv" hidden="1">[6]Comparison!$E$39</definedName>
    <definedName name="FDP_500_1_aSrv" hidden="1">[6]Comparison!$E$76</definedName>
    <definedName name="FDP_501_1_aSrv" hidden="1">[6]Comparison!$E$77</definedName>
    <definedName name="FDP_502_1_aSrv" hidden="1">[6]Comparison!$E$81</definedName>
    <definedName name="FDP_503_1_aSrv" hidden="1">[6]Comparison!$E$82</definedName>
    <definedName name="FDP_504_1_aSrv" hidden="1">[6]Comparison!$E$83</definedName>
    <definedName name="FDP_505_1_aSrv" hidden="1">[6]Comparison!$E$84</definedName>
    <definedName name="FDP_506_1_aSrv" hidden="1">[6]Comparison!$E$85</definedName>
    <definedName name="FDP_507_1_aSrv" hidden="1">[6]Comparison!$E$86</definedName>
    <definedName name="FDP_508_1_aSrv" hidden="1">[6]Comparison!$E$87</definedName>
    <definedName name="FDP_509_1_aSrv" hidden="1">[6]Comparison!$E$92</definedName>
    <definedName name="FDP_51_1_aSrv" hidden="1">[6]Comparison!$E$40</definedName>
    <definedName name="FDP_510_1_aSrv" hidden="1">[6]Comparison!$E$93</definedName>
    <definedName name="FDP_511_1_aSrv" hidden="1">[6]Comparison!$E$94</definedName>
    <definedName name="FDP_512_1_aSrv" hidden="1">[6]Comparison!$E$95</definedName>
    <definedName name="FDP_513_1_aSrv" hidden="1">[6]Comparison!$E$96</definedName>
    <definedName name="FDP_514_1_aSrv" hidden="1">[6]Comparison!$E$98</definedName>
    <definedName name="FDP_515_1_aSrv" hidden="1">[6]Comparison!$E$99</definedName>
    <definedName name="FDP_516_1_aSrv" hidden="1">[6]Comparison!$E$100</definedName>
    <definedName name="FDP_517_1_aSrv" hidden="1">[6]Comparison!$E$101</definedName>
    <definedName name="FDP_518_1_aSrv" hidden="1">[6]Comparison!$E$102</definedName>
    <definedName name="FDP_519_1_aSrv" hidden="1">[6]Comparison!$E$103</definedName>
    <definedName name="FDP_52_1_aUrv" hidden="1">[6]Comparison!$E$41</definedName>
    <definedName name="FDP_520_1_aSrv" hidden="1">[6]Comparison!$E$104</definedName>
    <definedName name="FDP_521_1_aSrv" hidden="1">[6]Comparison!$E$107</definedName>
    <definedName name="FDP_522_1_aSrv" hidden="1">[6]Comparison!$E$109</definedName>
    <definedName name="FDP_523_1_aSrv" hidden="1">[6]Comparison!$E$110</definedName>
    <definedName name="FDP_524_1_aSrv" hidden="1">[6]Comparison!$E$111</definedName>
    <definedName name="FDP_525_1_aSrv" hidden="1">[6]Comparison!$E$112</definedName>
    <definedName name="FDP_526_1_aSrv" hidden="1">[6]Comparison!$E$113</definedName>
    <definedName name="FDP_527_1_aSrv" hidden="1">[6]Comparison!$E$114</definedName>
    <definedName name="FDP_528_1_aSrv" hidden="1">[6]Comparison!$E$115</definedName>
    <definedName name="FDP_529_1_aSrv" hidden="1">[6]Comparison!$E$116</definedName>
    <definedName name="FDP_53_1_aUrv" hidden="1">[6]Comparison!$E$42</definedName>
    <definedName name="FDP_530_1_aSrv" hidden="1">[6]Comparison!$E$117</definedName>
    <definedName name="FDP_531_1_aSrv" hidden="1">[6]Comparison!$E$118</definedName>
    <definedName name="FDP_532_1_aSrv" hidden="1">[6]Comparison!$E$119</definedName>
    <definedName name="FDP_533_1_aSrv" hidden="1">[6]Comparison!$E$120</definedName>
    <definedName name="FDP_534_1_aSrv" hidden="1">[6]Comparison!$E$121</definedName>
    <definedName name="FDP_535_1_aSrv" hidden="1">[6]Comparison!$E$122</definedName>
    <definedName name="FDP_536_1_aSrv" hidden="1">[6]Comparison!$E$123</definedName>
    <definedName name="FDP_537_1_aSrv" hidden="1">[6]Comparison!$E$124</definedName>
    <definedName name="FDP_538_1_aSrv" hidden="1">[6]Comparison!$E$128</definedName>
    <definedName name="FDP_539_1_aSrv" hidden="1">[6]Comparison!$E$127</definedName>
    <definedName name="FDP_54_1_aUrv" hidden="1">[6]Comparison!$E$43</definedName>
    <definedName name="FDP_540_1_aSrv" hidden="1">[6]Comparison!$E$129</definedName>
    <definedName name="FDP_541_1_aSrv" hidden="1">[6]Comparison!$E$130</definedName>
    <definedName name="FDP_542_1_aSrv" hidden="1">[6]Comparison!$E$132</definedName>
    <definedName name="FDP_543_1_aSrv" hidden="1">[6]Comparison!$E$133</definedName>
    <definedName name="FDP_544_1_aSrv" hidden="1">[6]Comparison!$E$134</definedName>
    <definedName name="FDP_545_1_aSrv" hidden="1">[6]Comparison!$E$140</definedName>
    <definedName name="FDP_546_1_aSrv" hidden="1">[6]Comparison!$E$141</definedName>
    <definedName name="FDP_547_1_aSrv" hidden="1">[6]Comparison!$E$142</definedName>
    <definedName name="FDP_548_1_aSrv" hidden="1">[6]Comparison!$E$143</definedName>
    <definedName name="FDP_549_1_aUrv" hidden="1">[6]Comparison!$O$1</definedName>
    <definedName name="FDP_55_1_aUrv" hidden="1">[6]Comparison!$E$44</definedName>
    <definedName name="FDP_550_1_aUrv" hidden="1">[6]Comparison!$Q$62</definedName>
    <definedName name="FDP_551_1_aUrv" hidden="1">[6]Comparison!$Q$84</definedName>
    <definedName name="FDP_552_1_aUrv" hidden="1">[6]Comparison!$Q$1</definedName>
    <definedName name="FDP_553_1_aUrv" hidden="1">[6]Comparison!$S$1</definedName>
    <definedName name="FDP_554_1_aUrv" hidden="1">[6]Comparison!$E$249</definedName>
    <definedName name="FDP_56_1_aUrv" hidden="1">[6]Comparison!$E$45</definedName>
    <definedName name="FDP_57_1_aSrv" hidden="1">[6]Comparison!$E$46</definedName>
    <definedName name="FDP_58_1_aUrv" hidden="1">[6]Comparison!$E$47</definedName>
    <definedName name="FDP_59_1_aSrv" hidden="1">[6]Comparison!$E$48</definedName>
    <definedName name="FDP_6_1_aUrv" hidden="1">[6]Comparison!$Y$21</definedName>
    <definedName name="FDP_60_1_aUrv" hidden="1">[6]Comparison!$E$49</definedName>
    <definedName name="FDP_608_1_aUrv" hidden="1">[6]Comparison!$Z$10</definedName>
    <definedName name="FDP_609_1_aSrv" hidden="1">[6]Comparison!$E$48</definedName>
    <definedName name="FDP_61_1_aUrv" hidden="1">[6]Comparison!$E$50</definedName>
    <definedName name="FDP_610_1_aSrv" hidden="1">[6]Comparison!$E$70</definedName>
    <definedName name="FDP_612_1_aSrv" hidden="1">[6]Comparison!$E$339</definedName>
    <definedName name="FDP_613_1_aSrv" hidden="1">[6]Comparison!$E$340</definedName>
    <definedName name="FDP_614_1_aSrv" hidden="1">[6]Comparison!$E$341</definedName>
    <definedName name="FDP_615_1_aSrv" hidden="1">[6]Comparison!$E$342</definedName>
    <definedName name="FDP_616_1_aSrv" hidden="1">[6]Comparison!$E$343</definedName>
    <definedName name="FDP_617_1_aSrv" hidden="1">[6]Comparison!$E$344</definedName>
    <definedName name="FDP_618_1_aSrv" hidden="1">[6]Comparison!$E$345</definedName>
    <definedName name="FDP_619_1_aSrv" hidden="1">[6]Comparison!$E$346</definedName>
    <definedName name="FDP_62_1_aUrv" hidden="1">[6]Comparison!$E$51</definedName>
    <definedName name="FDP_620_1_aSrv" hidden="1">[6]Comparison!$E$347</definedName>
    <definedName name="FDP_63_1_aUrv" hidden="1">[6]Comparison!$E$52</definedName>
    <definedName name="FDP_64_1_aUrv" hidden="1">[6]Comparison!$E$53</definedName>
    <definedName name="FDP_65_1_aSrv" hidden="1">[6]Comparison!$E$54</definedName>
    <definedName name="FDP_66_1_aUrv" hidden="1">[6]Comparison!$E$55</definedName>
    <definedName name="FDP_67_1_aSrv" hidden="1">[6]Comparison!$E$56</definedName>
    <definedName name="FDP_68_1_aUrv" hidden="1">[6]Comparison!$E$57</definedName>
    <definedName name="FDP_69_1_aSrv" hidden="1">[6]Comparison!$E$58</definedName>
    <definedName name="FDP_7_1_aUrv" hidden="1">[6]Comparison!$Y$22</definedName>
    <definedName name="FDP_70_1_aSrv" hidden="1">[6]Comparison!$E$59</definedName>
    <definedName name="FDP_71_1_aUrv" hidden="1">[6]Comparison!$E$60</definedName>
    <definedName name="FDP_72_1_aUrv" hidden="1">[6]Comparison!$E$61</definedName>
    <definedName name="FDP_73_1_aSrv" hidden="1">[6]Comparison!$E$62</definedName>
    <definedName name="FDP_74_1_aSrv" hidden="1">[6]Comparison!$E$63</definedName>
    <definedName name="FDP_75_1_aUrv" hidden="1">[6]Comparison!$F$64</definedName>
    <definedName name="FDP_76_1_aSrv" hidden="1">[6]Comparison!$E$65</definedName>
    <definedName name="FDP_77_1_aSrv" hidden="1">[6]Comparison!$E$66</definedName>
    <definedName name="FDP_78_1_aUrv" hidden="1">[6]Comparison!$E$67</definedName>
    <definedName name="FDP_79_1_aUrv" hidden="1">[6]Comparison!$E$68</definedName>
    <definedName name="FDP_8_1_aUrv" hidden="1">[6]Comparison!$Y$23</definedName>
    <definedName name="FDP_80_1_aUrv" hidden="1">[6]Comparison!$E$69</definedName>
    <definedName name="FDP_81_1_aUrv" hidden="1">[6]Comparison!$E$70</definedName>
    <definedName name="FDP_82_1_aUrv" hidden="1">[6]Comparison!$E$71</definedName>
    <definedName name="FDP_83_1_aUrv" hidden="1">[6]Comparison!$E$72</definedName>
    <definedName name="FDP_84_1_aUrv" hidden="1">[6]Comparison!$E$73</definedName>
    <definedName name="FDP_85_1_aUrv" hidden="1">[6]Comparison!$E$74</definedName>
    <definedName name="FDP_86_1_aUrv" hidden="1">[6]Comparison!$E$75</definedName>
    <definedName name="FDP_87_1_aUrv" hidden="1">[6]Comparison!$E$76</definedName>
    <definedName name="FDP_88_1_aUrv" hidden="1">[6]Comparison!$E$77</definedName>
    <definedName name="FDP_89_1_aUrv" hidden="1">[6]Comparison!$E$78</definedName>
    <definedName name="FDP_9_1_aUrv" hidden="1">[6]Comparison!$Y$24</definedName>
    <definedName name="FDP_90_1_aUrv" hidden="1">[6]Comparison!$E$79</definedName>
    <definedName name="FDP_91_1_aUrv" hidden="1">[6]Comparison!$E$80</definedName>
    <definedName name="FDP_92_1_aUrv" hidden="1">[6]Comparison!$E$81</definedName>
    <definedName name="FDP_93_1_aUrv" hidden="1">[6]Comparison!$E$82</definedName>
    <definedName name="FDP_94_1_aUrv" hidden="1">[6]Comparison!$E$83</definedName>
    <definedName name="FDP_95_1_aUrv" hidden="1">[6]Comparison!$E$84</definedName>
    <definedName name="FDP_96_1_aUrv" hidden="1">[6]Comparison!$E$92</definedName>
    <definedName name="FDP_97_1_aUrv" hidden="1">[6]Comparison!$E$93</definedName>
    <definedName name="FDP_98_1_aUrv" hidden="1">[6]Comparison!$E$94</definedName>
    <definedName name="FDP_99_1_aUrv" hidden="1">[6]Comparison!$E$95</definedName>
    <definedName name="FiveYearGrowthRate" localSheetId="6">IndexInformation!$B$16</definedName>
    <definedName name="FollowingYearEPS" localSheetId="6">IndexInformation!$B$15</definedName>
    <definedName name="FollowingYearTotalRevenue" localSheetId="6">IndexInformation!$B$14</definedName>
    <definedName name="FollowingYearTotalRevenueActual" localSheetId="6">IndexInformation!$B$34</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R_CODE_COPY_LINK">" "</definedName>
    <definedName name="FR_CODE_DOWNLOAD_START">" "</definedName>
    <definedName name="FR_CODE_STOCK_LINK">" "</definedName>
    <definedName name="FR_COM_ABBR">"CHKP"</definedName>
    <definedName name="FR_COM_AGG">0</definedName>
    <definedName name="FR_COU_ABBR">"usa"</definedName>
    <definedName name="FR_COU_NAME_LINK">" "</definedName>
    <definedName name="FR_DATABOX_DOWNLOAD">"N"</definedName>
    <definedName name="FR_DISP_HIDDEN">FALSE</definedName>
    <definedName name="FR_END_DATE">"'"</definedName>
    <definedName name="FR_LINKS_OVERRUN">TRUE</definedName>
    <definedName name="FR_LOG_END_DATE">"'"</definedName>
    <definedName name="FR_LOG_START_DATE">"'"</definedName>
    <definedName name="FR_PROTECT">"TRUE"</definedName>
    <definedName name="FR_RATIO_ABBR">"VDF_RATIO_BUNDLE"</definedName>
    <definedName name="FR_RATIO_COM_ABBR">"CWG.L"</definedName>
    <definedName name="FR_RATIO_COU_ABBR">"uk"</definedName>
    <definedName name="FR_RATIO_IGNORE_PROT_FLAG">TRUE</definedName>
    <definedName name="FR_RATIO_RECALC_FLAG">TRUE</definedName>
    <definedName name="FR_REPORT_TYPE">""</definedName>
    <definedName name="FR_RPT_AREA_LINK">" "</definedName>
    <definedName name="FR_RPT_FOOTER_LINK">" "</definedName>
    <definedName name="FR_RPT_HEADER_LINK">" "</definedName>
    <definedName name="FR_RPT_LINE_SPACING">1</definedName>
    <definedName name="FR_RPT_PAGE_BREAK">0</definedName>
    <definedName name="FR_SDS_KEY">1</definedName>
    <definedName name="FR_SHOW_LINK_MARKER">FALSE</definedName>
    <definedName name="FR_START_DATE">"'"</definedName>
    <definedName name="FR_SYBASE_SERVER">"PNYEQFRD01"</definedName>
    <definedName name="FR_TEMPLATE_KEY">"69924|1"</definedName>
    <definedName name="FR_USE_BILLIONS">FALSE</definedName>
    <definedName name="FR_USE_DIMFAC">TRUE</definedName>
    <definedName name="FR_USE_LOCAL_CCY">FALSE</definedName>
    <definedName name="FR_USE_PRICEFACTORING">FALSE</definedName>
    <definedName name="FR_USE_SCALE_FLAG">TRUE</definedName>
    <definedName name="GGG" hidden="1">{"quartfin",#N/A,FALSE,"quartfin"}</definedName>
    <definedName name="gggg" localSheetId="5"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gggg"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HHIhs" hidden="1">{"short1",#N/A,FALSE,"masmode";"short2",#N/A,FALSE,"masmode";"qtrres",#N/A,FALSE,"QTR. RES.";"sales",#N/A,FALSE,"Sales &amp; Market Share"}</definedName>
    <definedName name="hi" localSheetId="5"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hi"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HL" localSheetId="7">ModPubIndex!$A$8</definedName>
    <definedName name="hn.ModelVersion" hidden="1">1</definedName>
    <definedName name="hn.NoUpload" hidden="1">0</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 hidden="1">'[7]Qtr Income'!$A$1:$W$160</definedName>
    <definedName name="Img_ML_7g5e5e2b" hidden="1">"IMG_12"</definedName>
    <definedName name="IND" localSheetId="7">ModPubIndex!$A$9</definedName>
    <definedName name="Industry" localSheetId="0">ImportantDisclosures!$A$12</definedName>
    <definedName name="IndustryId">IndexInformation!$B$40</definedName>
    <definedName name="IndustryRating" localSheetId="0">ImportantDisclosures!$A$13</definedName>
    <definedName name="Infgod" hidden="1">{"monthlyunits",#N/A,FALSE,"openings"}</definedName>
    <definedName name="Infosed" hidden="1">{"quartfin",#N/A,FALSE,"quartfin"}</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AMES_REVISION_DATE_" hidden="1">40084.4202199074</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39489.6256597222</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QShowHideColumns" hidden="1">"iQShowAll"</definedName>
    <definedName name="ISMethod">1</definedName>
    <definedName name="KeepVersions" localSheetId="6">IndexInformation!$B$8</definedName>
    <definedName name="LanguageCode">IndexInformation!$B$38</definedName>
    <definedName name="LastCell" localSheetId="0">ImportantDisclosures!$A$22</definedName>
    <definedName name="LastListUpdate">0</definedName>
    <definedName name="limcount" hidden="1">1</definedName>
    <definedName name="Linking_1" xml:space="preserve">                        IS!$B$4:$BE$50</definedName>
    <definedName name="Linking_10" xml:space="preserve">                                        IS!$B$4:$BE$43</definedName>
    <definedName name="Linking_11" xml:space="preserve">                                         IS!$B$4:$BE$59</definedName>
    <definedName name="Linking_12" xml:space="preserve">                                                                                IS!$B$4:$BE$59</definedName>
    <definedName name="Linking_13" xml:space="preserve">                                                                                IS!$B$4:$BE$59</definedName>
    <definedName name="Linking_14" xml:space="preserve">                                                                                IS!$B$4:$BE$59</definedName>
    <definedName name="Linking_15" xml:space="preserve">                                        IS!$B$4:$BE$59</definedName>
    <definedName name="Linking_16" localSheetId="5">'SMA Mkt Model'!$B$86:$CF$192</definedName>
    <definedName name="Linking_16" xml:space="preserve">                                                                                IS!$B$4:$BE$59</definedName>
    <definedName name="Linking_17" localSheetId="5">'SMA Mkt Model'!$B$194:$CF$277</definedName>
    <definedName name="Linking_17" xml:space="preserve">                                        IS!$B$4:$BE$59</definedName>
    <definedName name="Linking_18" xml:space="preserve">                                                                                IS!$B$4:$BE$59</definedName>
    <definedName name="Linking_19" xml:space="preserve">                                                                                IS!$B$4:$BE$59</definedName>
    <definedName name="Linking_2" xml:space="preserve">                                                IS!$B$4:$BE$50</definedName>
    <definedName name="Linking_20" xml:space="preserve">                                                                                IS!$B$4:$BE$59</definedName>
    <definedName name="Linking_21" xml:space="preserve">                                        IS!$B$4:$BE$59</definedName>
    <definedName name="Linking_22" localSheetId="5">'SMA Mkt Model'!$B$86:$CF$277</definedName>
    <definedName name="Linking_22" xml:space="preserve">                                                                                IS!$B$4:$BE$59</definedName>
    <definedName name="Linking_23" xml:space="preserve">                                        IS!$B$4:$BE$59</definedName>
    <definedName name="Linking_24" xml:space="preserve">                                                                                IS!$B$4:$BE$59</definedName>
    <definedName name="Linking_25" xml:space="preserve">                                                     IS!$B$4:$BE$59</definedName>
    <definedName name="Linking_26" xml:space="preserve">                                                                                IS!$B$4:$BE$59</definedName>
    <definedName name="Linking_27" xml:space="preserve">                                         IS!$B$4:$BE$52</definedName>
    <definedName name="Linking_28" xml:space="preserve">                                                                                IS!$B$4:$BE$52</definedName>
    <definedName name="Linking_29" xml:space="preserve">                                                                                             IS!$B$4:$BE$52</definedName>
    <definedName name="Linking_3" localSheetId="5">'SMA Mkt Model'!$B$86:$CD$192</definedName>
    <definedName name="Linking_3" xml:space="preserve">                                                DCF!$B$4:$T$27</definedName>
    <definedName name="Linking_30">'SMA Mkt Model'!$B$86:$CE$192</definedName>
    <definedName name="Linking_31">'SMA Mkt Model'!$B$194:$CE$302</definedName>
    <definedName name="Linking_32">DCF!$B$4:$Q$22</definedName>
    <definedName name="Linking_35">IS!$B$4:$BO$52</definedName>
    <definedName name="Linking_36">BS!$C$2:$P$35</definedName>
    <definedName name="Linking_37">CF!$B$2:$O$41</definedName>
    <definedName name="Linking_38">'SMA Mkt Model'!$B$86:$CJ$192</definedName>
    <definedName name="Linking_39">'SMA Mkt Model'!$B$194:$CJ$302</definedName>
    <definedName name="Linking_4" localSheetId="5">'SMA Mkt Model'!$B$194:$CD$277</definedName>
    <definedName name="Linking_44">IS!$B$4:$CN$43</definedName>
    <definedName name="Linking_45">BS!$C$2:$U$35</definedName>
    <definedName name="Linking_46">CF!$B$2:$T$41</definedName>
    <definedName name="Linking_47">IS!$B$4:$CN$52</definedName>
    <definedName name="Linking_5">DCF!$B$4:$Q$17</definedName>
    <definedName name="Linking_Area_102">IS!$B$4:$BE$43</definedName>
    <definedName name="Linking_Range_1">DCF!$B$4:$T$27</definedName>
    <definedName name="Linking_Range_123">IS!$B$4:$BE$52</definedName>
    <definedName name="Linking_Range_2">IS!$B$4:$BE$50</definedName>
    <definedName name="Linking_Range_3">BS!$C$2:$N$35</definedName>
    <definedName name="Linking_Range_4">CF!$B$2:$M$41</definedName>
    <definedName name="MacroVersion" localSheetId="6">IndexInformation!$B$1</definedName>
    <definedName name="ModelPrice" localSheetId="0">ImportantDisclosures!$A$14</definedName>
    <definedName name="MonitorRow">1</definedName>
    <definedName name="Multiplier" localSheetId="6">IndexInformation!$B$35</definedName>
    <definedName name="new"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ewstone">{"Client Name or Project Name"}</definedName>
    <definedName name="newstone1">{"Client Name or Project Name"}</definedName>
    <definedName name="NextYearEPS" localSheetId="6">IndexInformation!$B$13</definedName>
    <definedName name="NextYearTotalRevenue" localSheetId="6">IndexInformation!$B$12</definedName>
    <definedName name="NextYearTotalRevenueActual" localSheetId="6">IndexInformation!$B$33</definedName>
    <definedName name="ObjectType">IndexInformation!$B$37</definedName>
    <definedName name="over_15_years">0.1</definedName>
    <definedName name="PANA" localSheetId="7">ModPubIndex!$A$11</definedName>
    <definedName name="PathName" localSheetId="6">IndexInformation!$B$25</definedName>
    <definedName name="PRODUCT" localSheetId="7">ModPubIndex!$A$6</definedName>
    <definedName name="ProjectName">{"BU Name or Client/Project Name"}</definedName>
    <definedName name="pronames">{"Client Name or Project Name"}</definedName>
    <definedName name="PSYM" localSheetId="7">ModPubIndex!$A$4</definedName>
    <definedName name="PublishDate" localSheetId="6">IndexInformation!$B$2</definedName>
    <definedName name="q" hidden="1">'[7]Qtr Sales'!$EM$2:$FJ$127</definedName>
    <definedName name="Rating" localSheetId="6">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p" hidden="1">{#N/A,#N/A,FALSE,"COVER";#N/A,#N/A,FALSE,"VALUATION";#N/A,#N/A,FALSE,"FORECAST";#N/A,#N/A,FALSE,"FY ANALYSIS ";#N/A,#N/A,FALSE," HY ANALYSIS"}</definedName>
    <definedName name="RepairedName0004" hidden="1">"iQShowAnnual"</definedName>
    <definedName name="RepairedName0035" hidden="1">"iQShowAnnual"</definedName>
    <definedName name="RepairedName0074" hidden="1">"iQShowAnnual"</definedName>
    <definedName name="RepairedName2249" hidden="1">"iQShowAnnual"</definedName>
    <definedName name="ResearchTopic" localSheetId="6">IndexInformation!$B$4</definedName>
    <definedName name="RIC" localSheetId="6">IndexInformation!$B$21</definedName>
    <definedName name="RiskAutoStopPercChange">1.5</definedName>
    <definedName name="RiskCollectDistributionSamples">2</definedName>
    <definedName name="RiskExcelReportsGoInNewWorkbook">TRUE</definedName>
    <definedName name="RiskExcelReportsToGenerate">1024</definedName>
    <definedName name="RiskFixedSeed">923</definedName>
    <definedName name="RiskGenerateExcelReportsAtEndOfSimulation">FALSE</definedName>
    <definedName name="RiskHasSettings">TRUE</definedName>
    <definedName name="RiskMinimizeOnStart">TRUE</definedName>
    <definedName name="RiskMonitorConvergence">FALSE</definedName>
    <definedName name="RiskNumIterations">10000</definedName>
    <definedName name="RiskNumSimulations">1</definedName>
    <definedName name="RiskPauseOnError">FALSE</definedName>
    <definedName name="RiskRealTimeResults">FALSE</definedName>
    <definedName name="RiskReportGraphFormat">0</definedName>
    <definedName name="RiskResultsUpdateFreq">100</definedName>
    <definedName name="RiskRunAfterRecalcMacro">FALSE</definedName>
    <definedName name="RiskRunAfterSimMacro">FALSE</definedName>
    <definedName name="RiskRunBeforeRecalcMacro">FALSE</definedName>
    <definedName name="RiskRunBeforeSimMacro">FALSE</definedName>
    <definedName name="RiskSamplingType">2</definedName>
    <definedName name="RiskShowRiskWindowAtEndOfSimulation">TRUE</definedName>
    <definedName name="RiskStandardRecalc">1</definedName>
    <definedName name="RiskTemplateSheetName">"myTemplate"</definedName>
    <definedName name="RiskUpdateDisplay">FALSE</definedName>
    <definedName name="RiskUseDifferentSeedForEachSim">FALSE</definedName>
    <definedName name="RiskUseFixedSeed">TRUE</definedName>
    <definedName name="RiskUseMultipleCPUs">FALSE</definedName>
    <definedName name="SECSettlement" localSheetId="0">ImportantDisclosures!#REF!</definedName>
    <definedName name="SEDOL" localSheetId="6">IndexInformation!$B$22</definedName>
    <definedName name="sencount" hidden="1">1</definedName>
    <definedName name="SourceDefined" localSheetId="0">ImportantDisclosures!$A$19</definedName>
    <definedName name="StockRating" localSheetId="0">ImportantDisclosures!$A$11</definedName>
    <definedName name="SubjectCode" localSheetId="6">IndexInformation!$B$6</definedName>
    <definedName name="SubmitterUserId">IndexInformation!$B$39</definedName>
    <definedName name="Summary_IS"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SUPPRESSED" localSheetId="7">ModPubIndex!$A$13</definedName>
    <definedName name="Tarceva.new">{"Client Name or Project Name"}</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6">IndexInformation!$B$19</definedName>
    <definedName name="tones">{"Client Name or Project Name"}</definedName>
    <definedName name="trc_XLS_DATASHEET_ProtectDate">35417.7656018519</definedName>
    <definedName name="UpdateReason" localSheetId="6">IndexInformation!$B$17</definedName>
    <definedName name="USRegDisclosures" localSheetId="0">ImportantDisclosures!#REF!</definedName>
    <definedName name="wrn.AGN._.MODELS." hidden="1">{"QTRINC1",#N/A,FALSE,"QTRINC";"QTRINC2",#N/A,FALSE,"QTRINC";"QTRSALES",#N/A,FALSE,"QTRSALES";"ANNSALES",#N/A,FALSE,"ANNSALES";"CASHFLOW",#N/A,FALSE,"CASHFLOW"}</definedName>
    <definedName name="wrn.AHP._.MODELS." hidden="1">{"QTRINC",#N/A,FALSE,"QTRINC";"MARGIN",#N/A,FALSE,"MARGIN";"CASHFLOW",#N/A,FALSE,"CASHFLOW"}</definedName>
    <definedName name="wrn.allpages." hidden="1">{#N/A,#N/A,TRUE,"Historicals";#N/A,#N/A,TRUE,"Charts";#N/A,#N/A,TRUE,"Forecasts"}</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BasicModel." hidden="1">{"MacroCo",#N/A,FALSE,"masmode";"IncomeS",#N/A,FALSE,"masmode";"BalanceS",#N/A,FALSE,"masmode";"CashF",#N/A,FALSE,"masmode";"Ratios",#N/A,FALSE,"masmode";"DebtFC",#N/A,FALSE,"masmode"}</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finstat." hidden="1">{"ass",#N/A,FALSE,"finstat";"inc",#N/A,FALSE,"finstat";"bs",#N/A,FALSE,"finstat";"cf",#N/A,FALSE,"finstat";"ratios",#N/A,FALSE,"finstat"}</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hidden="1">{#N/A,#N/A,FALSE,"COVER";#N/A,#N/A,FALSE,"VALUATION";#N/A,#N/A,FALSE,"FORECAST";#N/A,#N/A,FALSE,"FY ANALYSIS ";#N/A,#N/A,FALSE," HY ANALYSIS"}</definedName>
    <definedName name="wrn.inc." hidden="1">{"inc",#N/A,FALSE,"finstat"}</definedName>
    <definedName name="wrn.MODELS."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monthlyunits." hidden="1">{"monthlyunits",#N/A,FALSE,"openings"}</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quart." hidden="1">{"quart",#N/A,FALSE,"quartfin"}</definedName>
    <definedName name="wrn.quartfin." hidden="1">{"quartfin",#N/A,FALSE,"quartfin"}</definedName>
    <definedName name="wrn.Report." hidden="1">{#N/A,#N/A,FALSE,"COVER";#N/A,#N/A,FALSE,"FORECAST";#N/A,#N/A,FALSE,"VALUATION";#N/A,#N/A,FALSE,"FY ANALYSIS ";#N/A,#N/A,FALSE," HY ANALYSIS"}</definedName>
    <definedName name="wrn.salesassum." hidden="1">{"Salesass",#N/A,FALSE,"assumpt"}</definedName>
    <definedName name="wrn.SGPMODELS." hidden="1">{"QTRINC1",#N/A,FALSE,"SGPNEW";"QTRINC2",#N/A,FALSE,"SGPNEW";"USSALES1",#N/A,FALSE,"SGPNEW";"USSALES2",#N/A,FALSE,"SGPNEW";"INTLSALES1",#N/A,FALSE,"SGPNEW";"INTLSALES2",#N/A,FALSE,"SGPNEW";"WWSALES1",#N/A,FALSE,"SGPNEW";"WWSALES2",#N/A,FALSE,"SGPNEW";"NEWPRODS",#N/A,FALSE,"SGPNEW";"CASHFLOW",#N/A,FALSE,"SGPNEW"}</definedName>
    <definedName name="wrn.Short._.Report." hidden="1">{"short1",#N/A,FALSE,"masmode";"short2",#N/A,FALSE,"masmode";"qtrres",#N/A,FALSE,"QTR. RES.";"sales",#N/A,FALSE,"Sales &amp; Market Share"}</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 name="wrn.WLAVARIANCEANALYSIS." hidden="1">{"INCOME STATEMENT",#N/A,FALSE,"IS";"WWSALES",#N/A,FALSE,"WWSALES";"USSALES",#N/A,FALSE,"USSALES";"INTLSALES",#N/A,FALSE,"INTLSALES"}</definedName>
  </definedNames>
  <calcPr calcId="145621"/>
</workbook>
</file>

<file path=xl/calcChain.xml><?xml version="1.0" encoding="utf-8"?>
<calcChain xmlns="http://schemas.openxmlformats.org/spreadsheetml/2006/main">
  <c r="AA63" i="1" l="1"/>
  <c r="Z62" i="1"/>
  <c r="Z61" i="1"/>
  <c r="U69" i="2"/>
  <c r="T69" i="2"/>
  <c r="S69" i="2"/>
  <c r="R69" i="2"/>
  <c r="Q69" i="2"/>
  <c r="P69" i="2"/>
  <c r="O69" i="2"/>
  <c r="N69" i="2"/>
  <c r="M69" i="2"/>
  <c r="L69" i="2"/>
  <c r="K69" i="2"/>
  <c r="J69" i="2"/>
  <c r="H70" i="2"/>
  <c r="H71" i="2" s="1"/>
  <c r="H69" i="2"/>
  <c r="H68" i="2"/>
  <c r="H66" i="2"/>
  <c r="H64" i="2"/>
  <c r="H65" i="2" s="1"/>
  <c r="H62" i="2"/>
  <c r="H58" i="2"/>
  <c r="H56" i="2"/>
  <c r="G39" i="11"/>
  <c r="G16" i="11"/>
  <c r="G14" i="11"/>
  <c r="G8" i="11"/>
  <c r="H18" i="2"/>
  <c r="Z83" i="1"/>
  <c r="Z82" i="1" s="1"/>
  <c r="Z85" i="1" s="1"/>
  <c r="Z75" i="1"/>
  <c r="Z74" i="1" s="1"/>
  <c r="Z77" i="1" s="1"/>
  <c r="AA52" i="1"/>
  <c r="Z52" i="1"/>
  <c r="Z24" i="1"/>
  <c r="Z23" i="1" s="1"/>
  <c r="Z22" i="1" s="1"/>
  <c r="Z20" i="1"/>
  <c r="Z19" i="1"/>
  <c r="Z18" i="1" s="1"/>
  <c r="Z84" i="1" l="1"/>
  <c r="Z87" i="1" s="1"/>
  <c r="Z86" i="1"/>
  <c r="Z78" i="1"/>
  <c r="Z76" i="1"/>
  <c r="Z79" i="1" s="1"/>
  <c r="AB51" i="1" l="1"/>
  <c r="AC51" i="1" s="1"/>
  <c r="D27" i="42" s="1"/>
  <c r="H71" i="11"/>
  <c r="H72" i="11"/>
  <c r="H70" i="11"/>
  <c r="BJ78" i="1" l="1"/>
  <c r="BO78" i="1" s="1"/>
  <c r="BT78" i="1" s="1"/>
  <c r="BY78" i="1" s="1"/>
  <c r="CD78" i="1" s="1"/>
  <c r="CI78" i="1" s="1"/>
  <c r="CN78" i="1" s="1"/>
  <c r="AE66" i="1" l="1"/>
  <c r="AD66" i="1"/>
  <c r="AC66" i="1"/>
  <c r="AB66" i="1"/>
  <c r="AE95" i="1"/>
  <c r="AD95" i="1"/>
  <c r="AC95" i="1"/>
  <c r="AB95" i="1"/>
  <c r="AB52" i="1"/>
  <c r="AF39" i="1"/>
  <c r="AF38" i="1"/>
  <c r="AF34" i="1"/>
  <c r="AF32" i="1"/>
  <c r="AF26" i="1"/>
  <c r="AD24" i="1"/>
  <c r="AC24" i="1"/>
  <c r="AB24" i="1"/>
  <c r="AD23" i="1"/>
  <c r="AC23" i="1"/>
  <c r="AB23" i="1"/>
  <c r="AD22" i="1"/>
  <c r="AC22" i="1"/>
  <c r="AB22" i="1"/>
  <c r="AE84" i="1"/>
  <c r="AE24" i="1" s="1"/>
  <c r="AF24" i="1" s="1"/>
  <c r="AD84" i="1"/>
  <c r="AC84" i="1"/>
  <c r="AB84" i="1"/>
  <c r="AE83" i="1"/>
  <c r="AF83" i="1" s="1"/>
  <c r="AD83" i="1"/>
  <c r="AC83" i="1"/>
  <c r="AB83" i="1"/>
  <c r="AE82" i="1"/>
  <c r="AE22" i="1" s="1"/>
  <c r="AF22" i="1" s="1"/>
  <c r="AD82" i="1"/>
  <c r="AC82" i="1"/>
  <c r="AB82" i="1"/>
  <c r="AD20" i="1"/>
  <c r="AC20" i="1"/>
  <c r="AB20" i="1"/>
  <c r="AD19" i="1"/>
  <c r="AC19" i="1"/>
  <c r="AB19" i="1"/>
  <c r="AD18" i="1"/>
  <c r="AC18" i="1"/>
  <c r="AB18" i="1"/>
  <c r="AE76" i="1"/>
  <c r="AE20" i="1" s="1"/>
  <c r="AF20" i="1" s="1"/>
  <c r="AD76" i="1"/>
  <c r="AC76" i="1"/>
  <c r="AB76" i="1"/>
  <c r="AE75" i="1"/>
  <c r="AE19" i="1" s="1"/>
  <c r="AF19" i="1" s="1"/>
  <c r="AD75" i="1"/>
  <c r="AC75" i="1"/>
  <c r="AB75" i="1"/>
  <c r="AE74" i="1"/>
  <c r="AE18" i="1" s="1"/>
  <c r="AF18" i="1" s="1"/>
  <c r="AD74" i="1"/>
  <c r="AC74" i="1"/>
  <c r="AB74" i="1"/>
  <c r="AF15" i="1"/>
  <c r="AE12" i="1"/>
  <c r="AD12" i="1"/>
  <c r="AC12" i="1"/>
  <c r="AB12" i="1"/>
  <c r="AF76" i="1" l="1"/>
  <c r="AF82" i="1"/>
  <c r="AF84" i="1"/>
  <c r="AE23" i="1"/>
  <c r="AF23" i="1" s="1"/>
  <c r="AF74" i="1"/>
  <c r="AF75" i="1"/>
  <c r="AC52" i="1"/>
  <c r="AD51" i="1"/>
  <c r="G49" i="11"/>
  <c r="G50" i="11" s="1"/>
  <c r="F51" i="11"/>
  <c r="G51" i="11"/>
  <c r="H51" i="11" s="1"/>
  <c r="I51" i="11" s="1"/>
  <c r="J51" i="11" s="1"/>
  <c r="K51" i="11" s="1"/>
  <c r="L51" i="11" s="1"/>
  <c r="M51" i="11" s="1"/>
  <c r="N51" i="11" s="1"/>
  <c r="O51" i="11" s="1"/>
  <c r="P51" i="11" s="1"/>
  <c r="Q51" i="11" s="1"/>
  <c r="R51" i="11" s="1"/>
  <c r="S51" i="11" s="1"/>
  <c r="T51" i="11" s="1"/>
  <c r="G52" i="11"/>
  <c r="H52" i="11"/>
  <c r="I52" i="11"/>
  <c r="J52" i="11" s="1"/>
  <c r="K52" i="11" s="1"/>
  <c r="L52" i="11" s="1"/>
  <c r="M52" i="11" s="1"/>
  <c r="N52" i="11" s="1"/>
  <c r="O52" i="11" s="1"/>
  <c r="P52" i="11" s="1"/>
  <c r="Q52" i="11" s="1"/>
  <c r="R52" i="11" s="1"/>
  <c r="S52" i="11" s="1"/>
  <c r="T52" i="11" s="1"/>
  <c r="G53" i="11"/>
  <c r="F54" i="11"/>
  <c r="G54" i="11"/>
  <c r="H54" i="11"/>
  <c r="I54" i="11" s="1"/>
  <c r="J54" i="11" s="1"/>
  <c r="K54" i="11" s="1"/>
  <c r="L54" i="11" s="1"/>
  <c r="M54" i="11" s="1"/>
  <c r="N54" i="11" s="1"/>
  <c r="O54" i="11" s="1"/>
  <c r="P54" i="11" s="1"/>
  <c r="Q54" i="11" s="1"/>
  <c r="R54" i="11" s="1"/>
  <c r="S54" i="11" s="1"/>
  <c r="T54" i="11" s="1"/>
  <c r="F56" i="11"/>
  <c r="G56" i="11"/>
  <c r="G57" i="11"/>
  <c r="H57" i="11"/>
  <c r="I57" i="11"/>
  <c r="J57" i="11" s="1"/>
  <c r="K57" i="11" s="1"/>
  <c r="L57" i="11" s="1"/>
  <c r="M57" i="11"/>
  <c r="N57" i="11" s="1"/>
  <c r="O57" i="11" s="1"/>
  <c r="P57" i="11" s="1"/>
  <c r="Q57" i="11"/>
  <c r="R57" i="11" s="1"/>
  <c r="S57" i="11" s="1"/>
  <c r="T57" i="11" s="1"/>
  <c r="G58" i="11"/>
  <c r="M58" i="11"/>
  <c r="N58" i="11"/>
  <c r="O58" i="11"/>
  <c r="P58" i="11"/>
  <c r="Q58" i="11"/>
  <c r="R58" i="11"/>
  <c r="S58" i="11"/>
  <c r="T58" i="11"/>
  <c r="F59" i="11"/>
  <c r="F62" i="11"/>
  <c r="G62" i="11"/>
  <c r="AF2" i="11"/>
  <c r="AE51" i="1" l="1"/>
  <c r="AF51" i="1" s="1"/>
  <c r="AD52" i="1"/>
  <c r="G55" i="11"/>
  <c r="G59" i="11" s="1"/>
  <c r="H56" i="11"/>
  <c r="I56" i="11" s="1"/>
  <c r="J56" i="11" s="1"/>
  <c r="K56" i="11" s="1"/>
  <c r="L56" i="11" s="1"/>
  <c r="M56" i="11" s="1"/>
  <c r="N56" i="11" s="1"/>
  <c r="O56" i="11" s="1"/>
  <c r="P56" i="11" s="1"/>
  <c r="Q56" i="11" s="1"/>
  <c r="R56" i="11" s="1"/>
  <c r="S56" i="11" s="1"/>
  <c r="T56" i="11" s="1"/>
  <c r="H49" i="11"/>
  <c r="G61" i="11"/>
  <c r="H62" i="11"/>
  <c r="I62" i="11" s="1"/>
  <c r="J62" i="11" s="1"/>
  <c r="K62" i="11" s="1"/>
  <c r="L62" i="11" s="1"/>
  <c r="M62" i="11" s="1"/>
  <c r="N62" i="11" s="1"/>
  <c r="O62" i="11" s="1"/>
  <c r="P62" i="11" s="1"/>
  <c r="Q62" i="11" s="1"/>
  <c r="R62" i="11" s="1"/>
  <c r="S62" i="11" s="1"/>
  <c r="T62" i="11" s="1"/>
  <c r="E48" i="11"/>
  <c r="F48" i="11"/>
  <c r="D48" i="11"/>
  <c r="AK51" i="1" l="1"/>
  <c r="AE52" i="1"/>
  <c r="AF52" i="1" s="1"/>
  <c r="G48" i="11"/>
  <c r="H48" i="11" s="1"/>
  <c r="H53" i="11"/>
  <c r="H55" i="11"/>
  <c r="H61" i="11"/>
  <c r="H50" i="11"/>
  <c r="G60" i="11" l="1"/>
  <c r="H59" i="11"/>
  <c r="I49" i="11"/>
  <c r="I48" i="11"/>
  <c r="J48" i="11" l="1"/>
  <c r="I53" i="11"/>
  <c r="J49" i="11" s="1"/>
  <c r="I61" i="11"/>
  <c r="I50" i="11"/>
  <c r="I55" i="11"/>
  <c r="I59" i="11" s="1"/>
  <c r="J50" i="11" l="1"/>
  <c r="J53" i="11"/>
  <c r="K49" i="11" s="1"/>
  <c r="J61" i="11"/>
  <c r="J55" i="11"/>
  <c r="J59" i="11" s="1"/>
  <c r="K48" i="11"/>
  <c r="K50" i="11" l="1"/>
  <c r="K55" i="11"/>
  <c r="K59" i="11" s="1"/>
  <c r="K61" i="11"/>
  <c r="K53" i="11"/>
  <c r="L49" i="11" s="1"/>
  <c r="L48" i="11"/>
  <c r="AA62" i="1"/>
  <c r="AA61" i="1"/>
  <c r="L53" i="11" l="1"/>
  <c r="L55" i="11"/>
  <c r="L59" i="11" s="1"/>
  <c r="L50" i="11"/>
  <c r="L61" i="11"/>
  <c r="M48" i="11"/>
  <c r="Y83" i="1"/>
  <c r="Y84" i="1" s="1"/>
  <c r="Y75" i="1"/>
  <c r="Y76" i="1" s="1"/>
  <c r="Y74" i="1"/>
  <c r="Y24" i="1"/>
  <c r="Y23" i="1" s="1"/>
  <c r="Y22" i="1" s="1"/>
  <c r="Y19" i="1"/>
  <c r="Y18" i="1" s="1"/>
  <c r="Y20" i="1"/>
  <c r="N48" i="11" l="1"/>
  <c r="Y82" i="1"/>
  <c r="M49" i="11"/>
  <c r="AP86" i="1"/>
  <c r="AU86" i="1" s="1"/>
  <c r="AZ86" i="1" s="1"/>
  <c r="BE86" i="1" s="1"/>
  <c r="BJ86" i="1" s="1"/>
  <c r="BT85" i="1"/>
  <c r="BY85" i="1" s="1"/>
  <c r="CD85" i="1" s="1"/>
  <c r="CI85" i="1" s="1"/>
  <c r="CN85" i="1" s="1"/>
  <c r="AK64" i="1"/>
  <c r="AP64" i="1" s="1"/>
  <c r="AU64" i="1" s="1"/>
  <c r="AZ64" i="1" s="1"/>
  <c r="BE64" i="1" s="1"/>
  <c r="BJ64" i="1" s="1"/>
  <c r="BO64" i="1" s="1"/>
  <c r="BT64" i="1" s="1"/>
  <c r="BY64" i="1" s="1"/>
  <c r="CD64" i="1" s="1"/>
  <c r="CI64" i="1" s="1"/>
  <c r="CN64" i="1" s="1"/>
  <c r="X83" i="1"/>
  <c r="X82" i="1" s="1"/>
  <c r="X75" i="1"/>
  <c r="X74" i="1" s="1"/>
  <c r="X24" i="1"/>
  <c r="X23" i="1" s="1"/>
  <c r="X22" i="1" s="1"/>
  <c r="X20" i="1"/>
  <c r="X19" i="1" s="1"/>
  <c r="X18" i="1" s="1"/>
  <c r="X76" i="1" l="1"/>
  <c r="O48" i="11"/>
  <c r="M53" i="11"/>
  <c r="N49" i="11" s="1"/>
  <c r="M61" i="11"/>
  <c r="M50" i="11"/>
  <c r="M55" i="11"/>
  <c r="X84" i="1"/>
  <c r="N50" i="11" l="1"/>
  <c r="N53" i="11"/>
  <c r="O49" i="11" s="1"/>
  <c r="N55" i="11"/>
  <c r="N61" i="11"/>
  <c r="P48" i="11"/>
  <c r="M59" i="11"/>
  <c r="M60" i="11"/>
  <c r="CI16" i="54"/>
  <c r="CJ16" i="54" s="1"/>
  <c r="O50" i="11" l="1"/>
  <c r="O55" i="11"/>
  <c r="O61" i="11"/>
  <c r="O53" i="11"/>
  <c r="P49" i="11" s="1"/>
  <c r="N59" i="11"/>
  <c r="N60" i="11"/>
  <c r="Q48" i="11"/>
  <c r="P53" i="11" l="1"/>
  <c r="Q49" i="11" s="1"/>
  <c r="P61" i="11"/>
  <c r="P50" i="11"/>
  <c r="P55" i="11"/>
  <c r="R48" i="11"/>
  <c r="O59" i="11"/>
  <c r="O60" i="11"/>
  <c r="Q53" i="11" l="1"/>
  <c r="R49" i="11" s="1"/>
  <c r="Q50" i="11"/>
  <c r="Q55" i="11"/>
  <c r="Q61" i="11"/>
  <c r="S48" i="11"/>
  <c r="P59" i="11"/>
  <c r="P60" i="11"/>
  <c r="CA27" i="54"/>
  <c r="CB27" i="54"/>
  <c r="CC27" i="54"/>
  <c r="CD27" i="54"/>
  <c r="CE27" i="54"/>
  <c r="CF27" i="54"/>
  <c r="CG27" i="54"/>
  <c r="CH27" i="54"/>
  <c r="BY17" i="54"/>
  <c r="R50" i="11" l="1"/>
  <c r="R53" i="11"/>
  <c r="S49" i="11" s="1"/>
  <c r="R61" i="11"/>
  <c r="R55" i="11"/>
  <c r="T48" i="11"/>
  <c r="Q59" i="11"/>
  <c r="Q60" i="11"/>
  <c r="AP16" i="1"/>
  <c r="AU16" i="1" s="1"/>
  <c r="AZ16" i="1" s="1"/>
  <c r="BE16" i="1" s="1"/>
  <c r="BJ16" i="1" s="1"/>
  <c r="BO16" i="1" s="1"/>
  <c r="BT16" i="1" s="1"/>
  <c r="BY16" i="1" s="1"/>
  <c r="CD16" i="1" s="1"/>
  <c r="CI16" i="1" s="1"/>
  <c r="CN16" i="1" s="1"/>
  <c r="S50" i="11" l="1"/>
  <c r="S55" i="11"/>
  <c r="T49" i="11" s="1"/>
  <c r="S61" i="11"/>
  <c r="S53" i="11"/>
  <c r="R59" i="11"/>
  <c r="R60" i="11"/>
  <c r="T53" i="11" l="1"/>
  <c r="T55" i="11"/>
  <c r="T61" i="11"/>
  <c r="T50" i="11"/>
  <c r="S59" i="11"/>
  <c r="S60" i="11"/>
  <c r="BX168" i="54"/>
  <c r="BX167" i="54"/>
  <c r="BX166" i="54"/>
  <c r="BW169" i="54"/>
  <c r="T59" i="11" l="1"/>
  <c r="T60" i="11"/>
  <c r="BX169" i="54"/>
  <c r="CE220" i="54" l="1"/>
  <c r="CF220" i="54" s="1"/>
  <c r="BW174" i="54"/>
  <c r="BW278" i="54" s="1"/>
  <c r="CF237" i="54"/>
  <c r="CG129" i="54"/>
  <c r="CG237" i="54" s="1"/>
  <c r="CE112" i="54"/>
  <c r="AY86" i="1"/>
  <c r="BD86" i="1" s="1"/>
  <c r="BI86" i="1" s="1"/>
  <c r="BN86" i="1" s="1"/>
  <c r="BS86" i="1" s="1"/>
  <c r="BX86" i="1" s="1"/>
  <c r="CC86" i="1" s="1"/>
  <c r="CH86" i="1" s="1"/>
  <c r="CM86" i="1" s="1"/>
  <c r="AX86" i="1"/>
  <c r="BC86" i="1" s="1"/>
  <c r="BH86" i="1" s="1"/>
  <c r="BM86" i="1" s="1"/>
  <c r="BR86" i="1" s="1"/>
  <c r="BW86" i="1" s="1"/>
  <c r="CB86" i="1" s="1"/>
  <c r="CG86" i="1" s="1"/>
  <c r="CL86" i="1" s="1"/>
  <c r="AW86" i="1"/>
  <c r="BB86" i="1" s="1"/>
  <c r="BG86" i="1" s="1"/>
  <c r="BL86" i="1" s="1"/>
  <c r="BQ86" i="1" s="1"/>
  <c r="BV86" i="1" s="1"/>
  <c r="CA86" i="1" s="1"/>
  <c r="CF86" i="1" s="1"/>
  <c r="CK86" i="1" s="1"/>
  <c r="AV86" i="1"/>
  <c r="BA86" i="1" s="1"/>
  <c r="BF86" i="1" s="1"/>
  <c r="BK86" i="1" s="1"/>
  <c r="BP86" i="1" s="1"/>
  <c r="BU86" i="1" s="1"/>
  <c r="BZ86" i="1" s="1"/>
  <c r="CE86" i="1" s="1"/>
  <c r="CJ86" i="1" s="1"/>
  <c r="BO86" i="1"/>
  <c r="BT86" i="1" s="1"/>
  <c r="BY86" i="1" s="1"/>
  <c r="CD86" i="1" s="1"/>
  <c r="CI86" i="1" s="1"/>
  <c r="CN86" i="1" s="1"/>
  <c r="CA16" i="54"/>
  <c r="CB16" i="54"/>
  <c r="CC16" i="54"/>
  <c r="BZ16" i="54"/>
  <c r="CA17" i="54"/>
  <c r="CB17" i="54"/>
  <c r="CC17" i="54"/>
  <c r="CD17" i="54"/>
  <c r="CE17" i="54"/>
  <c r="CF17" i="54"/>
  <c r="BZ17" i="54"/>
  <c r="BW273" i="54"/>
  <c r="CG220" i="54" l="1"/>
  <c r="CF112" i="54"/>
  <c r="CH129" i="54"/>
  <c r="CH220" i="54" l="1"/>
  <c r="CG112" i="54"/>
  <c r="CI129" i="54"/>
  <c r="CH237" i="54"/>
  <c r="CI220" i="54" l="1"/>
  <c r="CH112" i="54"/>
  <c r="CJ129" i="54"/>
  <c r="CJ237" i="54" s="1"/>
  <c r="CI237" i="54"/>
  <c r="CD6" i="54"/>
  <c r="Y52" i="1"/>
  <c r="X52" i="1"/>
  <c r="G71" i="11"/>
  <c r="BX291" i="54"/>
  <c r="BY291" i="54" s="1"/>
  <c r="BZ291" i="54" s="1"/>
  <c r="CA291" i="54" s="1"/>
  <c r="CB291" i="54" s="1"/>
  <c r="CC291" i="54" s="1"/>
  <c r="CD291" i="54" s="1"/>
  <c r="CE291" i="54" s="1"/>
  <c r="CF291" i="54" s="1"/>
  <c r="CG291" i="54" s="1"/>
  <c r="CH291" i="54" s="1"/>
  <c r="CI291" i="54" s="1"/>
  <c r="CJ291" i="54" s="1"/>
  <c r="BX290" i="54"/>
  <c r="BY290" i="54" s="1"/>
  <c r="BX289" i="54"/>
  <c r="BY289" i="54" s="1"/>
  <c r="BZ289" i="54" s="1"/>
  <c r="CA289" i="54" s="1"/>
  <c r="CB289" i="54" s="1"/>
  <c r="CC289" i="54" s="1"/>
  <c r="CD289" i="54" s="1"/>
  <c r="CE289" i="54" s="1"/>
  <c r="CF289" i="54" s="1"/>
  <c r="CG289" i="54" s="1"/>
  <c r="CH289" i="54" s="1"/>
  <c r="CI289" i="54" s="1"/>
  <c r="CJ289" i="54" s="1"/>
  <c r="BX187" i="54"/>
  <c r="BY187" i="54" s="1"/>
  <c r="BZ187" i="54" s="1"/>
  <c r="CA187" i="54" s="1"/>
  <c r="CB187" i="54" s="1"/>
  <c r="CC187" i="54" s="1"/>
  <c r="CD187" i="54" s="1"/>
  <c r="CE187" i="54" s="1"/>
  <c r="CF187" i="54" s="1"/>
  <c r="CG187" i="54" s="1"/>
  <c r="CH187" i="54" s="1"/>
  <c r="CI187" i="54" s="1"/>
  <c r="CJ187" i="54" s="1"/>
  <c r="BX186" i="54"/>
  <c r="BY186" i="54" s="1"/>
  <c r="BZ186" i="54" s="1"/>
  <c r="CA186" i="54" s="1"/>
  <c r="CB186" i="54" s="1"/>
  <c r="CC186" i="54" s="1"/>
  <c r="CD186" i="54" s="1"/>
  <c r="CE186" i="54" s="1"/>
  <c r="CF186" i="54" s="1"/>
  <c r="CG186" i="54" s="1"/>
  <c r="CH186" i="54" s="1"/>
  <c r="CI186" i="54" s="1"/>
  <c r="CJ186" i="54" s="1"/>
  <c r="BX185" i="54"/>
  <c r="BY185" i="54" s="1"/>
  <c r="BZ185" i="54" s="1"/>
  <c r="CA185" i="54" s="1"/>
  <c r="CB185" i="54" s="1"/>
  <c r="CC185" i="54" s="1"/>
  <c r="CD185" i="54" s="1"/>
  <c r="CE185" i="54" s="1"/>
  <c r="CF185" i="54" s="1"/>
  <c r="CG185" i="54" s="1"/>
  <c r="CH185" i="54" s="1"/>
  <c r="CI185" i="54" s="1"/>
  <c r="CJ185" i="54" s="1"/>
  <c r="BX6" i="54"/>
  <c r="CJ220" i="54" l="1"/>
  <c r="CI112" i="54"/>
  <c r="BZ290" i="54"/>
  <c r="CJ112" i="54" l="1"/>
  <c r="CA290" i="54"/>
  <c r="CB290" i="54" l="1"/>
  <c r="CC290" i="54" l="1"/>
  <c r="G12" i="1"/>
  <c r="B71" i="1"/>
  <c r="U75" i="1"/>
  <c r="T75" i="1"/>
  <c r="Y78" i="1" s="1"/>
  <c r="S75" i="1"/>
  <c r="X78" i="1" s="1"/>
  <c r="W75" i="1"/>
  <c r="U83" i="1"/>
  <c r="T83" i="1"/>
  <c r="Y86" i="1" s="1"/>
  <c r="S83" i="1"/>
  <c r="X86" i="1" s="1"/>
  <c r="W83" i="1"/>
  <c r="R83" i="1"/>
  <c r="AF95" i="1"/>
  <c r="H58" i="11" s="1"/>
  <c r="H60" i="11" s="1"/>
  <c r="AA15" i="1"/>
  <c r="Z12" i="1"/>
  <c r="AA90" i="1"/>
  <c r="V31" i="1"/>
  <c r="V92" i="1"/>
  <c r="V91" i="1" s="1"/>
  <c r="AA91" i="1" s="1"/>
  <c r="V90" i="1"/>
  <c r="Y12" i="1"/>
  <c r="X12" i="1"/>
  <c r="W12" i="1"/>
  <c r="W28" i="1" s="1"/>
  <c r="W33" i="1" s="1"/>
  <c r="W36" i="1" s="1"/>
  <c r="W40" i="1" s="1"/>
  <c r="W47" i="1" s="1"/>
  <c r="W108" i="1" s="1"/>
  <c r="AA11" i="1"/>
  <c r="AA10" i="1"/>
  <c r="V21" i="1"/>
  <c r="G44" i="2" s="1"/>
  <c r="V25" i="1"/>
  <c r="V55" i="1" s="1"/>
  <c r="AA32" i="1"/>
  <c r="AK32" i="1" s="1"/>
  <c r="AP32" i="1" s="1"/>
  <c r="AU32" i="1" s="1"/>
  <c r="AZ32" i="1" s="1"/>
  <c r="BE32" i="1" s="1"/>
  <c r="BJ32" i="1" s="1"/>
  <c r="BO32" i="1" s="1"/>
  <c r="BT32" i="1" s="1"/>
  <c r="BY32" i="1" s="1"/>
  <c r="CD32" i="1" s="1"/>
  <c r="CI32" i="1" s="1"/>
  <c r="CN32" i="1" s="1"/>
  <c r="AA96" i="1"/>
  <c r="CM47" i="1"/>
  <c r="CM108" i="1" s="1"/>
  <c r="CL47" i="1"/>
  <c r="CL108" i="1" s="1"/>
  <c r="CK47" i="1"/>
  <c r="CK108" i="1" s="1"/>
  <c r="CJ47" i="1"/>
  <c r="CJ108" i="1" s="1"/>
  <c r="CH47" i="1"/>
  <c r="CH108" i="1" s="1"/>
  <c r="CG47" i="1"/>
  <c r="CG108" i="1" s="1"/>
  <c r="CF47" i="1"/>
  <c r="CF108" i="1" s="1"/>
  <c r="CE47" i="1"/>
  <c r="CE108" i="1" s="1"/>
  <c r="CC47" i="1"/>
  <c r="CC108" i="1" s="1"/>
  <c r="CB47" i="1"/>
  <c r="CB108" i="1" s="1"/>
  <c r="CA47" i="1"/>
  <c r="CA108" i="1" s="1"/>
  <c r="BZ47" i="1"/>
  <c r="BZ108" i="1" s="1"/>
  <c r="BX47" i="1"/>
  <c r="BX108" i="1" s="1"/>
  <c r="BW47" i="1"/>
  <c r="BW108" i="1" s="1"/>
  <c r="BV47" i="1"/>
  <c r="BV108" i="1" s="1"/>
  <c r="BU47" i="1"/>
  <c r="BU108" i="1" s="1"/>
  <c r="BS47" i="1"/>
  <c r="BS108" i="1" s="1"/>
  <c r="BR47" i="1"/>
  <c r="BR108" i="1" s="1"/>
  <c r="BQ47" i="1"/>
  <c r="BQ108" i="1" s="1"/>
  <c r="BP47" i="1"/>
  <c r="BP108" i="1" s="1"/>
  <c r="BN47" i="1"/>
  <c r="BN108" i="1" s="1"/>
  <c r="BM47" i="1"/>
  <c r="BM108" i="1" s="1"/>
  <c r="BL47" i="1"/>
  <c r="BL108" i="1" s="1"/>
  <c r="BK47" i="1"/>
  <c r="BK108" i="1" s="1"/>
  <c r="BI47" i="1"/>
  <c r="BI108" i="1" s="1"/>
  <c r="BH47" i="1"/>
  <c r="BH108" i="1" s="1"/>
  <c r="BG47" i="1"/>
  <c r="BG108" i="1" s="1"/>
  <c r="BF47" i="1"/>
  <c r="BF108" i="1" s="1"/>
  <c r="BD47" i="1"/>
  <c r="BD108" i="1" s="1"/>
  <c r="BC47" i="1"/>
  <c r="BC108" i="1" s="1"/>
  <c r="BB47" i="1"/>
  <c r="BB108" i="1" s="1"/>
  <c r="BA47" i="1"/>
  <c r="BA108" i="1" s="1"/>
  <c r="AY47" i="1"/>
  <c r="AY108" i="1" s="1"/>
  <c r="AX47" i="1"/>
  <c r="AX108" i="1" s="1"/>
  <c r="AW47" i="1"/>
  <c r="AW108" i="1" s="1"/>
  <c r="AV47" i="1"/>
  <c r="AV108" i="1" s="1"/>
  <c r="AT47" i="1"/>
  <c r="AT108" i="1" s="1"/>
  <c r="AS47" i="1"/>
  <c r="AS108" i="1" s="1"/>
  <c r="AR47" i="1"/>
  <c r="AR108" i="1" s="1"/>
  <c r="AQ47" i="1"/>
  <c r="AQ108" i="1" s="1"/>
  <c r="AO47" i="1"/>
  <c r="AO108" i="1" s="1"/>
  <c r="AN47" i="1"/>
  <c r="AN108" i="1" s="1"/>
  <c r="AM47" i="1"/>
  <c r="AM108" i="1" s="1"/>
  <c r="AL47" i="1"/>
  <c r="AL108" i="1" s="1"/>
  <c r="AJ47" i="1"/>
  <c r="AJ108" i="1" s="1"/>
  <c r="AI47" i="1"/>
  <c r="AI108" i="1" s="1"/>
  <c r="AH47" i="1"/>
  <c r="AH108" i="1" s="1"/>
  <c r="AG47" i="1"/>
  <c r="AG108" i="1" s="1"/>
  <c r="AA38" i="1"/>
  <c r="AA39" i="1"/>
  <c r="AA45" i="1"/>
  <c r="AA46" i="1"/>
  <c r="AA34" i="1"/>
  <c r="C9" i="42" s="1"/>
  <c r="R12" i="1"/>
  <c r="R28" i="1" s="1"/>
  <c r="S12" i="1"/>
  <c r="S28" i="1"/>
  <c r="S68" i="1" s="1"/>
  <c r="T12" i="1"/>
  <c r="T28" i="1" s="1"/>
  <c r="U12" i="1"/>
  <c r="U28" i="1"/>
  <c r="U33" i="1" s="1"/>
  <c r="U36" i="1" s="1"/>
  <c r="U40" i="1" s="1"/>
  <c r="U47" i="1" s="1"/>
  <c r="U108" i="1" s="1"/>
  <c r="U34" i="1"/>
  <c r="V34" i="1" s="1"/>
  <c r="V38" i="1"/>
  <c r="V39" i="1"/>
  <c r="V45" i="1"/>
  <c r="V46" i="1"/>
  <c r="S33" i="1"/>
  <c r="S36" i="1" s="1"/>
  <c r="S40" i="1" s="1"/>
  <c r="S47" i="1" s="1"/>
  <c r="S108" i="1" s="1"/>
  <c r="M12" i="1"/>
  <c r="M28" i="1" s="1"/>
  <c r="N12" i="1"/>
  <c r="N28" i="1" s="1"/>
  <c r="O12" i="1"/>
  <c r="O28" i="1" s="1"/>
  <c r="P12" i="1"/>
  <c r="P28" i="1" s="1"/>
  <c r="Q31" i="1"/>
  <c r="P34" i="1"/>
  <c r="Q34" i="1"/>
  <c r="Q38" i="1"/>
  <c r="Q39" i="1"/>
  <c r="Q45" i="1"/>
  <c r="Q46" i="1"/>
  <c r="H12" i="1"/>
  <c r="H21" i="1"/>
  <c r="H25" i="1"/>
  <c r="H28" i="1"/>
  <c r="H33" i="1" s="1"/>
  <c r="H36" i="1" s="1"/>
  <c r="I12" i="1"/>
  <c r="I21" i="1"/>
  <c r="J12" i="1"/>
  <c r="J21" i="1"/>
  <c r="L21" i="1" s="1"/>
  <c r="K12" i="1"/>
  <c r="K28" i="1"/>
  <c r="H31" i="1"/>
  <c r="J31" i="1" s="1"/>
  <c r="I31" i="1"/>
  <c r="I92" i="1" s="1"/>
  <c r="K34" i="1"/>
  <c r="L34" i="1"/>
  <c r="H38" i="1"/>
  <c r="H39" i="1"/>
  <c r="J39" i="1" s="1"/>
  <c r="L39" i="1" s="1"/>
  <c r="I39" i="1"/>
  <c r="K33" i="1"/>
  <c r="K36" i="1" s="1"/>
  <c r="G28" i="1"/>
  <c r="G33" i="1" s="1"/>
  <c r="G36" i="1" s="1"/>
  <c r="G40" i="1" s="1"/>
  <c r="G47" i="1" s="1"/>
  <c r="G108" i="1" s="1"/>
  <c r="G46" i="1"/>
  <c r="F12" i="1"/>
  <c r="F28" i="1" s="1"/>
  <c r="F33" i="1" s="1"/>
  <c r="F36" i="1" s="1"/>
  <c r="F47" i="1" s="1"/>
  <c r="F108" i="1" s="1"/>
  <c r="E12" i="1"/>
  <c r="E28" i="1"/>
  <c r="E33" i="1" s="1"/>
  <c r="E36" i="1" s="1"/>
  <c r="E47" i="1" s="1"/>
  <c r="E108" i="1" s="1"/>
  <c r="D12" i="1"/>
  <c r="D28" i="1" s="1"/>
  <c r="D33" i="1" s="1"/>
  <c r="D36" i="1" s="1"/>
  <c r="D47" i="1" s="1"/>
  <c r="D108" i="1" s="1"/>
  <c r="C12" i="1"/>
  <c r="C28" i="1" s="1"/>
  <c r="C33" i="1" s="1"/>
  <c r="C36" i="1" s="1"/>
  <c r="C47" i="1" s="1"/>
  <c r="C108" i="1" s="1"/>
  <c r="CB37" i="54"/>
  <c r="CC37" i="54"/>
  <c r="CD37" i="54"/>
  <c r="CE37" i="54"/>
  <c r="CF37" i="54"/>
  <c r="CG37" i="54"/>
  <c r="CH37" i="54"/>
  <c r="CA37" i="54"/>
  <c r="BZ36" i="54"/>
  <c r="BZ37" i="54"/>
  <c r="BZ38" i="54"/>
  <c r="BZ18" i="54"/>
  <c r="CA18" i="54"/>
  <c r="CB18" i="54"/>
  <c r="CC18" i="54"/>
  <c r="CD18" i="54"/>
  <c r="CE18" i="54"/>
  <c r="CF18" i="54"/>
  <c r="CG18" i="54"/>
  <c r="CH18" i="54"/>
  <c r="CI18" i="54"/>
  <c r="CJ18" i="54"/>
  <c r="BY18" i="54"/>
  <c r="BY16" i="54"/>
  <c r="CB26" i="54"/>
  <c r="CB36" i="54" s="1"/>
  <c r="CE26" i="54"/>
  <c r="CE36" i="54" s="1"/>
  <c r="CF36" i="54"/>
  <c r="CA26" i="54"/>
  <c r="CA36" i="54" s="1"/>
  <c r="BW3" i="54"/>
  <c r="F27" i="11"/>
  <c r="F16" i="11"/>
  <c r="F19" i="11" s="1"/>
  <c r="G46" i="2" s="1"/>
  <c r="I7" i="2"/>
  <c r="H14" i="11"/>
  <c r="I13" i="2"/>
  <c r="G47" i="2"/>
  <c r="G75" i="2"/>
  <c r="G87" i="2" s="1"/>
  <c r="J19" i="2"/>
  <c r="I6" i="2"/>
  <c r="W84" i="1"/>
  <c r="W82" i="1"/>
  <c r="W85" i="1" s="1"/>
  <c r="W76" i="1"/>
  <c r="W74" i="1"/>
  <c r="W52" i="1"/>
  <c r="W24" i="1"/>
  <c r="W23" i="1" s="1"/>
  <c r="W22" i="1" s="1"/>
  <c r="V7" i="1"/>
  <c r="Q7" i="1"/>
  <c r="L7" i="1"/>
  <c r="BX300" i="54"/>
  <c r="BX56" i="54"/>
  <c r="BY56" i="54"/>
  <c r="BX57" i="54"/>
  <c r="BY57" i="54"/>
  <c r="BX58" i="54"/>
  <c r="BY58" i="54"/>
  <c r="BW275" i="54"/>
  <c r="BX281" i="54"/>
  <c r="BY281" i="54" s="1"/>
  <c r="BW280" i="54"/>
  <c r="BY279" i="54"/>
  <c r="BZ279" i="54" s="1"/>
  <c r="CA279" i="54" s="1"/>
  <c r="BX278" i="54"/>
  <c r="BX276" i="54"/>
  <c r="BY276" i="54" s="1"/>
  <c r="BY274" i="54"/>
  <c r="BZ274" i="54" s="1"/>
  <c r="CA274" i="54" s="1"/>
  <c r="BX273" i="54"/>
  <c r="BY273" i="54" s="1"/>
  <c r="CJ211" i="54"/>
  <c r="CI211" i="54"/>
  <c r="CH211" i="54"/>
  <c r="CG211" i="54"/>
  <c r="CF211" i="54"/>
  <c r="CE211" i="54"/>
  <c r="CD211" i="54"/>
  <c r="CC211" i="54"/>
  <c r="CB211" i="54"/>
  <c r="CA211" i="54"/>
  <c r="BZ211" i="54"/>
  <c r="BY211" i="54"/>
  <c r="BX211" i="54"/>
  <c r="BW211" i="54"/>
  <c r="BV211" i="54"/>
  <c r="BU211" i="54"/>
  <c r="BT211" i="54"/>
  <c r="BS211" i="54"/>
  <c r="BR208" i="54"/>
  <c r="BQ208" i="54" s="1"/>
  <c r="BR205" i="54"/>
  <c r="BQ205" i="54" s="1"/>
  <c r="BP205" i="54" s="1"/>
  <c r="BO205" i="54" s="1"/>
  <c r="BN205" i="54" s="1"/>
  <c r="BM205" i="54" s="1"/>
  <c r="BL205" i="54" s="1"/>
  <c r="BK205" i="54" s="1"/>
  <c r="BJ205" i="54" s="1"/>
  <c r="BI205" i="54" s="1"/>
  <c r="BH205" i="54" s="1"/>
  <c r="BG205" i="54" s="1"/>
  <c r="BF205" i="54" s="1"/>
  <c r="BE205" i="54" s="1"/>
  <c r="BD205" i="54" s="1"/>
  <c r="BC205" i="54" s="1"/>
  <c r="BB205" i="54" s="1"/>
  <c r="BA205" i="54" s="1"/>
  <c r="AZ205" i="54" s="1"/>
  <c r="AY205" i="54" s="1"/>
  <c r="AX205" i="54" s="1"/>
  <c r="AW205" i="54" s="1"/>
  <c r="AV205" i="54" s="1"/>
  <c r="AU205" i="54" s="1"/>
  <c r="AT205" i="54" s="1"/>
  <c r="AS205" i="54" s="1"/>
  <c r="AR205" i="54" s="1"/>
  <c r="AQ205" i="54" s="1"/>
  <c r="AP205" i="54" s="1"/>
  <c r="AO205" i="54" s="1"/>
  <c r="AN205" i="54" s="1"/>
  <c r="AM205" i="54" s="1"/>
  <c r="AL205" i="54" s="1"/>
  <c r="AK205" i="54" s="1"/>
  <c r="AJ205" i="54" s="1"/>
  <c r="AI205" i="54" s="1"/>
  <c r="AH205" i="54" s="1"/>
  <c r="AG205" i="54" s="1"/>
  <c r="AF205" i="54" s="1"/>
  <c r="AE205" i="54" s="1"/>
  <c r="AD205" i="54" s="1"/>
  <c r="AC205" i="54" s="1"/>
  <c r="AB205" i="54" s="1"/>
  <c r="AA205" i="54" s="1"/>
  <c r="Z205" i="54" s="1"/>
  <c r="Y205" i="54" s="1"/>
  <c r="X205" i="54" s="1"/>
  <c r="W205" i="54" s="1"/>
  <c r="V205" i="54" s="1"/>
  <c r="U205" i="54" s="1"/>
  <c r="T205" i="54" s="1"/>
  <c r="S205" i="54" s="1"/>
  <c r="R205" i="54" s="1"/>
  <c r="Q205" i="54" s="1"/>
  <c r="P205" i="54" s="1"/>
  <c r="O205" i="54" s="1"/>
  <c r="N205" i="54" s="1"/>
  <c r="M205" i="54" s="1"/>
  <c r="L205" i="54" s="1"/>
  <c r="K205" i="54" s="1"/>
  <c r="J205" i="54" s="1"/>
  <c r="I205" i="54" s="1"/>
  <c r="H205" i="54" s="1"/>
  <c r="G205" i="54" s="1"/>
  <c r="F205" i="54" s="1"/>
  <c r="E205" i="54" s="1"/>
  <c r="D205" i="54" s="1"/>
  <c r="C205" i="54" s="1"/>
  <c r="BR202" i="54"/>
  <c r="BQ202" i="54" s="1"/>
  <c r="BP202" i="54" s="1"/>
  <c r="BO202" i="54" s="1"/>
  <c r="BN202" i="54" s="1"/>
  <c r="BM202" i="54" s="1"/>
  <c r="BL202" i="54" s="1"/>
  <c r="BK202" i="54" s="1"/>
  <c r="BJ202" i="54" s="1"/>
  <c r="BI202" i="54" s="1"/>
  <c r="BH202" i="54" s="1"/>
  <c r="BG202" i="54" s="1"/>
  <c r="BF202" i="54" s="1"/>
  <c r="BE202" i="54" s="1"/>
  <c r="BD202" i="54" s="1"/>
  <c r="BC202" i="54" s="1"/>
  <c r="BB202" i="54" s="1"/>
  <c r="BA202" i="54" s="1"/>
  <c r="AZ202" i="54" s="1"/>
  <c r="AY202" i="54" s="1"/>
  <c r="AX202" i="54" s="1"/>
  <c r="AW202" i="54" s="1"/>
  <c r="AV202" i="54" s="1"/>
  <c r="AU202" i="54" s="1"/>
  <c r="AT202" i="54" s="1"/>
  <c r="AS202" i="54" s="1"/>
  <c r="AR202" i="54" s="1"/>
  <c r="AQ202" i="54" s="1"/>
  <c r="AP202" i="54" s="1"/>
  <c r="AO202" i="54" s="1"/>
  <c r="AN202" i="54" s="1"/>
  <c r="AM202" i="54" s="1"/>
  <c r="AL202" i="54" s="1"/>
  <c r="AK202" i="54" s="1"/>
  <c r="AJ202" i="54" s="1"/>
  <c r="AI202" i="54" s="1"/>
  <c r="AH202" i="54" s="1"/>
  <c r="AG202" i="54" s="1"/>
  <c r="AF202" i="54" s="1"/>
  <c r="AE202" i="54" s="1"/>
  <c r="AD202" i="54" s="1"/>
  <c r="AC202" i="54" s="1"/>
  <c r="AB202" i="54" s="1"/>
  <c r="AA202" i="54" s="1"/>
  <c r="Z202" i="54" s="1"/>
  <c r="Y202" i="54" s="1"/>
  <c r="X202" i="54" s="1"/>
  <c r="W202" i="54" s="1"/>
  <c r="V202" i="54" s="1"/>
  <c r="U202" i="54" s="1"/>
  <c r="T202" i="54" s="1"/>
  <c r="S202" i="54" s="1"/>
  <c r="R202" i="54" s="1"/>
  <c r="Q202" i="54" s="1"/>
  <c r="P202" i="54" s="1"/>
  <c r="O202" i="54" s="1"/>
  <c r="N202" i="54" s="1"/>
  <c r="M202" i="54" s="1"/>
  <c r="L202" i="54" s="1"/>
  <c r="K202" i="54" s="1"/>
  <c r="J202" i="54" s="1"/>
  <c r="I202" i="54" s="1"/>
  <c r="H202" i="54" s="1"/>
  <c r="G202" i="54" s="1"/>
  <c r="F202" i="54" s="1"/>
  <c r="E202" i="54" s="1"/>
  <c r="D202" i="54" s="1"/>
  <c r="C202" i="54" s="1"/>
  <c r="BS199" i="54"/>
  <c r="BY38" i="54"/>
  <c r="BX38" i="54"/>
  <c r="BW38" i="54"/>
  <c r="BY37" i="54"/>
  <c r="BX37" i="54"/>
  <c r="BW37" i="54"/>
  <c r="BY36" i="54"/>
  <c r="BX36" i="54"/>
  <c r="BW36" i="54"/>
  <c r="BS197" i="54"/>
  <c r="BR196" i="54" s="1"/>
  <c r="BT196" i="54"/>
  <c r="BT199" i="54" s="1"/>
  <c r="CB28" i="54"/>
  <c r="CB38" i="54" s="1"/>
  <c r="CC28" i="54"/>
  <c r="CC38" i="54" s="1"/>
  <c r="CD28" i="54"/>
  <c r="CD38" i="54" s="1"/>
  <c r="CE28" i="54"/>
  <c r="CE38" i="54" s="1"/>
  <c r="CF28" i="54"/>
  <c r="CF38" i="54" s="1"/>
  <c r="CG28" i="54"/>
  <c r="CG38" i="54" s="1"/>
  <c r="CH28" i="54"/>
  <c r="CH38" i="54" s="1"/>
  <c r="CI28" i="54"/>
  <c r="CI38" i="54" s="1"/>
  <c r="CJ28" i="54"/>
  <c r="CJ38" i="54" s="1"/>
  <c r="CA28" i="54"/>
  <c r="CA38" i="54" s="1"/>
  <c r="BR100" i="54"/>
  <c r="BR97" i="54"/>
  <c r="BR94" i="54"/>
  <c r="BQ94" i="54" s="1"/>
  <c r="BS89" i="54"/>
  <c r="BR89" i="54" s="1"/>
  <c r="BQ89" i="54" s="1"/>
  <c r="BP89" i="54" s="1"/>
  <c r="BO89" i="54" s="1"/>
  <c r="BN89" i="54" s="1"/>
  <c r="BM89" i="54" s="1"/>
  <c r="BL89" i="54" s="1"/>
  <c r="BK89" i="54" s="1"/>
  <c r="BJ89" i="54" s="1"/>
  <c r="BI89" i="54" s="1"/>
  <c r="BH89" i="54" s="1"/>
  <c r="BG89" i="54" s="1"/>
  <c r="BF89" i="54" s="1"/>
  <c r="BE89" i="54" s="1"/>
  <c r="BD89" i="54" s="1"/>
  <c r="BC89" i="54" s="1"/>
  <c r="BB89" i="54" s="1"/>
  <c r="BA89" i="54" s="1"/>
  <c r="AZ89" i="54" s="1"/>
  <c r="AY89" i="54" s="1"/>
  <c r="AX89" i="54" s="1"/>
  <c r="AW89" i="54" s="1"/>
  <c r="AV89" i="54" s="1"/>
  <c r="AU89" i="54" s="1"/>
  <c r="AT89" i="54" s="1"/>
  <c r="AS89" i="54" s="1"/>
  <c r="AR89" i="54" s="1"/>
  <c r="AQ89" i="54" s="1"/>
  <c r="AP89" i="54" s="1"/>
  <c r="AO89" i="54" s="1"/>
  <c r="AN89" i="54" s="1"/>
  <c r="AM89" i="54" s="1"/>
  <c r="AL89" i="54" s="1"/>
  <c r="AK89" i="54" s="1"/>
  <c r="AJ89" i="54" s="1"/>
  <c r="AI89" i="54" s="1"/>
  <c r="AH89" i="54" s="1"/>
  <c r="AG89" i="54" s="1"/>
  <c r="AF89" i="54" s="1"/>
  <c r="AE89" i="54" s="1"/>
  <c r="AD89" i="54" s="1"/>
  <c r="AC89" i="54" s="1"/>
  <c r="AB89" i="54" s="1"/>
  <c r="AA89" i="54" s="1"/>
  <c r="Z89" i="54" s="1"/>
  <c r="Y89" i="54" s="1"/>
  <c r="X89" i="54" s="1"/>
  <c r="W89" i="54" s="1"/>
  <c r="V89" i="54" s="1"/>
  <c r="U89" i="54" s="1"/>
  <c r="T89" i="54" s="1"/>
  <c r="S89" i="54" s="1"/>
  <c r="R89" i="54" s="1"/>
  <c r="Q89" i="54" s="1"/>
  <c r="P89" i="54" s="1"/>
  <c r="O89" i="54" s="1"/>
  <c r="N89" i="54" s="1"/>
  <c r="M89" i="54" s="1"/>
  <c r="L89" i="54" s="1"/>
  <c r="K89" i="54" s="1"/>
  <c r="J89" i="54" s="1"/>
  <c r="I89" i="54" s="1"/>
  <c r="H89" i="54" s="1"/>
  <c r="G89" i="54" s="1"/>
  <c r="F89" i="54" s="1"/>
  <c r="E89" i="54" s="1"/>
  <c r="D89" i="54" s="1"/>
  <c r="C89" i="54" s="1"/>
  <c r="BU196" i="54"/>
  <c r="BV196" i="54" s="1"/>
  <c r="BV199" i="54" s="1"/>
  <c r="BQ97" i="54"/>
  <c r="BP97" i="54" s="1"/>
  <c r="BU199" i="54"/>
  <c r="CG7" i="54"/>
  <c r="CG17" i="54" s="1"/>
  <c r="CG76" i="54"/>
  <c r="CH76" i="54"/>
  <c r="CI76" i="54"/>
  <c r="CJ76" i="54"/>
  <c r="CG77" i="54"/>
  <c r="CH77" i="54"/>
  <c r="CI77" i="54"/>
  <c r="CJ77" i="54"/>
  <c r="CG78" i="54"/>
  <c r="CH78" i="54"/>
  <c r="CI78" i="54"/>
  <c r="CJ78" i="54"/>
  <c r="CG103" i="54"/>
  <c r="CH103" i="54"/>
  <c r="CI103" i="54"/>
  <c r="CJ103" i="54"/>
  <c r="BX177" i="54"/>
  <c r="BY177" i="54" s="1"/>
  <c r="BZ177" i="54" s="1"/>
  <c r="CA177" i="54" s="1"/>
  <c r="CB177" i="54" s="1"/>
  <c r="CC177" i="54" s="1"/>
  <c r="CD177" i="54" s="1"/>
  <c r="CE177" i="54" s="1"/>
  <c r="CF177" i="54" s="1"/>
  <c r="CG177" i="54" s="1"/>
  <c r="CH177" i="54" s="1"/>
  <c r="CI177" i="54" s="1"/>
  <c r="CJ177" i="54" s="1"/>
  <c r="BW176" i="54"/>
  <c r="BY175" i="54"/>
  <c r="BZ175" i="54" s="1"/>
  <c r="BX174" i="54"/>
  <c r="CF103" i="54"/>
  <c r="CE103" i="54"/>
  <c r="CD103" i="54"/>
  <c r="CC103" i="54"/>
  <c r="CB103" i="54"/>
  <c r="CA103" i="54"/>
  <c r="BZ103" i="54"/>
  <c r="BY103" i="54"/>
  <c r="BX103" i="54"/>
  <c r="BW103" i="54"/>
  <c r="BV103" i="54"/>
  <c r="BU103" i="54"/>
  <c r="BT103" i="54"/>
  <c r="BS103" i="54"/>
  <c r="BS91" i="54"/>
  <c r="BS207" i="54" s="1"/>
  <c r="BS244" i="54" s="1"/>
  <c r="BT88" i="54"/>
  <c r="BU88" i="54" s="1"/>
  <c r="BX172" i="54"/>
  <c r="BY172" i="54" s="1"/>
  <c r="BZ172" i="54" s="1"/>
  <c r="CA172" i="54" s="1"/>
  <c r="CB172" i="54" s="1"/>
  <c r="CC172" i="54" s="1"/>
  <c r="CD172" i="54" s="1"/>
  <c r="CE172" i="54" s="1"/>
  <c r="CF172" i="54" s="1"/>
  <c r="CG172" i="54" s="1"/>
  <c r="CH172" i="54" s="1"/>
  <c r="CI172" i="54" s="1"/>
  <c r="CJ172" i="54" s="1"/>
  <c r="BW171" i="54"/>
  <c r="BY170" i="54"/>
  <c r="BZ170" i="54" s="1"/>
  <c r="CA170" i="54" s="1"/>
  <c r="CB170" i="54" s="1"/>
  <c r="CC170" i="54" s="1"/>
  <c r="CD170" i="54" s="1"/>
  <c r="CE170" i="54" s="1"/>
  <c r="CF170" i="54" s="1"/>
  <c r="CG170" i="54" s="1"/>
  <c r="CH170" i="54" s="1"/>
  <c r="CI170" i="54" s="1"/>
  <c r="CJ170" i="54" s="1"/>
  <c r="CF78" i="54"/>
  <c r="CE78" i="54"/>
  <c r="CD78" i="54"/>
  <c r="CC78" i="54"/>
  <c r="CB78" i="54"/>
  <c r="CA78" i="54"/>
  <c r="BZ78" i="54"/>
  <c r="BY78" i="54"/>
  <c r="BX78" i="54"/>
  <c r="CF77" i="54"/>
  <c r="CE77" i="54"/>
  <c r="CD77" i="54"/>
  <c r="CC77" i="54"/>
  <c r="CB77" i="54"/>
  <c r="CA77" i="54"/>
  <c r="BZ77" i="54"/>
  <c r="BY77" i="54"/>
  <c r="BX77" i="54"/>
  <c r="CF76" i="54"/>
  <c r="CE76" i="54"/>
  <c r="CD76" i="54"/>
  <c r="CC76" i="54"/>
  <c r="CB76" i="54"/>
  <c r="CA76" i="54"/>
  <c r="BZ76" i="54"/>
  <c r="BY76" i="54"/>
  <c r="BX76" i="54"/>
  <c r="BX18" i="54"/>
  <c r="BW18" i="54"/>
  <c r="BX17" i="54"/>
  <c r="BW17" i="54"/>
  <c r="BW16" i="54"/>
  <c r="BS204" i="54"/>
  <c r="BS227" i="54" s="1"/>
  <c r="BS210" i="54"/>
  <c r="BS261" i="54" s="1"/>
  <c r="BX16" i="54"/>
  <c r="CE6" i="54"/>
  <c r="H32" i="11"/>
  <c r="I32" i="11"/>
  <c r="J32" i="11"/>
  <c r="K32" i="11"/>
  <c r="L32" i="11"/>
  <c r="M32" i="11"/>
  <c r="N32" i="11"/>
  <c r="O32" i="11"/>
  <c r="P32" i="11"/>
  <c r="Q32" i="11"/>
  <c r="R32" i="11"/>
  <c r="S32" i="11"/>
  <c r="T32" i="11"/>
  <c r="S76" i="2"/>
  <c r="I30" i="2"/>
  <c r="J30" i="2" s="1"/>
  <c r="K30" i="2" s="1"/>
  <c r="L30" i="2" s="1"/>
  <c r="M30" i="2" s="1"/>
  <c r="N30" i="2" s="1"/>
  <c r="O30" i="2" s="1"/>
  <c r="P30" i="2" s="1"/>
  <c r="Q30" i="2" s="1"/>
  <c r="R30" i="2" s="1"/>
  <c r="S30" i="2" s="1"/>
  <c r="T30" i="2" s="1"/>
  <c r="U30" i="2" s="1"/>
  <c r="I29" i="2"/>
  <c r="J29" i="2" s="1"/>
  <c r="K29" i="2" s="1"/>
  <c r="L29" i="2" s="1"/>
  <c r="M29" i="2" s="1"/>
  <c r="N29" i="2" s="1"/>
  <c r="O29" i="2" s="1"/>
  <c r="P29" i="2" s="1"/>
  <c r="Q29" i="2" s="1"/>
  <c r="R29" i="2" s="1"/>
  <c r="S29" i="2" s="1"/>
  <c r="T29" i="2" s="1"/>
  <c r="U29" i="2" s="1"/>
  <c r="I25" i="2"/>
  <c r="J25" i="2" s="1"/>
  <c r="K25" i="2" s="1"/>
  <c r="L25" i="2" s="1"/>
  <c r="M25" i="2" s="1"/>
  <c r="N25" i="2" s="1"/>
  <c r="O25" i="2" s="1"/>
  <c r="P25" i="2" s="1"/>
  <c r="Q25" i="2" s="1"/>
  <c r="R25" i="2" s="1"/>
  <c r="S25" i="2" s="1"/>
  <c r="T25" i="2" s="1"/>
  <c r="U25" i="2" s="1"/>
  <c r="I20" i="2"/>
  <c r="J20" i="2"/>
  <c r="K20" i="2" s="1"/>
  <c r="L20" i="2" s="1"/>
  <c r="M20" i="2" s="1"/>
  <c r="N20" i="2" s="1"/>
  <c r="O20" i="2" s="1"/>
  <c r="P20" i="2" s="1"/>
  <c r="Q20" i="2" s="1"/>
  <c r="R20" i="2" s="1"/>
  <c r="S20" i="2" s="1"/>
  <c r="T20" i="2" s="1"/>
  <c r="U20" i="2" s="1"/>
  <c r="I71" i="2"/>
  <c r="J71" i="2" s="1"/>
  <c r="K71" i="2" s="1"/>
  <c r="L71" i="2" s="1"/>
  <c r="M71" i="2" s="1"/>
  <c r="N71" i="2" s="1"/>
  <c r="O71" i="2" s="1"/>
  <c r="P71" i="2" s="1"/>
  <c r="Q71" i="2" s="1"/>
  <c r="R71" i="2" s="1"/>
  <c r="S71" i="2" s="1"/>
  <c r="T71" i="2" s="1"/>
  <c r="Q95" i="1"/>
  <c r="D7" i="2"/>
  <c r="D9" i="11"/>
  <c r="C16" i="11"/>
  <c r="F47" i="2"/>
  <c r="E47" i="2"/>
  <c r="H11" i="2"/>
  <c r="I11" i="2" s="1"/>
  <c r="J11" i="2" s="1"/>
  <c r="K11" i="2" s="1"/>
  <c r="L11" i="2" s="1"/>
  <c r="M11" i="2" s="1"/>
  <c r="N11" i="2" s="1"/>
  <c r="O11" i="2" s="1"/>
  <c r="P11" i="2" s="1"/>
  <c r="Q11" i="2" s="1"/>
  <c r="R11" i="2" s="1"/>
  <c r="S11" i="2" s="1"/>
  <c r="T11" i="2" s="1"/>
  <c r="U11" i="2" s="1"/>
  <c r="H5" i="2"/>
  <c r="I5" i="2"/>
  <c r="J5" i="2"/>
  <c r="K5" i="2" s="1"/>
  <c r="U24" i="1"/>
  <c r="V24" i="1" s="1"/>
  <c r="T24" i="1"/>
  <c r="S24" i="1"/>
  <c r="R24" i="1"/>
  <c r="U23" i="1"/>
  <c r="V23" i="1" s="1"/>
  <c r="T23" i="1"/>
  <c r="S23" i="1"/>
  <c r="R23" i="1"/>
  <c r="U22" i="1"/>
  <c r="T22" i="1"/>
  <c r="S22" i="1"/>
  <c r="R22" i="1"/>
  <c r="P24" i="1"/>
  <c r="Q24" i="1" s="1"/>
  <c r="O24" i="1"/>
  <c r="N24" i="1"/>
  <c r="M24" i="1"/>
  <c r="P23" i="1"/>
  <c r="Q23" i="1" s="1"/>
  <c r="O23" i="1"/>
  <c r="N23" i="1"/>
  <c r="M23" i="1"/>
  <c r="P22" i="1"/>
  <c r="O22" i="1"/>
  <c r="N22" i="1"/>
  <c r="M22" i="1"/>
  <c r="P20" i="1"/>
  <c r="Q20" i="1" s="1"/>
  <c r="O20" i="1"/>
  <c r="N20" i="1"/>
  <c r="M20" i="1"/>
  <c r="P19" i="1"/>
  <c r="O19" i="1"/>
  <c r="N19" i="1"/>
  <c r="M19" i="1"/>
  <c r="P18" i="1"/>
  <c r="Q18" i="1" s="1"/>
  <c r="O18" i="1"/>
  <c r="N18" i="1"/>
  <c r="M18" i="1"/>
  <c r="S18" i="1"/>
  <c r="T18" i="1"/>
  <c r="U18" i="1"/>
  <c r="S19" i="1"/>
  <c r="T19" i="1"/>
  <c r="V19" i="1" s="1"/>
  <c r="U19" i="1"/>
  <c r="S20" i="1"/>
  <c r="T20" i="1"/>
  <c r="U20" i="1"/>
  <c r="V20" i="1" s="1"/>
  <c r="R20" i="1"/>
  <c r="R19" i="1"/>
  <c r="R18" i="1"/>
  <c r="CN107" i="1"/>
  <c r="CN66" i="1"/>
  <c r="CM12" i="1"/>
  <c r="CL12" i="1"/>
  <c r="CK12" i="1"/>
  <c r="CJ12" i="1"/>
  <c r="CI107" i="1"/>
  <c r="CI66" i="1"/>
  <c r="CH12" i="1"/>
  <c r="CG12" i="1"/>
  <c r="CF12" i="1"/>
  <c r="CE12" i="1"/>
  <c r="CD107" i="1"/>
  <c r="CD66" i="1"/>
  <c r="CC12" i="1"/>
  <c r="CB12" i="1"/>
  <c r="CA12" i="1"/>
  <c r="BZ12" i="1"/>
  <c r="BY107" i="1"/>
  <c r="BY66" i="1"/>
  <c r="BX12" i="1"/>
  <c r="BW12" i="1"/>
  <c r="BV12" i="1"/>
  <c r="BU12" i="1"/>
  <c r="BT107" i="1"/>
  <c r="BT66" i="1"/>
  <c r="BS12" i="1"/>
  <c r="BR12" i="1"/>
  <c r="BQ12" i="1"/>
  <c r="BP12" i="1"/>
  <c r="BO107" i="1"/>
  <c r="BO66" i="1"/>
  <c r="BN12" i="1"/>
  <c r="BM12" i="1"/>
  <c r="BL12" i="1"/>
  <c r="BK12" i="1"/>
  <c r="BI12" i="1"/>
  <c r="BH12" i="1"/>
  <c r="BG12" i="1"/>
  <c r="BF12" i="1"/>
  <c r="F85" i="11"/>
  <c r="E85" i="11"/>
  <c r="D85" i="11"/>
  <c r="F71" i="11"/>
  <c r="F70" i="11"/>
  <c r="E78" i="11"/>
  <c r="D78" i="11"/>
  <c r="E64" i="11"/>
  <c r="E67" i="11" s="1"/>
  <c r="D64" i="11"/>
  <c r="D67" i="11" s="1"/>
  <c r="F64" i="11"/>
  <c r="F67" i="11" s="1"/>
  <c r="E58" i="11"/>
  <c r="E62" i="11"/>
  <c r="E59" i="11"/>
  <c r="E56" i="11"/>
  <c r="E54" i="11"/>
  <c r="E51" i="11"/>
  <c r="G77" i="2"/>
  <c r="F77" i="2"/>
  <c r="E77" i="2"/>
  <c r="G79" i="2"/>
  <c r="F79" i="2"/>
  <c r="E79" i="2"/>
  <c r="F74" i="2" s="1"/>
  <c r="G70" i="2"/>
  <c r="F70" i="2"/>
  <c r="E70" i="2"/>
  <c r="G66" i="2"/>
  <c r="F66" i="2"/>
  <c r="E66" i="2"/>
  <c r="G64" i="2"/>
  <c r="F64" i="2"/>
  <c r="E64" i="2"/>
  <c r="F62" i="2"/>
  <c r="E62" i="2"/>
  <c r="G60" i="2"/>
  <c r="F60" i="2"/>
  <c r="E60" i="2"/>
  <c r="G58" i="2"/>
  <c r="F58" i="2"/>
  <c r="E58" i="2"/>
  <c r="G56" i="2"/>
  <c r="F56" i="2"/>
  <c r="E56" i="2"/>
  <c r="D70" i="2"/>
  <c r="D66" i="2"/>
  <c r="D62" i="2"/>
  <c r="F75" i="2"/>
  <c r="E75" i="2"/>
  <c r="G107" i="1"/>
  <c r="V96" i="1"/>
  <c r="V97" i="1"/>
  <c r="V101" i="1" s="1"/>
  <c r="Q96" i="1"/>
  <c r="L96" i="1"/>
  <c r="L97" i="1" s="1"/>
  <c r="L95" i="1"/>
  <c r="D58" i="11" s="1"/>
  <c r="V95" i="1"/>
  <c r="F58" i="11" s="1"/>
  <c r="F60" i="11" s="1"/>
  <c r="U92" i="1"/>
  <c r="T92" i="1"/>
  <c r="S92" i="1"/>
  <c r="R92" i="1"/>
  <c r="P92" i="1"/>
  <c r="O92" i="1"/>
  <c r="N92" i="1"/>
  <c r="M92" i="1"/>
  <c r="K92" i="1"/>
  <c r="G92" i="1"/>
  <c r="Q90" i="1"/>
  <c r="G83" i="1"/>
  <c r="G84" i="1" s="1"/>
  <c r="K83" i="1"/>
  <c r="K82" i="1" s="1"/>
  <c r="U84" i="1"/>
  <c r="S84" i="1"/>
  <c r="X87" i="1" s="1"/>
  <c r="W86" i="1"/>
  <c r="U82" i="1"/>
  <c r="P83" i="1"/>
  <c r="U86" i="1" s="1"/>
  <c r="N83" i="1"/>
  <c r="N84" i="1" s="1"/>
  <c r="S87" i="1" s="1"/>
  <c r="M83" i="1"/>
  <c r="M84" i="1"/>
  <c r="R87" i="1" s="1"/>
  <c r="G75" i="1"/>
  <c r="G76" i="1" s="1"/>
  <c r="P75" i="1"/>
  <c r="P74" i="1" s="1"/>
  <c r="O75" i="1"/>
  <c r="O74" i="1" s="1"/>
  <c r="N75" i="1"/>
  <c r="N74" i="1"/>
  <c r="M75" i="1"/>
  <c r="M74" i="1" s="1"/>
  <c r="K75" i="1"/>
  <c r="K76" i="1" s="1"/>
  <c r="S76" i="1"/>
  <c r="X79" i="1" s="1"/>
  <c r="R75" i="1"/>
  <c r="R76" i="1" s="1"/>
  <c r="H66" i="1"/>
  <c r="I66" i="1"/>
  <c r="J66" i="1" s="1"/>
  <c r="P66" i="1"/>
  <c r="Q66" i="1"/>
  <c r="U66" i="1"/>
  <c r="V66" i="1" s="1"/>
  <c r="H62" i="1"/>
  <c r="I62" i="1" s="1"/>
  <c r="H61" i="1"/>
  <c r="P62" i="1"/>
  <c r="Q62" i="1" s="1"/>
  <c r="Q63" i="1" s="1"/>
  <c r="P61" i="1"/>
  <c r="Q61" i="1" s="1"/>
  <c r="U62" i="1"/>
  <c r="V62" i="1"/>
  <c r="U61" i="1"/>
  <c r="V61" i="1" s="1"/>
  <c r="O63" i="1"/>
  <c r="O64" i="1" s="1"/>
  <c r="N63" i="1"/>
  <c r="N64" i="1" s="1"/>
  <c r="M63" i="1"/>
  <c r="M64" i="1"/>
  <c r="T63" i="1"/>
  <c r="T64" i="1" s="1"/>
  <c r="S63" i="1"/>
  <c r="S64" i="1" s="1"/>
  <c r="R63" i="1"/>
  <c r="R64" i="1" s="1"/>
  <c r="V56" i="1"/>
  <c r="Q56" i="1"/>
  <c r="L56" i="1"/>
  <c r="D77" i="11" s="1"/>
  <c r="U55" i="1"/>
  <c r="T55" i="1"/>
  <c r="S55" i="1"/>
  <c r="R55" i="1"/>
  <c r="P55" i="1"/>
  <c r="O55" i="1"/>
  <c r="N55" i="1"/>
  <c r="M55" i="1"/>
  <c r="K55" i="1"/>
  <c r="G55" i="1"/>
  <c r="D40" i="11"/>
  <c r="C40" i="11"/>
  <c r="G52" i="1"/>
  <c r="C86" i="11" s="1"/>
  <c r="S82" i="1"/>
  <c r="X85" i="1" s="1"/>
  <c r="S74" i="1"/>
  <c r="X77" i="1" s="1"/>
  <c r="P86" i="1"/>
  <c r="G74" i="1"/>
  <c r="H92" i="1"/>
  <c r="R74" i="1"/>
  <c r="R77" i="1" s="1"/>
  <c r="G82" i="1"/>
  <c r="T74" i="1"/>
  <c r="Y77" i="1" s="1"/>
  <c r="Q97" i="1"/>
  <c r="Q101" i="1"/>
  <c r="N82" i="1"/>
  <c r="S85" i="1" s="1"/>
  <c r="S86" i="1"/>
  <c r="P78" i="1"/>
  <c r="M82" i="1"/>
  <c r="K84" i="1"/>
  <c r="R82" i="1"/>
  <c r="R84" i="1"/>
  <c r="W87" i="1"/>
  <c r="R86" i="1"/>
  <c r="N76" i="1"/>
  <c r="P76" i="1"/>
  <c r="M76" i="1"/>
  <c r="O76" i="1"/>
  <c r="U63" i="1"/>
  <c r="U64" i="1" s="1"/>
  <c r="K52" i="1"/>
  <c r="K58" i="1" s="1"/>
  <c r="H52" i="1"/>
  <c r="I52" i="1"/>
  <c r="J52" i="1"/>
  <c r="L8" i="1"/>
  <c r="L12" i="1" s="1"/>
  <c r="E42" i="2" s="1"/>
  <c r="E50" i="2" s="1"/>
  <c r="E53" i="2" s="1"/>
  <c r="L10" i="1"/>
  <c r="L11" i="1"/>
  <c r="L15" i="1"/>
  <c r="E43" i="2" s="1"/>
  <c r="L18" i="1"/>
  <c r="L19" i="1"/>
  <c r="L20" i="1"/>
  <c r="C8" i="11"/>
  <c r="C34" i="11"/>
  <c r="C27" i="11"/>
  <c r="D29" i="2"/>
  <c r="G9" i="2"/>
  <c r="F9" i="2"/>
  <c r="F14" i="2" s="1"/>
  <c r="E9" i="2"/>
  <c r="D9" i="2"/>
  <c r="D14" i="2"/>
  <c r="D22" i="2"/>
  <c r="D26" i="2" s="1"/>
  <c r="L52" i="1"/>
  <c r="D86" i="11"/>
  <c r="L26" i="1"/>
  <c r="L24" i="1"/>
  <c r="L23" i="1"/>
  <c r="L22" i="1"/>
  <c r="Q52" i="1"/>
  <c r="E86" i="11" s="1"/>
  <c r="P52" i="1"/>
  <c r="Q92" i="1"/>
  <c r="Q91" i="1"/>
  <c r="Q26" i="1"/>
  <c r="Q25" i="1"/>
  <c r="Q22" i="1"/>
  <c r="Q21" i="1"/>
  <c r="F44" i="2"/>
  <c r="Q19" i="1"/>
  <c r="Q15" i="1"/>
  <c r="F43" i="2"/>
  <c r="Q11" i="1"/>
  <c r="Q12" i="1" s="1"/>
  <c r="F42" i="2" s="1"/>
  <c r="F50" i="2" s="1"/>
  <c r="F53" i="2" s="1"/>
  <c r="Q10" i="1"/>
  <c r="Q8" i="1"/>
  <c r="V52" i="1"/>
  <c r="F86" i="11" s="1"/>
  <c r="V8" i="1"/>
  <c r="V26" i="1"/>
  <c r="V22" i="1"/>
  <c r="V18" i="1"/>
  <c r="V15" i="1"/>
  <c r="G43" i="2" s="1"/>
  <c r="V11" i="1"/>
  <c r="V10" i="1"/>
  <c r="U52" i="1"/>
  <c r="O52" i="1"/>
  <c r="T52" i="1"/>
  <c r="N52" i="1"/>
  <c r="S52" i="1"/>
  <c r="M52" i="1"/>
  <c r="D33" i="11"/>
  <c r="D32" i="11"/>
  <c r="L107" i="1" s="1"/>
  <c r="V12" i="1"/>
  <c r="G42" i="2" s="1"/>
  <c r="G50" i="2" s="1"/>
  <c r="G53" i="2" s="1"/>
  <c r="H75" i="1"/>
  <c r="Q100" i="1"/>
  <c r="Q102" i="1" s="1"/>
  <c r="Q55" i="1"/>
  <c r="F51" i="2"/>
  <c r="F54" i="2" s="1"/>
  <c r="F71" i="2"/>
  <c r="F65" i="2"/>
  <c r="R85" i="1"/>
  <c r="D33" i="2"/>
  <c r="D16" i="11"/>
  <c r="D14" i="11"/>
  <c r="D8" i="11"/>
  <c r="E30" i="2"/>
  <c r="E33" i="2" s="1"/>
  <c r="E35" i="2" s="1"/>
  <c r="E37" i="2" s="1"/>
  <c r="E29" i="2"/>
  <c r="E18" i="2"/>
  <c r="E68" i="2" s="1"/>
  <c r="E32" i="11"/>
  <c r="Q107" i="1" s="1"/>
  <c r="E31" i="11"/>
  <c r="E14" i="11"/>
  <c r="E8" i="11"/>
  <c r="F30" i="2"/>
  <c r="F33" i="2" s="1"/>
  <c r="F35" i="2" s="1"/>
  <c r="F37" i="2" s="1"/>
  <c r="F29" i="2"/>
  <c r="F18" i="2"/>
  <c r="F68" i="2" s="1"/>
  <c r="F69" i="2" s="1"/>
  <c r="H74" i="1"/>
  <c r="H76" i="1"/>
  <c r="M78" i="1"/>
  <c r="J75" i="1"/>
  <c r="J74" i="1" s="1"/>
  <c r="I75" i="1"/>
  <c r="H83" i="1"/>
  <c r="H84" i="1" s="1"/>
  <c r="H55" i="1"/>
  <c r="R52" i="1"/>
  <c r="BD12" i="1"/>
  <c r="BC12" i="1"/>
  <c r="BB12" i="1"/>
  <c r="BA12" i="1"/>
  <c r="AY12" i="1"/>
  <c r="AX12" i="1"/>
  <c r="AW12" i="1"/>
  <c r="AV12" i="1"/>
  <c r="AT12" i="1"/>
  <c r="AS12" i="1"/>
  <c r="AR12" i="1"/>
  <c r="AQ12" i="1"/>
  <c r="AO12" i="1"/>
  <c r="AN12" i="1"/>
  <c r="AM12" i="1"/>
  <c r="AL12" i="1"/>
  <c r="AJ12" i="1"/>
  <c r="AI12" i="1"/>
  <c r="AH12" i="1"/>
  <c r="AG12" i="1"/>
  <c r="F33" i="11"/>
  <c r="F31" i="11"/>
  <c r="V107" i="1"/>
  <c r="G13" i="2"/>
  <c r="G62" i="2"/>
  <c r="G18" i="2"/>
  <c r="G22" i="2" s="1"/>
  <c r="G26" i="2" s="1"/>
  <c r="L75" i="1"/>
  <c r="L78" i="1" s="1"/>
  <c r="M86" i="1"/>
  <c r="H82" i="1"/>
  <c r="M85" i="1" s="1"/>
  <c r="O78" i="1"/>
  <c r="M79" i="1"/>
  <c r="I74" i="1"/>
  <c r="N78" i="1"/>
  <c r="I76" i="1"/>
  <c r="N79" i="1" s="1"/>
  <c r="G68" i="2"/>
  <c r="G69" i="2" s="1"/>
  <c r="K57" i="1"/>
  <c r="E40" i="11"/>
  <c r="F40" i="11"/>
  <c r="U76" i="1"/>
  <c r="U74" i="1"/>
  <c r="AA26" i="1"/>
  <c r="G40" i="11"/>
  <c r="H40" i="11"/>
  <c r="I40" i="11"/>
  <c r="U78" i="1"/>
  <c r="U79" i="1"/>
  <c r="H10" i="42"/>
  <c r="I10" i="42" s="1"/>
  <c r="J10" i="42" s="1"/>
  <c r="K10" i="42" s="1"/>
  <c r="L10" i="42" s="1"/>
  <c r="M10" i="42" s="1"/>
  <c r="N10" i="42" s="1"/>
  <c r="O10" i="42" s="1"/>
  <c r="P10" i="42" s="1"/>
  <c r="D5" i="42"/>
  <c r="E5" i="42" s="1"/>
  <c r="F5" i="42" s="1"/>
  <c r="G5" i="42" s="1"/>
  <c r="H5" i="42" s="1"/>
  <c r="I5" i="42" s="1"/>
  <c r="J5" i="42" s="1"/>
  <c r="K5" i="42" s="1"/>
  <c r="L5" i="42" s="1"/>
  <c r="M5" i="42" s="1"/>
  <c r="N5" i="42" s="1"/>
  <c r="O5" i="42" s="1"/>
  <c r="P5" i="42" s="1"/>
  <c r="Q5" i="42" s="1"/>
  <c r="L90" i="1"/>
  <c r="C85" i="11"/>
  <c r="D60" i="2"/>
  <c r="D79" i="2"/>
  <c r="E74" i="2"/>
  <c r="D77" i="2"/>
  <c r="D102" i="2"/>
  <c r="D83" i="2" s="1"/>
  <c r="D47" i="2"/>
  <c r="D75" i="2"/>
  <c r="D84" i="2"/>
  <c r="D66" i="1"/>
  <c r="E66" i="1" s="1"/>
  <c r="D27" i="11"/>
  <c r="D19" i="11"/>
  <c r="D34" i="11"/>
  <c r="E22" i="2"/>
  <c r="E26" i="2"/>
  <c r="E14" i="2"/>
  <c r="D59" i="11"/>
  <c r="D56" i="11"/>
  <c r="D54" i="11"/>
  <c r="D51" i="11"/>
  <c r="D62" i="11"/>
  <c r="D68" i="2"/>
  <c r="D64" i="2"/>
  <c r="D58" i="2"/>
  <c r="D56" i="2"/>
  <c r="E84" i="2"/>
  <c r="H43" i="2"/>
  <c r="E85" i="2"/>
  <c r="Z91" i="1"/>
  <c r="Z92" i="1" s="1"/>
  <c r="Y91" i="1"/>
  <c r="AD91" i="1" s="1"/>
  <c r="X91" i="1"/>
  <c r="AC91" i="1" s="1"/>
  <c r="W91" i="1"/>
  <c r="AB91" i="1"/>
  <c r="AG91" i="1" s="1"/>
  <c r="F83" i="1"/>
  <c r="F82" i="1" s="1"/>
  <c r="E83" i="1"/>
  <c r="E84" i="1" s="1"/>
  <c r="D83" i="1"/>
  <c r="D82" i="1" s="1"/>
  <c r="C83" i="1"/>
  <c r="S78" i="1"/>
  <c r="R78" i="1"/>
  <c r="F75" i="1"/>
  <c r="F74" i="1" s="1"/>
  <c r="E75" i="1"/>
  <c r="D75" i="1"/>
  <c r="D76" i="1" s="1"/>
  <c r="C75" i="1"/>
  <c r="C76" i="1" s="1"/>
  <c r="S79" i="1"/>
  <c r="E82" i="1"/>
  <c r="W92" i="1"/>
  <c r="C82" i="1"/>
  <c r="C84" i="1"/>
  <c r="E76" i="1"/>
  <c r="E74" i="1"/>
  <c r="S77" i="1"/>
  <c r="F76" i="1"/>
  <c r="S67" i="1"/>
  <c r="AA74" i="1"/>
  <c r="S43" i="1"/>
  <c r="U57" i="1"/>
  <c r="U58" i="1" s="1"/>
  <c r="U49" i="1"/>
  <c r="D44" i="2"/>
  <c r="D43" i="2"/>
  <c r="D52" i="2" s="1"/>
  <c r="D55" i="2" s="1"/>
  <c r="C68" i="1"/>
  <c r="C67" i="1"/>
  <c r="D42" i="2"/>
  <c r="G63" i="1"/>
  <c r="G64" i="1"/>
  <c r="D50" i="2"/>
  <c r="D53" i="2" s="1"/>
  <c r="F57" i="1"/>
  <c r="C57" i="1"/>
  <c r="G68" i="1"/>
  <c r="D57" i="1"/>
  <c r="H68" i="1"/>
  <c r="G57" i="1"/>
  <c r="G58" i="1" s="1"/>
  <c r="E27" i="11"/>
  <c r="V74" i="1"/>
  <c r="O83" i="1"/>
  <c r="Q83" i="1" s="1"/>
  <c r="F22" i="2"/>
  <c r="F26" i="2"/>
  <c r="E77" i="11"/>
  <c r="F77" i="11"/>
  <c r="G74" i="2"/>
  <c r="G78" i="2" s="1"/>
  <c r="E19" i="11"/>
  <c r="F46" i="2" s="1"/>
  <c r="G33" i="2"/>
  <c r="G14" i="2"/>
  <c r="H74" i="2"/>
  <c r="V63" i="1"/>
  <c r="V64" i="1" s="1"/>
  <c r="F76" i="11"/>
  <c r="W20" i="1"/>
  <c r="W19" i="1" s="1"/>
  <c r="W18" i="1" s="1"/>
  <c r="W63" i="1"/>
  <c r="W64" i="1" s="1"/>
  <c r="W43" i="1"/>
  <c r="AA77" i="1" l="1"/>
  <c r="AF77" i="1"/>
  <c r="AB25" i="1"/>
  <c r="AE25" i="1"/>
  <c r="AE21" i="1"/>
  <c r="AD25" i="1"/>
  <c r="AC25" i="1"/>
  <c r="AD21" i="1"/>
  <c r="AB21" i="1"/>
  <c r="AC21" i="1"/>
  <c r="G51" i="2"/>
  <c r="G54" i="2" s="1"/>
  <c r="G52" i="2"/>
  <c r="G55" i="2" s="1"/>
  <c r="V28" i="1"/>
  <c r="R68" i="1"/>
  <c r="R33" i="1"/>
  <c r="R36" i="1" s="1"/>
  <c r="R67" i="1"/>
  <c r="G65" i="2"/>
  <c r="I65" i="2" s="1"/>
  <c r="J65" i="2" s="1"/>
  <c r="K65" i="2" s="1"/>
  <c r="L65" i="2" s="1"/>
  <c r="M65" i="2" s="1"/>
  <c r="N65" i="2" s="1"/>
  <c r="O65" i="2" s="1"/>
  <c r="P65" i="2" s="1"/>
  <c r="Q65" i="2" s="1"/>
  <c r="R65" i="2" s="1"/>
  <c r="S65" i="2" s="1"/>
  <c r="T65" i="2" s="1"/>
  <c r="U65" i="2" s="1"/>
  <c r="G71" i="2"/>
  <c r="H40" i="1"/>
  <c r="H47" i="1" s="1"/>
  <c r="H57" i="1"/>
  <c r="H58" i="1" s="1"/>
  <c r="H42" i="1"/>
  <c r="H43" i="1"/>
  <c r="AA76" i="1"/>
  <c r="AF79" i="1" s="1"/>
  <c r="O79" i="1"/>
  <c r="K62" i="1"/>
  <c r="J62" i="1"/>
  <c r="T33" i="1"/>
  <c r="T36" i="1" s="1"/>
  <c r="T68" i="1"/>
  <c r="T67" i="1"/>
  <c r="U77" i="1"/>
  <c r="P79" i="1"/>
  <c r="Q64" i="1"/>
  <c r="E76" i="11"/>
  <c r="E79" i="11" s="1"/>
  <c r="E81" i="11" s="1"/>
  <c r="W79" i="1"/>
  <c r="V76" i="1"/>
  <c r="V79" i="1" s="1"/>
  <c r="R79" i="1"/>
  <c r="L100" i="1"/>
  <c r="L102" i="1" s="1"/>
  <c r="L101" i="1"/>
  <c r="L5" i="2"/>
  <c r="J40" i="11"/>
  <c r="L31" i="1"/>
  <c r="L92" i="1" s="1"/>
  <c r="J92" i="1"/>
  <c r="G35" i="2"/>
  <c r="G37" i="2" s="1"/>
  <c r="D35" i="2"/>
  <c r="D37" i="2" s="1"/>
  <c r="H87" i="2"/>
  <c r="W49" i="1"/>
  <c r="F79" i="11"/>
  <c r="F81" i="11" s="1"/>
  <c r="O84" i="1"/>
  <c r="T87" i="1" s="1"/>
  <c r="V75" i="1"/>
  <c r="T78" i="1"/>
  <c r="D45" i="2"/>
  <c r="G43" i="1"/>
  <c r="H67" i="1"/>
  <c r="G67" i="1"/>
  <c r="D51" i="2"/>
  <c r="D54" i="2" s="1"/>
  <c r="U50" i="1"/>
  <c r="S42" i="1"/>
  <c r="AA84" i="1"/>
  <c r="AF87" i="1" s="1"/>
  <c r="F85" i="2"/>
  <c r="G85" i="2" s="1"/>
  <c r="L76" i="1"/>
  <c r="L79" i="1" s="1"/>
  <c r="N77" i="1"/>
  <c r="J76" i="1"/>
  <c r="P63" i="1"/>
  <c r="P64" i="1" s="1"/>
  <c r="H63" i="1"/>
  <c r="H64" i="1" s="1"/>
  <c r="Q75" i="1"/>
  <c r="Q78" i="1" s="1"/>
  <c r="T84" i="1"/>
  <c r="W77" i="1"/>
  <c r="P82" i="1"/>
  <c r="U85" i="1" s="1"/>
  <c r="I61" i="1"/>
  <c r="K74" i="1"/>
  <c r="L74" i="1" s="1"/>
  <c r="L77" i="1" s="1"/>
  <c r="P84" i="1"/>
  <c r="P87" i="1" s="1"/>
  <c r="BR103" i="54"/>
  <c r="BY300" i="54"/>
  <c r="H12" i="11"/>
  <c r="H75" i="2"/>
  <c r="I38" i="1"/>
  <c r="J38" i="1" s="1"/>
  <c r="L38" i="1" s="1"/>
  <c r="V83" i="1"/>
  <c r="V86" i="1" s="1"/>
  <c r="V100" i="1"/>
  <c r="V102" i="1" s="1"/>
  <c r="G50" i="1"/>
  <c r="D67" i="1"/>
  <c r="D65" i="2"/>
  <c r="U43" i="1"/>
  <c r="S49" i="1"/>
  <c r="U67" i="1"/>
  <c r="C74" i="1"/>
  <c r="F84" i="2"/>
  <c r="G84" i="2" s="1"/>
  <c r="F34" i="11"/>
  <c r="F36" i="11" s="1"/>
  <c r="F39" i="11" s="1"/>
  <c r="F52" i="2"/>
  <c r="F55" i="2" s="1"/>
  <c r="Q76" i="1"/>
  <c r="W78" i="1"/>
  <c r="P85" i="1"/>
  <c r="W42" i="1"/>
  <c r="W50" i="1"/>
  <c r="AA82" i="1"/>
  <c r="AF85" i="1" s="1"/>
  <c r="E34" i="11"/>
  <c r="T77" i="1"/>
  <c r="G49" i="1"/>
  <c r="G42" i="1"/>
  <c r="E57" i="1"/>
  <c r="D69" i="2"/>
  <c r="D68" i="1"/>
  <c r="U42" i="1"/>
  <c r="S50" i="1"/>
  <c r="U68" i="1"/>
  <c r="S57" i="1"/>
  <c r="S58" i="1" s="1"/>
  <c r="X92" i="1"/>
  <c r="D78" i="2"/>
  <c r="M87" i="1"/>
  <c r="T82" i="1"/>
  <c r="Y85" i="1" s="1"/>
  <c r="T76" i="1"/>
  <c r="BX171" i="54"/>
  <c r="I25" i="1"/>
  <c r="AK95" i="1"/>
  <c r="G27" i="11"/>
  <c r="D36" i="11"/>
  <c r="E46" i="2"/>
  <c r="C19" i="11"/>
  <c r="D46" i="2" s="1"/>
  <c r="F86" i="2"/>
  <c r="F102" i="2" s="1"/>
  <c r="F78" i="2"/>
  <c r="I75" i="2"/>
  <c r="E36" i="11"/>
  <c r="G72" i="11"/>
  <c r="E102" i="2"/>
  <c r="E83" i="2" s="1"/>
  <c r="F83" i="2" s="1"/>
  <c r="E78" i="2"/>
  <c r="AA24" i="1"/>
  <c r="AL91" i="1"/>
  <c r="AG92" i="1"/>
  <c r="E68" i="1"/>
  <c r="E67" i="1"/>
  <c r="F66" i="1"/>
  <c r="AH91" i="1"/>
  <c r="AC92" i="1"/>
  <c r="AI91" i="1"/>
  <c r="AD92" i="1"/>
  <c r="Q84" i="1"/>
  <c r="D71" i="2"/>
  <c r="D74" i="1"/>
  <c r="AB92" i="1"/>
  <c r="D84" i="1"/>
  <c r="F84" i="1"/>
  <c r="AE91" i="1"/>
  <c r="O77" i="1"/>
  <c r="P68" i="1"/>
  <c r="P33" i="1"/>
  <c r="P36" i="1" s="1"/>
  <c r="P67" i="1"/>
  <c r="AA92" i="1"/>
  <c r="AA31" i="1" s="1"/>
  <c r="AF91" i="1"/>
  <c r="AK91" i="1" s="1"/>
  <c r="AP91" i="1" s="1"/>
  <c r="AU91" i="1" s="1"/>
  <c r="AZ91" i="1" s="1"/>
  <c r="BE91" i="1" s="1"/>
  <c r="BJ91" i="1" s="1"/>
  <c r="BO91" i="1" s="1"/>
  <c r="BT91" i="1" s="1"/>
  <c r="BY91" i="1" s="1"/>
  <c r="CD91" i="1" s="1"/>
  <c r="CI91" i="1" s="1"/>
  <c r="CN91" i="1" s="1"/>
  <c r="E51" i="2"/>
  <c r="E54" i="2" s="1"/>
  <c r="E52" i="2"/>
  <c r="E55" i="2" s="1"/>
  <c r="M77" i="1"/>
  <c r="Q74" i="1"/>
  <c r="O33" i="1"/>
  <c r="O36" i="1" s="1"/>
  <c r="O67" i="1"/>
  <c r="O68" i="1"/>
  <c r="T86" i="1"/>
  <c r="Y92" i="1"/>
  <c r="K66" i="1"/>
  <c r="L66" i="1"/>
  <c r="N33" i="1"/>
  <c r="N36" i="1" s="1"/>
  <c r="N67" i="1"/>
  <c r="N68" i="1"/>
  <c r="AA83" i="1"/>
  <c r="AA23" i="1"/>
  <c r="O82" i="1"/>
  <c r="K40" i="1"/>
  <c r="K47" i="1" s="1"/>
  <c r="K43" i="1"/>
  <c r="K42" i="1"/>
  <c r="I28" i="1"/>
  <c r="I83" i="1"/>
  <c r="J25" i="1"/>
  <c r="I55" i="1"/>
  <c r="M68" i="1"/>
  <c r="M33" i="1"/>
  <c r="M36" i="1" s="1"/>
  <c r="Q28" i="1"/>
  <c r="M67" i="1"/>
  <c r="AA75" i="1"/>
  <c r="AF78" i="1" s="1"/>
  <c r="G83" i="2"/>
  <c r="AA22" i="1"/>
  <c r="AA79" i="1"/>
  <c r="AK76" i="1"/>
  <c r="AP76" i="1" s="1"/>
  <c r="AU76" i="1" s="1"/>
  <c r="AU20" i="1" s="1"/>
  <c r="AK52" i="1"/>
  <c r="AP52" i="1" s="1"/>
  <c r="AK82" i="1"/>
  <c r="AP82" i="1" s="1"/>
  <c r="AA20" i="1"/>
  <c r="AA18" i="1"/>
  <c r="AA19" i="1"/>
  <c r="BY174" i="54"/>
  <c r="BY176" i="54" s="1"/>
  <c r="BX280" i="54"/>
  <c r="BV88" i="54"/>
  <c r="BU91" i="54"/>
  <c r="BT91" i="54"/>
  <c r="BQ100" i="54"/>
  <c r="BP100" i="54" s="1"/>
  <c r="BO100" i="54" s="1"/>
  <c r="BN100" i="54" s="1"/>
  <c r="BM100" i="54" s="1"/>
  <c r="BL100" i="54" s="1"/>
  <c r="BK100" i="54" s="1"/>
  <c r="BJ100" i="54" s="1"/>
  <c r="BI100" i="54" s="1"/>
  <c r="BH100" i="54" s="1"/>
  <c r="BG100" i="54" s="1"/>
  <c r="BF100" i="54" s="1"/>
  <c r="BE100" i="54" s="1"/>
  <c r="BD100" i="54" s="1"/>
  <c r="BC100" i="54" s="1"/>
  <c r="BY167" i="54"/>
  <c r="BY168" i="54"/>
  <c r="BZ168" i="54" s="1"/>
  <c r="CA168" i="54" s="1"/>
  <c r="CB168" i="54" s="1"/>
  <c r="CC168" i="54" s="1"/>
  <c r="CD168" i="54" s="1"/>
  <c r="CE168" i="54" s="1"/>
  <c r="CF168" i="54" s="1"/>
  <c r="CG168" i="54" s="1"/>
  <c r="CH168" i="54" s="1"/>
  <c r="CI168" i="54" s="1"/>
  <c r="CJ168" i="54" s="1"/>
  <c r="BY166" i="54"/>
  <c r="BZ166" i="54" s="1"/>
  <c r="CA166" i="54" s="1"/>
  <c r="CB166" i="54" s="1"/>
  <c r="CC166" i="54" s="1"/>
  <c r="CD166" i="54" s="1"/>
  <c r="CE166" i="54" s="1"/>
  <c r="CF166" i="54" s="1"/>
  <c r="CG166" i="54" s="1"/>
  <c r="CH166" i="54" s="1"/>
  <c r="CI166" i="54" s="1"/>
  <c r="CJ166" i="54" s="1"/>
  <c r="BR88" i="54"/>
  <c r="BQ88" i="54" s="1"/>
  <c r="BP88" i="54" s="1"/>
  <c r="BP91" i="54" s="1"/>
  <c r="BZ273" i="54"/>
  <c r="CA273" i="54" s="1"/>
  <c r="BX275" i="54"/>
  <c r="CF6" i="54"/>
  <c r="CB292" i="54"/>
  <c r="CC112" i="54"/>
  <c r="CC220" i="54" s="1"/>
  <c r="BY278" i="54"/>
  <c r="BZ278" i="54" s="1"/>
  <c r="BP94" i="54"/>
  <c r="BO94" i="54" s="1"/>
  <c r="BN94" i="54" s="1"/>
  <c r="BM94" i="54" s="1"/>
  <c r="BL94" i="54" s="1"/>
  <c r="BK94" i="54" s="1"/>
  <c r="BJ94" i="54" s="1"/>
  <c r="BI94" i="54" s="1"/>
  <c r="BH94" i="54" s="1"/>
  <c r="BG94" i="54" s="1"/>
  <c r="BF94" i="54" s="1"/>
  <c r="BE94" i="54" s="1"/>
  <c r="BD94" i="54" s="1"/>
  <c r="BC94" i="54" s="1"/>
  <c r="BB94" i="54" s="1"/>
  <c r="BA94" i="54" s="1"/>
  <c r="AZ94" i="54" s="1"/>
  <c r="AY94" i="54" s="1"/>
  <c r="AX94" i="54" s="1"/>
  <c r="AW94" i="54" s="1"/>
  <c r="AV94" i="54" s="1"/>
  <c r="AU94" i="54" s="1"/>
  <c r="AT94" i="54" s="1"/>
  <c r="AS94" i="54" s="1"/>
  <c r="AR94" i="54" s="1"/>
  <c r="AQ94" i="54" s="1"/>
  <c r="AP94" i="54" s="1"/>
  <c r="AO94" i="54" s="1"/>
  <c r="AN94" i="54" s="1"/>
  <c r="AM94" i="54" s="1"/>
  <c r="AL94" i="54" s="1"/>
  <c r="AK94" i="54" s="1"/>
  <c r="AJ94" i="54" s="1"/>
  <c r="AI94" i="54" s="1"/>
  <c r="AH94" i="54" s="1"/>
  <c r="AG94" i="54" s="1"/>
  <c r="AF94" i="54" s="1"/>
  <c r="AE94" i="54" s="1"/>
  <c r="AD94" i="54" s="1"/>
  <c r="AC94" i="54" s="1"/>
  <c r="AB94" i="54" s="1"/>
  <c r="AA94" i="54" s="1"/>
  <c r="Z94" i="54" s="1"/>
  <c r="Y94" i="54" s="1"/>
  <c r="X94" i="54" s="1"/>
  <c r="W94" i="54" s="1"/>
  <c r="V94" i="54" s="1"/>
  <c r="U94" i="54" s="1"/>
  <c r="T94" i="54" s="1"/>
  <c r="S94" i="54" s="1"/>
  <c r="R94" i="54" s="1"/>
  <c r="Q94" i="54" s="1"/>
  <c r="P94" i="54" s="1"/>
  <c r="O94" i="54" s="1"/>
  <c r="N94" i="54" s="1"/>
  <c r="M94" i="54" s="1"/>
  <c r="L94" i="54" s="1"/>
  <c r="K94" i="54" s="1"/>
  <c r="J94" i="54" s="1"/>
  <c r="I94" i="54" s="1"/>
  <c r="H94" i="54" s="1"/>
  <c r="G94" i="54" s="1"/>
  <c r="F94" i="54" s="1"/>
  <c r="E94" i="54" s="1"/>
  <c r="D94" i="54" s="1"/>
  <c r="C94" i="54" s="1"/>
  <c r="BQ103" i="54"/>
  <c r="CA175" i="54"/>
  <c r="CB175" i="54" s="1"/>
  <c r="CC175" i="54" s="1"/>
  <c r="CD175" i="54" s="1"/>
  <c r="CE175" i="54" s="1"/>
  <c r="CF175" i="54" s="1"/>
  <c r="CG175" i="54" s="1"/>
  <c r="CH175" i="54" s="1"/>
  <c r="CI175" i="54" s="1"/>
  <c r="CJ175" i="54" s="1"/>
  <c r="BO88" i="54"/>
  <c r="BS102" i="54"/>
  <c r="BS153" i="54" s="1"/>
  <c r="BW196" i="54"/>
  <c r="BR91" i="54"/>
  <c r="BQ91" i="54"/>
  <c r="BS201" i="54"/>
  <c r="BR197" i="54"/>
  <c r="BQ197" i="54" s="1"/>
  <c r="BP197" i="54" s="1"/>
  <c r="BO197" i="54" s="1"/>
  <c r="BN197" i="54" s="1"/>
  <c r="BM197" i="54" s="1"/>
  <c r="BL197" i="54" s="1"/>
  <c r="BK197" i="54" s="1"/>
  <c r="BJ197" i="54" s="1"/>
  <c r="BI197" i="54" s="1"/>
  <c r="BH197" i="54" s="1"/>
  <c r="BG197" i="54" s="1"/>
  <c r="BF197" i="54" s="1"/>
  <c r="BE197" i="54" s="1"/>
  <c r="BD197" i="54" s="1"/>
  <c r="BC197" i="54" s="1"/>
  <c r="BB197" i="54" s="1"/>
  <c r="BA197" i="54" s="1"/>
  <c r="AZ197" i="54" s="1"/>
  <c r="AY197" i="54" s="1"/>
  <c r="AX197" i="54" s="1"/>
  <c r="AW197" i="54" s="1"/>
  <c r="AV197" i="54" s="1"/>
  <c r="AU197" i="54" s="1"/>
  <c r="AT197" i="54" s="1"/>
  <c r="AS197" i="54" s="1"/>
  <c r="AR197" i="54" s="1"/>
  <c r="AQ197" i="54" s="1"/>
  <c r="AP197" i="54" s="1"/>
  <c r="AO197" i="54" s="1"/>
  <c r="AN197" i="54" s="1"/>
  <c r="AM197" i="54" s="1"/>
  <c r="AL197" i="54" s="1"/>
  <c r="AK197" i="54" s="1"/>
  <c r="AJ197" i="54" s="1"/>
  <c r="AI197" i="54" s="1"/>
  <c r="AH197" i="54" s="1"/>
  <c r="AG197" i="54" s="1"/>
  <c r="AF197" i="54" s="1"/>
  <c r="AE197" i="54" s="1"/>
  <c r="AD197" i="54" s="1"/>
  <c r="AC197" i="54" s="1"/>
  <c r="AB197" i="54" s="1"/>
  <c r="AA197" i="54" s="1"/>
  <c r="Z197" i="54" s="1"/>
  <c r="Y197" i="54" s="1"/>
  <c r="X197" i="54" s="1"/>
  <c r="W197" i="54" s="1"/>
  <c r="V197" i="54" s="1"/>
  <c r="U197" i="54" s="1"/>
  <c r="T197" i="54" s="1"/>
  <c r="S197" i="54" s="1"/>
  <c r="R197" i="54" s="1"/>
  <c r="Q197" i="54" s="1"/>
  <c r="P197" i="54" s="1"/>
  <c r="O197" i="54" s="1"/>
  <c r="N197" i="54" s="1"/>
  <c r="M197" i="54" s="1"/>
  <c r="L197" i="54" s="1"/>
  <c r="K197" i="54" s="1"/>
  <c r="J197" i="54" s="1"/>
  <c r="I197" i="54" s="1"/>
  <c r="H197" i="54" s="1"/>
  <c r="G197" i="54" s="1"/>
  <c r="F197" i="54" s="1"/>
  <c r="E197" i="54" s="1"/>
  <c r="D197" i="54" s="1"/>
  <c r="C197" i="54" s="1"/>
  <c r="BS93" i="54"/>
  <c r="BS99" i="54"/>
  <c r="BS136" i="54" s="1"/>
  <c r="BX176" i="54"/>
  <c r="BS96" i="54"/>
  <c r="BS119" i="54" s="1"/>
  <c r="CH7" i="54"/>
  <c r="CD107" i="54"/>
  <c r="CC143" i="54"/>
  <c r="BZ160" i="54"/>
  <c r="CD160" i="54"/>
  <c r="CJ160" i="54"/>
  <c r="CJ251" i="54"/>
  <c r="CB215" i="54"/>
  <c r="CE143" i="54"/>
  <c r="CA107" i="54"/>
  <c r="CA126" i="54"/>
  <c r="BZ215" i="54"/>
  <c r="CB107" i="54"/>
  <c r="CG143" i="54"/>
  <c r="BY215" i="54"/>
  <c r="BX112" i="54"/>
  <c r="BY126" i="54"/>
  <c r="CJ143" i="54"/>
  <c r="CI251" i="54"/>
  <c r="CH251" i="54"/>
  <c r="CA215" i="54"/>
  <c r="CE215" i="54"/>
  <c r="CE107" i="54"/>
  <c r="CF107" i="54"/>
  <c r="CE234" i="54"/>
  <c r="BY107" i="54"/>
  <c r="CB112" i="54"/>
  <c r="BW112" i="54"/>
  <c r="BW111" i="54" s="1"/>
  <c r="BW180" i="54" s="1"/>
  <c r="BY112" i="54"/>
  <c r="BX126" i="54"/>
  <c r="BW143" i="54"/>
  <c r="CE126" i="54"/>
  <c r="CD215" i="54"/>
  <c r="CC215" i="54"/>
  <c r="CG251" i="54"/>
  <c r="CE251" i="54"/>
  <c r="CF143" i="54"/>
  <c r="CF234" i="54"/>
  <c r="CA143" i="54"/>
  <c r="BX215" i="54"/>
  <c r="BX107" i="54"/>
  <c r="CF126" i="54"/>
  <c r="CD143" i="54"/>
  <c r="BX143" i="54"/>
  <c r="BX129" i="54"/>
  <c r="CI143" i="54"/>
  <c r="CH143" i="54"/>
  <c r="CF251" i="54"/>
  <c r="CB143" i="54"/>
  <c r="BW107" i="54"/>
  <c r="BZ107" i="54"/>
  <c r="CC107" i="54"/>
  <c r="CA112" i="54"/>
  <c r="BZ112" i="54"/>
  <c r="BZ126" i="54"/>
  <c r="CB126" i="54"/>
  <c r="BZ143" i="54"/>
  <c r="CB234" i="54"/>
  <c r="BW129" i="54"/>
  <c r="BW128" i="54" s="1"/>
  <c r="CC129" i="54"/>
  <c r="CC237" i="54" s="1"/>
  <c r="BY143" i="54"/>
  <c r="CB251" i="54"/>
  <c r="CA251" i="54"/>
  <c r="BZ129" i="54"/>
  <c r="CA129" i="54"/>
  <c r="CB129" i="54"/>
  <c r="CB237" i="54" s="1"/>
  <c r="BX146" i="54"/>
  <c r="BX145" i="54" s="1"/>
  <c r="CA234" i="54"/>
  <c r="CD129" i="54"/>
  <c r="CD237" i="54" s="1"/>
  <c r="CE129" i="54"/>
  <c r="CE237" i="54" s="1"/>
  <c r="BY146" i="54"/>
  <c r="BY145" i="54" s="1"/>
  <c r="BZ234" i="54"/>
  <c r="CA146" i="54"/>
  <c r="CA145" i="54" s="1"/>
  <c r="CC163" i="54"/>
  <c r="BY129" i="54"/>
  <c r="CH146" i="54"/>
  <c r="BW146" i="54"/>
  <c r="BW145" i="54" s="1"/>
  <c r="CJ146" i="54"/>
  <c r="CG271" i="54"/>
  <c r="CE146" i="54"/>
  <c r="CB146" i="54"/>
  <c r="CC146" i="54"/>
  <c r="CA163" i="54"/>
  <c r="CA162" i="54" s="1"/>
  <c r="BZ146" i="54"/>
  <c r="BZ145" i="54" s="1"/>
  <c r="CI146" i="54"/>
  <c r="CF146" i="54"/>
  <c r="CF163" i="54"/>
  <c r="CI271" i="54"/>
  <c r="BY163" i="54"/>
  <c r="BY162" i="54" s="1"/>
  <c r="CH163" i="54"/>
  <c r="CB163" i="54"/>
  <c r="CC251" i="54"/>
  <c r="BX251" i="54"/>
  <c r="CB254" i="54"/>
  <c r="BW237" i="54"/>
  <c r="BW236" i="54" s="1"/>
  <c r="BZ268" i="54"/>
  <c r="CF268" i="54"/>
  <c r="CG146" i="54"/>
  <c r="BW163" i="54"/>
  <c r="BW162" i="54" s="1"/>
  <c r="BZ163" i="54"/>
  <c r="BZ162" i="54" s="1"/>
  <c r="CE163" i="54"/>
  <c r="CJ163" i="54"/>
  <c r="BZ251" i="54"/>
  <c r="CE271" i="54"/>
  <c r="CJ254" i="54"/>
  <c r="BW268" i="54"/>
  <c r="CD146" i="54"/>
  <c r="BX163" i="54"/>
  <c r="BX162" i="54" s="1"/>
  <c r="CD163" i="54"/>
  <c r="CI163" i="54"/>
  <c r="CG163" i="54"/>
  <c r="BY251" i="54"/>
  <c r="CA271" i="54"/>
  <c r="CA270" i="54" s="1"/>
  <c r="BW234" i="54"/>
  <c r="CC254" i="54"/>
  <c r="CD254" i="54"/>
  <c r="CF271" i="54"/>
  <c r="CB271" i="54"/>
  <c r="CA254" i="54"/>
  <c r="CA253" i="54" s="1"/>
  <c r="BZ254" i="54"/>
  <c r="BZ253" i="54" s="1"/>
  <c r="BX271" i="54"/>
  <c r="BX270" i="54" s="1"/>
  <c r="BW254" i="54"/>
  <c r="BW253" i="54" s="1"/>
  <c r="CI268" i="54"/>
  <c r="CB268" i="54"/>
  <c r="BY268" i="54"/>
  <c r="BY234" i="54"/>
  <c r="CH271" i="54"/>
  <c r="CG254" i="54"/>
  <c r="CE254" i="54"/>
  <c r="CI254" i="54"/>
  <c r="CD271" i="54"/>
  <c r="BW220" i="54"/>
  <c r="BW219" i="54" s="1"/>
  <c r="BW284" i="54" s="1"/>
  <c r="CD268" i="54"/>
  <c r="CA268" i="54"/>
  <c r="CJ268" i="54"/>
  <c r="CC271" i="54"/>
  <c r="BX234" i="54"/>
  <c r="CD251" i="54"/>
  <c r="CH254" i="54"/>
  <c r="CJ271" i="54"/>
  <c r="CF254" i="54"/>
  <c r="BW251" i="54"/>
  <c r="CH268" i="54"/>
  <c r="CE268" i="54"/>
  <c r="BX254" i="54"/>
  <c r="BX253" i="54" s="1"/>
  <c r="BY254" i="54"/>
  <c r="BY253" i="54" s="1"/>
  <c r="BW215" i="54"/>
  <c r="BY160" i="54"/>
  <c r="CC160" i="54"/>
  <c r="CG160" i="54"/>
  <c r="CC268" i="54"/>
  <c r="CA160" i="54"/>
  <c r="CE160" i="54"/>
  <c r="BY271" i="54"/>
  <c r="BY270" i="54" s="1"/>
  <c r="BX268" i="54"/>
  <c r="BZ271" i="54"/>
  <c r="BZ270" i="54" s="1"/>
  <c r="CG268" i="54"/>
  <c r="CH160" i="54"/>
  <c r="BW292" i="54"/>
  <c r="BX292" i="54"/>
  <c r="BY292" i="54"/>
  <c r="BZ292" i="54"/>
  <c r="CA292" i="54"/>
  <c r="CC292" i="54"/>
  <c r="CD290" i="54"/>
  <c r="BW160" i="54"/>
  <c r="CG188" i="54"/>
  <c r="CC188" i="54"/>
  <c r="BY188" i="54"/>
  <c r="CJ188" i="54"/>
  <c r="CF188" i="54"/>
  <c r="CB188" i="54"/>
  <c r="BX188" i="54"/>
  <c r="CI188" i="54"/>
  <c r="CE188" i="54"/>
  <c r="CA188" i="54"/>
  <c r="BW188" i="54"/>
  <c r="CH188" i="54"/>
  <c r="CD188" i="54"/>
  <c r="BZ188" i="54"/>
  <c r="BB100" i="54"/>
  <c r="CG234" i="54"/>
  <c r="BR199" i="54"/>
  <c r="BQ196" i="54"/>
  <c r="BT210" i="54"/>
  <c r="BT261" i="54" s="1"/>
  <c r="BO97" i="54"/>
  <c r="BP103" i="54"/>
  <c r="BZ276" i="54"/>
  <c r="BY275" i="54"/>
  <c r="BT201" i="54"/>
  <c r="BZ281" i="54"/>
  <c r="CH234" i="54"/>
  <c r="BQ211" i="54"/>
  <c r="BQ210" i="54" s="1"/>
  <c r="BQ261" i="54" s="1"/>
  <c r="BP208" i="54"/>
  <c r="CB274" i="54"/>
  <c r="CC274" i="54" s="1"/>
  <c r="CD274" i="54" s="1"/>
  <c r="CE274" i="54" s="1"/>
  <c r="CF274" i="54" s="1"/>
  <c r="CG274" i="54" s="1"/>
  <c r="CH274" i="54" s="1"/>
  <c r="CI274" i="54" s="1"/>
  <c r="CJ274" i="54" s="1"/>
  <c r="CB279" i="54"/>
  <c r="CC279" i="54" s="1"/>
  <c r="CD279" i="54" s="1"/>
  <c r="CE279" i="54" s="1"/>
  <c r="CF279" i="54" s="1"/>
  <c r="CG279" i="54" s="1"/>
  <c r="CH279" i="54" s="1"/>
  <c r="CI279" i="54" s="1"/>
  <c r="CJ279" i="54" s="1"/>
  <c r="CA278" i="54"/>
  <c r="CD26" i="54"/>
  <c r="CD36" i="54" s="1"/>
  <c r="CD234" i="54" s="1"/>
  <c r="BR211" i="54"/>
  <c r="BR210" i="54" s="1"/>
  <c r="BR261" i="54" s="1"/>
  <c r="CC26" i="54"/>
  <c r="CC36" i="54" s="1"/>
  <c r="CC234" i="54" s="1"/>
  <c r="BW271" i="54"/>
  <c r="BW270" i="54" s="1"/>
  <c r="BX160" i="54"/>
  <c r="CB160" i="54"/>
  <c r="CF160" i="54"/>
  <c r="CI160" i="54"/>
  <c r="F69" i="11"/>
  <c r="D60" i="11"/>
  <c r="D69" i="11"/>
  <c r="E69" i="11"/>
  <c r="E60" i="11"/>
  <c r="AA86" i="1" l="1"/>
  <c r="AF86" i="1"/>
  <c r="AD28" i="1"/>
  <c r="AD68" i="1" s="1"/>
  <c r="AC28" i="1"/>
  <c r="AC68" i="1" s="1"/>
  <c r="AB28" i="1"/>
  <c r="AF21" i="1"/>
  <c r="AE28" i="1"/>
  <c r="AF25" i="1"/>
  <c r="BZ300" i="54"/>
  <c r="Z28" i="1"/>
  <c r="Q79" i="1"/>
  <c r="Y87" i="1"/>
  <c r="V84" i="1"/>
  <c r="AA87" i="1" s="1"/>
  <c r="M5" i="2"/>
  <c r="K40" i="11"/>
  <c r="L62" i="1"/>
  <c r="H108" i="1"/>
  <c r="H49" i="1"/>
  <c r="H50" i="1"/>
  <c r="R40" i="1"/>
  <c r="R47" i="1" s="1"/>
  <c r="R57" i="1"/>
  <c r="R58" i="1" s="1"/>
  <c r="R42" i="1"/>
  <c r="R43" i="1"/>
  <c r="V82" i="1"/>
  <c r="AA85" i="1" s="1"/>
  <c r="Y79" i="1"/>
  <c r="T79" i="1"/>
  <c r="C14" i="42"/>
  <c r="H47" i="2"/>
  <c r="V33" i="1"/>
  <c r="V36" i="1" s="1"/>
  <c r="V68" i="1"/>
  <c r="V67" i="1"/>
  <c r="I63" i="1"/>
  <c r="I64" i="1" s="1"/>
  <c r="V78" i="1"/>
  <c r="H85" i="2"/>
  <c r="I85" i="2" s="1"/>
  <c r="H84" i="2"/>
  <c r="I84" i="2" s="1"/>
  <c r="H88" i="2"/>
  <c r="I88" i="2" s="1"/>
  <c r="AP95" i="1"/>
  <c r="I58" i="11"/>
  <c r="I60" i="11" s="1"/>
  <c r="K61" i="1"/>
  <c r="K63" i="1" s="1"/>
  <c r="K64" i="1" s="1"/>
  <c r="U87" i="1"/>
  <c r="P77" i="1"/>
  <c r="T40" i="1"/>
  <c r="T47" i="1" s="1"/>
  <c r="T42" i="1"/>
  <c r="T43" i="1"/>
  <c r="T57" i="1"/>
  <c r="T58" i="1" s="1"/>
  <c r="J61" i="1"/>
  <c r="J63" i="1" s="1"/>
  <c r="I89" i="2"/>
  <c r="H23" i="11"/>
  <c r="G86" i="2"/>
  <c r="H86" i="2"/>
  <c r="I86" i="2"/>
  <c r="I87" i="2"/>
  <c r="F43" i="11"/>
  <c r="F41" i="11"/>
  <c r="C36" i="11"/>
  <c r="C39" i="11" s="1"/>
  <c r="AK74" i="1"/>
  <c r="AK18" i="1" s="1"/>
  <c r="AK83" i="1"/>
  <c r="AP83" i="1" s="1"/>
  <c r="AP23" i="1" s="1"/>
  <c r="AK22" i="1"/>
  <c r="AK75" i="1"/>
  <c r="AP75" i="1" s="1"/>
  <c r="AA78" i="1"/>
  <c r="Q33" i="1"/>
  <c r="Q36" i="1" s="1"/>
  <c r="Q67" i="1"/>
  <c r="Q68" i="1"/>
  <c r="J28" i="1"/>
  <c r="J55" i="1"/>
  <c r="J83" i="1"/>
  <c r="J64" i="1"/>
  <c r="L25" i="1"/>
  <c r="N43" i="1"/>
  <c r="N57" i="1"/>
  <c r="N58" i="1" s="1"/>
  <c r="N40" i="1"/>
  <c r="N47" i="1" s="1"/>
  <c r="N42" i="1"/>
  <c r="P57" i="1"/>
  <c r="P58" i="1" s="1"/>
  <c r="P40" i="1"/>
  <c r="P47" i="1" s="1"/>
  <c r="P42" i="1"/>
  <c r="P43" i="1"/>
  <c r="M57" i="1"/>
  <c r="M58" i="1" s="1"/>
  <c r="M43" i="1"/>
  <c r="M40" i="1"/>
  <c r="M47" i="1" s="1"/>
  <c r="M42" i="1"/>
  <c r="I82" i="1"/>
  <c r="N86" i="1"/>
  <c r="I84" i="1"/>
  <c r="L83" i="1"/>
  <c r="V77" i="1"/>
  <c r="Q77" i="1"/>
  <c r="K108" i="1"/>
  <c r="K50" i="1"/>
  <c r="K49" i="1"/>
  <c r="K67" i="1"/>
  <c r="K68" i="1"/>
  <c r="AM91" i="1"/>
  <c r="AH92" i="1"/>
  <c r="AK20" i="1"/>
  <c r="I33" i="1"/>
  <c r="I36" i="1" s="1"/>
  <c r="I67" i="1"/>
  <c r="I68" i="1"/>
  <c r="T85" i="1"/>
  <c r="Q82" i="1"/>
  <c r="O57" i="1"/>
  <c r="O58" i="1" s="1"/>
  <c r="O43" i="1"/>
  <c r="O40" i="1"/>
  <c r="O47" i="1" s="1"/>
  <c r="O42" i="1"/>
  <c r="AJ91" i="1"/>
  <c r="AE92" i="1"/>
  <c r="AI92" i="1"/>
  <c r="AN91" i="1"/>
  <c r="F67" i="1"/>
  <c r="F68" i="1"/>
  <c r="AL92" i="1"/>
  <c r="AQ91" i="1"/>
  <c r="H83" i="2"/>
  <c r="G102" i="2"/>
  <c r="AK84" i="1"/>
  <c r="AP84" i="1" s="1"/>
  <c r="AU52" i="1"/>
  <c r="AZ52" i="1" s="1"/>
  <c r="BE52" i="1" s="1"/>
  <c r="BJ52" i="1" s="1"/>
  <c r="BO52" i="1" s="1"/>
  <c r="BT52" i="1" s="1"/>
  <c r="BY52" i="1" s="1"/>
  <c r="CD52" i="1" s="1"/>
  <c r="CI52" i="1" s="1"/>
  <c r="CN52" i="1" s="1"/>
  <c r="AP51" i="1"/>
  <c r="AU51" i="1" s="1"/>
  <c r="AZ51" i="1" s="1"/>
  <c r="BE51" i="1" s="1"/>
  <c r="BJ51" i="1" s="1"/>
  <c r="BO51" i="1" s="1"/>
  <c r="BT51" i="1" s="1"/>
  <c r="BY51" i="1" s="1"/>
  <c r="CD51" i="1" s="1"/>
  <c r="CI51" i="1" s="1"/>
  <c r="CN51" i="1" s="1"/>
  <c r="BY280" i="54"/>
  <c r="AP20" i="1"/>
  <c r="AZ76" i="1"/>
  <c r="AZ20" i="1" s="1"/>
  <c r="BZ174" i="54"/>
  <c r="BZ176" i="54" s="1"/>
  <c r="BT207" i="54"/>
  <c r="BT244" i="54" s="1"/>
  <c r="BT204" i="54"/>
  <c r="BT227" i="54" s="1"/>
  <c r="BT99" i="54"/>
  <c r="BT136" i="54" s="1"/>
  <c r="BT102" i="54"/>
  <c r="BT153" i="54" s="1"/>
  <c r="BT96" i="54"/>
  <c r="BT119" i="54" s="1"/>
  <c r="BT93" i="54"/>
  <c r="BP102" i="54"/>
  <c r="BP153" i="54" s="1"/>
  <c r="BU207" i="54"/>
  <c r="BU244" i="54" s="1"/>
  <c r="BU204" i="54"/>
  <c r="BU227" i="54" s="1"/>
  <c r="BU96" i="54"/>
  <c r="BU119" i="54" s="1"/>
  <c r="BU102" i="54"/>
  <c r="BU153" i="54" s="1"/>
  <c r="BU201" i="54"/>
  <c r="BU93" i="54"/>
  <c r="BU210" i="54"/>
  <c r="BU261" i="54" s="1"/>
  <c r="BU99" i="54"/>
  <c r="BU136" i="54" s="1"/>
  <c r="BZ167" i="54"/>
  <c r="BY169" i="54"/>
  <c r="BY171" i="54" s="1"/>
  <c r="BW88" i="54"/>
  <c r="BV91" i="54"/>
  <c r="CD126" i="54"/>
  <c r="CH126" i="54"/>
  <c r="CG126" i="54"/>
  <c r="CC126" i="54"/>
  <c r="CF215" i="54"/>
  <c r="CG6" i="54"/>
  <c r="BY128" i="54"/>
  <c r="BY183" i="54" s="1"/>
  <c r="BY237" i="54"/>
  <c r="BY236" i="54" s="1"/>
  <c r="BZ111" i="54"/>
  <c r="BZ220" i="54"/>
  <c r="BZ219" i="54" s="1"/>
  <c r="CB111" i="54"/>
  <c r="CB220" i="54"/>
  <c r="CB219" i="54" s="1"/>
  <c r="CA128" i="54"/>
  <c r="CA237" i="54"/>
  <c r="CA236" i="54" s="1"/>
  <c r="CA111" i="54"/>
  <c r="CA220" i="54"/>
  <c r="CA219" i="54" s="1"/>
  <c r="BZ128" i="54"/>
  <c r="BZ237" i="54"/>
  <c r="BZ236" i="54" s="1"/>
  <c r="BX128" i="54"/>
  <c r="BX183" i="54" s="1"/>
  <c r="BX237" i="54"/>
  <c r="BX236" i="54" s="1"/>
  <c r="BX287" i="54" s="1"/>
  <c r="BY111" i="54"/>
  <c r="BY180" i="54" s="1"/>
  <c r="BY220" i="54"/>
  <c r="BY219" i="54" s="1"/>
  <c r="BX111" i="54"/>
  <c r="BX180" i="54" s="1"/>
  <c r="BX220" i="54"/>
  <c r="BX219" i="54" s="1"/>
  <c r="BX284" i="54" s="1"/>
  <c r="BR99" i="54"/>
  <c r="BR136" i="54" s="1"/>
  <c r="BR207" i="54"/>
  <c r="BR244" i="54" s="1"/>
  <c r="BR201" i="54"/>
  <c r="BR102" i="54"/>
  <c r="BR153" i="54" s="1"/>
  <c r="BR96" i="54"/>
  <c r="BR119" i="54" s="1"/>
  <c r="BR204" i="54"/>
  <c r="BR227" i="54" s="1"/>
  <c r="BR93" i="54"/>
  <c r="BP204" i="54"/>
  <c r="BP227" i="54" s="1"/>
  <c r="BP99" i="54"/>
  <c r="BP136" i="54" s="1"/>
  <c r="BP201" i="54"/>
  <c r="BP93" i="54"/>
  <c r="BP96" i="54"/>
  <c r="BP119" i="54" s="1"/>
  <c r="BW199" i="54"/>
  <c r="BX196" i="54"/>
  <c r="BO91" i="54"/>
  <c r="BO96" i="54" s="1"/>
  <c r="BO119" i="54" s="1"/>
  <c r="BN88" i="54"/>
  <c r="BQ96" i="54"/>
  <c r="BQ119" i="54" s="1"/>
  <c r="BQ93" i="54"/>
  <c r="BQ204" i="54"/>
  <c r="BQ227" i="54" s="1"/>
  <c r="BQ102" i="54"/>
  <c r="BQ153" i="54" s="1"/>
  <c r="BQ99" i="54"/>
  <c r="BQ136" i="54" s="1"/>
  <c r="BQ207" i="54"/>
  <c r="BQ244" i="54" s="1"/>
  <c r="BQ201" i="54"/>
  <c r="CH17" i="54"/>
  <c r="CI7" i="54"/>
  <c r="CJ7" i="54" s="1"/>
  <c r="CJ17" i="54" s="1"/>
  <c r="CJ37" i="54"/>
  <c r="BW183" i="54"/>
  <c r="BW287" i="54"/>
  <c r="AP22" i="1"/>
  <c r="AU82" i="1"/>
  <c r="CD292" i="54"/>
  <c r="CE290" i="54"/>
  <c r="BZ280" i="54"/>
  <c r="CA281" i="54"/>
  <c r="CB281" i="54" s="1"/>
  <c r="CC281" i="54" s="1"/>
  <c r="CD281" i="54" s="1"/>
  <c r="CE281" i="54" s="1"/>
  <c r="CF281" i="54" s="1"/>
  <c r="CG281" i="54" s="1"/>
  <c r="CH281" i="54" s="1"/>
  <c r="CI281" i="54" s="1"/>
  <c r="CJ281" i="54" s="1"/>
  <c r="BQ199" i="54"/>
  <c r="BP196" i="54"/>
  <c r="CB273" i="54"/>
  <c r="BZ275" i="54"/>
  <c r="CA276" i="54"/>
  <c r="CB276" i="54" s="1"/>
  <c r="CC276" i="54" s="1"/>
  <c r="CD276" i="54" s="1"/>
  <c r="CE276" i="54" s="1"/>
  <c r="CF276" i="54" s="1"/>
  <c r="CG276" i="54" s="1"/>
  <c r="CH276" i="54" s="1"/>
  <c r="CI276" i="54" s="1"/>
  <c r="CJ276" i="54" s="1"/>
  <c r="CB278" i="54"/>
  <c r="BP211" i="54"/>
  <c r="BP210" i="54" s="1"/>
  <c r="BP261" i="54" s="1"/>
  <c r="BO208" i="54"/>
  <c r="BP207" i="54"/>
  <c r="BP244" i="54" s="1"/>
  <c r="BN97" i="54"/>
  <c r="BO103" i="54"/>
  <c r="CI37" i="54"/>
  <c r="BA100" i="54"/>
  <c r="Y28" i="1"/>
  <c r="Y33" i="1" s="1"/>
  <c r="Y36" i="1" s="1"/>
  <c r="X28" i="1"/>
  <c r="AA21" i="1"/>
  <c r="AC67" i="1" l="1"/>
  <c r="AD67" i="1"/>
  <c r="AB68" i="1"/>
  <c r="AB67" i="1"/>
  <c r="AF28" i="1"/>
  <c r="AE68" i="1"/>
  <c r="AE67" i="1"/>
  <c r="AA25" i="1"/>
  <c r="H44" i="2" s="1"/>
  <c r="L61" i="1"/>
  <c r="V40" i="1"/>
  <c r="V47" i="1" s="1"/>
  <c r="V57" i="1"/>
  <c r="V58" i="1" s="1"/>
  <c r="G45" i="2"/>
  <c r="V42" i="1"/>
  <c r="V43" i="1"/>
  <c r="L40" i="11"/>
  <c r="N5" i="2"/>
  <c r="AK24" i="1"/>
  <c r="V87" i="1"/>
  <c r="T108" i="1"/>
  <c r="T49" i="1"/>
  <c r="T50" i="1"/>
  <c r="R108" i="1"/>
  <c r="R49" i="1"/>
  <c r="R50" i="1"/>
  <c r="L63" i="1"/>
  <c r="D76" i="11" s="1"/>
  <c r="D79" i="11" s="1"/>
  <c r="D81" i="11" s="1"/>
  <c r="BO102" i="54"/>
  <c r="BO153" i="54" s="1"/>
  <c r="AU95" i="1"/>
  <c r="J58" i="11"/>
  <c r="J60" i="11" s="1"/>
  <c r="CA300" i="54"/>
  <c r="I47" i="2"/>
  <c r="H27" i="11"/>
  <c r="D14" i="42"/>
  <c r="C43" i="11"/>
  <c r="C41" i="11"/>
  <c r="D37" i="11" s="1"/>
  <c r="D39" i="11" s="1"/>
  <c r="AP74" i="1"/>
  <c r="AP18" i="1" s="1"/>
  <c r="AK19" i="1"/>
  <c r="AK21" i="1" s="1"/>
  <c r="AU83" i="1"/>
  <c r="AZ83" i="1" s="1"/>
  <c r="I44" i="2"/>
  <c r="I68" i="2" s="1"/>
  <c r="I18" i="2" s="1"/>
  <c r="AK23" i="1"/>
  <c r="P108" i="1"/>
  <c r="P50" i="1"/>
  <c r="P49" i="1"/>
  <c r="J82" i="1"/>
  <c r="O85" i="1" s="1"/>
  <c r="J84" i="1"/>
  <c r="O87" i="1" s="1"/>
  <c r="O86" i="1"/>
  <c r="Q57" i="1"/>
  <c r="Q58" i="1" s="1"/>
  <c r="Q40" i="1"/>
  <c r="Q47" i="1" s="1"/>
  <c r="Q43" i="1"/>
  <c r="F45" i="2"/>
  <c r="Q42" i="1"/>
  <c r="AQ92" i="1"/>
  <c r="AV91" i="1"/>
  <c r="AN92" i="1"/>
  <c r="AS91" i="1"/>
  <c r="AR91" i="1"/>
  <c r="AM92" i="1"/>
  <c r="L86" i="1"/>
  <c r="Q86" i="1"/>
  <c r="L55" i="1"/>
  <c r="E44" i="2"/>
  <c r="J33" i="1"/>
  <c r="J36" i="1" s="1"/>
  <c r="J67" i="1"/>
  <c r="J68" i="1"/>
  <c r="L28" i="1"/>
  <c r="AO91" i="1"/>
  <c r="AJ92" i="1"/>
  <c r="N85" i="1"/>
  <c r="O108" i="1"/>
  <c r="O50" i="1"/>
  <c r="O49" i="1"/>
  <c r="V85" i="1"/>
  <c r="I40" i="1"/>
  <c r="I47" i="1" s="1"/>
  <c r="I42" i="1"/>
  <c r="I43" i="1"/>
  <c r="I57" i="1"/>
  <c r="I58" i="1" s="1"/>
  <c r="N87" i="1"/>
  <c r="L84" i="1"/>
  <c r="M108" i="1"/>
  <c r="M50" i="1"/>
  <c r="M49" i="1"/>
  <c r="N108" i="1"/>
  <c r="N50" i="1"/>
  <c r="N49" i="1"/>
  <c r="I83" i="2"/>
  <c r="H102" i="2"/>
  <c r="C12" i="42" s="1"/>
  <c r="AP24" i="1"/>
  <c r="AP25" i="1" s="1"/>
  <c r="AU84" i="1"/>
  <c r="BY284" i="54"/>
  <c r="CA174" i="54"/>
  <c r="CA176" i="54" s="1"/>
  <c r="BY287" i="54"/>
  <c r="BE76" i="1"/>
  <c r="BE20" i="1" s="1"/>
  <c r="AU75" i="1"/>
  <c r="AP19" i="1"/>
  <c r="CA167" i="54"/>
  <c r="BZ169" i="54"/>
  <c r="BZ171" i="54" s="1"/>
  <c r="BV210" i="54"/>
  <c r="BV261" i="54" s="1"/>
  <c r="BV93" i="54"/>
  <c r="BV99" i="54"/>
  <c r="BV136" i="54" s="1"/>
  <c r="BV207" i="54"/>
  <c r="BV244" i="54" s="1"/>
  <c r="BV204" i="54"/>
  <c r="BV227" i="54" s="1"/>
  <c r="BV102" i="54"/>
  <c r="BV153" i="54" s="1"/>
  <c r="BV96" i="54"/>
  <c r="BV119" i="54" s="1"/>
  <c r="BV201" i="54"/>
  <c r="BX88" i="54"/>
  <c r="BW91" i="54"/>
  <c r="BZ180" i="54"/>
  <c r="CH6" i="54"/>
  <c r="CG107" i="54"/>
  <c r="CG215" i="54"/>
  <c r="BZ183" i="54"/>
  <c r="BO204" i="54"/>
  <c r="BO227" i="54" s="1"/>
  <c r="BO201" i="54"/>
  <c r="BO93" i="54"/>
  <c r="BO99" i="54"/>
  <c r="BO136" i="54" s="1"/>
  <c r="BX199" i="54"/>
  <c r="BY196" i="54"/>
  <c r="BM88" i="54"/>
  <c r="BN91" i="54"/>
  <c r="CI17" i="54"/>
  <c r="AU22" i="1"/>
  <c r="AZ82" i="1"/>
  <c r="CF290" i="54"/>
  <c r="CE292" i="54"/>
  <c r="CC278" i="54"/>
  <c r="CB280" i="54"/>
  <c r="CB284" i="54" s="1"/>
  <c r="CA280" i="54"/>
  <c r="CC273" i="54"/>
  <c r="CB275" i="54"/>
  <c r="BP199" i="54"/>
  <c r="BO196" i="54"/>
  <c r="BZ287" i="54"/>
  <c r="BZ284" i="54"/>
  <c r="BN208" i="54"/>
  <c r="BO207" i="54"/>
  <c r="BO244" i="54" s="1"/>
  <c r="BO211" i="54"/>
  <c r="BO210" i="54" s="1"/>
  <c r="BO261" i="54" s="1"/>
  <c r="CA275" i="54"/>
  <c r="AZ100" i="54"/>
  <c r="BM97" i="54"/>
  <c r="BN103" i="54"/>
  <c r="X33" i="1"/>
  <c r="X36" i="1" s="1"/>
  <c r="X42" i="1" s="1"/>
  <c r="Y40" i="1"/>
  <c r="Y47" i="1" s="1"/>
  <c r="Y43" i="1"/>
  <c r="Y42" i="1"/>
  <c r="Z33" i="1"/>
  <c r="AA28" i="1"/>
  <c r="C6" i="42" s="1"/>
  <c r="C11" i="42" s="1"/>
  <c r="AK25" i="1" l="1"/>
  <c r="J44" i="2" s="1"/>
  <c r="J68" i="2" s="1"/>
  <c r="J18" i="2" s="1"/>
  <c r="AF67" i="1"/>
  <c r="AF68" i="1"/>
  <c r="CB174" i="54"/>
  <c r="CC174" i="54" s="1"/>
  <c r="L82" i="1"/>
  <c r="L85" i="1" s="1"/>
  <c r="L64" i="1"/>
  <c r="O5" i="2"/>
  <c r="M40" i="11"/>
  <c r="AZ95" i="1"/>
  <c r="K58" i="11"/>
  <c r="K60" i="11" s="1"/>
  <c r="BJ76" i="1"/>
  <c r="BO76" i="1" s="1"/>
  <c r="V108" i="1"/>
  <c r="V50" i="1"/>
  <c r="V49" i="1"/>
  <c r="CB300" i="54"/>
  <c r="D41" i="11"/>
  <c r="E37" i="11" s="1"/>
  <c r="E39" i="11" s="1"/>
  <c r="D43" i="11"/>
  <c r="I72" i="11"/>
  <c r="AU74" i="1"/>
  <c r="AU18" i="1" s="1"/>
  <c r="AU23" i="1"/>
  <c r="I70" i="2"/>
  <c r="I21" i="2" s="1"/>
  <c r="I64" i="2"/>
  <c r="I17" i="2" s="1"/>
  <c r="I108" i="1"/>
  <c r="I50" i="1"/>
  <c r="I49" i="1"/>
  <c r="AR92" i="1"/>
  <c r="AW91" i="1"/>
  <c r="Q50" i="1"/>
  <c r="Q49" i="1"/>
  <c r="Q108" i="1"/>
  <c r="Q85" i="1"/>
  <c r="AT91" i="1"/>
  <c r="AO92" i="1"/>
  <c r="J40" i="1"/>
  <c r="J47" i="1" s="1"/>
  <c r="J57" i="1"/>
  <c r="J58" i="1" s="1"/>
  <c r="J42" i="1"/>
  <c r="J43" i="1"/>
  <c r="AS92" i="1"/>
  <c r="AX91" i="1"/>
  <c r="L33" i="1"/>
  <c r="L36" i="1" s="1"/>
  <c r="L68" i="1"/>
  <c r="L67" i="1"/>
  <c r="E65" i="2"/>
  <c r="E69" i="2"/>
  <c r="E71" i="2"/>
  <c r="L87" i="1"/>
  <c r="Q87" i="1"/>
  <c r="AV92" i="1"/>
  <c r="BA91" i="1"/>
  <c r="AA66" i="1"/>
  <c r="H77" i="2"/>
  <c r="I102" i="2"/>
  <c r="H7" i="11" s="1"/>
  <c r="J83" i="2"/>
  <c r="K83" i="2" s="1"/>
  <c r="L83" i="2" s="1"/>
  <c r="M83" i="2" s="1"/>
  <c r="N83" i="2" s="1"/>
  <c r="O83" i="2" s="1"/>
  <c r="P83" i="2" s="1"/>
  <c r="Q83" i="2" s="1"/>
  <c r="R83" i="2" s="1"/>
  <c r="S83" i="2" s="1"/>
  <c r="T83" i="2" s="1"/>
  <c r="U83" i="2" s="1"/>
  <c r="AZ84" i="1"/>
  <c r="AU24" i="1"/>
  <c r="AP21" i="1"/>
  <c r="K44" i="2" s="1"/>
  <c r="K64" i="2" s="1"/>
  <c r="K17" i="2" s="1"/>
  <c r="AU19" i="1"/>
  <c r="AZ75" i="1"/>
  <c r="BW210" i="54"/>
  <c r="BW261" i="54" s="1"/>
  <c r="BW267" i="54" s="1"/>
  <c r="BW99" i="54"/>
  <c r="BW136" i="54" s="1"/>
  <c r="BW102" i="54"/>
  <c r="BW153" i="54" s="1"/>
  <c r="BW159" i="54" s="1"/>
  <c r="BW201" i="54"/>
  <c r="BW214" i="54" s="1"/>
  <c r="BW204" i="54"/>
  <c r="BW227" i="54" s="1"/>
  <c r="BW96" i="54"/>
  <c r="BW119" i="54" s="1"/>
  <c r="BW207" i="54"/>
  <c r="BW244" i="54" s="1"/>
  <c r="BW93" i="54"/>
  <c r="BW106" i="54" s="1"/>
  <c r="BY88" i="54"/>
  <c r="BX91" i="54"/>
  <c r="CB167" i="54"/>
  <c r="CA169" i="54"/>
  <c r="CA171" i="54" s="1"/>
  <c r="CI6" i="54"/>
  <c r="CH215" i="54"/>
  <c r="CH107" i="54"/>
  <c r="CI234" i="54"/>
  <c r="CI126" i="54"/>
  <c r="BN102" i="54"/>
  <c r="BN153" i="54" s="1"/>
  <c r="CB176" i="54"/>
  <c r="CB180" i="54" s="1"/>
  <c r="BN201" i="54"/>
  <c r="BN93" i="54"/>
  <c r="BN99" i="54"/>
  <c r="BN136" i="54" s="1"/>
  <c r="BN204" i="54"/>
  <c r="BN227" i="54" s="1"/>
  <c r="BL88" i="54"/>
  <c r="BM91" i="54"/>
  <c r="BM96" i="54" s="1"/>
  <c r="BM119" i="54" s="1"/>
  <c r="BN96" i="54"/>
  <c r="BN119" i="54" s="1"/>
  <c r="CA180" i="54"/>
  <c r="CA183" i="54"/>
  <c r="BY199" i="54"/>
  <c r="BZ196" i="54"/>
  <c r="AZ23" i="1"/>
  <c r="BE83" i="1"/>
  <c r="BE82" i="1"/>
  <c r="AZ22" i="1"/>
  <c r="CG290" i="54"/>
  <c r="CF292" i="54"/>
  <c r="CA284" i="54"/>
  <c r="CA287" i="54"/>
  <c r="BL97" i="54"/>
  <c r="BM103" i="54"/>
  <c r="CC280" i="54"/>
  <c r="CD278" i="54"/>
  <c r="BM208" i="54"/>
  <c r="BN211" i="54"/>
  <c r="BN210" i="54" s="1"/>
  <c r="BN261" i="54" s="1"/>
  <c r="BN207" i="54"/>
  <c r="BN244" i="54" s="1"/>
  <c r="CD273" i="54"/>
  <c r="CC275" i="54"/>
  <c r="AY100" i="54"/>
  <c r="BN196" i="54"/>
  <c r="BO199" i="54"/>
  <c r="X40" i="1"/>
  <c r="X47" i="1" s="1"/>
  <c r="X50" i="1" s="1"/>
  <c r="X43" i="1"/>
  <c r="Y108" i="1"/>
  <c r="Y49" i="1"/>
  <c r="Y50" i="1"/>
  <c r="AA68" i="1"/>
  <c r="AA67" i="1"/>
  <c r="Z36" i="1"/>
  <c r="AA33" i="1"/>
  <c r="BJ20" i="1" l="1"/>
  <c r="AU25" i="1"/>
  <c r="BM102" i="54"/>
  <c r="BM153" i="54" s="1"/>
  <c r="CC300" i="54"/>
  <c r="P5" i="2"/>
  <c r="N40" i="11"/>
  <c r="BE95" i="1"/>
  <c r="BJ95" i="1" s="1"/>
  <c r="BO95" i="1" s="1"/>
  <c r="BT95" i="1" s="1"/>
  <c r="BY95" i="1" s="1"/>
  <c r="CD95" i="1" s="1"/>
  <c r="CI95" i="1" s="1"/>
  <c r="CN95" i="1" s="1"/>
  <c r="L58" i="11"/>
  <c r="L60" i="11" s="1"/>
  <c r="J72" i="11"/>
  <c r="E41" i="11"/>
  <c r="E43" i="11"/>
  <c r="AZ74" i="1"/>
  <c r="AZ18" i="1" s="1"/>
  <c r="I22" i="2"/>
  <c r="J64" i="2"/>
  <c r="J17" i="2" s="1"/>
  <c r="I15" i="11" s="1"/>
  <c r="J70" i="2"/>
  <c r="J21" i="2" s="1"/>
  <c r="I16" i="11" s="1"/>
  <c r="J108" i="1"/>
  <c r="J50" i="1"/>
  <c r="J49" i="1"/>
  <c r="BF91" i="1"/>
  <c r="BA92" i="1"/>
  <c r="L40" i="1"/>
  <c r="L47" i="1" s="1"/>
  <c r="L43" i="1"/>
  <c r="E45" i="2"/>
  <c r="L57" i="1"/>
  <c r="L58" i="1" s="1"/>
  <c r="L42" i="1"/>
  <c r="AT92" i="1"/>
  <c r="AY91" i="1"/>
  <c r="AX92" i="1"/>
  <c r="BC91" i="1"/>
  <c r="AW92" i="1"/>
  <c r="BB91" i="1"/>
  <c r="I12" i="2"/>
  <c r="Z66" i="1"/>
  <c r="Y66" i="1"/>
  <c r="W66" i="1"/>
  <c r="X66" i="1"/>
  <c r="D12" i="42"/>
  <c r="I77" i="2"/>
  <c r="AF66" i="1"/>
  <c r="AZ24" i="1"/>
  <c r="AZ25" i="1" s="1"/>
  <c r="BE84" i="1"/>
  <c r="K68" i="2"/>
  <c r="K18" i="2" s="1"/>
  <c r="K70" i="2"/>
  <c r="K21" i="2" s="1"/>
  <c r="AU21" i="1"/>
  <c r="BE75" i="1"/>
  <c r="AZ19" i="1"/>
  <c r="BZ88" i="54"/>
  <c r="BY91" i="54"/>
  <c r="CB270" i="54"/>
  <c r="BW265" i="54"/>
  <c r="CB169" i="54"/>
  <c r="CB171" i="54" s="1"/>
  <c r="CC167" i="54"/>
  <c r="CB162" i="54"/>
  <c r="BW157" i="54"/>
  <c r="BX207" i="54"/>
  <c r="BX244" i="54" s="1"/>
  <c r="BX96" i="54"/>
  <c r="BX119" i="54" s="1"/>
  <c r="BX102" i="54"/>
  <c r="BX153" i="54" s="1"/>
  <c r="BX159" i="54" s="1"/>
  <c r="BX93" i="54"/>
  <c r="BX106" i="54" s="1"/>
  <c r="BX179" i="54" s="1"/>
  <c r="BX201" i="54"/>
  <c r="BX214" i="54" s="1"/>
  <c r="BX283" i="54" s="1"/>
  <c r="BX99" i="54"/>
  <c r="BX136" i="54" s="1"/>
  <c r="BX204" i="54"/>
  <c r="BX227" i="54" s="1"/>
  <c r="BX210" i="54"/>
  <c r="BX261" i="54" s="1"/>
  <c r="BX267" i="54" s="1"/>
  <c r="BW179" i="54"/>
  <c r="BX109" i="54"/>
  <c r="BW283" i="54"/>
  <c r="BX217" i="54"/>
  <c r="CJ6" i="54"/>
  <c r="CI215" i="54"/>
  <c r="CI107" i="54"/>
  <c r="CJ234" i="54"/>
  <c r="CJ126" i="54"/>
  <c r="BM204" i="54"/>
  <c r="BM227" i="54" s="1"/>
  <c r="BM93" i="54"/>
  <c r="BM99" i="54"/>
  <c r="BM136" i="54" s="1"/>
  <c r="BM201" i="54"/>
  <c r="BL91" i="54"/>
  <c r="BK88" i="54"/>
  <c r="BZ199" i="54"/>
  <c r="CA196" i="54"/>
  <c r="CC176" i="54"/>
  <c r="CD174" i="54"/>
  <c r="BO20" i="1"/>
  <c r="BT76" i="1"/>
  <c r="BJ83" i="1"/>
  <c r="BE23" i="1"/>
  <c r="BE22" i="1"/>
  <c r="BJ82" i="1"/>
  <c r="X49" i="1"/>
  <c r="CH290" i="54"/>
  <c r="CG292" i="54"/>
  <c r="X108" i="1"/>
  <c r="CE273" i="54"/>
  <c r="CD275" i="54"/>
  <c r="BK97" i="54"/>
  <c r="BL103" i="54"/>
  <c r="BL96" i="54"/>
  <c r="BL119" i="54" s="1"/>
  <c r="BN199" i="54"/>
  <c r="BM196" i="54"/>
  <c r="BL208" i="54"/>
  <c r="BM211" i="54"/>
  <c r="BM210" i="54" s="1"/>
  <c r="BM261" i="54" s="1"/>
  <c r="BM207" i="54"/>
  <c r="BM244" i="54" s="1"/>
  <c r="AX100" i="54"/>
  <c r="CD280" i="54"/>
  <c r="CE278" i="54"/>
  <c r="AA97" i="1"/>
  <c r="AA98" i="1" s="1"/>
  <c r="AA35" i="1"/>
  <c r="H22" i="2"/>
  <c r="H26" i="2" s="1"/>
  <c r="H52" i="2"/>
  <c r="H55" i="2" s="1"/>
  <c r="H15" i="11"/>
  <c r="D7" i="42"/>
  <c r="Z40" i="1"/>
  <c r="Z47" i="1" s="1"/>
  <c r="AA36" i="1"/>
  <c r="Z43" i="1"/>
  <c r="Z42" i="1"/>
  <c r="H16" i="11"/>
  <c r="L44" i="2" l="1"/>
  <c r="L70" i="2" s="1"/>
  <c r="L21" i="2" s="1"/>
  <c r="O40" i="11"/>
  <c r="Q5" i="2"/>
  <c r="CD300" i="54"/>
  <c r="BE74" i="1"/>
  <c r="BJ74" i="1" s="1"/>
  <c r="J15" i="11"/>
  <c r="J22" i="2"/>
  <c r="BB92" i="1"/>
  <c r="BG91" i="1"/>
  <c r="AY92" i="1"/>
  <c r="BD91" i="1"/>
  <c r="BF92" i="1"/>
  <c r="BK91" i="1"/>
  <c r="L108" i="1"/>
  <c r="L49" i="1"/>
  <c r="L50" i="1"/>
  <c r="BC92" i="1"/>
  <c r="BH91" i="1"/>
  <c r="X68" i="1"/>
  <c r="X67" i="1"/>
  <c r="W68" i="1"/>
  <c r="W67" i="1"/>
  <c r="Y68" i="1"/>
  <c r="Y67" i="1"/>
  <c r="Z67" i="1"/>
  <c r="Z68" i="1"/>
  <c r="BJ84" i="1"/>
  <c r="BE24" i="1"/>
  <c r="BX307" i="54"/>
  <c r="J16" i="11"/>
  <c r="K22" i="2"/>
  <c r="BE25" i="1"/>
  <c r="AZ21" i="1"/>
  <c r="M44" i="2" s="1"/>
  <c r="M70" i="2" s="1"/>
  <c r="M21" i="2" s="1"/>
  <c r="BJ75" i="1"/>
  <c r="BE19" i="1"/>
  <c r="BY217" i="54"/>
  <c r="CC219" i="54"/>
  <c r="CC284" i="54" s="1"/>
  <c r="BL102" i="54"/>
  <c r="BL153" i="54" s="1"/>
  <c r="CC270" i="54"/>
  <c r="BX265" i="54"/>
  <c r="BY210" i="54"/>
  <c r="BY261" i="54" s="1"/>
  <c r="BY267" i="54" s="1"/>
  <c r="BY201" i="54"/>
  <c r="BY214" i="54" s="1"/>
  <c r="BY283" i="54" s="1"/>
  <c r="BY96" i="54"/>
  <c r="BY119" i="54" s="1"/>
  <c r="BY93" i="54"/>
  <c r="BY106" i="54" s="1"/>
  <c r="BY179" i="54" s="1"/>
  <c r="BY204" i="54"/>
  <c r="BY227" i="54" s="1"/>
  <c r="BY102" i="54"/>
  <c r="BY153" i="54" s="1"/>
  <c r="BY159" i="54" s="1"/>
  <c r="BY207" i="54"/>
  <c r="BY244" i="54" s="1"/>
  <c r="BY99" i="54"/>
  <c r="BY136" i="54" s="1"/>
  <c r="CC111" i="54"/>
  <c r="CC180" i="54" s="1"/>
  <c r="BY109" i="54"/>
  <c r="BX157" i="54"/>
  <c r="CC162" i="54"/>
  <c r="CA88" i="54"/>
  <c r="BZ91" i="54"/>
  <c r="CD167" i="54"/>
  <c r="CC169" i="54"/>
  <c r="CC171" i="54" s="1"/>
  <c r="CJ215" i="54"/>
  <c r="CJ107" i="54"/>
  <c r="BJ88" i="54"/>
  <c r="BK91" i="54"/>
  <c r="BK96" i="54" s="1"/>
  <c r="BK119" i="54" s="1"/>
  <c r="CE174" i="54"/>
  <c r="CD176" i="54"/>
  <c r="CA199" i="54"/>
  <c r="CB196" i="54"/>
  <c r="BL201" i="54"/>
  <c r="BL93" i="54"/>
  <c r="BL204" i="54"/>
  <c r="BL227" i="54" s="1"/>
  <c r="BL99" i="54"/>
  <c r="BL136" i="54" s="1"/>
  <c r="BY76" i="1"/>
  <c r="BT20" i="1"/>
  <c r="BO83" i="1"/>
  <c r="BJ23" i="1"/>
  <c r="BO82" i="1"/>
  <c r="BJ22" i="1"/>
  <c r="CH292" i="54"/>
  <c r="CI290" i="54"/>
  <c r="AA107" i="1"/>
  <c r="AW100" i="54"/>
  <c r="BM199" i="54"/>
  <c r="BL196" i="54"/>
  <c r="CF273" i="54"/>
  <c r="CE275" i="54"/>
  <c r="BJ97" i="54"/>
  <c r="BK103" i="54"/>
  <c r="BK208" i="54"/>
  <c r="BL211" i="54"/>
  <c r="BL210" i="54" s="1"/>
  <c r="BL261" i="54" s="1"/>
  <c r="BL207" i="54"/>
  <c r="BL244" i="54" s="1"/>
  <c r="CE280" i="54"/>
  <c r="CF278" i="54"/>
  <c r="AF96" i="1"/>
  <c r="AA100" i="1"/>
  <c r="AA102" i="1" s="1"/>
  <c r="AA101" i="1"/>
  <c r="H45" i="2"/>
  <c r="AA40" i="1"/>
  <c r="AA47" i="1" s="1"/>
  <c r="AA43" i="1"/>
  <c r="AA42" i="1"/>
  <c r="X63" i="1"/>
  <c r="X64" i="1" s="1"/>
  <c r="Z108" i="1"/>
  <c r="Z50" i="1"/>
  <c r="Z49" i="1"/>
  <c r="Y63" i="1"/>
  <c r="Y64" i="1" s="1"/>
  <c r="Z63" i="1"/>
  <c r="Z64" i="1" s="1"/>
  <c r="L64" i="2" l="1"/>
  <c r="L17" i="2" s="1"/>
  <c r="K15" i="11" s="1"/>
  <c r="L68" i="2"/>
  <c r="L18" i="2" s="1"/>
  <c r="K16" i="11" s="1"/>
  <c r="CE300" i="54"/>
  <c r="P40" i="11"/>
  <c r="R5" i="2"/>
  <c r="BE18" i="1"/>
  <c r="BE21" i="1" s="1"/>
  <c r="N44" i="2" s="1"/>
  <c r="N68" i="2" s="1"/>
  <c r="N18" i="2" s="1"/>
  <c r="BI91" i="1"/>
  <c r="BD92" i="1"/>
  <c r="BM91" i="1"/>
  <c r="BH92" i="1"/>
  <c r="BP91" i="1"/>
  <c r="BK92" i="1"/>
  <c r="BG92" i="1"/>
  <c r="BL91" i="1"/>
  <c r="BJ24" i="1"/>
  <c r="BJ25" i="1" s="1"/>
  <c r="BO84" i="1"/>
  <c r="M68" i="2"/>
  <c r="M18" i="2" s="1"/>
  <c r="M64" i="2"/>
  <c r="M17" i="2" s="1"/>
  <c r="BY307" i="54"/>
  <c r="BO75" i="1"/>
  <c r="BJ19" i="1"/>
  <c r="BJ18" i="1"/>
  <c r="BO74" i="1"/>
  <c r="BZ96" i="54"/>
  <c r="BZ119" i="54" s="1"/>
  <c r="BZ207" i="54"/>
  <c r="BZ244" i="54" s="1"/>
  <c r="BZ99" i="54"/>
  <c r="BZ136" i="54" s="1"/>
  <c r="BZ201" i="54"/>
  <c r="BZ214" i="54" s="1"/>
  <c r="BZ283" i="54" s="1"/>
  <c r="BZ93" i="54"/>
  <c r="BZ106" i="54" s="1"/>
  <c r="BZ179" i="54" s="1"/>
  <c r="BZ102" i="54"/>
  <c r="BZ153" i="54" s="1"/>
  <c r="BZ159" i="54" s="1"/>
  <c r="BZ210" i="54"/>
  <c r="BZ261" i="54" s="1"/>
  <c r="BZ267" i="54" s="1"/>
  <c r="BZ204" i="54"/>
  <c r="BZ227" i="54" s="1"/>
  <c r="CD111" i="54"/>
  <c r="CD180" i="54" s="1"/>
  <c r="BZ109" i="54"/>
  <c r="BY157" i="54"/>
  <c r="CD162" i="54"/>
  <c r="CE167" i="54"/>
  <c r="CD169" i="54"/>
  <c r="CD171" i="54" s="1"/>
  <c r="CB88" i="54"/>
  <c r="CA91" i="54"/>
  <c r="CD270" i="54"/>
  <c r="BY265" i="54"/>
  <c r="CD219" i="54"/>
  <c r="CD284" i="54" s="1"/>
  <c r="BZ217" i="54"/>
  <c r="CB199" i="54"/>
  <c r="CC196" i="54"/>
  <c r="BJ91" i="54"/>
  <c r="BI88" i="54"/>
  <c r="CF174" i="54"/>
  <c r="CE176" i="54"/>
  <c r="BK93" i="54"/>
  <c r="BK204" i="54"/>
  <c r="BK227" i="54" s="1"/>
  <c r="BK99" i="54"/>
  <c r="BK136" i="54" s="1"/>
  <c r="BK201" i="54"/>
  <c r="BK102" i="54"/>
  <c r="BK153" i="54" s="1"/>
  <c r="CD76" i="1"/>
  <c r="BY20" i="1"/>
  <c r="BT83" i="1"/>
  <c r="BO23" i="1"/>
  <c r="BO22" i="1"/>
  <c r="BT82" i="1"/>
  <c r="CI292" i="54"/>
  <c r="CJ290" i="54"/>
  <c r="CJ292" i="54" s="1"/>
  <c r="CG273" i="54"/>
  <c r="CF275" i="54"/>
  <c r="BI97" i="54"/>
  <c r="BJ103" i="54"/>
  <c r="BJ96" i="54"/>
  <c r="BJ119" i="54" s="1"/>
  <c r="BL199" i="54"/>
  <c r="BK196" i="54"/>
  <c r="CF280" i="54"/>
  <c r="CG278" i="54"/>
  <c r="BJ208" i="54"/>
  <c r="BK211" i="54"/>
  <c r="BK210" i="54" s="1"/>
  <c r="BK261" i="54" s="1"/>
  <c r="BK207" i="54"/>
  <c r="BK244" i="54" s="1"/>
  <c r="AV100" i="54"/>
  <c r="AA108" i="1"/>
  <c r="AA50" i="1"/>
  <c r="AA49" i="1"/>
  <c r="H33" i="2"/>
  <c r="H35" i="2" s="1"/>
  <c r="L15" i="11" l="1"/>
  <c r="L16" i="11"/>
  <c r="S5" i="2"/>
  <c r="Q40" i="11"/>
  <c r="CF300" i="54"/>
  <c r="K72" i="11"/>
  <c r="BL92" i="1"/>
  <c r="BQ91" i="1"/>
  <c r="BR91" i="1"/>
  <c r="BM92" i="1"/>
  <c r="BP92" i="1"/>
  <c r="BU91" i="1"/>
  <c r="BI92" i="1"/>
  <c r="BN91" i="1"/>
  <c r="BT84" i="1"/>
  <c r="BO24" i="1"/>
  <c r="BO25" i="1" s="1"/>
  <c r="N70" i="2"/>
  <c r="N21" i="2" s="1"/>
  <c r="M16" i="11" s="1"/>
  <c r="N64" i="2"/>
  <c r="N17" i="2" s="1"/>
  <c r="M15" i="11" s="1"/>
  <c r="BJ21" i="1"/>
  <c r="O44" i="2" s="1"/>
  <c r="O64" i="2" s="1"/>
  <c r="O17" i="2" s="1"/>
  <c r="BZ307" i="54"/>
  <c r="BO19" i="1"/>
  <c r="BT75" i="1"/>
  <c r="BT74" i="1"/>
  <c r="BO18" i="1"/>
  <c r="CE219" i="54"/>
  <c r="CE284" i="54" s="1"/>
  <c r="CA217" i="54"/>
  <c r="CA201" i="54"/>
  <c r="CA214" i="54" s="1"/>
  <c r="CA283" i="54" s="1"/>
  <c r="CA93" i="54"/>
  <c r="CA106" i="54" s="1"/>
  <c r="CA179" i="54" s="1"/>
  <c r="CA207" i="54"/>
  <c r="CA244" i="54" s="1"/>
  <c r="CA210" i="54"/>
  <c r="CA261" i="54" s="1"/>
  <c r="CA267" i="54" s="1"/>
  <c r="CA204" i="54"/>
  <c r="CA227" i="54" s="1"/>
  <c r="CA99" i="54"/>
  <c r="CA136" i="54" s="1"/>
  <c r="CA102" i="54"/>
  <c r="CA153" i="54" s="1"/>
  <c r="CA159" i="54" s="1"/>
  <c r="CA96" i="54"/>
  <c r="CA119" i="54" s="1"/>
  <c r="BJ102" i="54"/>
  <c r="BJ153" i="54" s="1"/>
  <c r="CC88" i="54"/>
  <c r="CB91" i="54"/>
  <c r="CE270" i="54"/>
  <c r="BZ265" i="54"/>
  <c r="CF167" i="54"/>
  <c r="CE169" i="54"/>
  <c r="CE171" i="54" s="1"/>
  <c r="CE111" i="54"/>
  <c r="CE180" i="54" s="1"/>
  <c r="CA109" i="54"/>
  <c r="CE162" i="54"/>
  <c r="BZ157" i="54"/>
  <c r="BJ93" i="54"/>
  <c r="BJ99" i="54"/>
  <c r="BJ136" i="54" s="1"/>
  <c r="BJ204" i="54"/>
  <c r="BJ227" i="54" s="1"/>
  <c r="BJ201" i="54"/>
  <c r="CD196" i="54"/>
  <c r="CC199" i="54"/>
  <c r="CG174" i="54"/>
  <c r="CF176" i="54"/>
  <c r="BH88" i="54"/>
  <c r="BI91" i="54"/>
  <c r="BI96" i="54" s="1"/>
  <c r="BI119" i="54" s="1"/>
  <c r="CD20" i="1"/>
  <c r="CI76" i="1"/>
  <c r="BT23" i="1"/>
  <c r="BY83" i="1"/>
  <c r="BT22" i="1"/>
  <c r="BY82" i="1"/>
  <c r="AU100" i="54"/>
  <c r="CG280" i="54"/>
  <c r="CH278" i="54"/>
  <c r="BK199" i="54"/>
  <c r="BJ196" i="54"/>
  <c r="BH97" i="54"/>
  <c r="BI103" i="54"/>
  <c r="BI102" i="54" s="1"/>
  <c r="BI153" i="54" s="1"/>
  <c r="BI208" i="54"/>
  <c r="BJ211" i="54"/>
  <c r="BJ210" i="54" s="1"/>
  <c r="BJ261" i="54" s="1"/>
  <c r="BJ207" i="54"/>
  <c r="BJ244" i="54" s="1"/>
  <c r="CG275" i="54"/>
  <c r="CH273" i="54"/>
  <c r="T5" i="2" l="1"/>
  <c r="R40" i="11"/>
  <c r="CG300" i="54"/>
  <c r="L72" i="11"/>
  <c r="BU92" i="1"/>
  <c r="BZ91" i="1"/>
  <c r="BQ92" i="1"/>
  <c r="BV91" i="1"/>
  <c r="BS91" i="1"/>
  <c r="BN92" i="1"/>
  <c r="BW91" i="1"/>
  <c r="BR92" i="1"/>
  <c r="BY84" i="1"/>
  <c r="BT24" i="1"/>
  <c r="BT25" i="1" s="1"/>
  <c r="N15" i="11"/>
  <c r="O68" i="2"/>
  <c r="O18" i="2" s="1"/>
  <c r="O70" i="2"/>
  <c r="O21" i="2" s="1"/>
  <c r="BO21" i="1"/>
  <c r="P44" i="2" s="1"/>
  <c r="P70" i="2" s="1"/>
  <c r="P21" i="2" s="1"/>
  <c r="CA307" i="54"/>
  <c r="BY75" i="1"/>
  <c r="BT19" i="1"/>
  <c r="BT18" i="1"/>
  <c r="BY74" i="1"/>
  <c r="CG167" i="54"/>
  <c r="CF169" i="54"/>
  <c r="CF171" i="54" s="1"/>
  <c r="CB96" i="54"/>
  <c r="CB119" i="54" s="1"/>
  <c r="CB201" i="54"/>
  <c r="CB214" i="54" s="1"/>
  <c r="CB283" i="54" s="1"/>
  <c r="CB93" i="54"/>
  <c r="CB106" i="54" s="1"/>
  <c r="CB179" i="54" s="1"/>
  <c r="CB207" i="54"/>
  <c r="CB244" i="54" s="1"/>
  <c r="CB210" i="54"/>
  <c r="CB261" i="54" s="1"/>
  <c r="CB267" i="54" s="1"/>
  <c r="CB99" i="54"/>
  <c r="CB136" i="54" s="1"/>
  <c r="CB204" i="54"/>
  <c r="CB227" i="54" s="1"/>
  <c r="CB102" i="54"/>
  <c r="CB153" i="54" s="1"/>
  <c r="CB159" i="54" s="1"/>
  <c r="CF111" i="54"/>
  <c r="CF180" i="54" s="1"/>
  <c r="CB109" i="54"/>
  <c r="CD88" i="54"/>
  <c r="CC91" i="54"/>
  <c r="CF270" i="54"/>
  <c r="CA265" i="54"/>
  <c r="CF219" i="54"/>
  <c r="CF284" i="54" s="1"/>
  <c r="CB217" i="54"/>
  <c r="CA157" i="54"/>
  <c r="CF162" i="54"/>
  <c r="CG176" i="54"/>
  <c r="CH174" i="54"/>
  <c r="BI204" i="54"/>
  <c r="BI227" i="54" s="1"/>
  <c r="BI201" i="54"/>
  <c r="BI93" i="54"/>
  <c r="BI99" i="54"/>
  <c r="BI136" i="54" s="1"/>
  <c r="BG88" i="54"/>
  <c r="BH91" i="54"/>
  <c r="BH96" i="54" s="1"/>
  <c r="BH119" i="54" s="1"/>
  <c r="CD199" i="54"/>
  <c r="CE196" i="54"/>
  <c r="CI20" i="1"/>
  <c r="CN76" i="1"/>
  <c r="CN20" i="1" s="1"/>
  <c r="CD83" i="1"/>
  <c r="BY23" i="1"/>
  <c r="CD82" i="1"/>
  <c r="BY22" i="1"/>
  <c r="CI273" i="54"/>
  <c r="CH275" i="54"/>
  <c r="CH280" i="54"/>
  <c r="CI278" i="54"/>
  <c r="BG97" i="54"/>
  <c r="BH103" i="54"/>
  <c r="BH102" i="54" s="1"/>
  <c r="BH153" i="54" s="1"/>
  <c r="BH208" i="54"/>
  <c r="BI211" i="54"/>
  <c r="BI210" i="54" s="1"/>
  <c r="BI261" i="54" s="1"/>
  <c r="BI207" i="54"/>
  <c r="BI244" i="54" s="1"/>
  <c r="BI196" i="54"/>
  <c r="BJ199" i="54"/>
  <c r="AT100" i="54"/>
  <c r="U5" i="2" l="1"/>
  <c r="T40" i="11" s="1"/>
  <c r="S40" i="11"/>
  <c r="CH300" i="54"/>
  <c r="M72" i="11"/>
  <c r="BZ92" i="1"/>
  <c r="CE91" i="1"/>
  <c r="BX91" i="1"/>
  <c r="BS92" i="1"/>
  <c r="BV92" i="1"/>
  <c r="CA91" i="1"/>
  <c r="BW92" i="1"/>
  <c r="CB91" i="1"/>
  <c r="BY24" i="1"/>
  <c r="BY25" i="1" s="1"/>
  <c r="CD84" i="1"/>
  <c r="N16" i="11"/>
  <c r="P64" i="2"/>
  <c r="P17" i="2" s="1"/>
  <c r="O15" i="11" s="1"/>
  <c r="P68" i="2"/>
  <c r="P18" i="2" s="1"/>
  <c r="O16" i="11" s="1"/>
  <c r="BT21" i="1"/>
  <c r="Q44" i="2" s="1"/>
  <c r="Q64" i="2" s="1"/>
  <c r="Q17" i="2" s="1"/>
  <c r="CB307" i="54"/>
  <c r="BY19" i="1"/>
  <c r="CD75" i="1"/>
  <c r="BY18" i="1"/>
  <c r="CD74" i="1"/>
  <c r="CG111" i="54"/>
  <c r="CG180" i="54" s="1"/>
  <c r="CC109" i="54"/>
  <c r="CG270" i="54"/>
  <c r="CB265" i="54"/>
  <c r="CG219" i="54"/>
  <c r="CG284" i="54" s="1"/>
  <c r="CC217" i="54"/>
  <c r="CC207" i="54"/>
  <c r="CC244" i="54" s="1"/>
  <c r="CC204" i="54"/>
  <c r="CC227" i="54" s="1"/>
  <c r="CC99" i="54"/>
  <c r="CC136" i="54" s="1"/>
  <c r="CC96" i="54"/>
  <c r="CC119" i="54" s="1"/>
  <c r="CC201" i="54"/>
  <c r="CC214" i="54" s="1"/>
  <c r="CC283" i="54" s="1"/>
  <c r="CC210" i="54"/>
  <c r="CC261" i="54" s="1"/>
  <c r="CC267" i="54" s="1"/>
  <c r="CC93" i="54"/>
  <c r="CC106" i="54" s="1"/>
  <c r="CC179" i="54" s="1"/>
  <c r="CC102" i="54"/>
  <c r="CC153" i="54" s="1"/>
  <c r="CC159" i="54" s="1"/>
  <c r="CG162" i="54"/>
  <c r="CB157" i="54"/>
  <c r="CE88" i="54"/>
  <c r="CD91" i="54"/>
  <c r="CH167" i="54"/>
  <c r="CG169" i="54"/>
  <c r="CG171" i="54" s="1"/>
  <c r="BG91" i="54"/>
  <c r="BF88" i="54"/>
  <c r="BH204" i="54"/>
  <c r="BH227" i="54" s="1"/>
  <c r="BH99" i="54"/>
  <c r="BH136" i="54" s="1"/>
  <c r="BH93" i="54"/>
  <c r="BH201" i="54"/>
  <c r="CF196" i="54"/>
  <c r="CE199" i="54"/>
  <c r="CH176" i="54"/>
  <c r="CI174" i="54"/>
  <c r="CI83" i="1"/>
  <c r="CD23" i="1"/>
  <c r="CD22" i="1"/>
  <c r="CI82" i="1"/>
  <c r="CI280" i="54"/>
  <c r="CJ278" i="54"/>
  <c r="CJ280" i="54" s="1"/>
  <c r="BG208" i="54"/>
  <c r="BH211" i="54"/>
  <c r="BH210" i="54" s="1"/>
  <c r="BH261" i="54" s="1"/>
  <c r="BH207" i="54"/>
  <c r="BH244" i="54" s="1"/>
  <c r="AS100" i="54"/>
  <c r="BI199" i="54"/>
  <c r="BH196" i="54"/>
  <c r="BG103" i="54"/>
  <c r="BG102" i="54" s="1"/>
  <c r="BG153" i="54" s="1"/>
  <c r="BF97" i="54"/>
  <c r="BG96" i="54"/>
  <c r="BG119" i="54" s="1"/>
  <c r="CI275" i="54"/>
  <c r="CJ273" i="54"/>
  <c r="CJ275" i="54" s="1"/>
  <c r="CI300" i="54" l="1"/>
  <c r="N72" i="11"/>
  <c r="BX92" i="1"/>
  <c r="CC91" i="1"/>
  <c r="CA92" i="1"/>
  <c r="CF91" i="1"/>
  <c r="CE92" i="1"/>
  <c r="CJ91" i="1"/>
  <c r="CJ92" i="1" s="1"/>
  <c r="CG91" i="1"/>
  <c r="CB92" i="1"/>
  <c r="CI84" i="1"/>
  <c r="CD24" i="1"/>
  <c r="CD25" i="1" s="1"/>
  <c r="P15" i="11"/>
  <c r="Q70" i="2"/>
  <c r="Q21" i="2" s="1"/>
  <c r="Q68" i="2"/>
  <c r="Q18" i="2" s="1"/>
  <c r="BY21" i="1"/>
  <c r="R44" i="2" s="1"/>
  <c r="R68" i="2" s="1"/>
  <c r="R18" i="2" s="1"/>
  <c r="CC307" i="54"/>
  <c r="CI75" i="1"/>
  <c r="CD19" i="1"/>
  <c r="CI74" i="1"/>
  <c r="CD18" i="1"/>
  <c r="CF88" i="54"/>
  <c r="CE91" i="54"/>
  <c r="CH162" i="54"/>
  <c r="CC157" i="54"/>
  <c r="CH219" i="54"/>
  <c r="CH284" i="54" s="1"/>
  <c r="CD217" i="54"/>
  <c r="CI167" i="54"/>
  <c r="CH169" i="54"/>
  <c r="CH171" i="54" s="1"/>
  <c r="CC265" i="54"/>
  <c r="CH270" i="54"/>
  <c r="CD201" i="54"/>
  <c r="CD214" i="54" s="1"/>
  <c r="CD283" i="54" s="1"/>
  <c r="CD96" i="54"/>
  <c r="CD119" i="54" s="1"/>
  <c r="CD204" i="54"/>
  <c r="CD227" i="54" s="1"/>
  <c r="CD210" i="54"/>
  <c r="CD261" i="54" s="1"/>
  <c r="CD267" i="54" s="1"/>
  <c r="CD93" i="54"/>
  <c r="CD106" i="54" s="1"/>
  <c r="CD179" i="54" s="1"/>
  <c r="CD207" i="54"/>
  <c r="CD244" i="54" s="1"/>
  <c r="CD99" i="54"/>
  <c r="CD136" i="54" s="1"/>
  <c r="CD102" i="54"/>
  <c r="CD153" i="54" s="1"/>
  <c r="CD159" i="54" s="1"/>
  <c r="CH111" i="54"/>
  <c r="CH180" i="54" s="1"/>
  <c r="CD109" i="54"/>
  <c r="CG196" i="54"/>
  <c r="CF199" i="54"/>
  <c r="CJ174" i="54"/>
  <c r="CJ176" i="54" s="1"/>
  <c r="CI176" i="54"/>
  <c r="BE88" i="54"/>
  <c r="BF91" i="54"/>
  <c r="BG99" i="54"/>
  <c r="BG136" i="54" s="1"/>
  <c r="BG204" i="54"/>
  <c r="BG227" i="54" s="1"/>
  <c r="BG93" i="54"/>
  <c r="BG201" i="54"/>
  <c r="CN83" i="1"/>
  <c r="CN23" i="1" s="1"/>
  <c r="CI23" i="1"/>
  <c r="CI22" i="1"/>
  <c r="CN82" i="1"/>
  <c r="CN22" i="1" s="1"/>
  <c r="BE97" i="54"/>
  <c r="BF103" i="54"/>
  <c r="BH199" i="54"/>
  <c r="BG196" i="54"/>
  <c r="BF208" i="54"/>
  <c r="BG211" i="54"/>
  <c r="BG210" i="54" s="1"/>
  <c r="BG261" i="54" s="1"/>
  <c r="BG207" i="54"/>
  <c r="BG244" i="54" s="1"/>
  <c r="AR100" i="54"/>
  <c r="BF102" i="54" l="1"/>
  <c r="BF153" i="54" s="1"/>
  <c r="CJ300" i="54"/>
  <c r="O72" i="11"/>
  <c r="CG92" i="1"/>
  <c r="CL91" i="1"/>
  <c r="CL92" i="1" s="1"/>
  <c r="CC92" i="1"/>
  <c r="CH91" i="1"/>
  <c r="CF92" i="1"/>
  <c r="CK91" i="1"/>
  <c r="CK92" i="1" s="1"/>
  <c r="CN84" i="1"/>
  <c r="CN24" i="1" s="1"/>
  <c r="CN25" i="1" s="1"/>
  <c r="CI24" i="1"/>
  <c r="CI25" i="1" s="1"/>
  <c r="R64" i="2"/>
  <c r="R17" i="2" s="1"/>
  <c r="Q15" i="11" s="1"/>
  <c r="P16" i="11"/>
  <c r="CD21" i="1"/>
  <c r="S44" i="2" s="1"/>
  <c r="S70" i="2" s="1"/>
  <c r="S21" i="2" s="1"/>
  <c r="R70" i="2"/>
  <c r="R21" i="2" s="1"/>
  <c r="Q16" i="11" s="1"/>
  <c r="CD307" i="54"/>
  <c r="CN75" i="1"/>
  <c r="CN19" i="1" s="1"/>
  <c r="CI19" i="1"/>
  <c r="CN74" i="1"/>
  <c r="CN18" i="1" s="1"/>
  <c r="CI18" i="1"/>
  <c r="CI111" i="54"/>
  <c r="CI180" i="54" s="1"/>
  <c r="CE109" i="54"/>
  <c r="CJ167" i="54"/>
  <c r="CJ169" i="54" s="1"/>
  <c r="CJ171" i="54" s="1"/>
  <c r="CI169" i="54"/>
  <c r="CI171" i="54" s="1"/>
  <c r="CI219" i="54"/>
  <c r="CI284" i="54" s="1"/>
  <c r="CE217" i="54"/>
  <c r="CE207" i="54"/>
  <c r="CE244" i="54" s="1"/>
  <c r="CE201" i="54"/>
  <c r="CE214" i="54" s="1"/>
  <c r="CE283" i="54" s="1"/>
  <c r="CE102" i="54"/>
  <c r="CE153" i="54" s="1"/>
  <c r="CE159" i="54" s="1"/>
  <c r="CE210" i="54"/>
  <c r="CE261" i="54" s="1"/>
  <c r="CE267" i="54" s="1"/>
  <c r="CE96" i="54"/>
  <c r="CE119" i="54" s="1"/>
  <c r="CE99" i="54"/>
  <c r="CE136" i="54" s="1"/>
  <c r="CE93" i="54"/>
  <c r="CE106" i="54" s="1"/>
  <c r="CE179" i="54" s="1"/>
  <c r="CE204" i="54"/>
  <c r="CE227" i="54" s="1"/>
  <c r="CI162" i="54"/>
  <c r="CD157" i="54"/>
  <c r="CD265" i="54"/>
  <c r="CI270" i="54"/>
  <c r="CF91" i="54"/>
  <c r="CG88" i="54"/>
  <c r="BF93" i="54"/>
  <c r="BF201" i="54"/>
  <c r="BF204" i="54"/>
  <c r="BF227" i="54" s="1"/>
  <c r="BF99" i="54"/>
  <c r="BF136" i="54" s="1"/>
  <c r="BF96" i="54"/>
  <c r="BF119" i="54" s="1"/>
  <c r="BE91" i="54"/>
  <c r="BD88" i="54"/>
  <c r="CG199" i="54"/>
  <c r="CH196" i="54"/>
  <c r="AQ100" i="54"/>
  <c r="BG199" i="54"/>
  <c r="BF196" i="54"/>
  <c r="BE103" i="54"/>
  <c r="BD97" i="54"/>
  <c r="BE96" i="54"/>
  <c r="BE119" i="54" s="1"/>
  <c r="BE208" i="54"/>
  <c r="BF211" i="54"/>
  <c r="BF210" i="54" s="1"/>
  <c r="BF261" i="54" s="1"/>
  <c r="BF207" i="54"/>
  <c r="BF244" i="54" s="1"/>
  <c r="P72" i="11" l="1"/>
  <c r="CM91" i="1"/>
  <c r="CM92" i="1" s="1"/>
  <c r="CH92" i="1"/>
  <c r="S68" i="2"/>
  <c r="S18" i="2" s="1"/>
  <c r="R16" i="11" s="1"/>
  <c r="S64" i="2"/>
  <c r="S17" i="2" s="1"/>
  <c r="R15" i="11" s="1"/>
  <c r="CN21" i="1"/>
  <c r="U44" i="2" s="1"/>
  <c r="U68" i="2" s="1"/>
  <c r="U18" i="2" s="1"/>
  <c r="CI21" i="1"/>
  <c r="T44" i="2" s="1"/>
  <c r="T64" i="2" s="1"/>
  <c r="T17" i="2" s="1"/>
  <c r="CE307" i="54"/>
  <c r="CF201" i="54"/>
  <c r="CF214" i="54" s="1"/>
  <c r="CF283" i="54" s="1"/>
  <c r="CF96" i="54"/>
  <c r="CF119" i="54" s="1"/>
  <c r="CF210" i="54"/>
  <c r="CF261" i="54" s="1"/>
  <c r="CF267" i="54" s="1"/>
  <c r="CF265" i="54" s="1"/>
  <c r="CF93" i="54"/>
  <c r="CF106" i="54" s="1"/>
  <c r="CF179" i="54" s="1"/>
  <c r="CF207" i="54"/>
  <c r="CF244" i="54" s="1"/>
  <c r="CF99" i="54"/>
  <c r="CF136" i="54" s="1"/>
  <c r="CF204" i="54"/>
  <c r="CF227" i="54" s="1"/>
  <c r="CF102" i="54"/>
  <c r="CF153" i="54" s="1"/>
  <c r="CF159" i="54" s="1"/>
  <c r="CF157" i="54" s="1"/>
  <c r="CJ270" i="54"/>
  <c r="CE265" i="54"/>
  <c r="CJ219" i="54"/>
  <c r="CJ284" i="54" s="1"/>
  <c r="CF217" i="54"/>
  <c r="CG91" i="54"/>
  <c r="CH88" i="54"/>
  <c r="CJ162" i="54"/>
  <c r="CE157" i="54"/>
  <c r="CJ111" i="54"/>
  <c r="CJ180" i="54" s="1"/>
  <c r="CF109" i="54"/>
  <c r="BD91" i="54"/>
  <c r="BC88" i="54"/>
  <c r="BE204" i="54"/>
  <c r="BE227" i="54" s="1"/>
  <c r="BE93" i="54"/>
  <c r="BE99" i="54"/>
  <c r="BE136" i="54" s="1"/>
  <c r="BE201" i="54"/>
  <c r="BE102" i="54"/>
  <c r="BE153" i="54" s="1"/>
  <c r="CI196" i="54"/>
  <c r="CH199" i="54"/>
  <c r="BC97" i="54"/>
  <c r="BD103" i="54"/>
  <c r="BD96" i="54"/>
  <c r="BD119" i="54" s="1"/>
  <c r="AP100" i="54"/>
  <c r="BD208" i="54"/>
  <c r="BE211" i="54"/>
  <c r="BE210" i="54" s="1"/>
  <c r="BE261" i="54" s="1"/>
  <c r="BE207" i="54"/>
  <c r="BE244" i="54" s="1"/>
  <c r="BF199" i="54"/>
  <c r="BE196" i="54"/>
  <c r="Q72" i="11" l="1"/>
  <c r="U64" i="2"/>
  <c r="U17" i="2" s="1"/>
  <c r="T15" i="11" s="1"/>
  <c r="U70" i="2"/>
  <c r="U21" i="2" s="1"/>
  <c r="S15" i="11"/>
  <c r="T70" i="2"/>
  <c r="T21" i="2" s="1"/>
  <c r="T68" i="2"/>
  <c r="T18" i="2" s="1"/>
  <c r="CF307" i="54"/>
  <c r="CG109" i="54"/>
  <c r="BD102" i="54"/>
  <c r="BD153" i="54" s="1"/>
  <c r="CH91" i="54"/>
  <c r="CI88" i="54"/>
  <c r="CG96" i="54"/>
  <c r="CG119" i="54" s="1"/>
  <c r="CG204" i="54"/>
  <c r="CG227" i="54" s="1"/>
  <c r="CG201" i="54"/>
  <c r="CG214" i="54" s="1"/>
  <c r="CG283" i="54" s="1"/>
  <c r="CG93" i="54"/>
  <c r="CG106" i="54" s="1"/>
  <c r="CG179" i="54" s="1"/>
  <c r="CG102" i="54"/>
  <c r="CG153" i="54" s="1"/>
  <c r="CG159" i="54" s="1"/>
  <c r="CG157" i="54" s="1"/>
  <c r="CG99" i="54"/>
  <c r="CG136" i="54" s="1"/>
  <c r="CG207" i="54"/>
  <c r="CG244" i="54" s="1"/>
  <c r="CG210" i="54"/>
  <c r="CG261" i="54" s="1"/>
  <c r="CG267" i="54" s="1"/>
  <c r="CG265" i="54" s="1"/>
  <c r="CG217" i="54"/>
  <c r="CJ196" i="54"/>
  <c r="CJ199" i="54" s="1"/>
  <c r="CI199" i="54"/>
  <c r="BB88" i="54"/>
  <c r="BC91" i="54"/>
  <c r="BC96" i="54" s="1"/>
  <c r="BC119" i="54" s="1"/>
  <c r="BD99" i="54"/>
  <c r="BD136" i="54" s="1"/>
  <c r="BD93" i="54"/>
  <c r="BD201" i="54"/>
  <c r="BD204" i="54"/>
  <c r="BD227" i="54" s="1"/>
  <c r="BB97" i="54"/>
  <c r="BC103" i="54"/>
  <c r="AO100" i="54"/>
  <c r="BE199" i="54"/>
  <c r="BD196" i="54"/>
  <c r="BC208" i="54"/>
  <c r="BD211" i="54"/>
  <c r="BD210" i="54" s="1"/>
  <c r="BD261" i="54" s="1"/>
  <c r="BD207" i="54"/>
  <c r="BD244" i="54" s="1"/>
  <c r="S16" i="11" l="1"/>
  <c r="T16" i="11"/>
  <c r="CG307" i="54"/>
  <c r="CH217" i="54"/>
  <c r="CI91" i="54"/>
  <c r="CJ88" i="54"/>
  <c r="CJ91" i="54" s="1"/>
  <c r="CH201" i="54"/>
  <c r="CH214" i="54" s="1"/>
  <c r="CH283" i="54" s="1"/>
  <c r="CH93" i="54"/>
  <c r="CH106" i="54" s="1"/>
  <c r="CH179" i="54" s="1"/>
  <c r="CH204" i="54"/>
  <c r="CH227" i="54" s="1"/>
  <c r="CH102" i="54"/>
  <c r="CH153" i="54" s="1"/>
  <c r="CH159" i="54" s="1"/>
  <c r="CH157" i="54" s="1"/>
  <c r="CH96" i="54"/>
  <c r="CH119" i="54" s="1"/>
  <c r="CH210" i="54"/>
  <c r="CH261" i="54" s="1"/>
  <c r="CH267" i="54" s="1"/>
  <c r="CH265" i="54" s="1"/>
  <c r="CH99" i="54"/>
  <c r="CH136" i="54" s="1"/>
  <c r="CH207" i="54"/>
  <c r="CH244" i="54" s="1"/>
  <c r="CH109" i="54"/>
  <c r="BC99" i="54"/>
  <c r="BC136" i="54" s="1"/>
  <c r="BC201" i="54"/>
  <c r="BC93" i="54"/>
  <c r="BC204" i="54"/>
  <c r="BC227" i="54" s="1"/>
  <c r="BB91" i="54"/>
  <c r="BB96" i="54" s="1"/>
  <c r="BB119" i="54" s="1"/>
  <c r="BA88" i="54"/>
  <c r="BC102" i="54"/>
  <c r="BC153" i="54" s="1"/>
  <c r="BB208" i="54"/>
  <c r="BC211" i="54"/>
  <c r="BC210" i="54" s="1"/>
  <c r="BC261" i="54" s="1"/>
  <c r="BC207" i="54"/>
  <c r="BC244" i="54" s="1"/>
  <c r="BC196" i="54"/>
  <c r="BD199" i="54"/>
  <c r="BA97" i="54"/>
  <c r="BB103" i="54"/>
  <c r="AN100" i="54"/>
  <c r="R72" i="11" l="1"/>
  <c r="CH307" i="54"/>
  <c r="CI217" i="54"/>
  <c r="BB102" i="54"/>
  <c r="BB153" i="54" s="1"/>
  <c r="CI109" i="54"/>
  <c r="CJ93" i="54"/>
  <c r="CJ106" i="54" s="1"/>
  <c r="CJ179" i="54" s="1"/>
  <c r="CJ102" i="54"/>
  <c r="CJ153" i="54" s="1"/>
  <c r="CJ159" i="54" s="1"/>
  <c r="CJ96" i="54"/>
  <c r="CJ119" i="54" s="1"/>
  <c r="CJ207" i="54"/>
  <c r="CJ244" i="54" s="1"/>
  <c r="CJ99" i="54"/>
  <c r="CJ136" i="54" s="1"/>
  <c r="CJ204" i="54"/>
  <c r="CJ227" i="54" s="1"/>
  <c r="CJ201" i="54"/>
  <c r="CJ214" i="54" s="1"/>
  <c r="CJ283" i="54" s="1"/>
  <c r="CJ210" i="54"/>
  <c r="CJ261" i="54" s="1"/>
  <c r="CJ267" i="54" s="1"/>
  <c r="CI210" i="54"/>
  <c r="CI261" i="54" s="1"/>
  <c r="CI267" i="54" s="1"/>
  <c r="CI265" i="54" s="1"/>
  <c r="CI96" i="54"/>
  <c r="CI119" i="54" s="1"/>
  <c r="CI99" i="54"/>
  <c r="CI136" i="54" s="1"/>
  <c r="CI207" i="54"/>
  <c r="CI244" i="54" s="1"/>
  <c r="CI201" i="54"/>
  <c r="CI214" i="54" s="1"/>
  <c r="CI283" i="54" s="1"/>
  <c r="CI93" i="54"/>
  <c r="CI106" i="54" s="1"/>
  <c r="CI179" i="54" s="1"/>
  <c r="CI204" i="54"/>
  <c r="CI227" i="54" s="1"/>
  <c r="CI102" i="54"/>
  <c r="CI153" i="54" s="1"/>
  <c r="CI159" i="54" s="1"/>
  <c r="CI157" i="54" s="1"/>
  <c r="AZ88" i="54"/>
  <c r="BA91" i="54"/>
  <c r="BB99" i="54"/>
  <c r="BB136" i="54" s="1"/>
  <c r="BB204" i="54"/>
  <c r="BB227" i="54" s="1"/>
  <c r="BB201" i="54"/>
  <c r="BB93" i="54"/>
  <c r="BC199" i="54"/>
  <c r="BB196" i="54"/>
  <c r="BB211" i="54"/>
  <c r="BB210" i="54" s="1"/>
  <c r="BB261" i="54" s="1"/>
  <c r="BA208" i="54"/>
  <c r="BB207" i="54"/>
  <c r="BB244" i="54" s="1"/>
  <c r="AZ97" i="54"/>
  <c r="BA103" i="54"/>
  <c r="AM100" i="54"/>
  <c r="S72" i="11" l="1"/>
  <c r="CJ307" i="54"/>
  <c r="CI307" i="54"/>
  <c r="CJ109" i="54"/>
  <c r="CJ265" i="54"/>
  <c r="BA102" i="54"/>
  <c r="BA153" i="54" s="1"/>
  <c r="CJ157" i="54"/>
  <c r="CJ217" i="54"/>
  <c r="BA201" i="54"/>
  <c r="BA93" i="54"/>
  <c r="BA204" i="54"/>
  <c r="BA227" i="54" s="1"/>
  <c r="BA99" i="54"/>
  <c r="BA136" i="54" s="1"/>
  <c r="BA96" i="54"/>
  <c r="BA119" i="54" s="1"/>
  <c r="AZ91" i="54"/>
  <c r="AY88" i="54"/>
  <c r="AY97" i="54"/>
  <c r="AZ103" i="54"/>
  <c r="AZ96" i="54"/>
  <c r="AZ119" i="54" s="1"/>
  <c r="BB199" i="54"/>
  <c r="BA196" i="54"/>
  <c r="BA211" i="54"/>
  <c r="BA210" i="54" s="1"/>
  <c r="BA261" i="54" s="1"/>
  <c r="AZ208" i="54"/>
  <c r="BA207" i="54"/>
  <c r="BA244" i="54" s="1"/>
  <c r="AL100" i="54"/>
  <c r="T72" i="11" l="1"/>
  <c r="AZ102" i="54"/>
  <c r="AZ153" i="54" s="1"/>
  <c r="AY91" i="54"/>
  <c r="AX88" i="54"/>
  <c r="AZ204" i="54"/>
  <c r="AZ227" i="54" s="1"/>
  <c r="AZ93" i="54"/>
  <c r="AZ201" i="54"/>
  <c r="AZ99" i="54"/>
  <c r="AZ136" i="54" s="1"/>
  <c r="AK100" i="54"/>
  <c r="AY208" i="54"/>
  <c r="AZ211" i="54"/>
  <c r="AZ210" i="54" s="1"/>
  <c r="AZ261" i="54" s="1"/>
  <c r="AZ207" i="54"/>
  <c r="AZ244" i="54" s="1"/>
  <c r="BA199" i="54"/>
  <c r="AZ196" i="54"/>
  <c r="AX97" i="54"/>
  <c r="AY103" i="54"/>
  <c r="AY96" i="54"/>
  <c r="AY119" i="54" s="1"/>
  <c r="AY93" i="54" l="1"/>
  <c r="AY204" i="54"/>
  <c r="AY227" i="54" s="1"/>
  <c r="AY201" i="54"/>
  <c r="AY99" i="54"/>
  <c r="AY136" i="54" s="1"/>
  <c r="AY102" i="54"/>
  <c r="AY153" i="54" s="1"/>
  <c r="AW88" i="54"/>
  <c r="AX91" i="54"/>
  <c r="AX96" i="54" s="1"/>
  <c r="AX119" i="54" s="1"/>
  <c r="AW97" i="54"/>
  <c r="AX103" i="54"/>
  <c r="AJ100" i="54"/>
  <c r="AZ199" i="54"/>
  <c r="AY196" i="54"/>
  <c r="AY211" i="54"/>
  <c r="AY210" i="54" s="1"/>
  <c r="AY261" i="54" s="1"/>
  <c r="AX208" i="54"/>
  <c r="AY207" i="54"/>
  <c r="AY244" i="54" s="1"/>
  <c r="AX102" i="54" l="1"/>
  <c r="AX153" i="54" s="1"/>
  <c r="AX204" i="54"/>
  <c r="AX227" i="54" s="1"/>
  <c r="AX99" i="54"/>
  <c r="AX136" i="54" s="1"/>
  <c r="AX201" i="54"/>
  <c r="AX93" i="54"/>
  <c r="AW91" i="54"/>
  <c r="AV88" i="54"/>
  <c r="AV97" i="54"/>
  <c r="AW103" i="54"/>
  <c r="AW96" i="54"/>
  <c r="AW119" i="54" s="1"/>
  <c r="AI100" i="54"/>
  <c r="AW208" i="54"/>
  <c r="AX211" i="54"/>
  <c r="AX210" i="54" s="1"/>
  <c r="AX261" i="54" s="1"/>
  <c r="AX207" i="54"/>
  <c r="AX244" i="54" s="1"/>
  <c r="AY199" i="54"/>
  <c r="AX196" i="54"/>
  <c r="AW102" i="54" l="1"/>
  <c r="AW153" i="54" s="1"/>
  <c r="AW201" i="54"/>
  <c r="AW99" i="54"/>
  <c r="AW136" i="54" s="1"/>
  <c r="AW204" i="54"/>
  <c r="AW227" i="54" s="1"/>
  <c r="AW93" i="54"/>
  <c r="AV91" i="54"/>
  <c r="AV96" i="54" s="1"/>
  <c r="AV119" i="54" s="1"/>
  <c r="AU88" i="54"/>
  <c r="AH100" i="54"/>
  <c r="AX199" i="54"/>
  <c r="AW196" i="54"/>
  <c r="AV208" i="54"/>
  <c r="AW211" i="54"/>
  <c r="AW210" i="54" s="1"/>
  <c r="AW261" i="54" s="1"/>
  <c r="AW207" i="54"/>
  <c r="AW244" i="54" s="1"/>
  <c r="AU97" i="54"/>
  <c r="AV103" i="54"/>
  <c r="AV102" i="54" s="1"/>
  <c r="AV153" i="54" s="1"/>
  <c r="AU91" i="54" l="1"/>
  <c r="AT88" i="54"/>
  <c r="AV201" i="54"/>
  <c r="AV204" i="54"/>
  <c r="AV227" i="54" s="1"/>
  <c r="AV93" i="54"/>
  <c r="AV99" i="54"/>
  <c r="AV136" i="54" s="1"/>
  <c r="AU208" i="54"/>
  <c r="AV211" i="54"/>
  <c r="AV210" i="54" s="1"/>
  <c r="AV261" i="54" s="1"/>
  <c r="AV207" i="54"/>
  <c r="AV244" i="54" s="1"/>
  <c r="AG100" i="54"/>
  <c r="AT97" i="54"/>
  <c r="AU103" i="54"/>
  <c r="AW199" i="54"/>
  <c r="AV196" i="54"/>
  <c r="AU93" i="54" l="1"/>
  <c r="AU99" i="54"/>
  <c r="AU136" i="54" s="1"/>
  <c r="AU204" i="54"/>
  <c r="AU227" i="54" s="1"/>
  <c r="AU201" i="54"/>
  <c r="AU96" i="54"/>
  <c r="AU119" i="54" s="1"/>
  <c r="AU102" i="54"/>
  <c r="AU153" i="54" s="1"/>
  <c r="AS88" i="54"/>
  <c r="AT91" i="54"/>
  <c r="AT96" i="54" s="1"/>
  <c r="AT119" i="54" s="1"/>
  <c r="AT208" i="54"/>
  <c r="AU211" i="54"/>
  <c r="AU210" i="54" s="1"/>
  <c r="AU261" i="54" s="1"/>
  <c r="AU207" i="54"/>
  <c r="AU244" i="54" s="1"/>
  <c r="AF100" i="54"/>
  <c r="AU196" i="54"/>
  <c r="AV199" i="54"/>
  <c r="AS97" i="54"/>
  <c r="AT103" i="54"/>
  <c r="AT102" i="54" l="1"/>
  <c r="AT153" i="54" s="1"/>
  <c r="AT93" i="54"/>
  <c r="AT201" i="54"/>
  <c r="AT99" i="54"/>
  <c r="AT136" i="54" s="1"/>
  <c r="AT204" i="54"/>
  <c r="AT227" i="54" s="1"/>
  <c r="AR88" i="54"/>
  <c r="AS91" i="54"/>
  <c r="AS96" i="54" s="1"/>
  <c r="AS119" i="54" s="1"/>
  <c r="AS208" i="54"/>
  <c r="AT211" i="54"/>
  <c r="AT210" i="54" s="1"/>
  <c r="AT261" i="54" s="1"/>
  <c r="AT207" i="54"/>
  <c r="AT244" i="54" s="1"/>
  <c r="AU199" i="54"/>
  <c r="AT196" i="54"/>
  <c r="AE100" i="54"/>
  <c r="AR97" i="54"/>
  <c r="AS103" i="54"/>
  <c r="AS102" i="54" s="1"/>
  <c r="AS153" i="54" s="1"/>
  <c r="AR91" i="54" l="1"/>
  <c r="AR96" i="54" s="1"/>
  <c r="AR119" i="54" s="1"/>
  <c r="AQ88" i="54"/>
  <c r="AS99" i="54"/>
  <c r="AS136" i="54" s="1"/>
  <c r="AS201" i="54"/>
  <c r="AS93" i="54"/>
  <c r="AS204" i="54"/>
  <c r="AS227" i="54" s="1"/>
  <c r="AD100" i="54"/>
  <c r="AR208" i="54"/>
  <c r="AS211" i="54"/>
  <c r="AS210" i="54" s="1"/>
  <c r="AS261" i="54" s="1"/>
  <c r="AS207" i="54"/>
  <c r="AS244" i="54" s="1"/>
  <c r="AS196" i="54"/>
  <c r="AT199" i="54"/>
  <c r="AQ97" i="54"/>
  <c r="AR103" i="54"/>
  <c r="AR201" i="54" l="1"/>
  <c r="AR93" i="54"/>
  <c r="AR99" i="54"/>
  <c r="AR136" i="54" s="1"/>
  <c r="AR204" i="54"/>
  <c r="AR227" i="54" s="1"/>
  <c r="AR102" i="54"/>
  <c r="AR153" i="54" s="1"/>
  <c r="AP88" i="54"/>
  <c r="AQ91" i="54"/>
  <c r="AC100" i="54"/>
  <c r="AS199" i="54"/>
  <c r="AR196" i="54"/>
  <c r="AQ208" i="54"/>
  <c r="AR211" i="54"/>
  <c r="AR210" i="54" s="1"/>
  <c r="AR261" i="54" s="1"/>
  <c r="AR207" i="54"/>
  <c r="AR244" i="54" s="1"/>
  <c r="AP97" i="54"/>
  <c r="AQ103" i="54"/>
  <c r="AQ102" i="54" s="1"/>
  <c r="AQ153" i="54" s="1"/>
  <c r="AQ96" i="54"/>
  <c r="AQ119" i="54" s="1"/>
  <c r="AQ99" i="54" l="1"/>
  <c r="AQ136" i="54" s="1"/>
  <c r="AQ204" i="54"/>
  <c r="AQ227" i="54" s="1"/>
  <c r="AQ93" i="54"/>
  <c r="AQ201" i="54"/>
  <c r="AO88" i="54"/>
  <c r="AP91" i="54"/>
  <c r="AP96" i="54" s="1"/>
  <c r="AP119" i="54" s="1"/>
  <c r="AP208" i="54"/>
  <c r="AQ211" i="54"/>
  <c r="AQ210" i="54" s="1"/>
  <c r="AQ261" i="54" s="1"/>
  <c r="AQ207" i="54"/>
  <c r="AQ244" i="54" s="1"/>
  <c r="AB100" i="54"/>
  <c r="AO97" i="54"/>
  <c r="AP103" i="54"/>
  <c r="AQ196" i="54"/>
  <c r="AR199" i="54"/>
  <c r="AP102" i="54" l="1"/>
  <c r="AP153" i="54" s="1"/>
  <c r="AO91" i="54"/>
  <c r="AO96" i="54" s="1"/>
  <c r="AO119" i="54" s="1"/>
  <c r="AN88" i="54"/>
  <c r="AP99" i="54"/>
  <c r="AP136" i="54" s="1"/>
  <c r="AP204" i="54"/>
  <c r="AP227" i="54" s="1"/>
  <c r="AP201" i="54"/>
  <c r="AP93" i="54"/>
  <c r="AQ199" i="54"/>
  <c r="AP196" i="54"/>
  <c r="AO208" i="54"/>
  <c r="AP211" i="54"/>
  <c r="AP210" i="54" s="1"/>
  <c r="AP261" i="54" s="1"/>
  <c r="AP207" i="54"/>
  <c r="AP244" i="54" s="1"/>
  <c r="AA100" i="54"/>
  <c r="AN97" i="54"/>
  <c r="AO103" i="54"/>
  <c r="AO201" i="54" l="1"/>
  <c r="AO204" i="54"/>
  <c r="AO227" i="54" s="1"/>
  <c r="AO93" i="54"/>
  <c r="AO99" i="54"/>
  <c r="AO136" i="54" s="1"/>
  <c r="AO102" i="54"/>
  <c r="AO153" i="54" s="1"/>
  <c r="AM88" i="54"/>
  <c r="AN91" i="54"/>
  <c r="AN96" i="54" s="1"/>
  <c r="AN119" i="54" s="1"/>
  <c r="AO211" i="54"/>
  <c r="AO210" i="54" s="1"/>
  <c r="AO261" i="54" s="1"/>
  <c r="AN208" i="54"/>
  <c r="AO207" i="54"/>
  <c r="AO244" i="54" s="1"/>
  <c r="Z100" i="54"/>
  <c r="AM97" i="54"/>
  <c r="AN103" i="54"/>
  <c r="AN102" i="54" s="1"/>
  <c r="AN153" i="54" s="1"/>
  <c r="AP199" i="54"/>
  <c r="AO196" i="54"/>
  <c r="AN204" i="54" l="1"/>
  <c r="AN227" i="54" s="1"/>
  <c r="AN201" i="54"/>
  <c r="AN93" i="54"/>
  <c r="AN99" i="54"/>
  <c r="AN136" i="54" s="1"/>
  <c r="AM91" i="54"/>
  <c r="AL88" i="54"/>
  <c r="Y100" i="54"/>
  <c r="AO199" i="54"/>
  <c r="AN196" i="54"/>
  <c r="AL97" i="54"/>
  <c r="AM103" i="54"/>
  <c r="AN211" i="54"/>
  <c r="AN210" i="54" s="1"/>
  <c r="AN261" i="54" s="1"/>
  <c r="AM208" i="54"/>
  <c r="AN207" i="54"/>
  <c r="AN244" i="54" s="1"/>
  <c r="AM201" i="54" l="1"/>
  <c r="AM204" i="54"/>
  <c r="AM227" i="54" s="1"/>
  <c r="AM99" i="54"/>
  <c r="AM136" i="54" s="1"/>
  <c r="AM93" i="54"/>
  <c r="AM96" i="54"/>
  <c r="AM119" i="54" s="1"/>
  <c r="AM102" i="54"/>
  <c r="AM153" i="54" s="1"/>
  <c r="AK88" i="54"/>
  <c r="AL91" i="54"/>
  <c r="AK97" i="54"/>
  <c r="AL103" i="54"/>
  <c r="AL96" i="54"/>
  <c r="AL119" i="54" s="1"/>
  <c r="AM211" i="54"/>
  <c r="AM210" i="54" s="1"/>
  <c r="AM261" i="54" s="1"/>
  <c r="AL208" i="54"/>
  <c r="AM207" i="54"/>
  <c r="AM244" i="54" s="1"/>
  <c r="AN199" i="54"/>
  <c r="AM196" i="54"/>
  <c r="X100" i="54"/>
  <c r="AL102" i="54" l="1"/>
  <c r="AL153" i="54" s="1"/>
  <c r="AL204" i="54"/>
  <c r="AL227" i="54" s="1"/>
  <c r="AL201" i="54"/>
  <c r="AL93" i="54"/>
  <c r="AL99" i="54"/>
  <c r="AL136" i="54" s="1"/>
  <c r="AJ88" i="54"/>
  <c r="AK91" i="54"/>
  <c r="AK96" i="54" s="1"/>
  <c r="AK119" i="54" s="1"/>
  <c r="AK208" i="54"/>
  <c r="AL211" i="54"/>
  <c r="AL210" i="54" s="1"/>
  <c r="AL261" i="54" s="1"/>
  <c r="AL207" i="54"/>
  <c r="AL244" i="54" s="1"/>
  <c r="AJ97" i="54"/>
  <c r="AK103" i="54"/>
  <c r="AM199" i="54"/>
  <c r="AL196" i="54"/>
  <c r="W100" i="54"/>
  <c r="AK102" i="54" l="1"/>
  <c r="AK153" i="54" s="1"/>
  <c r="AI88" i="54"/>
  <c r="AJ91" i="54"/>
  <c r="AJ96" i="54" s="1"/>
  <c r="AJ119" i="54" s="1"/>
  <c r="AK204" i="54"/>
  <c r="AK227" i="54" s="1"/>
  <c r="AK201" i="54"/>
  <c r="AK93" i="54"/>
  <c r="AK99" i="54"/>
  <c r="AK136" i="54" s="1"/>
  <c r="V100" i="54"/>
  <c r="AJ208" i="54"/>
  <c r="AK211" i="54"/>
  <c r="AK210" i="54" s="1"/>
  <c r="AK261" i="54" s="1"/>
  <c r="AK207" i="54"/>
  <c r="AK244" i="54" s="1"/>
  <c r="AL199" i="54"/>
  <c r="AK196" i="54"/>
  <c r="AI97" i="54"/>
  <c r="AJ103" i="54"/>
  <c r="AJ102" i="54" s="1"/>
  <c r="AJ153" i="54" s="1"/>
  <c r="AH88" i="54" l="1"/>
  <c r="AI91" i="54"/>
  <c r="AI96" i="54" s="1"/>
  <c r="AI119" i="54" s="1"/>
  <c r="AJ204" i="54"/>
  <c r="AJ227" i="54" s="1"/>
  <c r="AJ99" i="54"/>
  <c r="AJ136" i="54" s="1"/>
  <c r="AJ93" i="54"/>
  <c r="AJ201" i="54"/>
  <c r="AH97" i="54"/>
  <c r="AI103" i="54"/>
  <c r="AJ196" i="54"/>
  <c r="AK199" i="54"/>
  <c r="AI208" i="54"/>
  <c r="AJ211" i="54"/>
  <c r="AJ210" i="54" s="1"/>
  <c r="AJ261" i="54" s="1"/>
  <c r="AJ207" i="54"/>
  <c r="AJ244" i="54" s="1"/>
  <c r="U100" i="54"/>
  <c r="AI102" i="54" l="1"/>
  <c r="AI153" i="54" s="1"/>
  <c r="AG88" i="54"/>
  <c r="AH91" i="54"/>
  <c r="AI99" i="54"/>
  <c r="AI136" i="54" s="1"/>
  <c r="AI204" i="54"/>
  <c r="AI227" i="54" s="1"/>
  <c r="AI93" i="54"/>
  <c r="AI201" i="54"/>
  <c r="T100" i="54"/>
  <c r="AG97" i="54"/>
  <c r="AH103" i="54"/>
  <c r="AH96" i="54"/>
  <c r="AH119" i="54" s="1"/>
  <c r="AI196" i="54"/>
  <c r="AJ199" i="54"/>
  <c r="AH208" i="54"/>
  <c r="AI211" i="54"/>
  <c r="AI210" i="54" s="1"/>
  <c r="AI261" i="54" s="1"/>
  <c r="AI207" i="54"/>
  <c r="AI244" i="54" s="1"/>
  <c r="AH102" i="54" l="1"/>
  <c r="AH153" i="54" s="1"/>
  <c r="AG91" i="54"/>
  <c r="AG96" i="54" s="1"/>
  <c r="AG119" i="54" s="1"/>
  <c r="AG121" i="54" s="1"/>
  <c r="AF88" i="54"/>
  <c r="AH201" i="54"/>
  <c r="AH99" i="54"/>
  <c r="AH136" i="54" s="1"/>
  <c r="AH204" i="54"/>
  <c r="AH227" i="54" s="1"/>
  <c r="AH93" i="54"/>
  <c r="AG208" i="54"/>
  <c r="AH211" i="54"/>
  <c r="AH210" i="54" s="1"/>
  <c r="AH261" i="54" s="1"/>
  <c r="AH207" i="54"/>
  <c r="AH244" i="54" s="1"/>
  <c r="AF97" i="54"/>
  <c r="AG103" i="54"/>
  <c r="AH196" i="54"/>
  <c r="AI199" i="54"/>
  <c r="S100" i="54"/>
  <c r="AG99" i="54" l="1"/>
  <c r="AG136" i="54" s="1"/>
  <c r="AG201" i="54"/>
  <c r="AG204" i="54"/>
  <c r="AG227" i="54" s="1"/>
  <c r="AG229" i="54" s="1"/>
  <c r="AG93" i="54"/>
  <c r="AG102" i="54"/>
  <c r="AG153" i="54" s="1"/>
  <c r="AF91" i="54"/>
  <c r="AE88" i="54"/>
  <c r="R100" i="54"/>
  <c r="AF208" i="54"/>
  <c r="AG211" i="54"/>
  <c r="AG210" i="54" s="1"/>
  <c r="AG261" i="54" s="1"/>
  <c r="AG207" i="54"/>
  <c r="AG244" i="54" s="1"/>
  <c r="AH117" i="54"/>
  <c r="AH115" i="54"/>
  <c r="AG196" i="54"/>
  <c r="AH199" i="54"/>
  <c r="AE97" i="54"/>
  <c r="AF103" i="54"/>
  <c r="AF96" i="54"/>
  <c r="AF102" i="54" l="1"/>
  <c r="AF153" i="54" s="1"/>
  <c r="AD88" i="54"/>
  <c r="AE91" i="54"/>
  <c r="AE96" i="54" s="1"/>
  <c r="AH225" i="54"/>
  <c r="AH223" i="54"/>
  <c r="AH229" i="54" s="1"/>
  <c r="AF99" i="54"/>
  <c r="AF136" i="54" s="1"/>
  <c r="AF204" i="54"/>
  <c r="AF201" i="54"/>
  <c r="AF93" i="54"/>
  <c r="AD97" i="54"/>
  <c r="AE103" i="54"/>
  <c r="AE102" i="54" s="1"/>
  <c r="AE153" i="54" s="1"/>
  <c r="AF196" i="54"/>
  <c r="AG199" i="54"/>
  <c r="AH121" i="54"/>
  <c r="AE208" i="54"/>
  <c r="AF211" i="54"/>
  <c r="AF210" i="54" s="1"/>
  <c r="AF261" i="54" s="1"/>
  <c r="AF207" i="54"/>
  <c r="AF244" i="54" s="1"/>
  <c r="Q100" i="54"/>
  <c r="AC88" i="54" l="1"/>
  <c r="AD91" i="54"/>
  <c r="AI225" i="54"/>
  <c r="AI223" i="54"/>
  <c r="AE93" i="54"/>
  <c r="AE99" i="54"/>
  <c r="AE136" i="54" s="1"/>
  <c r="AE204" i="54"/>
  <c r="AE201" i="54"/>
  <c r="AD208" i="54"/>
  <c r="AE211" i="54"/>
  <c r="AE210" i="54" s="1"/>
  <c r="AE261" i="54" s="1"/>
  <c r="AE207" i="54"/>
  <c r="AE244" i="54" s="1"/>
  <c r="AC97" i="54"/>
  <c r="AD103" i="54"/>
  <c r="AD96" i="54"/>
  <c r="P100" i="54"/>
  <c r="AI115" i="54"/>
  <c r="AI117" i="54"/>
  <c r="AE196" i="54"/>
  <c r="AF199" i="54"/>
  <c r="AI229" i="54" l="1"/>
  <c r="AJ225" i="54" s="1"/>
  <c r="AD102" i="54"/>
  <c r="AD153" i="54" s="1"/>
  <c r="AC91" i="54"/>
  <c r="AB88" i="54"/>
  <c r="AD201" i="54"/>
  <c r="AD99" i="54"/>
  <c r="AD136" i="54" s="1"/>
  <c r="AD93" i="54"/>
  <c r="AD204" i="54"/>
  <c r="AB97" i="54"/>
  <c r="AC103" i="54"/>
  <c r="O100" i="54"/>
  <c r="AE199" i="54"/>
  <c r="AD196" i="54"/>
  <c r="AI121" i="54"/>
  <c r="AC208" i="54"/>
  <c r="AD211" i="54"/>
  <c r="AD210" i="54" s="1"/>
  <c r="AD261" i="54" s="1"/>
  <c r="AD207" i="54"/>
  <c r="AD244" i="54" s="1"/>
  <c r="AJ223" i="54" l="1"/>
  <c r="AJ229" i="54" s="1"/>
  <c r="AK225" i="54" s="1"/>
  <c r="AC93" i="54"/>
  <c r="AC201" i="54"/>
  <c r="AC204" i="54"/>
  <c r="AC99" i="54"/>
  <c r="AC136" i="54" s="1"/>
  <c r="AC96" i="54"/>
  <c r="AC102" i="54"/>
  <c r="AC153" i="54" s="1"/>
  <c r="AA88" i="54"/>
  <c r="AB91" i="54"/>
  <c r="AB96" i="54" s="1"/>
  <c r="AJ115" i="54"/>
  <c r="AJ117" i="54"/>
  <c r="N100" i="54"/>
  <c r="AC211" i="54"/>
  <c r="AC210" i="54" s="1"/>
  <c r="AC261" i="54" s="1"/>
  <c r="AB208" i="54"/>
  <c r="AC207" i="54"/>
  <c r="AC244" i="54" s="1"/>
  <c r="AC196" i="54"/>
  <c r="AD199" i="54"/>
  <c r="AA97" i="54"/>
  <c r="AB103" i="54"/>
  <c r="AK223" i="54" l="1"/>
  <c r="AK229" i="54" s="1"/>
  <c r="AB102" i="54"/>
  <c r="AB153" i="54" s="1"/>
  <c r="AJ121" i="54"/>
  <c r="AK115" i="54" s="1"/>
  <c r="Z88" i="54"/>
  <c r="AA91" i="54"/>
  <c r="AB93" i="54"/>
  <c r="AB99" i="54"/>
  <c r="AB136" i="54" s="1"/>
  <c r="AB201" i="54"/>
  <c r="AB204" i="54"/>
  <c r="M100" i="54"/>
  <c r="AA208" i="54"/>
  <c r="AB211" i="54"/>
  <c r="AB210" i="54" s="1"/>
  <c r="AB261" i="54" s="1"/>
  <c r="AB207" i="54"/>
  <c r="AB244" i="54" s="1"/>
  <c r="Z97" i="54"/>
  <c r="AA103" i="54"/>
  <c r="AA102" i="54" s="1"/>
  <c r="AA153" i="54" s="1"/>
  <c r="AA96" i="54"/>
  <c r="AC199" i="54"/>
  <c r="AB196" i="54"/>
  <c r="AK117" i="54" l="1"/>
  <c r="AK121" i="54" s="1"/>
  <c r="AL117" i="54" s="1"/>
  <c r="Z91" i="54"/>
  <c r="Z96" i="54" s="1"/>
  <c r="Y88" i="54"/>
  <c r="AL223" i="54"/>
  <c r="AL225" i="54"/>
  <c r="AA201" i="54"/>
  <c r="AA93" i="54"/>
  <c r="AA204" i="54"/>
  <c r="AA99" i="54"/>
  <c r="AA136" i="54" s="1"/>
  <c r="AB199" i="54"/>
  <c r="AA196" i="54"/>
  <c r="Y97" i="54"/>
  <c r="Z103" i="54"/>
  <c r="Z208" i="54"/>
  <c r="AA211" i="54"/>
  <c r="AA210" i="54" s="1"/>
  <c r="AA261" i="54" s="1"/>
  <c r="AA207" i="54"/>
  <c r="AA244" i="54" s="1"/>
  <c r="L100" i="54"/>
  <c r="AL115" i="54" l="1"/>
  <c r="AL121" i="54" s="1"/>
  <c r="Z102" i="54"/>
  <c r="Z153" i="54" s="1"/>
  <c r="AL229" i="54"/>
  <c r="Z201" i="54"/>
  <c r="Z204" i="54"/>
  <c r="Z93" i="54"/>
  <c r="Z99" i="54"/>
  <c r="Z136" i="54" s="1"/>
  <c r="X88" i="54"/>
  <c r="Y91" i="54"/>
  <c r="X97" i="54"/>
  <c r="Y103" i="54"/>
  <c r="K100" i="54"/>
  <c r="Y208" i="54"/>
  <c r="Z211" i="54"/>
  <c r="Z210" i="54" s="1"/>
  <c r="Z261" i="54" s="1"/>
  <c r="Z207" i="54"/>
  <c r="Z244" i="54" s="1"/>
  <c r="Z196" i="54"/>
  <c r="AA199" i="54"/>
  <c r="AM117" i="54" l="1"/>
  <c r="AM115" i="54"/>
  <c r="AM121" i="54" s="1"/>
  <c r="Y102" i="54"/>
  <c r="Y153" i="54" s="1"/>
  <c r="Y201" i="54"/>
  <c r="Y204" i="54"/>
  <c r="Y93" i="54"/>
  <c r="Y99" i="54"/>
  <c r="Y136" i="54" s="1"/>
  <c r="W88" i="54"/>
  <c r="X91" i="54"/>
  <c r="X96" i="54" s="1"/>
  <c r="Y96" i="54"/>
  <c r="AM225" i="54"/>
  <c r="AM223" i="54"/>
  <c r="W97" i="54"/>
  <c r="X103" i="54"/>
  <c r="Y196" i="54"/>
  <c r="Z199" i="54"/>
  <c r="J100" i="54"/>
  <c r="X208" i="54"/>
  <c r="Y211" i="54"/>
  <c r="Y210" i="54" s="1"/>
  <c r="Y261" i="54" s="1"/>
  <c r="Y207" i="54"/>
  <c r="Y244" i="54" s="1"/>
  <c r="AM229" i="54" l="1"/>
  <c r="AN225" i="54" s="1"/>
  <c r="X102" i="54"/>
  <c r="X153" i="54" s="1"/>
  <c r="W91" i="54"/>
  <c r="V88" i="54"/>
  <c r="X93" i="54"/>
  <c r="X201" i="54"/>
  <c r="X204" i="54"/>
  <c r="X99" i="54"/>
  <c r="X136" i="54" s="1"/>
  <c r="Y199" i="54"/>
  <c r="X196" i="54"/>
  <c r="I100" i="54"/>
  <c r="X211" i="54"/>
  <c r="X210" i="54" s="1"/>
  <c r="X261" i="54" s="1"/>
  <c r="W208" i="54"/>
  <c r="X207" i="54"/>
  <c r="X244" i="54" s="1"/>
  <c r="AN117" i="54"/>
  <c r="AN115" i="54"/>
  <c r="AN121" i="54" s="1"/>
  <c r="V97" i="54"/>
  <c r="W103" i="54"/>
  <c r="AN223" i="54" l="1"/>
  <c r="AN229" i="54" s="1"/>
  <c r="AO223" i="54" s="1"/>
  <c r="AO229" i="54" s="1"/>
  <c r="AO225" i="54"/>
  <c r="W201" i="54"/>
  <c r="W99" i="54"/>
  <c r="W136" i="54" s="1"/>
  <c r="W93" i="54"/>
  <c r="W204" i="54"/>
  <c r="W96" i="54"/>
  <c r="W102" i="54"/>
  <c r="W153" i="54" s="1"/>
  <c r="V91" i="54"/>
  <c r="U88" i="54"/>
  <c r="AO117" i="54"/>
  <c r="AO115" i="54"/>
  <c r="H100" i="54"/>
  <c r="W211" i="54"/>
  <c r="W210" i="54" s="1"/>
  <c r="W261" i="54" s="1"/>
  <c r="V208" i="54"/>
  <c r="W207" i="54"/>
  <c r="W244" i="54" s="1"/>
  <c r="U97" i="54"/>
  <c r="V103" i="54"/>
  <c r="X199" i="54"/>
  <c r="W196" i="54"/>
  <c r="V102" i="54" l="1"/>
  <c r="V153" i="54" s="1"/>
  <c r="AP225" i="54"/>
  <c r="AP223" i="54"/>
  <c r="V204" i="54"/>
  <c r="V201" i="54"/>
  <c r="V93" i="54"/>
  <c r="V99" i="54"/>
  <c r="V136" i="54" s="1"/>
  <c r="V96" i="54"/>
  <c r="T88" i="54"/>
  <c r="U91" i="54"/>
  <c r="T97" i="54"/>
  <c r="U103" i="54"/>
  <c r="U102" i="54" s="1"/>
  <c r="U153" i="54" s="1"/>
  <c r="G100" i="54"/>
  <c r="W199" i="54"/>
  <c r="V196" i="54"/>
  <c r="U208" i="54"/>
  <c r="V211" i="54"/>
  <c r="V210" i="54" s="1"/>
  <c r="V261" i="54" s="1"/>
  <c r="V207" i="54"/>
  <c r="V244" i="54" s="1"/>
  <c r="AO121" i="54"/>
  <c r="T91" i="54" l="1"/>
  <c r="S88" i="54"/>
  <c r="U93" i="54"/>
  <c r="U204" i="54"/>
  <c r="U99" i="54"/>
  <c r="U136" i="54" s="1"/>
  <c r="U201" i="54"/>
  <c r="U96" i="54"/>
  <c r="AP229" i="54"/>
  <c r="U211" i="54"/>
  <c r="U210" i="54" s="1"/>
  <c r="U261" i="54" s="1"/>
  <c r="T208" i="54"/>
  <c r="U207" i="54"/>
  <c r="U244" i="54" s="1"/>
  <c r="AP115" i="54"/>
  <c r="AP117" i="54"/>
  <c r="F100" i="54"/>
  <c r="V199" i="54"/>
  <c r="U196" i="54"/>
  <c r="S97" i="54"/>
  <c r="T103" i="54"/>
  <c r="T102" i="54" l="1"/>
  <c r="T153" i="54" s="1"/>
  <c r="AQ225" i="54"/>
  <c r="AQ223" i="54"/>
  <c r="AP121" i="54"/>
  <c r="AQ117" i="54" s="1"/>
  <c r="T93" i="54"/>
  <c r="T99" i="54"/>
  <c r="T136" i="54" s="1"/>
  <c r="T204" i="54"/>
  <c r="T201" i="54"/>
  <c r="T96" i="54"/>
  <c r="R88" i="54"/>
  <c r="S91" i="54"/>
  <c r="S96" i="54" s="1"/>
  <c r="AQ115" i="54"/>
  <c r="R97" i="54"/>
  <c r="S103" i="54"/>
  <c r="S102" i="54" s="1"/>
  <c r="S153" i="54" s="1"/>
  <c r="E100" i="54"/>
  <c r="T211" i="54"/>
  <c r="T210" i="54" s="1"/>
  <c r="T261" i="54" s="1"/>
  <c r="S208" i="54"/>
  <c r="T207" i="54"/>
  <c r="T244" i="54" s="1"/>
  <c r="U199" i="54"/>
  <c r="T196" i="54"/>
  <c r="Q88" i="54" l="1"/>
  <c r="R91" i="54"/>
  <c r="R96" i="54" s="1"/>
  <c r="S93" i="54"/>
  <c r="S201" i="54"/>
  <c r="S99" i="54"/>
  <c r="S136" i="54" s="1"/>
  <c r="S204" i="54"/>
  <c r="AQ229" i="54"/>
  <c r="T199" i="54"/>
  <c r="S196" i="54"/>
  <c r="D100" i="54"/>
  <c r="Q97" i="54"/>
  <c r="R103" i="54"/>
  <c r="R102" i="54" s="1"/>
  <c r="R153" i="54" s="1"/>
  <c r="S211" i="54"/>
  <c r="S210" i="54" s="1"/>
  <c r="S261" i="54" s="1"/>
  <c r="R208" i="54"/>
  <c r="S207" i="54"/>
  <c r="S244" i="54" s="1"/>
  <c r="AQ121" i="54"/>
  <c r="P88" i="54" l="1"/>
  <c r="Q91" i="54"/>
  <c r="Q96" i="54" s="1"/>
  <c r="AR225" i="54"/>
  <c r="AR223" i="54"/>
  <c r="AR229" i="54" s="1"/>
  <c r="R201" i="54"/>
  <c r="R204" i="54"/>
  <c r="R99" i="54"/>
  <c r="R136" i="54" s="1"/>
  <c r="R93" i="54"/>
  <c r="AR117" i="54"/>
  <c r="AR115" i="54"/>
  <c r="C100" i="54"/>
  <c r="S199" i="54"/>
  <c r="R196" i="54"/>
  <c r="Q208" i="54"/>
  <c r="R211" i="54"/>
  <c r="R210" i="54" s="1"/>
  <c r="R261" i="54" s="1"/>
  <c r="R207" i="54"/>
  <c r="R244" i="54" s="1"/>
  <c r="P97" i="54"/>
  <c r="Q103" i="54"/>
  <c r="Q102" i="54" s="1"/>
  <c r="Q153" i="54" s="1"/>
  <c r="P91" i="54" l="1"/>
  <c r="P96" i="54" s="1"/>
  <c r="O88" i="54"/>
  <c r="AS223" i="54"/>
  <c r="AS225" i="54"/>
  <c r="AR121" i="54"/>
  <c r="AS115" i="54" s="1"/>
  <c r="Q201" i="54"/>
  <c r="Q93" i="54"/>
  <c r="Q204" i="54"/>
  <c r="Q99" i="54"/>
  <c r="Q136" i="54" s="1"/>
  <c r="Q196" i="54"/>
  <c r="R199" i="54"/>
  <c r="P208" i="54"/>
  <c r="Q211" i="54"/>
  <c r="Q210" i="54" s="1"/>
  <c r="Q261" i="54" s="1"/>
  <c r="Q207" i="54"/>
  <c r="Q244" i="54" s="1"/>
  <c r="O97" i="54"/>
  <c r="P103" i="54"/>
  <c r="AS117" i="54" l="1"/>
  <c r="AS121" i="54" s="1"/>
  <c r="P102" i="54"/>
  <c r="P153" i="54" s="1"/>
  <c r="AS229" i="54"/>
  <c r="P93" i="54"/>
  <c r="P201" i="54"/>
  <c r="P204" i="54"/>
  <c r="P99" i="54"/>
  <c r="P136" i="54" s="1"/>
  <c r="N88" i="54"/>
  <c r="O91" i="54"/>
  <c r="Q199" i="54"/>
  <c r="P196" i="54"/>
  <c r="O208" i="54"/>
  <c r="P211" i="54"/>
  <c r="P210" i="54" s="1"/>
  <c r="P261" i="54" s="1"/>
  <c r="P207" i="54"/>
  <c r="P244" i="54" s="1"/>
  <c r="N97" i="54"/>
  <c r="O103" i="54"/>
  <c r="O96" i="54"/>
  <c r="O102" i="54" l="1"/>
  <c r="O153" i="54" s="1"/>
  <c r="O99" i="54"/>
  <c r="O136" i="54" s="1"/>
  <c r="O93" i="54"/>
  <c r="O204" i="54"/>
  <c r="O201" i="54"/>
  <c r="M88" i="54"/>
  <c r="N91" i="54"/>
  <c r="AT225" i="54"/>
  <c r="AT223" i="54"/>
  <c r="N208" i="54"/>
  <c r="O211" i="54"/>
  <c r="O210" i="54" s="1"/>
  <c r="O261" i="54" s="1"/>
  <c r="O207" i="54"/>
  <c r="O244" i="54" s="1"/>
  <c r="M97" i="54"/>
  <c r="N103" i="54"/>
  <c r="N96" i="54"/>
  <c r="AT117" i="54"/>
  <c r="AT115" i="54"/>
  <c r="O196" i="54"/>
  <c r="P199" i="54"/>
  <c r="N102" i="54" l="1"/>
  <c r="N153" i="54" s="1"/>
  <c r="AT229" i="54"/>
  <c r="AU225" i="54" s="1"/>
  <c r="AT121" i="54"/>
  <c r="AU115" i="54" s="1"/>
  <c r="AU223" i="54"/>
  <c r="L88" i="54"/>
  <c r="M91" i="54"/>
  <c r="N201" i="54"/>
  <c r="N99" i="54"/>
  <c r="N136" i="54" s="1"/>
  <c r="N93" i="54"/>
  <c r="N204" i="54"/>
  <c r="M208" i="54"/>
  <c r="N211" i="54"/>
  <c r="N210" i="54" s="1"/>
  <c r="N261" i="54" s="1"/>
  <c r="N207" i="54"/>
  <c r="N244" i="54" s="1"/>
  <c r="L97" i="54"/>
  <c r="M103" i="54"/>
  <c r="O199" i="54"/>
  <c r="N196" i="54"/>
  <c r="M201" i="54" l="1"/>
  <c r="M99" i="54"/>
  <c r="M136" i="54" s="1"/>
  <c r="M93" i="54"/>
  <c r="M204" i="54"/>
  <c r="AU117" i="54"/>
  <c r="AU121" i="54" s="1"/>
  <c r="M96" i="54"/>
  <c r="L91" i="54"/>
  <c r="K88" i="54"/>
  <c r="M102" i="54"/>
  <c r="M153" i="54" s="1"/>
  <c r="AU229" i="54"/>
  <c r="N199" i="54"/>
  <c r="M196" i="54"/>
  <c r="K97" i="54"/>
  <c r="L103" i="54"/>
  <c r="L96" i="54"/>
  <c r="L208" i="54"/>
  <c r="M211" i="54"/>
  <c r="M210" i="54" s="1"/>
  <c r="M261" i="54" s="1"/>
  <c r="M207" i="54"/>
  <c r="M244" i="54" s="1"/>
  <c r="L102" i="54" l="1"/>
  <c r="L153" i="54" s="1"/>
  <c r="J88" i="54"/>
  <c r="K91" i="54"/>
  <c r="K96" i="54" s="1"/>
  <c r="L93" i="54"/>
  <c r="L201" i="54"/>
  <c r="L99" i="54"/>
  <c r="L136" i="54" s="1"/>
  <c r="L204" i="54"/>
  <c r="AV223" i="54"/>
  <c r="AV225" i="54"/>
  <c r="K208" i="54"/>
  <c r="L211" i="54"/>
  <c r="L210" i="54" s="1"/>
  <c r="L261" i="54" s="1"/>
  <c r="L207" i="54"/>
  <c r="L244" i="54" s="1"/>
  <c r="M199" i="54"/>
  <c r="L196" i="54"/>
  <c r="J97" i="54"/>
  <c r="K103" i="54"/>
  <c r="AV115" i="54"/>
  <c r="AV117" i="54"/>
  <c r="AV121" i="54" l="1"/>
  <c r="AW115" i="54" s="1"/>
  <c r="K102" i="54"/>
  <c r="K153" i="54" s="1"/>
  <c r="AV229" i="54"/>
  <c r="AW223" i="54" s="1"/>
  <c r="J91" i="54"/>
  <c r="J96" i="54" s="1"/>
  <c r="I88" i="54"/>
  <c r="AW225" i="54"/>
  <c r="K204" i="54"/>
  <c r="K201" i="54"/>
  <c r="K93" i="54"/>
  <c r="K99" i="54"/>
  <c r="K136" i="54" s="1"/>
  <c r="I97" i="54"/>
  <c r="J103" i="54"/>
  <c r="L199" i="54"/>
  <c r="K196" i="54"/>
  <c r="J208" i="54"/>
  <c r="K211" i="54"/>
  <c r="K210" i="54" s="1"/>
  <c r="K261" i="54" s="1"/>
  <c r="K207" i="54"/>
  <c r="K244" i="54" s="1"/>
  <c r="AW117" i="54" l="1"/>
  <c r="AW121" i="54" s="1"/>
  <c r="J102" i="54"/>
  <c r="J153" i="54" s="1"/>
  <c r="AW229" i="54"/>
  <c r="J201" i="54"/>
  <c r="J204" i="54"/>
  <c r="J93" i="54"/>
  <c r="J99" i="54"/>
  <c r="J136" i="54" s="1"/>
  <c r="H88" i="54"/>
  <c r="I91" i="54"/>
  <c r="I208" i="54"/>
  <c r="J211" i="54"/>
  <c r="J210" i="54" s="1"/>
  <c r="J261" i="54" s="1"/>
  <c r="J207" i="54"/>
  <c r="J244" i="54" s="1"/>
  <c r="K199" i="54"/>
  <c r="J196" i="54"/>
  <c r="H97" i="54"/>
  <c r="I103" i="54"/>
  <c r="I96" i="54"/>
  <c r="I102" i="54" l="1"/>
  <c r="I153" i="54" s="1"/>
  <c r="I99" i="54"/>
  <c r="I136" i="54" s="1"/>
  <c r="I204" i="54"/>
  <c r="I201" i="54"/>
  <c r="I93" i="54"/>
  <c r="H91" i="54"/>
  <c r="G88" i="54"/>
  <c r="AX223" i="54"/>
  <c r="AX225" i="54"/>
  <c r="G97" i="54"/>
  <c r="H103" i="54"/>
  <c r="H96" i="54"/>
  <c r="I196" i="54"/>
  <c r="J199" i="54"/>
  <c r="AX115" i="54"/>
  <c r="AX117" i="54"/>
  <c r="H208" i="54"/>
  <c r="I211" i="54"/>
  <c r="I210" i="54" s="1"/>
  <c r="I261" i="54" s="1"/>
  <c r="I207" i="54"/>
  <c r="I244" i="54" s="1"/>
  <c r="H201" i="54" l="1"/>
  <c r="H93" i="54"/>
  <c r="H204" i="54"/>
  <c r="H99" i="54"/>
  <c r="H136" i="54" s="1"/>
  <c r="AX121" i="54"/>
  <c r="AY117" i="54" s="1"/>
  <c r="H102" i="54"/>
  <c r="H153" i="54" s="1"/>
  <c r="AX229" i="54"/>
  <c r="G91" i="54"/>
  <c r="F88" i="54"/>
  <c r="G208" i="54"/>
  <c r="H211" i="54"/>
  <c r="H210" i="54" s="1"/>
  <c r="H261" i="54" s="1"/>
  <c r="H207" i="54"/>
  <c r="H244" i="54" s="1"/>
  <c r="AY115" i="54"/>
  <c r="F97" i="54"/>
  <c r="G103" i="54"/>
  <c r="G102" i="54" s="1"/>
  <c r="G153" i="54" s="1"/>
  <c r="G96" i="54"/>
  <c r="H196" i="54"/>
  <c r="I199" i="54"/>
  <c r="F91" i="54" l="1"/>
  <c r="F96" i="54" s="1"/>
  <c r="E88" i="54"/>
  <c r="G204" i="54"/>
  <c r="G93" i="54"/>
  <c r="G201" i="54"/>
  <c r="G99" i="54"/>
  <c r="G136" i="54" s="1"/>
  <c r="AY225" i="54"/>
  <c r="AY223" i="54"/>
  <c r="G196" i="54"/>
  <c r="H199" i="54"/>
  <c r="E97" i="54"/>
  <c r="F103" i="54"/>
  <c r="AY121" i="54"/>
  <c r="G211" i="54"/>
  <c r="G210" i="54" s="1"/>
  <c r="G261" i="54" s="1"/>
  <c r="F208" i="54"/>
  <c r="G207" i="54"/>
  <c r="G244" i="54" s="1"/>
  <c r="AY229" i="54" l="1"/>
  <c r="AZ223" i="54" s="1"/>
  <c r="AZ225" i="54"/>
  <c r="F204" i="54"/>
  <c r="F99" i="54"/>
  <c r="F136" i="54" s="1"/>
  <c r="F201" i="54"/>
  <c r="F93" i="54"/>
  <c r="F102" i="54"/>
  <c r="F153" i="54" s="1"/>
  <c r="D88" i="54"/>
  <c r="E91" i="54"/>
  <c r="E208" i="54"/>
  <c r="F211" i="54"/>
  <c r="F210" i="54" s="1"/>
  <c r="F261" i="54" s="1"/>
  <c r="F207" i="54"/>
  <c r="F244" i="54" s="1"/>
  <c r="F196" i="54"/>
  <c r="G199" i="54"/>
  <c r="AZ115" i="54"/>
  <c r="AZ117" i="54"/>
  <c r="D97" i="54"/>
  <c r="E103" i="54"/>
  <c r="E96" i="54"/>
  <c r="AZ229" i="54" l="1"/>
  <c r="BA225" i="54" s="1"/>
  <c r="E102" i="54"/>
  <c r="E153" i="54" s="1"/>
  <c r="D91" i="54"/>
  <c r="C88" i="54"/>
  <c r="C91" i="54" s="1"/>
  <c r="E204" i="54"/>
  <c r="E93" i="54"/>
  <c r="E201" i="54"/>
  <c r="E99" i="54"/>
  <c r="E136" i="54" s="1"/>
  <c r="BA223" i="54"/>
  <c r="AZ121" i="54"/>
  <c r="BA115" i="54" s="1"/>
  <c r="D208" i="54"/>
  <c r="E211" i="54"/>
  <c r="E210" i="54" s="1"/>
  <c r="E261" i="54" s="1"/>
  <c r="E207" i="54"/>
  <c r="E244" i="54" s="1"/>
  <c r="F199" i="54"/>
  <c r="E196" i="54"/>
  <c r="C97" i="54"/>
  <c r="D103" i="54"/>
  <c r="D96" i="54"/>
  <c r="D102" i="54" l="1"/>
  <c r="D153" i="54" s="1"/>
  <c r="BA117" i="54"/>
  <c r="BA121" i="54" s="1"/>
  <c r="BA229" i="54"/>
  <c r="C201" i="54"/>
  <c r="C93" i="54"/>
  <c r="C99" i="54"/>
  <c r="C136" i="54" s="1"/>
  <c r="C138" i="54" s="1"/>
  <c r="C204" i="54"/>
  <c r="D99" i="54"/>
  <c r="D136" i="54" s="1"/>
  <c r="D93" i="54"/>
  <c r="D204" i="54"/>
  <c r="D201" i="54"/>
  <c r="C208" i="54"/>
  <c r="D211" i="54"/>
  <c r="D210" i="54" s="1"/>
  <c r="D261" i="54" s="1"/>
  <c r="D207" i="54"/>
  <c r="D244" i="54" s="1"/>
  <c r="D196" i="54"/>
  <c r="E199" i="54"/>
  <c r="C103" i="54"/>
  <c r="C102" i="54" s="1"/>
  <c r="C153" i="54" s="1"/>
  <c r="C155" i="54" s="1"/>
  <c r="C96" i="54"/>
  <c r="BB117" i="54" l="1"/>
  <c r="BB115" i="54"/>
  <c r="D134" i="54"/>
  <c r="D132" i="54"/>
  <c r="BB225" i="54"/>
  <c r="BB223" i="54"/>
  <c r="D149" i="54"/>
  <c r="D151" i="54"/>
  <c r="C211" i="54"/>
  <c r="C210" i="54" s="1"/>
  <c r="C261" i="54" s="1"/>
  <c r="C263" i="54" s="1"/>
  <c r="C207" i="54"/>
  <c r="C244" i="54" s="1"/>
  <c r="C246" i="54" s="1"/>
  <c r="BB121" i="54"/>
  <c r="D199" i="54"/>
  <c r="C196" i="54"/>
  <c r="C199" i="54" s="1"/>
  <c r="BB229" i="54" l="1"/>
  <c r="BC223" i="54" s="1"/>
  <c r="D155" i="54"/>
  <c r="E149" i="54" s="1"/>
  <c r="BC225" i="54"/>
  <c r="D138" i="54"/>
  <c r="D240" i="54"/>
  <c r="D242" i="54"/>
  <c r="D257" i="54"/>
  <c r="D259" i="54"/>
  <c r="BC115" i="54"/>
  <c r="BC117" i="54"/>
  <c r="E151" i="54" l="1"/>
  <c r="E155" i="54" s="1"/>
  <c r="E132" i="54"/>
  <c r="E134" i="54"/>
  <c r="D246" i="54"/>
  <c r="E240" i="54" s="1"/>
  <c r="BC229" i="54"/>
  <c r="D263" i="54"/>
  <c r="BC121" i="54"/>
  <c r="E242" i="54" l="1"/>
  <c r="E138" i="54"/>
  <c r="F132" i="54" s="1"/>
  <c r="E246" i="54"/>
  <c r="F242" i="54" s="1"/>
  <c r="BD223" i="54"/>
  <c r="BD225" i="54"/>
  <c r="F151" i="54"/>
  <c r="F149" i="54"/>
  <c r="BD117" i="54"/>
  <c r="BD115" i="54"/>
  <c r="BD121" i="54" s="1"/>
  <c r="E259" i="54"/>
  <c r="E257" i="54"/>
  <c r="F134" i="54" l="1"/>
  <c r="F138" i="54" s="1"/>
  <c r="F240" i="54"/>
  <c r="F246" i="54" s="1"/>
  <c r="G240" i="54" s="1"/>
  <c r="BD229" i="54"/>
  <c r="BE115" i="54"/>
  <c r="BE117" i="54"/>
  <c r="E263" i="54"/>
  <c r="F155" i="54"/>
  <c r="G246" i="54" l="1"/>
  <c r="H240" i="54" s="1"/>
  <c r="G242" i="54"/>
  <c r="G134" i="54"/>
  <c r="G132" i="54"/>
  <c r="BE225" i="54"/>
  <c r="BE223" i="54"/>
  <c r="BE121" i="54"/>
  <c r="F259" i="54"/>
  <c r="F257" i="54"/>
  <c r="G149" i="54"/>
  <c r="G151" i="54"/>
  <c r="H242" i="54" l="1"/>
  <c r="H246" i="54" s="1"/>
  <c r="BE229" i="54"/>
  <c r="BF223" i="54"/>
  <c r="BF225" i="54"/>
  <c r="F263" i="54"/>
  <c r="G257" i="54" s="1"/>
  <c r="G138" i="54"/>
  <c r="BF115" i="54"/>
  <c r="BF117" i="54"/>
  <c r="G259" i="54"/>
  <c r="G155" i="54"/>
  <c r="BF229" i="54" l="1"/>
  <c r="BG223" i="54" s="1"/>
  <c r="BG225" i="54"/>
  <c r="H132" i="54"/>
  <c r="H134" i="54"/>
  <c r="I242" i="54"/>
  <c r="I240" i="54"/>
  <c r="G263" i="54"/>
  <c r="BF121" i="54"/>
  <c r="H149" i="54"/>
  <c r="H151" i="54"/>
  <c r="BG229" i="54" l="1"/>
  <c r="BH223" i="54" s="1"/>
  <c r="H138" i="54"/>
  <c r="I132" i="54" s="1"/>
  <c r="BH225" i="54"/>
  <c r="H259" i="54"/>
  <c r="H257" i="54"/>
  <c r="H155" i="54"/>
  <c r="BG115" i="54"/>
  <c r="BG117" i="54"/>
  <c r="I246" i="54"/>
  <c r="BH229" i="54" l="1"/>
  <c r="BI225" i="54" s="1"/>
  <c r="I134" i="54"/>
  <c r="BG121" i="54"/>
  <c r="BH117" i="54" s="1"/>
  <c r="BI223" i="54"/>
  <c r="H263" i="54"/>
  <c r="I259" i="54" s="1"/>
  <c r="I138" i="54"/>
  <c r="J242" i="54"/>
  <c r="J240" i="54"/>
  <c r="I257" i="54"/>
  <c r="I151" i="54"/>
  <c r="I149" i="54"/>
  <c r="BI229" i="54" l="1"/>
  <c r="BJ225" i="54" s="1"/>
  <c r="BH115" i="54"/>
  <c r="J132" i="54"/>
  <c r="J134" i="54"/>
  <c r="I263" i="54"/>
  <c r="J257" i="54" s="1"/>
  <c r="BH121" i="54"/>
  <c r="BI117" i="54" s="1"/>
  <c r="BJ223" i="54"/>
  <c r="J259" i="54"/>
  <c r="BI115" i="54"/>
  <c r="I155" i="54"/>
  <c r="J246" i="54"/>
  <c r="BJ229" i="54" l="1"/>
  <c r="BK225" i="54" s="1"/>
  <c r="J138" i="54"/>
  <c r="K132" i="54" s="1"/>
  <c r="K134" i="54"/>
  <c r="BI121" i="54"/>
  <c r="BJ117" i="54" s="1"/>
  <c r="BK223" i="54"/>
  <c r="K242" i="54"/>
  <c r="K240" i="54"/>
  <c r="J149" i="54"/>
  <c r="J151" i="54"/>
  <c r="J263" i="54"/>
  <c r="BJ115" i="54" l="1"/>
  <c r="BJ121" i="54" s="1"/>
  <c r="K138" i="54"/>
  <c r="L134" i="54" s="1"/>
  <c r="BK229" i="54"/>
  <c r="K246" i="54"/>
  <c r="K259" i="54"/>
  <c r="K257" i="54"/>
  <c r="J155" i="54"/>
  <c r="L132" i="54" l="1"/>
  <c r="L138" i="54" s="1"/>
  <c r="M132" i="54" s="1"/>
  <c r="BL225" i="54"/>
  <c r="BL223" i="54"/>
  <c r="K263" i="54"/>
  <c r="L259" i="54" s="1"/>
  <c r="L240" i="54"/>
  <c r="L242" i="54"/>
  <c r="BK115" i="54"/>
  <c r="BK117" i="54"/>
  <c r="K151" i="54"/>
  <c r="K149" i="54"/>
  <c r="L257" i="54" l="1"/>
  <c r="L263" i="54" s="1"/>
  <c r="M134" i="54"/>
  <c r="M138" i="54" s="1"/>
  <c r="N134" i="54" s="1"/>
  <c r="L246" i="54"/>
  <c r="M240" i="54" s="1"/>
  <c r="BK121" i="54"/>
  <c r="BL117" i="54" s="1"/>
  <c r="BL229" i="54"/>
  <c r="K155" i="54"/>
  <c r="BL115" i="54"/>
  <c r="M242" i="54" l="1"/>
  <c r="M246" i="54" s="1"/>
  <c r="N132" i="54"/>
  <c r="N138" i="54" s="1"/>
  <c r="O134" i="54" s="1"/>
  <c r="BM223" i="54"/>
  <c r="BM225" i="54"/>
  <c r="BL121" i="54"/>
  <c r="M259" i="54"/>
  <c r="M257" i="54"/>
  <c r="L149" i="54"/>
  <c r="L151" i="54"/>
  <c r="M263" i="54" l="1"/>
  <c r="N257" i="54" s="1"/>
  <c r="N242" i="54"/>
  <c r="N240" i="54"/>
  <c r="BM229" i="54"/>
  <c r="BN225" i="54" s="1"/>
  <c r="O132" i="54"/>
  <c r="O138" i="54" s="1"/>
  <c r="P134" i="54" s="1"/>
  <c r="BM117" i="54"/>
  <c r="BM115" i="54"/>
  <c r="L155" i="54"/>
  <c r="N259" i="54" l="1"/>
  <c r="N263" i="54" s="1"/>
  <c r="N246" i="54"/>
  <c r="O242" i="54" s="1"/>
  <c r="BN223" i="54"/>
  <c r="BN229" i="54" s="1"/>
  <c r="BO225" i="54" s="1"/>
  <c r="P132" i="54"/>
  <c r="P138" i="54" s="1"/>
  <c r="M149" i="54"/>
  <c r="M151" i="54"/>
  <c r="BM121" i="54"/>
  <c r="BO223" i="54" l="1"/>
  <c r="O240" i="54"/>
  <c r="O246" i="54" s="1"/>
  <c r="Q134" i="54"/>
  <c r="Q132" i="54"/>
  <c r="BO229" i="54"/>
  <c r="BN117" i="54"/>
  <c r="BN115" i="54"/>
  <c r="O259" i="54"/>
  <c r="O257" i="54"/>
  <c r="M155" i="54"/>
  <c r="P242" i="54" l="1"/>
  <c r="P240" i="54"/>
  <c r="BP225" i="54"/>
  <c r="BP223" i="54"/>
  <c r="Q138" i="54"/>
  <c r="O263" i="54"/>
  <c r="N149" i="54"/>
  <c r="N151" i="54"/>
  <c r="BN121" i="54"/>
  <c r="P246" i="54" l="1"/>
  <c r="Q242" i="54" s="1"/>
  <c r="R132" i="54"/>
  <c r="R134" i="54"/>
  <c r="N155" i="54"/>
  <c r="O151" i="54" s="1"/>
  <c r="BP229" i="54"/>
  <c r="P259" i="54"/>
  <c r="P257" i="54"/>
  <c r="BO117" i="54"/>
  <c r="BO115" i="54"/>
  <c r="Q240" i="54" l="1"/>
  <c r="O149" i="54"/>
  <c r="O155" i="54" s="1"/>
  <c r="R138" i="54"/>
  <c r="S132" i="54" s="1"/>
  <c r="BQ225" i="54"/>
  <c r="BQ223" i="54"/>
  <c r="P263" i="54"/>
  <c r="Q246" i="54"/>
  <c r="BO121" i="54"/>
  <c r="BQ229" i="54" l="1"/>
  <c r="S134" i="54"/>
  <c r="S138" i="54" s="1"/>
  <c r="BR225" i="54"/>
  <c r="BR223" i="54"/>
  <c r="P149" i="54"/>
  <c r="P151" i="54"/>
  <c r="Q259" i="54"/>
  <c r="Q257" i="54"/>
  <c r="BP117" i="54"/>
  <c r="BP115" i="54"/>
  <c r="R242" i="54"/>
  <c r="R240" i="54"/>
  <c r="T132" i="54" l="1"/>
  <c r="T134" i="54"/>
  <c r="P155" i="54"/>
  <c r="Q149" i="54" s="1"/>
  <c r="BR229" i="54"/>
  <c r="R246" i="54"/>
  <c r="BP121" i="54"/>
  <c r="Q263" i="54"/>
  <c r="T138" i="54" l="1"/>
  <c r="U132" i="54" s="1"/>
  <c r="Q151" i="54"/>
  <c r="Q155" i="54" s="1"/>
  <c r="BS225" i="54"/>
  <c r="BS223" i="54"/>
  <c r="R257" i="54"/>
  <c r="R259" i="54"/>
  <c r="S240" i="54"/>
  <c r="S242" i="54"/>
  <c r="BQ117" i="54"/>
  <c r="BQ115" i="54"/>
  <c r="U134" i="54" l="1"/>
  <c r="S246" i="54"/>
  <c r="T240" i="54" s="1"/>
  <c r="BS229" i="54"/>
  <c r="BT225" i="54" s="1"/>
  <c r="R263" i="54"/>
  <c r="S259" i="54" s="1"/>
  <c r="U138" i="54"/>
  <c r="R149" i="54"/>
  <c r="R151" i="54"/>
  <c r="BQ121" i="54"/>
  <c r="T242" i="54"/>
  <c r="BT223" i="54" l="1"/>
  <c r="R155" i="54"/>
  <c r="S149" i="54" s="1"/>
  <c r="T246" i="54"/>
  <c r="U240" i="54" s="1"/>
  <c r="S257" i="54"/>
  <c r="S263" i="54" s="1"/>
  <c r="V132" i="54"/>
  <c r="V134" i="54"/>
  <c r="BT229" i="54"/>
  <c r="BR117" i="54"/>
  <c r="BR115" i="54"/>
  <c r="S151" i="54" l="1"/>
  <c r="S155" i="54" s="1"/>
  <c r="U242" i="54"/>
  <c r="U246" i="54" s="1"/>
  <c r="V242" i="54" s="1"/>
  <c r="V138" i="54"/>
  <c r="W134" i="54" s="1"/>
  <c r="BU225" i="54"/>
  <c r="BU223" i="54"/>
  <c r="BU229" i="54" s="1"/>
  <c r="T257" i="54"/>
  <c r="T259" i="54"/>
  <c r="BR121" i="54"/>
  <c r="W132" i="54" l="1"/>
  <c r="W138" i="54" s="1"/>
  <c r="T149" i="54"/>
  <c r="T151" i="54"/>
  <c r="V240" i="54"/>
  <c r="V246" i="54" s="1"/>
  <c r="BV223" i="54"/>
  <c r="BV225" i="54"/>
  <c r="T263" i="54"/>
  <c r="U257" i="54" s="1"/>
  <c r="BS115" i="54"/>
  <c r="BS117" i="54"/>
  <c r="T155" i="54" l="1"/>
  <c r="U149" i="54" s="1"/>
  <c r="U259" i="54"/>
  <c r="U263" i="54" s="1"/>
  <c r="V259" i="54" s="1"/>
  <c r="BV229" i="54"/>
  <c r="BW225" i="54" s="1"/>
  <c r="BS121" i="54"/>
  <c r="BT115" i="54" s="1"/>
  <c r="X132" i="54"/>
  <c r="X134" i="54"/>
  <c r="BW223" i="54"/>
  <c r="W242" i="54"/>
  <c r="W240" i="54"/>
  <c r="U151" i="54"/>
  <c r="V257" i="54" l="1"/>
  <c r="V263" i="54" s="1"/>
  <c r="W246" i="54"/>
  <c r="BT117" i="54"/>
  <c r="BT121" i="54" s="1"/>
  <c r="BW229" i="54"/>
  <c r="U155" i="54"/>
  <c r="V151" i="54" s="1"/>
  <c r="X138" i="54"/>
  <c r="X240" i="54"/>
  <c r="X242" i="54"/>
  <c r="W259" i="54" l="1"/>
  <c r="W263" i="54" s="1"/>
  <c r="W257" i="54"/>
  <c r="BU117" i="54"/>
  <c r="BU121" i="54" s="1"/>
  <c r="BU115" i="54"/>
  <c r="V149" i="54"/>
  <c r="Y132" i="54"/>
  <c r="Y134" i="54"/>
  <c r="BX223" i="54"/>
  <c r="BX225" i="54"/>
  <c r="BW233" i="54"/>
  <c r="V155" i="54"/>
  <c r="W149" i="54" s="1"/>
  <c r="X246" i="54"/>
  <c r="Y242" i="54" s="1"/>
  <c r="BV115" i="54" l="1"/>
  <c r="BV117" i="54"/>
  <c r="X259" i="54"/>
  <c r="X257" i="54"/>
  <c r="Y240" i="54"/>
  <c r="Y246" i="54" s="1"/>
  <c r="W151" i="54"/>
  <c r="W155" i="54" s="1"/>
  <c r="Y138" i="54"/>
  <c r="Z134" i="54" s="1"/>
  <c r="CB236" i="54"/>
  <c r="BW231" i="54"/>
  <c r="BX229" i="54"/>
  <c r="BV121" i="54"/>
  <c r="X263" i="54" l="1"/>
  <c r="X149" i="54"/>
  <c r="X151" i="54"/>
  <c r="Z132" i="54"/>
  <c r="Z138" i="54" s="1"/>
  <c r="BY225" i="54"/>
  <c r="BX233" i="54"/>
  <c r="BY223" i="54"/>
  <c r="Z242" i="54"/>
  <c r="Z240" i="54"/>
  <c r="BW117" i="54"/>
  <c r="BW115" i="54"/>
  <c r="Y257" i="54" l="1"/>
  <c r="Y263" i="54" s="1"/>
  <c r="Z259" i="54" s="1"/>
  <c r="Y259" i="54"/>
  <c r="Z246" i="54"/>
  <c r="AA240" i="54" s="1"/>
  <c r="X155" i="54"/>
  <c r="Y151" i="54" s="1"/>
  <c r="AA132" i="54"/>
  <c r="AA134" i="54"/>
  <c r="BY229" i="54"/>
  <c r="CC236" i="54"/>
  <c r="BX231" i="54"/>
  <c r="BW121" i="54"/>
  <c r="AA242" i="54"/>
  <c r="Y149" i="54"/>
  <c r="Z257" i="54" l="1"/>
  <c r="Z263" i="54" s="1"/>
  <c r="AA138" i="54"/>
  <c r="BZ223" i="54"/>
  <c r="BY233" i="54"/>
  <c r="BZ225" i="54"/>
  <c r="AB132" i="54"/>
  <c r="AB134" i="54"/>
  <c r="BW125" i="54"/>
  <c r="BX115" i="54"/>
  <c r="BX117" i="54"/>
  <c r="Y155" i="54"/>
  <c r="AA246" i="54"/>
  <c r="BZ229" i="54" l="1"/>
  <c r="CA225" i="54" s="1"/>
  <c r="AB138" i="54"/>
  <c r="BZ233" i="54"/>
  <c r="CA223" i="54"/>
  <c r="BY231" i="54"/>
  <c r="CD236" i="54"/>
  <c r="AA259" i="54"/>
  <c r="AA257" i="54"/>
  <c r="CB128" i="54"/>
  <c r="BW123" i="54"/>
  <c r="AB242" i="54"/>
  <c r="AB240" i="54"/>
  <c r="Z149" i="54"/>
  <c r="Z151" i="54"/>
  <c r="BX121" i="54"/>
  <c r="CA229" i="54" l="1"/>
  <c r="CA233" i="54" s="1"/>
  <c r="CB223" i="54"/>
  <c r="BZ231" i="54"/>
  <c r="CE236" i="54"/>
  <c r="AC134" i="54"/>
  <c r="AC132" i="54"/>
  <c r="BX125" i="54"/>
  <c r="BY115" i="54"/>
  <c r="BY117" i="54"/>
  <c r="AB246" i="54"/>
  <c r="Z155" i="54"/>
  <c r="AA263" i="54"/>
  <c r="CB225" i="54" l="1"/>
  <c r="CB229" i="54" s="1"/>
  <c r="AC138" i="54"/>
  <c r="AD132" i="54" s="1"/>
  <c r="AD134" i="54"/>
  <c r="CF236" i="54"/>
  <c r="CA231" i="54"/>
  <c r="AC242" i="54"/>
  <c r="AC240" i="54"/>
  <c r="CC128" i="54"/>
  <c r="BX123" i="54"/>
  <c r="AB257" i="54"/>
  <c r="AB259" i="54"/>
  <c r="AA149" i="54"/>
  <c r="AA151" i="54"/>
  <c r="BY121" i="54"/>
  <c r="AD138" i="54" l="1"/>
  <c r="AE134" i="54" s="1"/>
  <c r="AA155" i="54"/>
  <c r="AB149" i="54" s="1"/>
  <c r="AB263" i="54"/>
  <c r="AC259" i="54" s="1"/>
  <c r="CC225" i="54"/>
  <c r="CB233" i="54"/>
  <c r="CC223" i="54"/>
  <c r="CC229" i="54" s="1"/>
  <c r="AE132" i="54"/>
  <c r="AC246" i="54"/>
  <c r="AB151" i="54"/>
  <c r="BZ115" i="54"/>
  <c r="BZ117" i="54"/>
  <c r="BY125" i="54"/>
  <c r="AE138" i="54" l="1"/>
  <c r="AF132" i="54" s="1"/>
  <c r="CC233" i="54"/>
  <c r="CD223" i="54"/>
  <c r="CD225" i="54"/>
  <c r="AC257" i="54"/>
  <c r="CB231" i="54"/>
  <c r="CG236" i="54"/>
  <c r="AB155" i="54"/>
  <c r="AC151" i="54" s="1"/>
  <c r="AD242" i="54"/>
  <c r="AD240" i="54"/>
  <c r="BY123" i="54"/>
  <c r="CD128" i="54"/>
  <c r="AC263" i="54"/>
  <c r="BZ121" i="54"/>
  <c r="AF134" i="54" l="1"/>
  <c r="AF138" i="54" s="1"/>
  <c r="AC149" i="54"/>
  <c r="AC155" i="54" s="1"/>
  <c r="CH236" i="54"/>
  <c r="CC231" i="54"/>
  <c r="CD229" i="54"/>
  <c r="AD246" i="54"/>
  <c r="CA117" i="54"/>
  <c r="CA115" i="54"/>
  <c r="BZ125" i="54"/>
  <c r="AD257" i="54"/>
  <c r="AD259" i="54"/>
  <c r="AD263" i="54" l="1"/>
  <c r="AE259" i="54" s="1"/>
  <c r="CE225" i="54"/>
  <c r="CE223" i="54"/>
  <c r="CD233" i="54"/>
  <c r="AG132" i="54"/>
  <c r="AG134" i="54"/>
  <c r="CA121" i="54"/>
  <c r="AD149" i="54"/>
  <c r="AD151" i="54"/>
  <c r="AE240" i="54"/>
  <c r="AE242" i="54"/>
  <c r="BZ123" i="54"/>
  <c r="CE128" i="54"/>
  <c r="AE257" i="54" l="1"/>
  <c r="AE263" i="54" s="1"/>
  <c r="AF257" i="54" s="1"/>
  <c r="AG138" i="54"/>
  <c r="CD231" i="54"/>
  <c r="CI236" i="54"/>
  <c r="AD155" i="54"/>
  <c r="AE149" i="54" s="1"/>
  <c r="CE229" i="54"/>
  <c r="CB117" i="54"/>
  <c r="CB115" i="54"/>
  <c r="CA125" i="54"/>
  <c r="AE246" i="54"/>
  <c r="AF259" i="54" l="1"/>
  <c r="AE151" i="54"/>
  <c r="AE155" i="54" s="1"/>
  <c r="CE233" i="54"/>
  <c r="CF223" i="54"/>
  <c r="CF225" i="54"/>
  <c r="AH132" i="54"/>
  <c r="AH134" i="54"/>
  <c r="AF242" i="54"/>
  <c r="AF240" i="54"/>
  <c r="AF246" i="54" s="1"/>
  <c r="CB121" i="54"/>
  <c r="AF263" i="54"/>
  <c r="CA123" i="54"/>
  <c r="CF128" i="54"/>
  <c r="AH138" i="54" l="1"/>
  <c r="AI134" i="54" s="1"/>
  <c r="CF229" i="54"/>
  <c r="CG225" i="54" s="1"/>
  <c r="AI132" i="54"/>
  <c r="CF233" i="54"/>
  <c r="CF231" i="54" s="1"/>
  <c r="CG223" i="54"/>
  <c r="CJ236" i="54"/>
  <c r="CE231" i="54"/>
  <c r="AG257" i="54"/>
  <c r="AG259" i="54"/>
  <c r="CC115" i="54"/>
  <c r="CC117" i="54"/>
  <c r="CB125" i="54"/>
  <c r="AF149" i="54"/>
  <c r="AF151" i="54"/>
  <c r="AG240" i="54"/>
  <c r="AG242" i="54"/>
  <c r="CC121" i="54" l="1"/>
  <c r="CD115" i="54" s="1"/>
  <c r="CG229" i="54"/>
  <c r="AI138" i="54"/>
  <c r="AJ132" i="54" s="1"/>
  <c r="AG263" i="54"/>
  <c r="AH257" i="54" s="1"/>
  <c r="AG246" i="54"/>
  <c r="AH242" i="54" s="1"/>
  <c r="CG233" i="54"/>
  <c r="CG231" i="54" s="1"/>
  <c r="CH223" i="54"/>
  <c r="CH225" i="54"/>
  <c r="AJ134" i="54"/>
  <c r="CB123" i="54"/>
  <c r="CG128" i="54"/>
  <c r="CC125" i="54"/>
  <c r="CD117" i="54"/>
  <c r="AF155" i="54"/>
  <c r="AH259" i="54" l="1"/>
  <c r="AH263" i="54" s="1"/>
  <c r="AI259" i="54" s="1"/>
  <c r="AH240" i="54"/>
  <c r="AH246" i="54" s="1"/>
  <c r="AI242" i="54" s="1"/>
  <c r="AJ138" i="54"/>
  <c r="AK134" i="54" s="1"/>
  <c r="CD121" i="54"/>
  <c r="CE117" i="54" s="1"/>
  <c r="CH229" i="54"/>
  <c r="AG151" i="54"/>
  <c r="AG149" i="54"/>
  <c r="CE115" i="54"/>
  <c r="CD125" i="54"/>
  <c r="CH128" i="54"/>
  <c r="CC123" i="54"/>
  <c r="AI257" i="54" l="1"/>
  <c r="AI263" i="54" s="1"/>
  <c r="AJ257" i="54" s="1"/>
  <c r="AI240" i="54"/>
  <c r="AG155" i="54"/>
  <c r="AH149" i="54" s="1"/>
  <c r="AK132" i="54"/>
  <c r="AK138" i="54" s="1"/>
  <c r="AL134" i="54" s="1"/>
  <c r="CI223" i="54"/>
  <c r="CI225" i="54"/>
  <c r="CH233" i="54"/>
  <c r="CH231" i="54" s="1"/>
  <c r="CE121" i="54"/>
  <c r="CI128" i="54"/>
  <c r="CD123" i="54"/>
  <c r="AI246" i="54"/>
  <c r="CF115" i="54"/>
  <c r="CF117" i="54"/>
  <c r="CE125" i="54"/>
  <c r="AJ259" i="54" l="1"/>
  <c r="AJ263" i="54" s="1"/>
  <c r="AK257" i="54" s="1"/>
  <c r="AH151" i="54"/>
  <c r="AH155" i="54" s="1"/>
  <c r="AL132" i="54"/>
  <c r="AL138" i="54" s="1"/>
  <c r="CI229" i="54"/>
  <c r="CJ128" i="54"/>
  <c r="CE123" i="54"/>
  <c r="CF121" i="54"/>
  <c r="AJ240" i="54"/>
  <c r="AJ242" i="54"/>
  <c r="AK259" i="54" l="1"/>
  <c r="AK263" i="54" s="1"/>
  <c r="AL257" i="54" s="1"/>
  <c r="AI149" i="54"/>
  <c r="AI151" i="54"/>
  <c r="CJ223" i="54"/>
  <c r="CJ225" i="54"/>
  <c r="CI233" i="54"/>
  <c r="CI231" i="54" s="1"/>
  <c r="AJ246" i="54"/>
  <c r="AK242" i="54" s="1"/>
  <c r="CG115" i="54"/>
  <c r="CF125" i="54"/>
  <c r="CF123" i="54" s="1"/>
  <c r="CG117" i="54"/>
  <c r="AM134" i="54"/>
  <c r="AM132" i="54"/>
  <c r="AI155" i="54" l="1"/>
  <c r="AJ149" i="54" s="1"/>
  <c r="AK240" i="54"/>
  <c r="AK246" i="54" s="1"/>
  <c r="AM138" i="54"/>
  <c r="AN132" i="54" s="1"/>
  <c r="AL259" i="54"/>
  <c r="AL263" i="54" s="1"/>
  <c r="CG121" i="54"/>
  <c r="CG125" i="54" s="1"/>
  <c r="CG123" i="54" s="1"/>
  <c r="CJ229" i="54"/>
  <c r="CJ233" i="54" s="1"/>
  <c r="CJ231" i="54" s="1"/>
  <c r="CH117" i="54"/>
  <c r="CH115" i="54" l="1"/>
  <c r="CH121" i="54" s="1"/>
  <c r="CH125" i="54" s="1"/>
  <c r="CH123" i="54" s="1"/>
  <c r="AJ151" i="54"/>
  <c r="AJ155" i="54" s="1"/>
  <c r="AK151" i="54" s="1"/>
  <c r="AN134" i="54"/>
  <c r="AN138" i="54" s="1"/>
  <c r="AO134" i="54" s="1"/>
  <c r="CI117" i="54"/>
  <c r="CI115" i="54"/>
  <c r="AL242" i="54"/>
  <c r="AL240" i="54"/>
  <c r="AM257" i="54"/>
  <c r="AM259" i="54"/>
  <c r="AK149" i="54" l="1"/>
  <c r="AK155" i="54" s="1"/>
  <c r="AL149" i="54" s="1"/>
  <c r="CI121" i="54"/>
  <c r="CJ117" i="54" s="1"/>
  <c r="AO132" i="54"/>
  <c r="AO138" i="54" s="1"/>
  <c r="AP132" i="54" s="1"/>
  <c r="CJ115" i="54"/>
  <c r="CI125" i="54"/>
  <c r="CI123" i="54" s="1"/>
  <c r="AM263" i="54"/>
  <c r="AL246" i="54"/>
  <c r="AP134" i="54" l="1"/>
  <c r="CJ121" i="54"/>
  <c r="CJ125" i="54" s="1"/>
  <c r="CJ123" i="54" s="1"/>
  <c r="AL151" i="54"/>
  <c r="AL155" i="54" s="1"/>
  <c r="AM151" i="54" s="1"/>
  <c r="AM242" i="54"/>
  <c r="AM240" i="54"/>
  <c r="AP138" i="54"/>
  <c r="AN257" i="54"/>
  <c r="AN259" i="54"/>
  <c r="AM246" i="54" l="1"/>
  <c r="AN240" i="54" s="1"/>
  <c r="AM149" i="54"/>
  <c r="AM155" i="54" s="1"/>
  <c r="AN149" i="54" s="1"/>
  <c r="AN263" i="54"/>
  <c r="AO259" i="54" s="1"/>
  <c r="AQ134" i="54"/>
  <c r="AQ132" i="54"/>
  <c r="AN242" i="54" l="1"/>
  <c r="AN246" i="54" s="1"/>
  <c r="AO257" i="54"/>
  <c r="AO263" i="54" s="1"/>
  <c r="AP257" i="54" s="1"/>
  <c r="AN151" i="54"/>
  <c r="AN155" i="54" s="1"/>
  <c r="AO149" i="54" s="1"/>
  <c r="AQ138" i="54"/>
  <c r="AP259" i="54" l="1"/>
  <c r="AP263" i="54" s="1"/>
  <c r="AO151" i="54"/>
  <c r="AO155" i="54" s="1"/>
  <c r="AO240" i="54"/>
  <c r="AO242" i="54"/>
  <c r="AR134" i="54"/>
  <c r="AR132" i="54"/>
  <c r="AR138" i="54" l="1"/>
  <c r="AS132" i="54" s="1"/>
  <c r="AQ259" i="54"/>
  <c r="AQ257" i="54"/>
  <c r="AQ263" i="54" s="1"/>
  <c r="AP151" i="54"/>
  <c r="AP149" i="54"/>
  <c r="AO246" i="54"/>
  <c r="AS134" i="54" l="1"/>
  <c r="AP242" i="54"/>
  <c r="AP240" i="54"/>
  <c r="AP155" i="54"/>
  <c r="AR257" i="54"/>
  <c r="AR259" i="54"/>
  <c r="AS138" i="54"/>
  <c r="AP246" i="54" l="1"/>
  <c r="AQ240" i="54" s="1"/>
  <c r="AR263" i="54"/>
  <c r="AS257" i="54" s="1"/>
  <c r="AT134" i="54"/>
  <c r="AT132" i="54"/>
  <c r="AQ242" i="54"/>
  <c r="AQ149" i="54"/>
  <c r="AQ151" i="54"/>
  <c r="AS259" i="54" l="1"/>
  <c r="AS263" i="54" s="1"/>
  <c r="AQ155" i="54"/>
  <c r="AR149" i="54" s="1"/>
  <c r="AT138" i="54"/>
  <c r="AQ246" i="54"/>
  <c r="AT257" i="54" l="1"/>
  <c r="AT263" i="54" s="1"/>
  <c r="AU257" i="54" s="1"/>
  <c r="AT259" i="54"/>
  <c r="AR151" i="54"/>
  <c r="AR155" i="54" s="1"/>
  <c r="AR240" i="54"/>
  <c r="AR242" i="54"/>
  <c r="AU132" i="54"/>
  <c r="AU134" i="54"/>
  <c r="AU263" i="54" l="1"/>
  <c r="AV259" i="54" s="1"/>
  <c r="AU259" i="54"/>
  <c r="AR246" i="54"/>
  <c r="AS240" i="54" s="1"/>
  <c r="AU138" i="54"/>
  <c r="AS149" i="54"/>
  <c r="AS151" i="54"/>
  <c r="AS242" i="54" l="1"/>
  <c r="AS246" i="54" s="1"/>
  <c r="AV257" i="54"/>
  <c r="AV263" i="54" s="1"/>
  <c r="AW257" i="54" s="1"/>
  <c r="AS155" i="54"/>
  <c r="AV134" i="54"/>
  <c r="AV132" i="54"/>
  <c r="AW259" i="54" l="1"/>
  <c r="AW263" i="54" s="1"/>
  <c r="AV138" i="54"/>
  <c r="AW132" i="54" s="1"/>
  <c r="AT240" i="54"/>
  <c r="AT242" i="54"/>
  <c r="AT149" i="54"/>
  <c r="AT151" i="54"/>
  <c r="AW134" i="54" l="1"/>
  <c r="AW138" i="54" s="1"/>
  <c r="AT155" i="54"/>
  <c r="AX259" i="54"/>
  <c r="AX257" i="54"/>
  <c r="AT246" i="54"/>
  <c r="AX132" i="54" l="1"/>
  <c r="AX134" i="54"/>
  <c r="AU151" i="54"/>
  <c r="AU149" i="54"/>
  <c r="AU242" i="54"/>
  <c r="AU240" i="54"/>
  <c r="AX263" i="54"/>
  <c r="AX138" i="54" l="1"/>
  <c r="AY132" i="54" s="1"/>
  <c r="AU155" i="54"/>
  <c r="AV151" i="54" s="1"/>
  <c r="AU246" i="54"/>
  <c r="AY257" i="54"/>
  <c r="AY259" i="54"/>
  <c r="AY134" i="54" l="1"/>
  <c r="AY138" i="54" s="1"/>
  <c r="AZ132" i="54" s="1"/>
  <c r="AV149" i="54"/>
  <c r="AV155" i="54" s="1"/>
  <c r="AY263" i="54"/>
  <c r="AV242" i="54"/>
  <c r="AV240" i="54"/>
  <c r="AZ134" i="54" l="1"/>
  <c r="AZ138" i="54" s="1"/>
  <c r="BA132" i="54" s="1"/>
  <c r="AV246" i="54"/>
  <c r="AW242" i="54" s="1"/>
  <c r="AW149" i="54"/>
  <c r="AW151" i="54"/>
  <c r="AZ259" i="54"/>
  <c r="AZ257" i="54"/>
  <c r="AW240" i="54" l="1"/>
  <c r="AW246" i="54" s="1"/>
  <c r="BA134" i="54"/>
  <c r="BA138" i="54" s="1"/>
  <c r="BB134" i="54" s="1"/>
  <c r="AW155" i="54"/>
  <c r="AX151" i="54" s="1"/>
  <c r="AZ263" i="54"/>
  <c r="BA257" i="54" s="1"/>
  <c r="BA259" i="54" l="1"/>
  <c r="BA263" i="54" s="1"/>
  <c r="AX149" i="54"/>
  <c r="AX155" i="54" s="1"/>
  <c r="AY149" i="54" s="1"/>
  <c r="BB132" i="54"/>
  <c r="BB138" i="54" s="1"/>
  <c r="BC132" i="54" s="1"/>
  <c r="AX242" i="54"/>
  <c r="AX240" i="54"/>
  <c r="BB257" i="54" l="1"/>
  <c r="BB263" i="54" s="1"/>
  <c r="BC257" i="54" s="1"/>
  <c r="BB259" i="54"/>
  <c r="AY151" i="54"/>
  <c r="AY155" i="54" s="1"/>
  <c r="BC134" i="54"/>
  <c r="BC138" i="54" s="1"/>
  <c r="AX246" i="54"/>
  <c r="BC259" i="54" l="1"/>
  <c r="BC263" i="54" s="1"/>
  <c r="AZ151" i="54"/>
  <c r="AZ149" i="54"/>
  <c r="AZ155" i="54" s="1"/>
  <c r="BA149" i="54" s="1"/>
  <c r="BD132" i="54"/>
  <c r="BD134" i="54"/>
  <c r="AY242" i="54"/>
  <c r="AY240" i="54"/>
  <c r="BA151" i="54" l="1"/>
  <c r="BA155" i="54" s="1"/>
  <c r="BB149" i="54" s="1"/>
  <c r="AY246" i="54"/>
  <c r="AZ240" i="54" s="1"/>
  <c r="BD259" i="54"/>
  <c r="BD257" i="54"/>
  <c r="BD138" i="54"/>
  <c r="AZ242" i="54" l="1"/>
  <c r="AZ246" i="54" s="1"/>
  <c r="BD263" i="54"/>
  <c r="BE259" i="54" s="1"/>
  <c r="BB151" i="54"/>
  <c r="BB155" i="54" s="1"/>
  <c r="BE132" i="54"/>
  <c r="BE134" i="54"/>
  <c r="BE257" i="54" l="1"/>
  <c r="BE263" i="54" s="1"/>
  <c r="BA240" i="54"/>
  <c r="BA242" i="54"/>
  <c r="BE138" i="54"/>
  <c r="BC151" i="54"/>
  <c r="BC149" i="54"/>
  <c r="BF257" i="54" l="1"/>
  <c r="BF259" i="54"/>
  <c r="BA246" i="54"/>
  <c r="BB240" i="54" s="1"/>
  <c r="BC155" i="54"/>
  <c r="BD151" i="54" s="1"/>
  <c r="BB242" i="54"/>
  <c r="BF263" i="54"/>
  <c r="BF132" i="54"/>
  <c r="BF134" i="54"/>
  <c r="BD149" i="54" l="1"/>
  <c r="BD155" i="54" s="1"/>
  <c r="BB246" i="54"/>
  <c r="BC240" i="54" s="1"/>
  <c r="BF138" i="54"/>
  <c r="BG259" i="54"/>
  <c r="BG257" i="54"/>
  <c r="BC242" i="54" l="1"/>
  <c r="BC246" i="54" s="1"/>
  <c r="BD242" i="54" s="1"/>
  <c r="BG263" i="54"/>
  <c r="BH257" i="54" s="1"/>
  <c r="BG132" i="54"/>
  <c r="BG134" i="54"/>
  <c r="BE149" i="54"/>
  <c r="BE151" i="54"/>
  <c r="BD240" i="54" l="1"/>
  <c r="BD246" i="54" s="1"/>
  <c r="BE240" i="54" s="1"/>
  <c r="BH259" i="54"/>
  <c r="BE155" i="54"/>
  <c r="BF151" i="54" s="1"/>
  <c r="BG138" i="54"/>
  <c r="BH132" i="54" s="1"/>
  <c r="BH263" i="54"/>
  <c r="BF149" i="54" l="1"/>
  <c r="BF155" i="54" s="1"/>
  <c r="BH134" i="54"/>
  <c r="BH138" i="54" s="1"/>
  <c r="BE242" i="54"/>
  <c r="BE246" i="54" s="1"/>
  <c r="BI257" i="54"/>
  <c r="BI259" i="54"/>
  <c r="BF240" i="54" l="1"/>
  <c r="BF242" i="54"/>
  <c r="BI132" i="54"/>
  <c r="BI134" i="54"/>
  <c r="BG149" i="54"/>
  <c r="BG151" i="54"/>
  <c r="BI263" i="54"/>
  <c r="BF246" i="54" l="1"/>
  <c r="BG242" i="54" s="1"/>
  <c r="BG155" i="54"/>
  <c r="BH149" i="54" s="1"/>
  <c r="BG240" i="54"/>
  <c r="BJ257" i="54"/>
  <c r="BJ259" i="54"/>
  <c r="BI138" i="54"/>
  <c r="BH151" i="54" l="1"/>
  <c r="BH155" i="54" s="1"/>
  <c r="BI149" i="54" s="1"/>
  <c r="BG246" i="54"/>
  <c r="BH242" i="54" s="1"/>
  <c r="BJ134" i="54"/>
  <c r="BJ132" i="54"/>
  <c r="BJ263" i="54"/>
  <c r="BH240" i="54" l="1"/>
  <c r="BH246" i="54" s="1"/>
  <c r="BI151" i="54"/>
  <c r="BI155" i="54" s="1"/>
  <c r="BJ138" i="54"/>
  <c r="BK132" i="54" s="1"/>
  <c r="BK257" i="54"/>
  <c r="BK259" i="54"/>
  <c r="BK134" i="54" l="1"/>
  <c r="BK138" i="54" s="1"/>
  <c r="BI242" i="54"/>
  <c r="BI240" i="54"/>
  <c r="BK263" i="54"/>
  <c r="BJ151" i="54"/>
  <c r="BJ149" i="54"/>
  <c r="BI246" i="54" l="1"/>
  <c r="BJ242" i="54" s="1"/>
  <c r="BJ155" i="54"/>
  <c r="BK151" i="54" s="1"/>
  <c r="BL134" i="54"/>
  <c r="BL132" i="54"/>
  <c r="BL257" i="54"/>
  <c r="BL259" i="54"/>
  <c r="BL138" i="54" l="1"/>
  <c r="BM132" i="54" s="1"/>
  <c r="BJ240" i="54"/>
  <c r="BJ246" i="54" s="1"/>
  <c r="BK242" i="54" s="1"/>
  <c r="BK149" i="54"/>
  <c r="BK155" i="54" s="1"/>
  <c r="BL263" i="54"/>
  <c r="BM134" i="54" l="1"/>
  <c r="BM138" i="54" s="1"/>
  <c r="BK240" i="54"/>
  <c r="BK246" i="54" s="1"/>
  <c r="BM259" i="54"/>
  <c r="BM257" i="54"/>
  <c r="BL151" i="54"/>
  <c r="BL149" i="54"/>
  <c r="BL155" i="54" l="1"/>
  <c r="BM149" i="54" s="1"/>
  <c r="BM263" i="54"/>
  <c r="BN257" i="54" s="1"/>
  <c r="BL240" i="54"/>
  <c r="BL242" i="54"/>
  <c r="BM151" i="54"/>
  <c r="BN259" i="54"/>
  <c r="BN134" i="54"/>
  <c r="BN132" i="54"/>
  <c r="BN263" i="54" l="1"/>
  <c r="BO259" i="54" s="1"/>
  <c r="BM155" i="54"/>
  <c r="BN149" i="54" s="1"/>
  <c r="BN138" i="54"/>
  <c r="BL246" i="54"/>
  <c r="BO257" i="54" l="1"/>
  <c r="BO263" i="54" s="1"/>
  <c r="BN151" i="54"/>
  <c r="BN155" i="54" s="1"/>
  <c r="BM240" i="54"/>
  <c r="BM242" i="54"/>
  <c r="BO132" i="54"/>
  <c r="BO134" i="54"/>
  <c r="BO149" i="54" l="1"/>
  <c r="BO151" i="54"/>
  <c r="BM246" i="54"/>
  <c r="BN240" i="54" s="1"/>
  <c r="BO138" i="54"/>
  <c r="BP259" i="54"/>
  <c r="BP257" i="54"/>
  <c r="BN242" i="54" l="1"/>
  <c r="BN246" i="54" s="1"/>
  <c r="BO242" i="54" s="1"/>
  <c r="BO155" i="54"/>
  <c r="BP151" i="54" s="1"/>
  <c r="BP149" i="54"/>
  <c r="BP263" i="54"/>
  <c r="BP134" i="54"/>
  <c r="BP132" i="54"/>
  <c r="BO240" i="54" l="1"/>
  <c r="BO246" i="54" s="1"/>
  <c r="BP240" i="54" s="1"/>
  <c r="BP138" i="54"/>
  <c r="BQ132" i="54" s="1"/>
  <c r="BQ259" i="54"/>
  <c r="BQ257" i="54"/>
  <c r="BP155" i="54"/>
  <c r="BP242" i="54" l="1"/>
  <c r="BP246" i="54" s="1"/>
  <c r="BQ263" i="54"/>
  <c r="BQ134" i="54"/>
  <c r="BQ138" i="54" s="1"/>
  <c r="BR132" i="54" s="1"/>
  <c r="BQ151" i="54"/>
  <c r="BQ149" i="54"/>
  <c r="BR259" i="54"/>
  <c r="BR257" i="54"/>
  <c r="BR263" i="54" s="1"/>
  <c r="BR134" i="54" l="1"/>
  <c r="BR138" i="54" s="1"/>
  <c r="BQ155" i="54"/>
  <c r="BR151" i="54" s="1"/>
  <c r="BS259" i="54"/>
  <c r="BS257" i="54"/>
  <c r="BQ242" i="54"/>
  <c r="BQ240" i="54"/>
  <c r="BQ246" i="54" s="1"/>
  <c r="BS263" i="54" l="1"/>
  <c r="BT259" i="54" s="1"/>
  <c r="BR149" i="54"/>
  <c r="BR155" i="54" s="1"/>
  <c r="BS151" i="54" s="1"/>
  <c r="BS149" i="54"/>
  <c r="BS134" i="54"/>
  <c r="BS132" i="54"/>
  <c r="BR240" i="54"/>
  <c r="BR242" i="54"/>
  <c r="BT257" i="54" l="1"/>
  <c r="BT263" i="54" s="1"/>
  <c r="BR246" i="54"/>
  <c r="BS240" i="54" s="1"/>
  <c r="BS138" i="54"/>
  <c r="BS155" i="54"/>
  <c r="BS242" i="54" l="1"/>
  <c r="BS246" i="54" s="1"/>
  <c r="BU259" i="54"/>
  <c r="BU257" i="54"/>
  <c r="BT149" i="54"/>
  <c r="BT151" i="54"/>
  <c r="BT134" i="54"/>
  <c r="BT132" i="54"/>
  <c r="BT155" i="54" l="1"/>
  <c r="BU149" i="54" s="1"/>
  <c r="BT138" i="54"/>
  <c r="BU134" i="54" s="1"/>
  <c r="BU263" i="54"/>
  <c r="BV257" i="54" s="1"/>
  <c r="BT240" i="54"/>
  <c r="BT242" i="54"/>
  <c r="BV259" i="54" l="1"/>
  <c r="BV263" i="54" s="1"/>
  <c r="BT246" i="54"/>
  <c r="BU242" i="54" s="1"/>
  <c r="BU151" i="54"/>
  <c r="BU155" i="54" s="1"/>
  <c r="BU132" i="54"/>
  <c r="BU138" i="54" s="1"/>
  <c r="BU240" i="54" l="1"/>
  <c r="BU246" i="54" s="1"/>
  <c r="BW259" i="54"/>
  <c r="BW257" i="54"/>
  <c r="BV151" i="54"/>
  <c r="BV149" i="54"/>
  <c r="BV132" i="54"/>
  <c r="BV134" i="54"/>
  <c r="BW263" i="54" l="1"/>
  <c r="BX257" i="54" s="1"/>
  <c r="BV138" i="54"/>
  <c r="BV242" i="54"/>
  <c r="BV240" i="54"/>
  <c r="BV155" i="54"/>
  <c r="BX259" i="54" l="1"/>
  <c r="BX263" i="54" s="1"/>
  <c r="BY259" i="54" s="1"/>
  <c r="BW151" i="54"/>
  <c r="BW149" i="54"/>
  <c r="BV246" i="54"/>
  <c r="BW134" i="54"/>
  <c r="BW132" i="54"/>
  <c r="BY257" i="54" l="1"/>
  <c r="BY263" i="54" s="1"/>
  <c r="BW138" i="54"/>
  <c r="BW155" i="54"/>
  <c r="BX149" i="54" s="1"/>
  <c r="BX132" i="54"/>
  <c r="BW142" i="54"/>
  <c r="BX134" i="54"/>
  <c r="BX151" i="54"/>
  <c r="BW242" i="54"/>
  <c r="BW240" i="54"/>
  <c r="BX155" i="54" l="1"/>
  <c r="BY151" i="54" s="1"/>
  <c r="BW246" i="54"/>
  <c r="BX240" i="54" s="1"/>
  <c r="BZ257" i="54"/>
  <c r="BZ259" i="54"/>
  <c r="BW140" i="54"/>
  <c r="BW182" i="54" s="1"/>
  <c r="CB145" i="54"/>
  <c r="CB183" i="54" s="1"/>
  <c r="BX138" i="54"/>
  <c r="BY149" i="54" l="1"/>
  <c r="BX242" i="54"/>
  <c r="BX246" i="54" s="1"/>
  <c r="BW190" i="54"/>
  <c r="BW250" i="54"/>
  <c r="BW248" i="54" s="1"/>
  <c r="BW286" i="54" s="1"/>
  <c r="BY155" i="54"/>
  <c r="BZ151" i="54" s="1"/>
  <c r="BY134" i="54"/>
  <c r="BY132" i="54"/>
  <c r="BX142" i="54"/>
  <c r="BZ263" i="54"/>
  <c r="BW294" i="54" l="1"/>
  <c r="BW296" i="54" s="1"/>
  <c r="BW192" i="54"/>
  <c r="BX250" i="54"/>
  <c r="BX248" i="54" s="1"/>
  <c r="BX286" i="54" s="1"/>
  <c r="BY242" i="54"/>
  <c r="BY240" i="54"/>
  <c r="BY246" i="54" s="1"/>
  <c r="BZ242" i="54" s="1"/>
  <c r="BZ149" i="54"/>
  <c r="CB253" i="54"/>
  <c r="CB287" i="54" s="1"/>
  <c r="BY138" i="54"/>
  <c r="CA259" i="54"/>
  <c r="CA257" i="54"/>
  <c r="BX140" i="54"/>
  <c r="BX182" i="54" s="1"/>
  <c r="CC145" i="54"/>
  <c r="CC183" i="54" s="1"/>
  <c r="BZ155" i="54"/>
  <c r="BX308" i="54" l="1"/>
  <c r="CC253" i="54"/>
  <c r="CC287" i="54" s="1"/>
  <c r="BZ240" i="54"/>
  <c r="BZ246" i="54" s="1"/>
  <c r="BY250" i="54"/>
  <c r="CD253" i="54" s="1"/>
  <c r="CD287" i="54" s="1"/>
  <c r="BW298" i="54"/>
  <c r="AA7" i="1" s="1"/>
  <c r="BX190" i="54"/>
  <c r="CA263" i="54"/>
  <c r="BX294" i="54"/>
  <c r="BZ134" i="54"/>
  <c r="BZ132" i="54"/>
  <c r="BY142" i="54"/>
  <c r="CA151" i="54"/>
  <c r="CA149" i="54"/>
  <c r="BX296" i="54" l="1"/>
  <c r="BX309" i="54"/>
  <c r="BX310" i="54" s="1"/>
  <c r="BY248" i="54"/>
  <c r="BY286" i="54" s="1"/>
  <c r="BX192" i="54"/>
  <c r="CA155" i="54"/>
  <c r="CB149" i="54" s="1"/>
  <c r="BW302" i="54"/>
  <c r="AA8" i="1" s="1"/>
  <c r="AA12" i="1" s="1"/>
  <c r="H42" i="2" s="1"/>
  <c r="H60" i="2" s="1"/>
  <c r="C13" i="42" s="1"/>
  <c r="C15" i="42" s="1"/>
  <c r="C17" i="42" s="1"/>
  <c r="BZ138" i="54"/>
  <c r="CA132" i="54" s="1"/>
  <c r="CD145" i="54"/>
  <c r="CD183" i="54" s="1"/>
  <c r="BY140" i="54"/>
  <c r="BY182" i="54" s="1"/>
  <c r="CA240" i="54"/>
  <c r="CA242" i="54"/>
  <c r="BZ250" i="54"/>
  <c r="CB259" i="54"/>
  <c r="CB257" i="54"/>
  <c r="BX298" i="54" l="1"/>
  <c r="BX302" i="54" s="1"/>
  <c r="AF8" i="1" s="1"/>
  <c r="AF12" i="1" s="1"/>
  <c r="I42" i="2" s="1"/>
  <c r="BY294" i="54"/>
  <c r="BY308" i="54"/>
  <c r="CB263" i="54"/>
  <c r="CC257" i="54" s="1"/>
  <c r="BZ142" i="54"/>
  <c r="BZ140" i="54" s="1"/>
  <c r="BZ182" i="54" s="1"/>
  <c r="CA134" i="54"/>
  <c r="CB151" i="54"/>
  <c r="CB155" i="54" s="1"/>
  <c r="CC149" i="54" s="1"/>
  <c r="H50" i="2"/>
  <c r="H53" i="2" s="1"/>
  <c r="BY190" i="54"/>
  <c r="CA246" i="54"/>
  <c r="CB242" i="54" s="1"/>
  <c r="CA250" i="54"/>
  <c r="CE253" i="54"/>
  <c r="CE287" i="54" s="1"/>
  <c r="BZ248" i="54"/>
  <c r="BZ286" i="54" s="1"/>
  <c r="CA138" i="54"/>
  <c r="H51" i="2"/>
  <c r="H54" i="2" s="1"/>
  <c r="G19" i="11"/>
  <c r="AF7" i="1" l="1"/>
  <c r="BZ308" i="54"/>
  <c r="BY296" i="54"/>
  <c r="BY309" i="54"/>
  <c r="BY310" i="54" s="1"/>
  <c r="CC259" i="54"/>
  <c r="CC263" i="54" s="1"/>
  <c r="CD259" i="54" s="1"/>
  <c r="BY192" i="54"/>
  <c r="CB240" i="54"/>
  <c r="CB246" i="54" s="1"/>
  <c r="CE145" i="54"/>
  <c r="CE183" i="54" s="1"/>
  <c r="BZ190" i="54"/>
  <c r="CC151" i="54"/>
  <c r="CC155" i="54" s="1"/>
  <c r="I66" i="2"/>
  <c r="I24" i="2" s="1"/>
  <c r="I60" i="2"/>
  <c r="I8" i="2" s="1"/>
  <c r="I50" i="2"/>
  <c r="I53" i="2" s="1"/>
  <c r="CB132" i="54"/>
  <c r="CA142" i="54"/>
  <c r="CB134" i="54"/>
  <c r="CF253" i="54"/>
  <c r="CF287" i="54" s="1"/>
  <c r="CA248" i="54"/>
  <c r="CA286" i="54" s="1"/>
  <c r="G36" i="11"/>
  <c r="H46" i="2"/>
  <c r="BZ294" i="54"/>
  <c r="AF63" i="1" l="1"/>
  <c r="H76" i="11" s="1"/>
  <c r="I43" i="2"/>
  <c r="I52" i="2" s="1"/>
  <c r="I55" i="2" s="1"/>
  <c r="D6" i="42"/>
  <c r="E7" i="42" s="1"/>
  <c r="BZ296" i="54"/>
  <c r="BZ309" i="54"/>
  <c r="BZ310" i="54" s="1"/>
  <c r="BY298" i="54"/>
  <c r="AK7" i="1" s="1"/>
  <c r="AK15" i="1" s="1"/>
  <c r="AK63" i="1" s="1"/>
  <c r="AK54" i="1" s="1"/>
  <c r="BZ192" i="54"/>
  <c r="CD257" i="54"/>
  <c r="CD263" i="54" s="1"/>
  <c r="CB138" i="54"/>
  <c r="CB142" i="54" s="1"/>
  <c r="CD151" i="54"/>
  <c r="CD149" i="54"/>
  <c r="D20" i="42"/>
  <c r="G41" i="11"/>
  <c r="H37" i="11" s="1"/>
  <c r="CA294" i="54"/>
  <c r="H13" i="11"/>
  <c r="D13" i="42"/>
  <c r="CC242" i="54"/>
  <c r="CC240" i="54"/>
  <c r="CC246" i="54" s="1"/>
  <c r="CB250" i="54"/>
  <c r="CF145" i="54"/>
  <c r="CF183" i="54" s="1"/>
  <c r="CA140" i="54"/>
  <c r="CA182" i="54" s="1"/>
  <c r="I26" i="2"/>
  <c r="H17" i="11"/>
  <c r="G43" i="11" l="1"/>
  <c r="I51" i="2"/>
  <c r="I54" i="2" s="1"/>
  <c r="H8" i="11"/>
  <c r="BY302" i="54"/>
  <c r="AK8" i="1" s="1"/>
  <c r="AK12" i="1" s="1"/>
  <c r="J42" i="2" s="1"/>
  <c r="J43" i="2"/>
  <c r="J52" i="2" s="1"/>
  <c r="J55" i="2" s="1"/>
  <c r="I76" i="11"/>
  <c r="I8" i="11"/>
  <c r="CA308" i="54"/>
  <c r="CA296" i="54"/>
  <c r="BZ298" i="54"/>
  <c r="AP7" i="1" s="1"/>
  <c r="AP15" i="1" s="1"/>
  <c r="AP63" i="1" s="1"/>
  <c r="CC134" i="54"/>
  <c r="CC138" i="54" s="1"/>
  <c r="CC132" i="54"/>
  <c r="CD155" i="54"/>
  <c r="CE151" i="54" s="1"/>
  <c r="CA190" i="54"/>
  <c r="CG145" i="54"/>
  <c r="CG183" i="54" s="1"/>
  <c r="CB140" i="54"/>
  <c r="CB182" i="54" s="1"/>
  <c r="CB248" i="54"/>
  <c r="CB286" i="54" s="1"/>
  <c r="CG253" i="54"/>
  <c r="CG287" i="54" s="1"/>
  <c r="CD240" i="54"/>
  <c r="CD242" i="54"/>
  <c r="CC250" i="54"/>
  <c r="AK55" i="1"/>
  <c r="AK56" i="1"/>
  <c r="I77" i="11" s="1"/>
  <c r="I31" i="11" s="1"/>
  <c r="I34" i="11" s="1"/>
  <c r="CE259" i="54"/>
  <c r="CE257" i="54"/>
  <c r="CE263" i="54" s="1"/>
  <c r="H9" i="2"/>
  <c r="H14" i="2" s="1"/>
  <c r="H37" i="2" s="1"/>
  <c r="AF90" i="1"/>
  <c r="AF92" i="1" s="1"/>
  <c r="AF31" i="1" s="1"/>
  <c r="AB31" i="1" l="1"/>
  <c r="AB33" i="1" s="1"/>
  <c r="AB36" i="1" s="1"/>
  <c r="AE31" i="1"/>
  <c r="AE33" i="1" s="1"/>
  <c r="AD31" i="1"/>
  <c r="AD33" i="1" s="1"/>
  <c r="AD36" i="1" s="1"/>
  <c r="AC31" i="1"/>
  <c r="AC33" i="1" s="1"/>
  <c r="AC36" i="1" s="1"/>
  <c r="AK28" i="1"/>
  <c r="E6" i="42" s="1"/>
  <c r="BZ302" i="54"/>
  <c r="AP8" i="1" s="1"/>
  <c r="AP12" i="1" s="1"/>
  <c r="K42" i="2" s="1"/>
  <c r="K66" i="2" s="1"/>
  <c r="K24" i="2" s="1"/>
  <c r="CA309" i="54"/>
  <c r="CA310" i="54" s="1"/>
  <c r="CB308" i="54"/>
  <c r="CA192" i="54"/>
  <c r="CA298" i="54" s="1"/>
  <c r="AU7" i="1" s="1"/>
  <c r="AU15" i="1" s="1"/>
  <c r="K43" i="2"/>
  <c r="K52" i="2" s="1"/>
  <c r="K55" i="2" s="1"/>
  <c r="CE149" i="54"/>
  <c r="J60" i="2"/>
  <c r="J8" i="2" s="1"/>
  <c r="J75" i="2"/>
  <c r="J66" i="2"/>
  <c r="J24" i="2" s="1"/>
  <c r="J58" i="2"/>
  <c r="J7" i="2" s="1"/>
  <c r="J62" i="2"/>
  <c r="J13" i="2" s="1"/>
  <c r="J56" i="2"/>
  <c r="J6" i="2" s="1"/>
  <c r="CB190" i="54"/>
  <c r="CE155" i="54"/>
  <c r="CF151" i="54" s="1"/>
  <c r="I79" i="11"/>
  <c r="AK107" i="1"/>
  <c r="CH253" i="54"/>
  <c r="CH287" i="54" s="1"/>
  <c r="CC248" i="54"/>
  <c r="CC286" i="54" s="1"/>
  <c r="CD132" i="54"/>
  <c r="CC142" i="54"/>
  <c r="CD134" i="54"/>
  <c r="CB294" i="54"/>
  <c r="CF259" i="54"/>
  <c r="CF257" i="54"/>
  <c r="CF149" i="54"/>
  <c r="J76" i="11"/>
  <c r="J8" i="11"/>
  <c r="AP54" i="1"/>
  <c r="CD246" i="54"/>
  <c r="AC43" i="1" l="1"/>
  <c r="AC42" i="1"/>
  <c r="AC40" i="1"/>
  <c r="AC47" i="1" s="1"/>
  <c r="AC108" i="1" s="1"/>
  <c r="AB40" i="1"/>
  <c r="AB47" i="1" s="1"/>
  <c r="AB108" i="1" s="1"/>
  <c r="AB43" i="1"/>
  <c r="AB42" i="1"/>
  <c r="AD40" i="1"/>
  <c r="AD47" i="1" s="1"/>
  <c r="AD108" i="1" s="1"/>
  <c r="AD43" i="1"/>
  <c r="AD42" i="1"/>
  <c r="AF33" i="1"/>
  <c r="AE36" i="1"/>
  <c r="K62" i="2"/>
  <c r="K13" i="2" s="1"/>
  <c r="K56" i="2"/>
  <c r="K6" i="2" s="1"/>
  <c r="J12" i="11" s="1"/>
  <c r="AP28" i="1"/>
  <c r="F6" i="42" s="1"/>
  <c r="F7" i="42" s="1"/>
  <c r="K75" i="2"/>
  <c r="J23" i="11" s="1"/>
  <c r="K58" i="2"/>
  <c r="K7" i="2" s="1"/>
  <c r="K50" i="2" s="1"/>
  <c r="K53" i="2" s="1"/>
  <c r="K60" i="2"/>
  <c r="K8" i="2" s="1"/>
  <c r="J13" i="11" s="1"/>
  <c r="CB296" i="54"/>
  <c r="CB309" i="54"/>
  <c r="CB310" i="54" s="1"/>
  <c r="CB192" i="54"/>
  <c r="CF155" i="54"/>
  <c r="CA302" i="54"/>
  <c r="AU8" i="1" s="1"/>
  <c r="AU12" i="1" s="1"/>
  <c r="L42" i="2" s="1"/>
  <c r="I14" i="11"/>
  <c r="I17" i="11"/>
  <c r="J26" i="2"/>
  <c r="I12" i="11"/>
  <c r="E13" i="42"/>
  <c r="J86" i="2"/>
  <c r="J84" i="2"/>
  <c r="J89" i="2"/>
  <c r="J90" i="2"/>
  <c r="J88" i="2"/>
  <c r="I23" i="11"/>
  <c r="J87" i="2"/>
  <c r="J85" i="2"/>
  <c r="J51" i="2"/>
  <c r="J54" i="2" s="1"/>
  <c r="I13" i="11"/>
  <c r="J50" i="2"/>
  <c r="J53" i="2" s="1"/>
  <c r="CD138" i="54"/>
  <c r="CD142" i="54" s="1"/>
  <c r="CD250" i="54"/>
  <c r="CE240" i="54"/>
  <c r="CE242" i="54"/>
  <c r="AP56" i="1"/>
  <c r="J77" i="11" s="1"/>
  <c r="J31" i="11" s="1"/>
  <c r="J34" i="11" s="1"/>
  <c r="AP55" i="1"/>
  <c r="CF263" i="54"/>
  <c r="CH145" i="54"/>
  <c r="CH183" i="54" s="1"/>
  <c r="CC140" i="54"/>
  <c r="CC182" i="54" s="1"/>
  <c r="CG151" i="54"/>
  <c r="CG149" i="54"/>
  <c r="L43" i="2"/>
  <c r="L52" i="2" s="1"/>
  <c r="L55" i="2" s="1"/>
  <c r="AU63" i="1"/>
  <c r="CC294" i="54"/>
  <c r="J17" i="11"/>
  <c r="K26" i="2"/>
  <c r="CB298" i="54" l="1"/>
  <c r="AZ7" i="1" s="1"/>
  <c r="AZ15" i="1" s="1"/>
  <c r="M43" i="2" s="1"/>
  <c r="AF35" i="1"/>
  <c r="AF97" i="1"/>
  <c r="AF98" i="1" s="1"/>
  <c r="AE40" i="1"/>
  <c r="AE43" i="1"/>
  <c r="AE42" i="1"/>
  <c r="CE134" i="54"/>
  <c r="CE132" i="54"/>
  <c r="K51" i="2"/>
  <c r="K54" i="2" s="1"/>
  <c r="F13" i="42"/>
  <c r="J14" i="11"/>
  <c r="K87" i="2"/>
  <c r="K89" i="2"/>
  <c r="K91" i="2"/>
  <c r="K84" i="2"/>
  <c r="K88" i="2"/>
  <c r="K86" i="2"/>
  <c r="K85" i="2"/>
  <c r="K90" i="2"/>
  <c r="CC308" i="54"/>
  <c r="CC296" i="54"/>
  <c r="CE246" i="54"/>
  <c r="CE250" i="54" s="1"/>
  <c r="CE138" i="54"/>
  <c r="CG155" i="54"/>
  <c r="AU28" i="1"/>
  <c r="G6" i="42" s="1"/>
  <c r="I27" i="11"/>
  <c r="J47" i="2"/>
  <c r="E14" i="42"/>
  <c r="J102" i="2"/>
  <c r="I7" i="11" s="1"/>
  <c r="CC190" i="54"/>
  <c r="J79" i="11"/>
  <c r="AP107" i="1"/>
  <c r="L75" i="2"/>
  <c r="L60" i="2"/>
  <c r="L8" i="2" s="1"/>
  <c r="L66" i="2"/>
  <c r="L19" i="2" s="1"/>
  <c r="L58" i="2"/>
  <c r="L7" i="2" s="1"/>
  <c r="L62" i="2"/>
  <c r="L13" i="2" s="1"/>
  <c r="L56" i="2"/>
  <c r="L6" i="2" s="1"/>
  <c r="K76" i="11"/>
  <c r="K8" i="11"/>
  <c r="AU54" i="1"/>
  <c r="CD140" i="54"/>
  <c r="CD182" i="54" s="1"/>
  <c r="CI145" i="54"/>
  <c r="CI183" i="54" s="1"/>
  <c r="D9" i="42"/>
  <c r="AF36" i="1"/>
  <c r="CH149" i="54"/>
  <c r="CH151" i="54"/>
  <c r="CD248" i="54"/>
  <c r="CD286" i="54" s="1"/>
  <c r="CI253" i="54"/>
  <c r="CI287" i="54" s="1"/>
  <c r="CF132" i="54"/>
  <c r="CF134" i="54"/>
  <c r="CE142" i="54"/>
  <c r="J27" i="11"/>
  <c r="K47" i="2"/>
  <c r="F14" i="42"/>
  <c r="CG259" i="54"/>
  <c r="CG257" i="54"/>
  <c r="CB302" i="54" l="1"/>
  <c r="AZ8" i="1" s="1"/>
  <c r="AZ12" i="1" s="1"/>
  <c r="M42" i="2" s="1"/>
  <c r="M62" i="2" s="1"/>
  <c r="M13" i="2" s="1"/>
  <c r="AF40" i="1"/>
  <c r="AF47" i="1" s="1"/>
  <c r="AE47" i="1"/>
  <c r="AE108" i="1" s="1"/>
  <c r="AF101" i="1"/>
  <c r="AF100" i="1"/>
  <c r="AF102" i="1" s="1"/>
  <c r="AK96" i="1"/>
  <c r="K102" i="2"/>
  <c r="J7" i="11" s="1"/>
  <c r="F12" i="42" s="1"/>
  <c r="CC309" i="54"/>
  <c r="CC310" i="54" s="1"/>
  <c r="CD308" i="54"/>
  <c r="CF242" i="54"/>
  <c r="CC192" i="54"/>
  <c r="CC298" i="54" s="1"/>
  <c r="BE7" i="1" s="1"/>
  <c r="BE15" i="1" s="1"/>
  <c r="CF240" i="54"/>
  <c r="CF246" i="54" s="1"/>
  <c r="AZ63" i="1"/>
  <c r="J12" i="2"/>
  <c r="J77" i="2"/>
  <c r="AK66" i="1"/>
  <c r="E12" i="42"/>
  <c r="CD190" i="54"/>
  <c r="G7" i="42"/>
  <c r="D10" i="42"/>
  <c r="D11" i="42"/>
  <c r="D15" i="42" s="1"/>
  <c r="D16" i="42" s="1"/>
  <c r="L50" i="2"/>
  <c r="L53" i="2" s="1"/>
  <c r="K14" i="11"/>
  <c r="CE248" i="54"/>
  <c r="CE286" i="54" s="1"/>
  <c r="CJ253" i="54"/>
  <c r="CJ287" i="54" s="1"/>
  <c r="AU56" i="1"/>
  <c r="K77" i="11" s="1"/>
  <c r="K31" i="11" s="1"/>
  <c r="K34" i="11" s="1"/>
  <c r="AU55" i="1"/>
  <c r="L24" i="2"/>
  <c r="K17" i="11" s="1"/>
  <c r="L22" i="2"/>
  <c r="M52" i="2"/>
  <c r="M55" i="2" s="1"/>
  <c r="CH155" i="54"/>
  <c r="K12" i="11"/>
  <c r="G13" i="42"/>
  <c r="L51" i="2"/>
  <c r="L54" i="2" s="1"/>
  <c r="K13" i="11"/>
  <c r="CJ145" i="54"/>
  <c r="CJ183" i="54" s="1"/>
  <c r="CE140" i="54"/>
  <c r="CE182" i="54" s="1"/>
  <c r="CD294" i="54"/>
  <c r="CG263" i="54"/>
  <c r="CF138" i="54"/>
  <c r="I45" i="2"/>
  <c r="AF43" i="1"/>
  <c r="AF42" i="1"/>
  <c r="L91" i="2"/>
  <c r="L87" i="2"/>
  <c r="L86" i="2"/>
  <c r="L89" i="2"/>
  <c r="L85" i="2"/>
  <c r="L84" i="2"/>
  <c r="L92" i="2"/>
  <c r="L88" i="2"/>
  <c r="K23" i="11"/>
  <c r="L90" i="2"/>
  <c r="AZ28" i="1" l="1"/>
  <c r="H6" i="42" s="1"/>
  <c r="H7" i="42" s="1"/>
  <c r="M58" i="2"/>
  <c r="M7" i="2" s="1"/>
  <c r="L14" i="11" s="1"/>
  <c r="M56" i="2"/>
  <c r="M6" i="2" s="1"/>
  <c r="L12" i="11" s="1"/>
  <c r="M60" i="2"/>
  <c r="M8" i="2" s="1"/>
  <c r="L13" i="11" s="1"/>
  <c r="M66" i="2"/>
  <c r="M19" i="2" s="1"/>
  <c r="M75" i="2"/>
  <c r="M85" i="2" s="1"/>
  <c r="K77" i="2"/>
  <c r="K12" i="2"/>
  <c r="AP66" i="1"/>
  <c r="AP67" i="1" s="1"/>
  <c r="CE308" i="54"/>
  <c r="CD296" i="54"/>
  <c r="CD309" i="54"/>
  <c r="CD310" i="54" s="1"/>
  <c r="CD192" i="54"/>
  <c r="L8" i="11"/>
  <c r="CC302" i="54"/>
  <c r="BE8" i="1" s="1"/>
  <c r="BE12" i="1" s="1"/>
  <c r="N42" i="2" s="1"/>
  <c r="L76" i="11"/>
  <c r="AZ54" i="1"/>
  <c r="AZ56" i="1" s="1"/>
  <c r="L77" i="11" s="1"/>
  <c r="L31" i="11" s="1"/>
  <c r="L34" i="11" s="1"/>
  <c r="AK68" i="1"/>
  <c r="AK67" i="1"/>
  <c r="CE190" i="54"/>
  <c r="AU107" i="1"/>
  <c r="K79" i="11"/>
  <c r="L26" i="2"/>
  <c r="D17" i="42"/>
  <c r="AF108" i="1"/>
  <c r="AF49" i="1"/>
  <c r="AF50" i="1"/>
  <c r="CI151" i="54"/>
  <c r="CI149" i="54"/>
  <c r="L102" i="2"/>
  <c r="K7" i="11" s="1"/>
  <c r="H5" i="11"/>
  <c r="H19" i="11" s="1"/>
  <c r="I32" i="2"/>
  <c r="CG134" i="54"/>
  <c r="CF142" i="54"/>
  <c r="CF140" i="54" s="1"/>
  <c r="CF182" i="54" s="1"/>
  <c r="CG132" i="54"/>
  <c r="CF250" i="54"/>
  <c r="CF248" i="54" s="1"/>
  <c r="CF286" i="54" s="1"/>
  <c r="CG240" i="54"/>
  <c r="CG242" i="54"/>
  <c r="CE294" i="54"/>
  <c r="G14" i="42"/>
  <c r="L47" i="2"/>
  <c r="K27" i="11"/>
  <c r="CH257" i="54"/>
  <c r="CH259" i="54"/>
  <c r="BE63" i="1"/>
  <c r="N43" i="2"/>
  <c r="M90" i="2" l="1"/>
  <c r="M92" i="2"/>
  <c r="M84" i="2"/>
  <c r="M51" i="2"/>
  <c r="M54" i="2" s="1"/>
  <c r="M89" i="2"/>
  <c r="M87" i="2"/>
  <c r="M91" i="2"/>
  <c r="M86" i="2"/>
  <c r="M50" i="2"/>
  <c r="M53" i="2" s="1"/>
  <c r="M93" i="2"/>
  <c r="M88" i="2"/>
  <c r="L23" i="11"/>
  <c r="L27" i="11" s="1"/>
  <c r="AP68" i="1"/>
  <c r="CD298" i="54"/>
  <c r="CD302" i="54" s="1"/>
  <c r="BJ8" i="1" s="1"/>
  <c r="BJ12" i="1" s="1"/>
  <c r="O42" i="2" s="1"/>
  <c r="CE296" i="54"/>
  <c r="CE309" i="54"/>
  <c r="CE310" i="54" s="1"/>
  <c r="CF190" i="54"/>
  <c r="CF192" i="54" s="1"/>
  <c r="CF308" i="54"/>
  <c r="CE192" i="54"/>
  <c r="BE28" i="1"/>
  <c r="I6" i="42" s="1"/>
  <c r="AZ55" i="1"/>
  <c r="CG138" i="54"/>
  <c r="CH132" i="54" s="1"/>
  <c r="L79" i="11"/>
  <c r="AZ107" i="1"/>
  <c r="M76" i="11"/>
  <c r="BE54" i="1"/>
  <c r="M8" i="11"/>
  <c r="N58" i="2"/>
  <c r="N7" i="2" s="1"/>
  <c r="N60" i="2"/>
  <c r="N8" i="2" s="1"/>
  <c r="N51" i="2" s="1"/>
  <c r="N54" i="2" s="1"/>
  <c r="N56" i="2"/>
  <c r="N6" i="2" s="1"/>
  <c r="N62" i="2"/>
  <c r="N13" i="2" s="1"/>
  <c r="N66" i="2"/>
  <c r="N75" i="2"/>
  <c r="I46" i="2"/>
  <c r="CI155" i="54"/>
  <c r="G12" i="42"/>
  <c r="AU66" i="1"/>
  <c r="L77" i="2"/>
  <c r="M24" i="2"/>
  <c r="L17" i="11" s="1"/>
  <c r="M22" i="2"/>
  <c r="H13" i="42"/>
  <c r="CH263" i="54"/>
  <c r="CG246" i="54"/>
  <c r="N52" i="2"/>
  <c r="N55" i="2" s="1"/>
  <c r="CF294" i="54"/>
  <c r="L12" i="2"/>
  <c r="M47" i="2" l="1"/>
  <c r="H14" i="42"/>
  <c r="N93" i="2"/>
  <c r="M102" i="2"/>
  <c r="L7" i="11" s="1"/>
  <c r="M12" i="2" s="1"/>
  <c r="BJ7" i="1"/>
  <c r="BJ15" i="1" s="1"/>
  <c r="BJ28" i="1" s="1"/>
  <c r="J6" i="42" s="1"/>
  <c r="CE298" i="54"/>
  <c r="BO7" i="1" s="1"/>
  <c r="BO15" i="1" s="1"/>
  <c r="BO63" i="1" s="1"/>
  <c r="CF309" i="54"/>
  <c r="CF310" i="54" s="1"/>
  <c r="CH134" i="54"/>
  <c r="CH138" i="54" s="1"/>
  <c r="CF296" i="54"/>
  <c r="CF298" i="54" s="1"/>
  <c r="CF302" i="54" s="1"/>
  <c r="BT8" i="1" s="1"/>
  <c r="BT12" i="1" s="1"/>
  <c r="CG142" i="54"/>
  <c r="CG140" i="54" s="1"/>
  <c r="CG182" i="54" s="1"/>
  <c r="CI259" i="54"/>
  <c r="CI257" i="54"/>
  <c r="N19" i="2"/>
  <c r="N24" i="2" s="1"/>
  <c r="M17" i="11" s="1"/>
  <c r="I7" i="42"/>
  <c r="N84" i="2"/>
  <c r="N87" i="2"/>
  <c r="N89" i="2"/>
  <c r="N94" i="2"/>
  <c r="N85" i="2"/>
  <c r="N86" i="2"/>
  <c r="M23" i="11"/>
  <c r="N88" i="2"/>
  <c r="N90" i="2"/>
  <c r="N91" i="2"/>
  <c r="N92" i="2"/>
  <c r="M13" i="11"/>
  <c r="O62" i="2"/>
  <c r="O13" i="2" s="1"/>
  <c r="O56" i="2"/>
  <c r="O6" i="2" s="1"/>
  <c r="O60" i="2"/>
  <c r="O8" i="2" s="1"/>
  <c r="O66" i="2"/>
  <c r="O75" i="2"/>
  <c r="O58" i="2"/>
  <c r="O7" i="2" s="1"/>
  <c r="BE55" i="1"/>
  <c r="BE56" i="1"/>
  <c r="M77" i="11" s="1"/>
  <c r="M31" i="11" s="1"/>
  <c r="M34" i="11" s="1"/>
  <c r="CJ151" i="54"/>
  <c r="CJ149" i="54"/>
  <c r="M12" i="11"/>
  <c r="CH240" i="54"/>
  <c r="CG250" i="54"/>
  <c r="CG248" i="54" s="1"/>
  <c r="CG286" i="54" s="1"/>
  <c r="CH242" i="54"/>
  <c r="M26" i="2"/>
  <c r="AU68" i="1"/>
  <c r="AU67" i="1"/>
  <c r="N50" i="2"/>
  <c r="N53" i="2" s="1"/>
  <c r="M14" i="11"/>
  <c r="M77" i="2" l="1"/>
  <c r="AZ66" i="1"/>
  <c r="AZ68" i="1" s="1"/>
  <c r="H12" i="42"/>
  <c r="N102" i="2"/>
  <c r="M7" i="11" s="1"/>
  <c r="N12" i="2" s="1"/>
  <c r="BJ63" i="1"/>
  <c r="O43" i="2"/>
  <c r="O52" i="2" s="1"/>
  <c r="O55" i="2" s="1"/>
  <c r="CE302" i="54"/>
  <c r="BO8" i="1" s="1"/>
  <c r="BO12" i="1" s="1"/>
  <c r="P42" i="2" s="1"/>
  <c r="P58" i="2" s="1"/>
  <c r="P7" i="2" s="1"/>
  <c r="P43" i="2"/>
  <c r="P52" i="2" s="1"/>
  <c r="P55" i="2" s="1"/>
  <c r="CG190" i="54"/>
  <c r="CG192" i="54" s="1"/>
  <c r="CG308" i="54"/>
  <c r="BT7" i="1"/>
  <c r="BT15" i="1" s="1"/>
  <c r="BT28" i="1" s="1"/>
  <c r="CJ155" i="54"/>
  <c r="N14" i="11"/>
  <c r="N13" i="11"/>
  <c r="O94" i="2"/>
  <c r="M79" i="11"/>
  <c r="CG294" i="54"/>
  <c r="AZ67" i="1"/>
  <c r="O50" i="2"/>
  <c r="O53" i="2" s="1"/>
  <c r="N12" i="11"/>
  <c r="N47" i="2"/>
  <c r="I14" i="42"/>
  <c r="M27" i="11"/>
  <c r="BE107" i="1"/>
  <c r="I13" i="42"/>
  <c r="N22" i="2"/>
  <c r="N26" i="2" s="1"/>
  <c r="O19" i="2"/>
  <c r="Q42" i="2"/>
  <c r="O8" i="11"/>
  <c r="BO54" i="1"/>
  <c r="O76" i="11"/>
  <c r="CI134" i="54"/>
  <c r="CH142" i="54"/>
  <c r="CH140" i="54" s="1"/>
  <c r="CH182" i="54" s="1"/>
  <c r="CI132" i="54"/>
  <c r="CH246" i="54"/>
  <c r="O87" i="2"/>
  <c r="O84" i="2"/>
  <c r="N23" i="11"/>
  <c r="O89" i="2"/>
  <c r="O86" i="2"/>
  <c r="O85" i="2"/>
  <c r="O95" i="2"/>
  <c r="O88" i="2"/>
  <c r="O90" i="2"/>
  <c r="O91" i="2"/>
  <c r="O92" i="2"/>
  <c r="O93" i="2"/>
  <c r="J7" i="42"/>
  <c r="CI263" i="54"/>
  <c r="O102" i="2" l="1"/>
  <c r="N7" i="11" s="1"/>
  <c r="J12" i="42" s="1"/>
  <c r="O51" i="2"/>
  <c r="O54" i="2" s="1"/>
  <c r="BJ54" i="1"/>
  <c r="BJ56" i="1" s="1"/>
  <c r="N77" i="11" s="1"/>
  <c r="N31" i="11" s="1"/>
  <c r="N34" i="11" s="1"/>
  <c r="N8" i="11"/>
  <c r="N76" i="11"/>
  <c r="P60" i="2"/>
  <c r="P8" i="2" s="1"/>
  <c r="P51" i="2" s="1"/>
  <c r="P54" i="2" s="1"/>
  <c r="P66" i="2"/>
  <c r="BO28" i="1"/>
  <c r="BO67" i="1" s="1"/>
  <c r="P56" i="2"/>
  <c r="P6" i="2" s="1"/>
  <c r="O12" i="11" s="1"/>
  <c r="P75" i="2"/>
  <c r="P95" i="2" s="1"/>
  <c r="P62" i="2"/>
  <c r="P13" i="2" s="1"/>
  <c r="O14" i="11" s="1"/>
  <c r="CH190" i="54"/>
  <c r="CH192" i="54" s="1"/>
  <c r="CG309" i="54"/>
  <c r="CG310" i="54" s="1"/>
  <c r="Q43" i="2"/>
  <c r="Q52" i="2" s="1"/>
  <c r="Q55" i="2" s="1"/>
  <c r="BT63" i="1"/>
  <c r="CG296" i="54"/>
  <c r="CG298" i="54" s="1"/>
  <c r="CI138" i="54"/>
  <c r="CI142" i="54" s="1"/>
  <c r="CI140" i="54" s="1"/>
  <c r="CI182" i="54" s="1"/>
  <c r="O47" i="2"/>
  <c r="N27" i="11"/>
  <c r="J14" i="42"/>
  <c r="CH250" i="54"/>
  <c r="CH248" i="54" s="1"/>
  <c r="CH286" i="54" s="1"/>
  <c r="CI242" i="54"/>
  <c r="CI240" i="54"/>
  <c r="CI246" i="54" s="1"/>
  <c r="O24" i="2"/>
  <c r="N17" i="11" s="1"/>
  <c r="O22" i="2"/>
  <c r="J13" i="42"/>
  <c r="Q75" i="2"/>
  <c r="Q66" i="2"/>
  <c r="Q56" i="2"/>
  <c r="Q6" i="2" s="1"/>
  <c r="Q58" i="2"/>
  <c r="Q7" i="2" s="1"/>
  <c r="Q50" i="2" s="1"/>
  <c r="Q53" i="2" s="1"/>
  <c r="Q60" i="2"/>
  <c r="Q8" i="2" s="1"/>
  <c r="Q62" i="2"/>
  <c r="Q13" i="2" s="1"/>
  <c r="BE66" i="1"/>
  <c r="I12" i="42"/>
  <c r="N77" i="2"/>
  <c r="BO55" i="1"/>
  <c r="BO56" i="1"/>
  <c r="O77" i="11" s="1"/>
  <c r="O31" i="11" s="1"/>
  <c r="O34" i="11" s="1"/>
  <c r="CJ257" i="54"/>
  <c r="CJ259" i="54"/>
  <c r="P50" i="2"/>
  <c r="P53" i="2" s="1"/>
  <c r="L6" i="42"/>
  <c r="BT67" i="1"/>
  <c r="BT68" i="1"/>
  <c r="P12" i="11" l="1"/>
  <c r="P91" i="2"/>
  <c r="Q91" i="2" s="1"/>
  <c r="P13" i="11"/>
  <c r="P89" i="2"/>
  <c r="Q89" i="2" s="1"/>
  <c r="O13" i="11"/>
  <c r="BJ55" i="1"/>
  <c r="N79" i="11"/>
  <c r="P92" i="2"/>
  <c r="Q92" i="2" s="1"/>
  <c r="P88" i="2"/>
  <c r="Q88" i="2" s="1"/>
  <c r="P94" i="2"/>
  <c r="Q94" i="2" s="1"/>
  <c r="O23" i="11"/>
  <c r="P47" i="2" s="1"/>
  <c r="P84" i="2"/>
  <c r="Q84" i="2" s="1"/>
  <c r="BO68" i="1"/>
  <c r="K6" i="42"/>
  <c r="K7" i="42" s="1"/>
  <c r="P90" i="2"/>
  <c r="Q90" i="2" s="1"/>
  <c r="P86" i="2"/>
  <c r="Q86" i="2" s="1"/>
  <c r="P96" i="2"/>
  <c r="Q96" i="2" s="1"/>
  <c r="P93" i="2"/>
  <c r="Q93" i="2" s="1"/>
  <c r="P85" i="2"/>
  <c r="P87" i="2"/>
  <c r="Q87" i="2" s="1"/>
  <c r="CI190" i="54"/>
  <c r="CI192" i="54" s="1"/>
  <c r="CH308" i="54"/>
  <c r="CG302" i="54"/>
  <c r="BY8" i="1" s="1"/>
  <c r="BY12" i="1" s="1"/>
  <c r="R42" i="2" s="1"/>
  <c r="BY7" i="1"/>
  <c r="BY15" i="1" s="1"/>
  <c r="R43" i="2" s="1"/>
  <c r="R52" i="2" s="1"/>
  <c r="R55" i="2" s="1"/>
  <c r="BT54" i="1"/>
  <c r="BT55" i="1" s="1"/>
  <c r="P8" i="11"/>
  <c r="P76" i="11"/>
  <c r="CJ134" i="54"/>
  <c r="CJ132" i="54"/>
  <c r="Q51" i="2"/>
  <c r="Q54" i="2" s="1"/>
  <c r="P14" i="11"/>
  <c r="O12" i="2"/>
  <c r="O77" i="2"/>
  <c r="O26" i="2"/>
  <c r="O79" i="11"/>
  <c r="CJ242" i="54"/>
  <c r="CJ240" i="54"/>
  <c r="CI250" i="54"/>
  <c r="CI248" i="54" s="1"/>
  <c r="CI286" i="54" s="1"/>
  <c r="CJ263" i="54"/>
  <c r="BE68" i="1"/>
  <c r="BE67" i="1"/>
  <c r="Q97" i="2"/>
  <c r="P23" i="11"/>
  <c r="P19" i="2"/>
  <c r="CH294" i="54"/>
  <c r="Q95" i="2"/>
  <c r="P102" i="2" l="1"/>
  <c r="O7" i="11" s="1"/>
  <c r="P77" i="2" s="1"/>
  <c r="O27" i="11"/>
  <c r="K14" i="42"/>
  <c r="L7" i="42"/>
  <c r="Q85" i="2"/>
  <c r="Q102" i="2" s="1"/>
  <c r="CH309" i="54"/>
  <c r="CH310" i="54" s="1"/>
  <c r="CI308" i="54"/>
  <c r="BY63" i="1"/>
  <c r="BY54" i="1" s="1"/>
  <c r="BT56" i="1"/>
  <c r="P77" i="11" s="1"/>
  <c r="P31" i="11" s="1"/>
  <c r="P34" i="11" s="1"/>
  <c r="CJ138" i="54"/>
  <c r="CJ142" i="54" s="1"/>
  <c r="CJ140" i="54" s="1"/>
  <c r="CJ182" i="54" s="1"/>
  <c r="BY28" i="1"/>
  <c r="BY68" i="1" s="1"/>
  <c r="CH296" i="54"/>
  <c r="CH298" i="54" s="1"/>
  <c r="P22" i="2"/>
  <c r="P24" i="2"/>
  <c r="Q19" i="2" s="1"/>
  <c r="K13" i="42"/>
  <c r="Q47" i="2"/>
  <c r="P27" i="11"/>
  <c r="L14" i="42"/>
  <c r="R75" i="2"/>
  <c r="R97" i="2" s="1"/>
  <c r="R66" i="2"/>
  <c r="R58" i="2"/>
  <c r="R7" i="2" s="1"/>
  <c r="R50" i="2" s="1"/>
  <c r="R53" i="2" s="1"/>
  <c r="R56" i="2"/>
  <c r="R6" i="2" s="1"/>
  <c r="R60" i="2"/>
  <c r="R8" i="2" s="1"/>
  <c r="R62" i="2"/>
  <c r="R13" i="2" s="1"/>
  <c r="CI294" i="54"/>
  <c r="CJ246" i="54"/>
  <c r="CJ250" i="54" s="1"/>
  <c r="CJ248" i="54" s="1"/>
  <c r="CJ286" i="54" s="1"/>
  <c r="P7" i="11" l="1"/>
  <c r="Q77" i="2" s="1"/>
  <c r="K12" i="42"/>
  <c r="P12" i="2"/>
  <c r="CJ308" i="54"/>
  <c r="CJ190" i="54"/>
  <c r="CJ192" i="54" s="1"/>
  <c r="CI309" i="54"/>
  <c r="CI310" i="54" s="1"/>
  <c r="Q76" i="11"/>
  <c r="Q8" i="11"/>
  <c r="P79" i="11"/>
  <c r="M6" i="42"/>
  <c r="M7" i="42" s="1"/>
  <c r="BY67" i="1"/>
  <c r="CH302" i="54"/>
  <c r="CD8" i="1" s="1"/>
  <c r="CD12" i="1" s="1"/>
  <c r="S42" i="2" s="1"/>
  <c r="CD7" i="1"/>
  <c r="CD15" i="1" s="1"/>
  <c r="CD63" i="1" s="1"/>
  <c r="CI296" i="54"/>
  <c r="CI298" i="54" s="1"/>
  <c r="Q14" i="11"/>
  <c r="Q24" i="2"/>
  <c r="P17" i="11" s="1"/>
  <c r="Q22" i="2"/>
  <c r="L13" i="42"/>
  <c r="BY56" i="1"/>
  <c r="Q77" i="11" s="1"/>
  <c r="Q31" i="11" s="1"/>
  <c r="Q34" i="11" s="1"/>
  <c r="BY55" i="1"/>
  <c r="R51" i="2"/>
  <c r="R54" i="2" s="1"/>
  <c r="Q13" i="11"/>
  <c r="R93" i="2"/>
  <c r="R86" i="2"/>
  <c r="Q23" i="11"/>
  <c r="R87" i="2"/>
  <c r="R98" i="2"/>
  <c r="R88" i="2"/>
  <c r="R89" i="2"/>
  <c r="R85" i="2"/>
  <c r="R84" i="2"/>
  <c r="R90" i="2"/>
  <c r="R91" i="2"/>
  <c r="R92" i="2"/>
  <c r="R94" i="2"/>
  <c r="R95" i="2"/>
  <c r="R96" i="2"/>
  <c r="O17" i="11"/>
  <c r="CJ294" i="54"/>
  <c r="Q12" i="11"/>
  <c r="P26" i="2"/>
  <c r="L12" i="42" l="1"/>
  <c r="Q12" i="2"/>
  <c r="R102" i="2"/>
  <c r="Q7" i="11" s="1"/>
  <c r="CJ309" i="54"/>
  <c r="CJ310" i="54" s="1"/>
  <c r="S43" i="2"/>
  <c r="S52" i="2" s="1"/>
  <c r="S55" i="2" s="1"/>
  <c r="CD28" i="1"/>
  <c r="N6" i="42" s="1"/>
  <c r="CI7" i="1"/>
  <c r="CI15" i="1" s="1"/>
  <c r="T43" i="2" s="1"/>
  <c r="T52" i="2" s="1"/>
  <c r="T55" i="2" s="1"/>
  <c r="CI302" i="54"/>
  <c r="CI8" i="1" s="1"/>
  <c r="CI12" i="1" s="1"/>
  <c r="T42" i="2" s="1"/>
  <c r="CJ296" i="54"/>
  <c r="CJ298" i="54" s="1"/>
  <c r="Q79" i="11"/>
  <c r="Q26" i="2"/>
  <c r="R19" i="2"/>
  <c r="R22" i="2" s="1"/>
  <c r="R47" i="2"/>
  <c r="Q27" i="11"/>
  <c r="M14" i="42"/>
  <c r="S75" i="2"/>
  <c r="S98" i="2" s="1"/>
  <c r="S60" i="2"/>
  <c r="S8" i="2" s="1"/>
  <c r="S66" i="2"/>
  <c r="S56" i="2"/>
  <c r="S6" i="2" s="1"/>
  <c r="S58" i="2"/>
  <c r="S7" i="2" s="1"/>
  <c r="S62" i="2"/>
  <c r="S13" i="2" s="1"/>
  <c r="R8" i="11"/>
  <c r="R76" i="11"/>
  <c r="CD54" i="1"/>
  <c r="CI28" i="1" l="1"/>
  <c r="CI68" i="1" s="1"/>
  <c r="CD68" i="1"/>
  <c r="CD67" i="1"/>
  <c r="CN7" i="1"/>
  <c r="CN15" i="1" s="1"/>
  <c r="CN63" i="1" s="1"/>
  <c r="CJ302" i="54"/>
  <c r="CN8" i="1" s="1"/>
  <c r="CN12" i="1" s="1"/>
  <c r="U42" i="2" s="1"/>
  <c r="CI63" i="1"/>
  <c r="M13" i="42"/>
  <c r="R24" i="2"/>
  <c r="Q17" i="11" s="1"/>
  <c r="S50" i="2"/>
  <c r="S53" i="2" s="1"/>
  <c r="R14" i="11"/>
  <c r="S96" i="2"/>
  <c r="R23" i="11"/>
  <c r="S88" i="2"/>
  <c r="S85" i="2"/>
  <c r="S84" i="2"/>
  <c r="S87" i="2"/>
  <c r="S99" i="2"/>
  <c r="S89" i="2"/>
  <c r="S86" i="2"/>
  <c r="S90" i="2"/>
  <c r="S91" i="2"/>
  <c r="S92" i="2"/>
  <c r="S93" i="2"/>
  <c r="S94" i="2"/>
  <c r="S95" i="2"/>
  <c r="S97" i="2"/>
  <c r="T58" i="2"/>
  <c r="T7" i="2" s="1"/>
  <c r="T60" i="2"/>
  <c r="T8" i="2" s="1"/>
  <c r="S13" i="11" s="1"/>
  <c r="T66" i="2"/>
  <c r="T75" i="2"/>
  <c r="T62" i="2"/>
  <c r="T13" i="2" s="1"/>
  <c r="T56" i="2"/>
  <c r="T6" i="2" s="1"/>
  <c r="S12" i="11" s="1"/>
  <c r="N7" i="42"/>
  <c r="R12" i="11"/>
  <c r="R12" i="2"/>
  <c r="M12" i="42"/>
  <c r="R77" i="2"/>
  <c r="CD56" i="1"/>
  <c r="R77" i="11" s="1"/>
  <c r="R31" i="11" s="1"/>
  <c r="R34" i="11" s="1"/>
  <c r="CD55" i="1"/>
  <c r="S51" i="2"/>
  <c r="S54" i="2" s="1"/>
  <c r="R13" i="11"/>
  <c r="S102" i="2" l="1"/>
  <c r="R7" i="11" s="1"/>
  <c r="S12" i="2" s="1"/>
  <c r="O6" i="42"/>
  <c r="CI67" i="1"/>
  <c r="U43" i="2"/>
  <c r="U52" i="2" s="1"/>
  <c r="U55" i="2" s="1"/>
  <c r="CI54" i="1"/>
  <c r="CI55" i="1" s="1"/>
  <c r="S8" i="11"/>
  <c r="S76" i="11"/>
  <c r="CN28" i="1"/>
  <c r="P6" i="42" s="1"/>
  <c r="S19" i="2"/>
  <c r="S24" i="2" s="1"/>
  <c r="R17" i="11" s="1"/>
  <c r="R26" i="2"/>
  <c r="BJ107" i="1"/>
  <c r="T50" i="2"/>
  <c r="T53" i="2" s="1"/>
  <c r="T99" i="2"/>
  <c r="S14" i="11"/>
  <c r="R27" i="11"/>
  <c r="S47" i="2"/>
  <c r="N14" i="42"/>
  <c r="U66" i="2"/>
  <c r="U58" i="2"/>
  <c r="U7" i="2" s="1"/>
  <c r="U50" i="2" s="1"/>
  <c r="U53" i="2" s="1"/>
  <c r="U62" i="2"/>
  <c r="U13" i="2" s="1"/>
  <c r="U60" i="2"/>
  <c r="U8" i="2" s="1"/>
  <c r="U75" i="2"/>
  <c r="U56" i="2"/>
  <c r="U6" i="2" s="1"/>
  <c r="T12" i="11" s="1"/>
  <c r="CN54" i="1"/>
  <c r="T76" i="11"/>
  <c r="T8" i="11"/>
  <c r="R79" i="11"/>
  <c r="S23" i="11"/>
  <c r="T87" i="2"/>
  <c r="T84" i="2"/>
  <c r="T86" i="2"/>
  <c r="T88" i="2"/>
  <c r="T100" i="2"/>
  <c r="T85" i="2"/>
  <c r="T89" i="2"/>
  <c r="T90" i="2"/>
  <c r="T91" i="2"/>
  <c r="T92" i="2"/>
  <c r="T93" i="2"/>
  <c r="T94" i="2"/>
  <c r="T95" i="2"/>
  <c r="T96" i="2"/>
  <c r="T97" i="2"/>
  <c r="T98" i="2"/>
  <c r="T51" i="2"/>
  <c r="T54" i="2" s="1"/>
  <c r="O7" i="42" l="1"/>
  <c r="P7" i="42"/>
  <c r="T102" i="2"/>
  <c r="S7" i="11" s="1"/>
  <c r="O12" i="42" s="1"/>
  <c r="CN68" i="1"/>
  <c r="U51" i="2"/>
  <c r="U54" i="2" s="1"/>
  <c r="CI56" i="1"/>
  <c r="S77" i="11" s="1"/>
  <c r="S31" i="11" s="1"/>
  <c r="S34" i="11" s="1"/>
  <c r="CN67" i="1"/>
  <c r="S22" i="2"/>
  <c r="S26" i="2" s="1"/>
  <c r="N13" i="42"/>
  <c r="T13" i="11"/>
  <c r="CN55" i="1"/>
  <c r="CN56" i="1"/>
  <c r="T77" i="11" s="1"/>
  <c r="T31" i="11" s="1"/>
  <c r="T34" i="11" s="1"/>
  <c r="U89" i="2"/>
  <c r="U86" i="2"/>
  <c r="T23" i="11"/>
  <c r="U101" i="2"/>
  <c r="U87" i="2"/>
  <c r="U88" i="2"/>
  <c r="U85" i="2"/>
  <c r="U84" i="2"/>
  <c r="U90" i="2"/>
  <c r="U91" i="2"/>
  <c r="U92" i="2"/>
  <c r="U93" i="2"/>
  <c r="U94" i="2"/>
  <c r="U95" i="2"/>
  <c r="U96" i="2"/>
  <c r="U97" i="2"/>
  <c r="U98" i="2"/>
  <c r="U99" i="2"/>
  <c r="U100" i="2"/>
  <c r="T19" i="2"/>
  <c r="S77" i="2"/>
  <c r="BJ66" i="1"/>
  <c r="N12" i="42"/>
  <c r="S27" i="11"/>
  <c r="O14" i="42"/>
  <c r="T47" i="2"/>
  <c r="T14" i="11"/>
  <c r="U102" i="2" l="1"/>
  <c r="T7" i="11" s="1"/>
  <c r="S79" i="11"/>
  <c r="T79" i="11"/>
  <c r="T12" i="2"/>
  <c r="T77" i="2"/>
  <c r="T24" i="2"/>
  <c r="U19" i="2" s="1"/>
  <c r="T22" i="2"/>
  <c r="O13" i="42"/>
  <c r="U47" i="2"/>
  <c r="P14" i="42"/>
  <c r="T27" i="11"/>
  <c r="BJ68" i="1"/>
  <c r="BJ67" i="1"/>
  <c r="S17" i="11" l="1"/>
  <c r="T26" i="2"/>
  <c r="U22" i="2"/>
  <c r="P13" i="42"/>
  <c r="U24" i="2"/>
  <c r="T17" i="11" s="1"/>
  <c r="U12" i="2"/>
  <c r="U77" i="2"/>
  <c r="P12" i="42"/>
  <c r="U26" i="2" l="1"/>
  <c r="G34" i="11" l="1"/>
  <c r="G76" i="11"/>
  <c r="Z54" i="1"/>
  <c r="AA54" i="1"/>
  <c r="W54" i="1" s="1"/>
  <c r="AA55" i="1"/>
  <c r="AA56" i="1"/>
  <c r="G77" i="11" s="1"/>
  <c r="AA57" i="1"/>
  <c r="AA58" i="1"/>
  <c r="AF61" i="1"/>
  <c r="AD61" i="1" s="1"/>
  <c r="AA64" i="1"/>
  <c r="AC61" i="1" l="1"/>
  <c r="AF62" i="1"/>
  <c r="AB62" i="1" s="1"/>
  <c r="AK61" i="1"/>
  <c r="AK62" i="1" s="1"/>
  <c r="Z55" i="1"/>
  <c r="Z56" i="1"/>
  <c r="Z57" i="1" s="1"/>
  <c r="Z58" i="1" s="1"/>
  <c r="W56" i="1"/>
  <c r="W55" i="1"/>
  <c r="W57" i="1"/>
  <c r="W58" i="1" s="1"/>
  <c r="AB61" i="1"/>
  <c r="Y54" i="1"/>
  <c r="AE61" i="1"/>
  <c r="X54" i="1"/>
  <c r="G79" i="11"/>
  <c r="AE62" i="1" l="1"/>
  <c r="AD62" i="1"/>
  <c r="AD63" i="1" s="1"/>
  <c r="AD54" i="1" s="1"/>
  <c r="AC62" i="1"/>
  <c r="AC63" i="1" s="1"/>
  <c r="AC64" i="1" s="1"/>
  <c r="AB63" i="1"/>
  <c r="AB54" i="1" s="1"/>
  <c r="AP61" i="1"/>
  <c r="AP62" i="1" s="1"/>
  <c r="X56" i="1"/>
  <c r="X57" i="1"/>
  <c r="X58" i="1" s="1"/>
  <c r="X55" i="1"/>
  <c r="AE63" i="1"/>
  <c r="Y55" i="1"/>
  <c r="Y57" i="1"/>
  <c r="Y58" i="1" s="1"/>
  <c r="Y56" i="1"/>
  <c r="AD64" i="1" l="1"/>
  <c r="AU61" i="1"/>
  <c r="AU62" i="1" s="1"/>
  <c r="AB64" i="1"/>
  <c r="AC54" i="1"/>
  <c r="AC56" i="1" s="1"/>
  <c r="AC57" i="1" s="1"/>
  <c r="AC58" i="1" s="1"/>
  <c r="AD55" i="1"/>
  <c r="AD56" i="1"/>
  <c r="AD57" i="1" s="1"/>
  <c r="AD58" i="1" s="1"/>
  <c r="AE54" i="1"/>
  <c r="AE64" i="1"/>
  <c r="AB56" i="1"/>
  <c r="AB57" i="1" s="1"/>
  <c r="AB58" i="1" s="1"/>
  <c r="AB55" i="1"/>
  <c r="AZ61" i="1" l="1"/>
  <c r="BE61" i="1" s="1"/>
  <c r="AC55" i="1"/>
  <c r="AE56" i="1"/>
  <c r="AE57" i="1" s="1"/>
  <c r="AF54" i="1"/>
  <c r="AE55" i="1"/>
  <c r="AZ62" i="1" l="1"/>
  <c r="AE58" i="1"/>
  <c r="AF57" i="1"/>
  <c r="AF58" i="1" s="1"/>
  <c r="AF56" i="1"/>
  <c r="H77" i="11" s="1"/>
  <c r="AF55" i="1"/>
  <c r="BJ61" i="1"/>
  <c r="BE62" i="1"/>
  <c r="BO61" i="1" l="1"/>
  <c r="BJ62" i="1"/>
  <c r="H79" i="11"/>
  <c r="I31" i="2" s="1"/>
  <c r="H31" i="11"/>
  <c r="H34" i="11" l="1"/>
  <c r="H36" i="11" s="1"/>
  <c r="H39" i="11" s="1"/>
  <c r="AF107" i="1"/>
  <c r="J31" i="2"/>
  <c r="I33" i="2"/>
  <c r="I35" i="2" s="1"/>
  <c r="BT61" i="1"/>
  <c r="BO62" i="1"/>
  <c r="K31" i="2" l="1"/>
  <c r="BY61" i="1"/>
  <c r="BT62" i="1"/>
  <c r="I4" i="2"/>
  <c r="H43" i="11" s="1"/>
  <c r="H41" i="11"/>
  <c r="I37" i="11" s="1"/>
  <c r="I9" i="2" l="1"/>
  <c r="I14" i="2" s="1"/>
  <c r="I37" i="2" s="1"/>
  <c r="AK90" i="1"/>
  <c r="AK92" i="1" s="1"/>
  <c r="AK31" i="1" s="1"/>
  <c r="AK33" i="1" s="1"/>
  <c r="L31" i="2"/>
  <c r="CD61" i="1"/>
  <c r="BY62" i="1"/>
  <c r="CI61" i="1" l="1"/>
  <c r="CD62" i="1"/>
  <c r="AK35" i="1"/>
  <c r="AK97" i="1"/>
  <c r="AK98" i="1" s="1"/>
  <c r="M31" i="2"/>
  <c r="N31" i="2" l="1"/>
  <c r="AK100" i="1"/>
  <c r="AK102" i="1" s="1"/>
  <c r="AK34" i="1" s="1"/>
  <c r="AP96" i="1"/>
  <c r="AK101" i="1"/>
  <c r="CN61" i="1"/>
  <c r="CN62" i="1" s="1"/>
  <c r="CI62" i="1"/>
  <c r="E9" i="42" l="1"/>
  <c r="AK36" i="1"/>
  <c r="O31" i="2"/>
  <c r="E10" i="42" l="1"/>
  <c r="E11" i="42"/>
  <c r="E15" i="42" s="1"/>
  <c r="P31" i="2"/>
  <c r="J45" i="2"/>
  <c r="AK40" i="1"/>
  <c r="AK47" i="1" s="1"/>
  <c r="AK42" i="1"/>
  <c r="AK43" i="1"/>
  <c r="AK57" i="1"/>
  <c r="AK58" i="1" s="1"/>
  <c r="J32" i="2" l="1"/>
  <c r="I5" i="11"/>
  <c r="I19" i="11" s="1"/>
  <c r="AK49" i="1"/>
  <c r="AK50" i="1"/>
  <c r="AK108" i="1"/>
  <c r="E16" i="42"/>
  <c r="E17" i="42"/>
  <c r="Q31" i="2"/>
  <c r="I36" i="11" l="1"/>
  <c r="I39" i="11" s="1"/>
  <c r="J46" i="2"/>
  <c r="R31" i="2"/>
  <c r="J33" i="2"/>
  <c r="J35" i="2" s="1"/>
  <c r="J4" i="2" l="1"/>
  <c r="I43" i="11" s="1"/>
  <c r="I41" i="11"/>
  <c r="J37" i="11" s="1"/>
  <c r="S31" i="2"/>
  <c r="T31" i="2" l="1"/>
  <c r="J9" i="2"/>
  <c r="J14" i="2" s="1"/>
  <c r="J37" i="2" s="1"/>
  <c r="AP90" i="1"/>
  <c r="AP92" i="1" s="1"/>
  <c r="AP31" i="1" s="1"/>
  <c r="AP33" i="1" s="1"/>
  <c r="U31" i="2" l="1"/>
  <c r="AP97" i="1"/>
  <c r="AP98" i="1" s="1"/>
  <c r="AU96" i="1" l="1"/>
  <c r="AP100" i="1"/>
  <c r="AP102" i="1" s="1"/>
  <c r="AP34" i="1" s="1"/>
  <c r="AP35" i="1" s="1"/>
  <c r="AP101" i="1"/>
  <c r="F9" i="42" l="1"/>
  <c r="AP36" i="1"/>
  <c r="K45" i="2" l="1"/>
  <c r="AP40" i="1"/>
  <c r="AP47" i="1" s="1"/>
  <c r="AP42" i="1"/>
  <c r="AP43" i="1"/>
  <c r="AP57" i="1"/>
  <c r="AP58" i="1" s="1"/>
  <c r="F11" i="42"/>
  <c r="F15" i="42" s="1"/>
  <c r="F10" i="42"/>
  <c r="J5" i="11" l="1"/>
  <c r="J19" i="11" s="1"/>
  <c r="K32" i="2"/>
  <c r="F16" i="42"/>
  <c r="F17" i="42"/>
  <c r="AP49" i="1"/>
  <c r="AP50" i="1"/>
  <c r="AP108" i="1"/>
  <c r="K33" i="2" l="1"/>
  <c r="K35" i="2" s="1"/>
  <c r="K46" i="2"/>
  <c r="J36" i="11"/>
  <c r="J39" i="11" s="1"/>
  <c r="J41" i="11" l="1"/>
  <c r="K37" i="11" s="1"/>
  <c r="K4" i="2"/>
  <c r="J43" i="11" s="1"/>
  <c r="K9" i="2" l="1"/>
  <c r="K14" i="2" s="1"/>
  <c r="K37" i="2" s="1"/>
  <c r="AU90" i="1"/>
  <c r="AU92" i="1" s="1"/>
  <c r="AU31" i="1" s="1"/>
  <c r="AU33" i="1" s="1"/>
  <c r="AU97" i="1" l="1"/>
  <c r="AU98" i="1" s="1"/>
  <c r="AU100" i="1" l="1"/>
  <c r="AU102" i="1" s="1"/>
  <c r="AU34" i="1" s="1"/>
  <c r="AU101" i="1"/>
  <c r="AZ96" i="1"/>
  <c r="G9" i="42" l="1"/>
  <c r="G11" i="42" s="1"/>
  <c r="G15" i="42" s="1"/>
  <c r="AU36" i="1"/>
  <c r="AU35" i="1"/>
  <c r="G17" i="42" l="1"/>
  <c r="G16" i="42"/>
  <c r="L45" i="2"/>
  <c r="AU40" i="1"/>
  <c r="AU47" i="1" s="1"/>
  <c r="AU42" i="1"/>
  <c r="AU43" i="1"/>
  <c r="AU57" i="1"/>
  <c r="AU58" i="1" s="1"/>
  <c r="AU49" i="1" l="1"/>
  <c r="AU50" i="1"/>
  <c r="AU108" i="1"/>
  <c r="K5" i="11"/>
  <c r="K19" i="11" s="1"/>
  <c r="L32" i="2"/>
  <c r="L46" i="2" l="1"/>
  <c r="K36" i="11"/>
  <c r="K39" i="11" s="1"/>
  <c r="L33" i="2"/>
  <c r="L35" i="2" s="1"/>
  <c r="K41" i="11" l="1"/>
  <c r="L37" i="11" s="1"/>
  <c r="L4" i="2"/>
  <c r="K43" i="11" s="1"/>
  <c r="L9" i="2" l="1"/>
  <c r="L14" i="2" s="1"/>
  <c r="L37" i="2" s="1"/>
  <c r="AZ90" i="1"/>
  <c r="AZ92" i="1" s="1"/>
  <c r="AZ31" i="1" s="1"/>
  <c r="AZ33" i="1" s="1"/>
  <c r="AZ97" i="1" l="1"/>
  <c r="AZ98" i="1" s="1"/>
  <c r="AZ100" i="1" l="1"/>
  <c r="AZ102" i="1" s="1"/>
  <c r="AZ34" i="1" s="1"/>
  <c r="AZ101" i="1"/>
  <c r="BE96" i="1"/>
  <c r="H9" i="42" l="1"/>
  <c r="H11" i="42" s="1"/>
  <c r="H15" i="42" s="1"/>
  <c r="AZ35" i="1"/>
  <c r="AZ36" i="1"/>
  <c r="H17" i="42" l="1"/>
  <c r="H16" i="42"/>
  <c r="M45" i="2"/>
  <c r="AZ42" i="1"/>
  <c r="AZ40" i="1"/>
  <c r="AZ47" i="1" s="1"/>
  <c r="AZ57" i="1"/>
  <c r="AZ58" i="1" s="1"/>
  <c r="AZ43" i="1"/>
  <c r="AZ50" i="1" l="1"/>
  <c r="AZ108" i="1"/>
  <c r="AZ49" i="1"/>
  <c r="L5" i="11"/>
  <c r="L19" i="11" s="1"/>
  <c r="M32" i="2"/>
  <c r="L36" i="11" l="1"/>
  <c r="L39" i="11" s="1"/>
  <c r="M46" i="2"/>
  <c r="M33" i="2"/>
  <c r="M35" i="2" s="1"/>
  <c r="M4" i="2" l="1"/>
  <c r="L43" i="11" s="1"/>
  <c r="L41" i="11"/>
  <c r="M37" i="11" s="1"/>
  <c r="M9" i="2" l="1"/>
  <c r="M14" i="2" s="1"/>
  <c r="M37" i="2" s="1"/>
  <c r="BE90" i="1"/>
  <c r="BE92" i="1" s="1"/>
  <c r="BE31" i="1" s="1"/>
  <c r="BE33" i="1" s="1"/>
  <c r="BE97" i="1" l="1"/>
  <c r="BE98" i="1" s="1"/>
  <c r="BJ96" i="1" l="1"/>
  <c r="BE101" i="1"/>
  <c r="BE100" i="1"/>
  <c r="BE102" i="1" s="1"/>
  <c r="BE34" i="1" s="1"/>
  <c r="I9" i="42" l="1"/>
  <c r="I11" i="42" s="1"/>
  <c r="I15" i="42" s="1"/>
  <c r="BE36" i="1"/>
  <c r="BE35" i="1"/>
  <c r="I16" i="42" l="1"/>
  <c r="I17" i="42"/>
  <c r="BE40" i="1"/>
  <c r="BE47" i="1" s="1"/>
  <c r="BE42" i="1"/>
  <c r="BE43" i="1"/>
  <c r="BE57" i="1"/>
  <c r="BE58" i="1" s="1"/>
  <c r="N45" i="2"/>
  <c r="M5" i="11" l="1"/>
  <c r="M19" i="11" s="1"/>
  <c r="N32" i="2"/>
  <c r="BE49" i="1"/>
  <c r="BE50" i="1"/>
  <c r="BE108" i="1"/>
  <c r="N33" i="2" l="1"/>
  <c r="N35" i="2" s="1"/>
  <c r="M36" i="11"/>
  <c r="M39" i="11" s="1"/>
  <c r="N46" i="2"/>
  <c r="N4" i="2" l="1"/>
  <c r="M43" i="11" s="1"/>
  <c r="M41" i="11"/>
  <c r="N37" i="11" s="1"/>
  <c r="N9" i="2" l="1"/>
  <c r="N14" i="2" s="1"/>
  <c r="N37" i="2" s="1"/>
  <c r="BJ90" i="1"/>
  <c r="BJ92" i="1" s="1"/>
  <c r="BJ31" i="1" s="1"/>
  <c r="BJ33" i="1" s="1"/>
  <c r="BJ97" i="1" l="1"/>
  <c r="BJ98" i="1" s="1"/>
  <c r="BJ100" i="1" l="1"/>
  <c r="BJ102" i="1" s="1"/>
  <c r="BJ34" i="1" s="1"/>
  <c r="BJ101" i="1"/>
  <c r="BO96" i="1"/>
  <c r="J9" i="42" l="1"/>
  <c r="J11" i="42" s="1"/>
  <c r="J15" i="42" s="1"/>
  <c r="BJ35" i="1"/>
  <c r="BJ36" i="1"/>
  <c r="J16" i="42" l="1"/>
  <c r="J17" i="42"/>
  <c r="O45" i="2"/>
  <c r="BJ40" i="1"/>
  <c r="BJ47" i="1" s="1"/>
  <c r="BJ42" i="1"/>
  <c r="BJ43" i="1"/>
  <c r="BJ57" i="1"/>
  <c r="BJ58" i="1" s="1"/>
  <c r="BJ49" i="1" l="1"/>
  <c r="BJ50" i="1"/>
  <c r="BJ108" i="1"/>
  <c r="N5" i="11"/>
  <c r="N19" i="11" s="1"/>
  <c r="O32" i="2"/>
  <c r="O46" i="2" l="1"/>
  <c r="N36" i="11"/>
  <c r="N39" i="11" s="1"/>
  <c r="O33" i="2"/>
  <c r="O35" i="2" s="1"/>
  <c r="N41" i="11" l="1"/>
  <c r="O37" i="11" s="1"/>
  <c r="O4" i="2"/>
  <c r="N43" i="11" s="1"/>
  <c r="O9" i="2" l="1"/>
  <c r="O14" i="2" s="1"/>
  <c r="O37" i="2" s="1"/>
  <c r="BO90" i="1"/>
  <c r="BO92" i="1" s="1"/>
  <c r="BO31" i="1" s="1"/>
  <c r="BO33" i="1" s="1"/>
  <c r="BO97" i="1" l="1"/>
  <c r="BO98" i="1" s="1"/>
  <c r="BO100" i="1" l="1"/>
  <c r="BO102" i="1" s="1"/>
  <c r="BO34" i="1" s="1"/>
  <c r="BO101" i="1"/>
  <c r="BT96" i="1"/>
  <c r="K9" i="42" l="1"/>
  <c r="K11" i="42" s="1"/>
  <c r="K15" i="42" s="1"/>
  <c r="BO36" i="1"/>
  <c r="BO35" i="1"/>
  <c r="P45" i="2" l="1"/>
  <c r="BO40" i="1"/>
  <c r="BO47" i="1" s="1"/>
  <c r="BO42" i="1"/>
  <c r="BO43" i="1"/>
  <c r="BO57" i="1"/>
  <c r="BO58" i="1" s="1"/>
  <c r="K17" i="42"/>
  <c r="K16" i="42"/>
  <c r="BO49" i="1" l="1"/>
  <c r="BO50" i="1"/>
  <c r="BO108" i="1"/>
  <c r="O5" i="11"/>
  <c r="O19" i="11" s="1"/>
  <c r="P32" i="2"/>
  <c r="P46" i="2" l="1"/>
  <c r="O36" i="11"/>
  <c r="O39" i="11" s="1"/>
  <c r="P33" i="2"/>
  <c r="P35" i="2" s="1"/>
  <c r="O41" i="11" l="1"/>
  <c r="P37" i="11" s="1"/>
  <c r="P4" i="2"/>
  <c r="O43" i="11" s="1"/>
  <c r="P9" i="2" l="1"/>
  <c r="P14" i="2" s="1"/>
  <c r="P37" i="2" s="1"/>
  <c r="BT90" i="1"/>
  <c r="BT92" i="1" s="1"/>
  <c r="BT31" i="1" s="1"/>
  <c r="BT33" i="1" s="1"/>
  <c r="BT97" i="1" l="1"/>
  <c r="BT98" i="1" s="1"/>
  <c r="BY96" i="1" l="1"/>
  <c r="BT100" i="1"/>
  <c r="BT102" i="1" s="1"/>
  <c r="BT34" i="1" s="1"/>
  <c r="BT101" i="1"/>
  <c r="L9" i="42" l="1"/>
  <c r="L11" i="42" s="1"/>
  <c r="L15" i="42" s="1"/>
  <c r="BT35" i="1"/>
  <c r="BT36" i="1"/>
  <c r="Q45" i="2" l="1"/>
  <c r="BT43" i="1"/>
  <c r="BT42" i="1"/>
  <c r="BT40" i="1"/>
  <c r="BT47" i="1" s="1"/>
  <c r="BT57" i="1"/>
  <c r="BT58" i="1" s="1"/>
  <c r="L17" i="42"/>
  <c r="L16" i="42"/>
  <c r="BT50" i="1" l="1"/>
  <c r="BT108" i="1"/>
  <c r="BT49" i="1"/>
  <c r="P5" i="11"/>
  <c r="P19" i="11" s="1"/>
  <c r="Q32" i="2"/>
  <c r="P36" i="11" l="1"/>
  <c r="P39" i="11" s="1"/>
  <c r="Q46" i="2"/>
  <c r="Q33" i="2"/>
  <c r="Q35" i="2" s="1"/>
  <c r="Q4" i="2" l="1"/>
  <c r="P41" i="11"/>
  <c r="Q37" i="11" s="1"/>
  <c r="Q9" i="2" l="1"/>
  <c r="Q14" i="2" s="1"/>
  <c r="Q37" i="2" s="1"/>
  <c r="BY90" i="1"/>
  <c r="BY92" i="1" s="1"/>
  <c r="BY31" i="1" s="1"/>
  <c r="BY33" i="1" s="1"/>
  <c r="P43" i="11"/>
  <c r="BY97" i="1" l="1"/>
  <c r="BY98" i="1" s="1"/>
  <c r="CD96" i="1" l="1"/>
  <c r="BY100" i="1"/>
  <c r="BY102" i="1" s="1"/>
  <c r="BY34" i="1" s="1"/>
  <c r="BY101" i="1"/>
  <c r="M9" i="42" l="1"/>
  <c r="M11" i="42" s="1"/>
  <c r="M15" i="42" s="1"/>
  <c r="BY36" i="1"/>
  <c r="BY35" i="1"/>
  <c r="M16" i="42" l="1"/>
  <c r="M17" i="42"/>
  <c r="BY40" i="1"/>
  <c r="BY47" i="1" s="1"/>
  <c r="BY42" i="1"/>
  <c r="BY43" i="1"/>
  <c r="BY57" i="1"/>
  <c r="BY58" i="1" s="1"/>
  <c r="R45" i="2"/>
  <c r="Q5" i="11" l="1"/>
  <c r="Q19" i="11" s="1"/>
  <c r="R32" i="2"/>
  <c r="BY49" i="1"/>
  <c r="BY50" i="1"/>
  <c r="BY108" i="1"/>
  <c r="Q36" i="11" l="1"/>
  <c r="Q39" i="11" s="1"/>
  <c r="R46" i="2"/>
  <c r="R33" i="2"/>
  <c r="R35" i="2" s="1"/>
  <c r="R4" i="2" l="1"/>
  <c r="Q43" i="11" s="1"/>
  <c r="Q41" i="11"/>
  <c r="R37" i="11" s="1"/>
  <c r="R9" i="2" l="1"/>
  <c r="R14" i="2" s="1"/>
  <c r="R37" i="2" s="1"/>
  <c r="CD90" i="1"/>
  <c r="CD92" i="1" s="1"/>
  <c r="CD31" i="1" s="1"/>
  <c r="CD33" i="1" s="1"/>
  <c r="CD97" i="1" l="1"/>
  <c r="CD98" i="1" s="1"/>
  <c r="CD100" i="1" l="1"/>
  <c r="CD102" i="1" s="1"/>
  <c r="CD34" i="1" s="1"/>
  <c r="CD101" i="1"/>
  <c r="CI96" i="1"/>
  <c r="N9" i="42" l="1"/>
  <c r="N11" i="42" s="1"/>
  <c r="N15" i="42" s="1"/>
  <c r="CD35" i="1"/>
  <c r="CD36" i="1"/>
  <c r="S45" i="2" l="1"/>
  <c r="CD40" i="1"/>
  <c r="CD47" i="1" s="1"/>
  <c r="CD42" i="1"/>
  <c r="CD43" i="1"/>
  <c r="CD57" i="1"/>
  <c r="CD58" i="1" s="1"/>
  <c r="N16" i="42"/>
  <c r="N17" i="42"/>
  <c r="CD49" i="1" l="1"/>
  <c r="CD50" i="1"/>
  <c r="CD108" i="1"/>
  <c r="R5" i="11"/>
  <c r="R19" i="11" s="1"/>
  <c r="S32" i="2"/>
  <c r="S46" i="2" l="1"/>
  <c r="R36" i="11"/>
  <c r="R39" i="11" s="1"/>
  <c r="S33" i="2"/>
  <c r="S35" i="2" s="1"/>
  <c r="R41" i="11" l="1"/>
  <c r="S37" i="11" s="1"/>
  <c r="S4" i="2"/>
  <c r="R43" i="11" s="1"/>
  <c r="S9" i="2" l="1"/>
  <c r="S14" i="2" s="1"/>
  <c r="S37" i="2" s="1"/>
  <c r="CI90" i="1"/>
  <c r="CI92" i="1" s="1"/>
  <c r="CI31" i="1" s="1"/>
  <c r="CI33" i="1" s="1"/>
  <c r="CI97" i="1" l="1"/>
  <c r="CI98" i="1" s="1"/>
  <c r="CI100" i="1" l="1"/>
  <c r="CI102" i="1" s="1"/>
  <c r="CI34" i="1" s="1"/>
  <c r="CI101" i="1"/>
  <c r="CN96" i="1"/>
  <c r="O9" i="42" l="1"/>
  <c r="O11" i="42" s="1"/>
  <c r="O15" i="42" s="1"/>
  <c r="CI36" i="1"/>
  <c r="CI35" i="1"/>
  <c r="O17" i="42" l="1"/>
  <c r="O16" i="42"/>
  <c r="T45" i="2"/>
  <c r="CI40" i="1"/>
  <c r="CI47" i="1" s="1"/>
  <c r="CI42" i="1"/>
  <c r="CI43" i="1"/>
  <c r="CI57" i="1"/>
  <c r="CI58" i="1" s="1"/>
  <c r="S5" i="11" l="1"/>
  <c r="S19" i="11" s="1"/>
  <c r="T32" i="2"/>
  <c r="CI49" i="1"/>
  <c r="CI50" i="1"/>
  <c r="CI108" i="1"/>
  <c r="T33" i="2" l="1"/>
  <c r="T35" i="2" s="1"/>
  <c r="T46" i="2"/>
  <c r="S36" i="11"/>
  <c r="S39" i="11" s="1"/>
  <c r="S41" i="11" l="1"/>
  <c r="T37" i="11" s="1"/>
  <c r="T4" i="2"/>
  <c r="T9" i="2" l="1"/>
  <c r="T14" i="2" s="1"/>
  <c r="T37" i="2" s="1"/>
  <c r="CN90" i="1"/>
  <c r="CN92" i="1" s="1"/>
  <c r="CN31" i="1" s="1"/>
  <c r="CN33" i="1" s="1"/>
  <c r="S43" i="11"/>
  <c r="CN97" i="1" l="1"/>
  <c r="CN98" i="1" s="1"/>
  <c r="CN100" i="1" l="1"/>
  <c r="CN102" i="1" s="1"/>
  <c r="CN34" i="1" s="1"/>
  <c r="CN101" i="1"/>
  <c r="P9" i="42" l="1"/>
  <c r="P11" i="42" s="1"/>
  <c r="P15" i="42" s="1"/>
  <c r="Q15" i="42" s="1"/>
  <c r="CN36" i="1"/>
  <c r="CN35" i="1"/>
  <c r="Q16" i="42" l="1"/>
  <c r="Q17" i="42"/>
  <c r="P17" i="42"/>
  <c r="P16" i="42"/>
  <c r="U45" i="2"/>
  <c r="CN57" i="1"/>
  <c r="CN58" i="1" s="1"/>
  <c r="CN43" i="1"/>
  <c r="CN40" i="1"/>
  <c r="CN47" i="1" s="1"/>
  <c r="CN42" i="1"/>
  <c r="D19" i="42" l="1"/>
  <c r="D21" i="42" s="1"/>
  <c r="D22" i="42" s="1"/>
  <c r="BZ3" i="54" s="1"/>
  <c r="CN108" i="1"/>
  <c r="CN49" i="1"/>
  <c r="CN50" i="1"/>
  <c r="T5" i="11"/>
  <c r="T19" i="11" s="1"/>
  <c r="U32" i="2"/>
  <c r="U33" i="2" s="1"/>
  <c r="U35" i="2" s="1"/>
  <c r="T36" i="11" l="1"/>
  <c r="T39" i="11" s="1"/>
  <c r="U46" i="2"/>
  <c r="U4" i="2" l="1"/>
  <c r="U9" i="2" s="1"/>
  <c r="U14" i="2" s="1"/>
  <c r="U37" i="2" s="1"/>
  <c r="T41" i="11"/>
  <c r="T43" i="11" l="1"/>
  <c r="H79" i="2" l="1"/>
  <c r="I74" i="2" s="1"/>
  <c r="I79" i="2" s="1"/>
  <c r="J74" i="2" s="1"/>
  <c r="J79" i="2" s="1"/>
  <c r="K74" i="2" s="1"/>
  <c r="K79" i="2" s="1"/>
  <c r="L74" i="2" s="1"/>
  <c r="L79" i="2" s="1"/>
  <c r="M74" i="2" s="1"/>
  <c r="M79" i="2" s="1"/>
  <c r="N74" i="2" s="1"/>
  <c r="N79" i="2" s="1"/>
  <c r="O74" i="2" s="1"/>
  <c r="O79" i="2" s="1"/>
  <c r="P74" i="2" s="1"/>
  <c r="P79" i="2" s="1"/>
  <c r="Q74" i="2" s="1"/>
  <c r="Q79" i="2" s="1"/>
  <c r="R74" i="2" s="1"/>
  <c r="R79" i="2" s="1"/>
  <c r="S74" i="2" s="1"/>
  <c r="S79" i="2" s="1"/>
  <c r="T74" i="2" s="1"/>
  <c r="T79" i="2" s="1"/>
  <c r="U74" i="2" s="1"/>
  <c r="U79" i="2" s="1"/>
</calcChain>
</file>

<file path=xl/comments1.xml><?xml version="1.0" encoding="utf-8"?>
<comments xmlns="http://schemas.openxmlformats.org/spreadsheetml/2006/main">
  <authors>
    <author>Kapoor, Vishal (Research)</author>
    <author>Shukla, Sindhuja (Research)</author>
  </authors>
  <commentList>
    <comment ref="H4" authorId="0">
      <text>
        <r>
          <rPr>
            <sz val="9"/>
            <color indexed="81"/>
            <rFont val="Tahoma"/>
            <family val="2"/>
          </rPr>
          <t>As the company has not reported the 2Q14 numbers, we have taken an average of 6months numbers for 2Q14 &amp; 1Q14.</t>
        </r>
      </text>
    </comment>
    <comment ref="I4" authorId="0">
      <text>
        <r>
          <rPr>
            <sz val="9"/>
            <color indexed="81"/>
            <rFont val="Tahoma"/>
            <family val="2"/>
          </rPr>
          <t>As the company has not reported the 2Q14 numbers, we have taken an average of 6months numbers for 2Q14 &amp; 1Q14.</t>
        </r>
      </text>
    </comment>
    <comment ref="J4" authorId="0">
      <text>
        <r>
          <rPr>
            <sz val="9"/>
            <color indexed="81"/>
            <rFont val="Tahoma"/>
            <family val="2"/>
          </rPr>
          <t>As the company has not reported the 3Q14 numbers, we have taken a difference of 9months &amp; 6months numbers.</t>
        </r>
      </text>
    </comment>
    <comment ref="G96" authorId="1">
      <text>
        <r>
          <rPr>
            <sz val="9"/>
            <color indexed="81"/>
            <rFont val="Tahoma"/>
            <family val="2"/>
          </rPr>
          <t xml:space="preserve">NOL carryforwards amounted to $104.8 for the US fed and $60.3 for the state.
Source: 10-K (Dec 13), page: F-24
</t>
        </r>
      </text>
    </comment>
  </commentList>
</comments>
</file>

<file path=xl/comments2.xml><?xml version="1.0" encoding="utf-8"?>
<comments xmlns="http://schemas.openxmlformats.org/spreadsheetml/2006/main">
  <authors>
    <author>Kapoor, Vishal (Research)</author>
    <author>Lebowitz, David (Research)</author>
  </authors>
  <commentList>
    <comment ref="E18" authorId="0">
      <text>
        <r>
          <rPr>
            <sz val="9"/>
            <color indexed="81"/>
            <rFont val="Tahoma"/>
            <family val="2"/>
          </rPr>
          <t>$4.0805m: Accrued indemnification obligation</t>
        </r>
      </text>
    </comment>
    <comment ref="F18" authorId="0">
      <text>
        <r>
          <rPr>
            <sz val="9"/>
            <color indexed="81"/>
            <rFont val="Tahoma"/>
            <family val="2"/>
          </rPr>
          <t>$4.0805m: Accrued indemnification obligation</t>
        </r>
      </text>
    </comment>
    <comment ref="H19" authorId="1">
      <text>
        <r>
          <rPr>
            <b/>
            <sz val="9"/>
            <color indexed="81"/>
            <rFont val="Tahoma"/>
            <family val="2"/>
          </rPr>
          <t>(T20/(T20+T25))*U67</t>
        </r>
      </text>
    </comment>
    <comment ref="D29" authorId="0">
      <text>
        <r>
          <rPr>
            <sz val="9"/>
            <color indexed="81"/>
            <rFont val="Tahoma"/>
            <family val="2"/>
          </rPr>
          <t>$0.345447m: Redeemable common stock</t>
        </r>
      </text>
    </comment>
    <comment ref="E29" authorId="0">
      <text>
        <r>
          <rPr>
            <sz val="9"/>
            <color indexed="81"/>
            <rFont val="Tahoma"/>
            <family val="2"/>
          </rPr>
          <t>$0.559745m: Redeemable common stock</t>
        </r>
      </text>
    </comment>
    <comment ref="F29" authorId="0">
      <text>
        <r>
          <rPr>
            <sz val="9"/>
            <color indexed="81"/>
            <rFont val="Tahoma"/>
            <family val="2"/>
          </rPr>
          <t>$1.032909m: Redeemable common stock</t>
        </r>
      </text>
    </comment>
  </commentList>
</comments>
</file>

<file path=xl/comments3.xml><?xml version="1.0" encoding="utf-8"?>
<comments xmlns="http://schemas.openxmlformats.org/spreadsheetml/2006/main">
  <authors>
    <author>Kapoor, Vishal (Research)</author>
  </authors>
  <commentList>
    <comment ref="C8" authorId="0">
      <text>
        <r>
          <rPr>
            <sz val="9"/>
            <color indexed="81"/>
            <rFont val="Tahoma"/>
            <family val="2"/>
          </rPr>
          <t>$0.345447m: Stock-based third-party research and development</t>
        </r>
      </text>
    </comment>
    <comment ref="D8" authorId="0">
      <text>
        <r>
          <rPr>
            <sz val="9"/>
            <color indexed="81"/>
            <rFont val="Tahoma"/>
            <family val="2"/>
          </rPr>
          <t>$6.207993m: Stock-based third-party research and development</t>
        </r>
      </text>
    </comment>
    <comment ref="E8" authorId="0">
      <text>
        <r>
          <rPr>
            <sz val="9"/>
            <color indexed="81"/>
            <rFont val="Tahoma"/>
            <family val="2"/>
          </rPr>
          <t>$20.154076m: Stock-based third-party research and development</t>
        </r>
      </text>
    </comment>
    <comment ref="C9" authorId="0">
      <text>
        <r>
          <rPr>
            <sz val="9"/>
            <color indexed="81"/>
            <rFont val="Tahoma"/>
            <family val="2"/>
          </rPr>
          <t>Fixed asset impairments</t>
        </r>
      </text>
    </comment>
    <comment ref="D9" authorId="0">
      <text>
        <r>
          <rPr>
            <sz val="9"/>
            <color indexed="81"/>
            <rFont val="Tahoma"/>
            <family val="2"/>
          </rPr>
          <t>Loss on extinguishment of debt</t>
        </r>
      </text>
    </comment>
    <comment ref="D16" authorId="0">
      <text>
        <r>
          <rPr>
            <sz val="9"/>
            <color indexed="81"/>
            <rFont val="Tahoma"/>
            <family val="2"/>
          </rPr>
          <t>$4.0805m: Accrued indemnification obligation</t>
        </r>
      </text>
    </comment>
    <comment ref="C33" authorId="0">
      <text>
        <r>
          <rPr>
            <sz val="9"/>
            <color indexed="81"/>
            <rFont val="Tahoma"/>
            <family val="2"/>
          </rPr>
          <t>Notes payable</t>
        </r>
      </text>
    </comment>
    <comment ref="D33" authorId="0">
      <text>
        <r>
          <rPr>
            <sz val="9"/>
            <color indexed="81"/>
            <rFont val="Tahoma"/>
            <family val="2"/>
          </rPr>
          <t>$1m: Proceeds from issuance of convertible notes
$0.35m: Re-payment of notes payable</t>
        </r>
      </text>
    </comment>
  </commentList>
</comments>
</file>

<file path=xl/comments4.xml><?xml version="1.0" encoding="utf-8"?>
<comments xmlns="http://schemas.openxmlformats.org/spreadsheetml/2006/main">
  <authors>
    <author>Lebowitz, David (Research)</author>
  </authors>
  <commentList>
    <comment ref="BS91" authorId="0">
      <text>
        <r>
          <rPr>
            <b/>
            <sz val="9"/>
            <color indexed="81"/>
            <rFont val="Tahoma"/>
            <family val="2"/>
          </rPr>
          <t>1/6000 births
http://thegsf.org/press/detail/what_is_spinal_muscular_atrophy_sma/</t>
        </r>
      </text>
    </comment>
    <comment ref="BT91" authorId="0">
      <text>
        <r>
          <rPr>
            <b/>
            <sz val="9"/>
            <color indexed="81"/>
            <rFont val="Tahoma"/>
            <family val="2"/>
          </rPr>
          <t>1/6000 births
http://thegsf.org/press/detail/what_is_spinal_muscular_atrophy_sma/</t>
        </r>
      </text>
    </comment>
    <comment ref="BU91" authorId="0">
      <text>
        <r>
          <rPr>
            <b/>
            <sz val="9"/>
            <color indexed="81"/>
            <rFont val="Tahoma"/>
            <family val="2"/>
          </rPr>
          <t>1/6000 births
http://thegsf.org/press/detail/what_is_spinal_muscular_atrophy_sma/</t>
        </r>
      </text>
    </comment>
    <comment ref="BV91" authorId="0">
      <text>
        <r>
          <rPr>
            <b/>
            <sz val="9"/>
            <color indexed="81"/>
            <rFont val="Tahoma"/>
            <family val="2"/>
          </rPr>
          <t>1/6000 births
http://thegsf.org/press/detail/what_is_spinal_muscular_atrophy_sma/</t>
        </r>
      </text>
    </comment>
    <comment ref="BW91" authorId="0">
      <text>
        <r>
          <rPr>
            <b/>
            <sz val="9"/>
            <color indexed="81"/>
            <rFont val="Tahoma"/>
            <family val="2"/>
          </rPr>
          <t>1/6000 births
http://thegsf.org/press/detail/what_is_spinal_muscular_atrophy_sma/</t>
        </r>
      </text>
    </comment>
    <comment ref="BX91" authorId="0">
      <text>
        <r>
          <rPr>
            <b/>
            <sz val="9"/>
            <color indexed="81"/>
            <rFont val="Tahoma"/>
            <family val="2"/>
          </rPr>
          <t>1/6000 births
http://thegsf.org/press/detail/what_is_spinal_muscular_atrophy_sma/</t>
        </r>
      </text>
    </comment>
    <comment ref="BY91" authorId="0">
      <text>
        <r>
          <rPr>
            <b/>
            <sz val="9"/>
            <color indexed="81"/>
            <rFont val="Tahoma"/>
            <family val="2"/>
          </rPr>
          <t>1/6000 births
http://thegsf.org/press/detail/what_is_spinal_muscular_atrophy_sma/</t>
        </r>
      </text>
    </comment>
    <comment ref="BZ91" authorId="0">
      <text>
        <r>
          <rPr>
            <b/>
            <sz val="9"/>
            <color indexed="81"/>
            <rFont val="Tahoma"/>
            <family val="2"/>
          </rPr>
          <t>1/6000 births
http://thegsf.org/press/detail/what_is_spinal_muscular_atrophy_sma/</t>
        </r>
      </text>
    </comment>
    <comment ref="CA91" authorId="0">
      <text>
        <r>
          <rPr>
            <b/>
            <sz val="9"/>
            <color indexed="81"/>
            <rFont val="Tahoma"/>
            <family val="2"/>
          </rPr>
          <t>1/6000 births
http://thegsf.org/press/detail/what_is_spinal_muscular_atrophy_sma/</t>
        </r>
      </text>
    </comment>
    <comment ref="CB91" authorId="0">
      <text>
        <r>
          <rPr>
            <b/>
            <sz val="9"/>
            <color indexed="81"/>
            <rFont val="Tahoma"/>
            <family val="2"/>
          </rPr>
          <t>1/6000 births
http://thegsf.org/press/detail/what_is_spinal_muscular_atrophy_sma/</t>
        </r>
      </text>
    </comment>
    <comment ref="CC91" authorId="0">
      <text>
        <r>
          <rPr>
            <b/>
            <sz val="9"/>
            <color indexed="81"/>
            <rFont val="Tahoma"/>
            <family val="2"/>
          </rPr>
          <t>1/6000 births
http://thegsf.org/press/detail/what_is_spinal_muscular_atrophy_sma/</t>
        </r>
      </text>
    </comment>
    <comment ref="CD91" authorId="0">
      <text>
        <r>
          <rPr>
            <b/>
            <sz val="9"/>
            <color indexed="81"/>
            <rFont val="Tahoma"/>
            <family val="2"/>
          </rPr>
          <t>1/6000 births
http://thegsf.org/press/detail/what_is_spinal_muscular_atrophy_sma/</t>
        </r>
      </text>
    </comment>
    <comment ref="CE91" authorId="0">
      <text>
        <r>
          <rPr>
            <b/>
            <sz val="9"/>
            <color indexed="81"/>
            <rFont val="Tahoma"/>
            <family val="2"/>
          </rPr>
          <t>1/6000 births
http://thegsf.org/press/detail/what_is_spinal_muscular_atrophy_sma/</t>
        </r>
      </text>
    </comment>
    <comment ref="CF91" authorId="0">
      <text>
        <r>
          <rPr>
            <b/>
            <sz val="9"/>
            <color indexed="81"/>
            <rFont val="Tahoma"/>
            <family val="2"/>
          </rPr>
          <t>1/6000 births
http://thegsf.org/press/detail/what_is_spinal_muscular_atrophy_sma/</t>
        </r>
      </text>
    </comment>
    <comment ref="BS94" authorId="0">
      <text>
        <r>
          <rPr>
            <b/>
            <sz val="9"/>
            <color indexed="81"/>
            <rFont val="Tahoma"/>
            <family val="2"/>
          </rPr>
          <t>SMA Foundation estimates</t>
        </r>
      </text>
    </comment>
    <comment ref="BT94" authorId="0">
      <text>
        <r>
          <rPr>
            <b/>
            <sz val="9"/>
            <color indexed="81"/>
            <rFont val="Tahoma"/>
            <family val="2"/>
          </rPr>
          <t>SMA Foundation estimates</t>
        </r>
      </text>
    </comment>
    <comment ref="BU94" authorId="0">
      <text>
        <r>
          <rPr>
            <b/>
            <sz val="9"/>
            <color indexed="81"/>
            <rFont val="Tahoma"/>
            <family val="2"/>
          </rPr>
          <t>SMA Foundation estimates</t>
        </r>
      </text>
    </comment>
    <comment ref="BV94" authorId="0">
      <text>
        <r>
          <rPr>
            <b/>
            <sz val="9"/>
            <color indexed="81"/>
            <rFont val="Tahoma"/>
            <family val="2"/>
          </rPr>
          <t>SMA Foundation estimates</t>
        </r>
      </text>
    </comment>
    <comment ref="BW94" authorId="0">
      <text>
        <r>
          <rPr>
            <b/>
            <sz val="9"/>
            <color indexed="81"/>
            <rFont val="Tahoma"/>
            <family val="2"/>
          </rPr>
          <t>SMA Foundation estimates</t>
        </r>
      </text>
    </comment>
    <comment ref="BX94" authorId="0">
      <text>
        <r>
          <rPr>
            <b/>
            <sz val="9"/>
            <color indexed="81"/>
            <rFont val="Tahoma"/>
            <family val="2"/>
          </rPr>
          <t>SMA Foundation estimates</t>
        </r>
      </text>
    </comment>
    <comment ref="BY94" authorId="0">
      <text>
        <r>
          <rPr>
            <b/>
            <sz val="9"/>
            <color indexed="81"/>
            <rFont val="Tahoma"/>
            <family val="2"/>
          </rPr>
          <t>SMA Foundation estimates</t>
        </r>
      </text>
    </comment>
    <comment ref="BZ94" authorId="0">
      <text>
        <r>
          <rPr>
            <b/>
            <sz val="9"/>
            <color indexed="81"/>
            <rFont val="Tahoma"/>
            <family val="2"/>
          </rPr>
          <t>SMA Foundation estimates</t>
        </r>
      </text>
    </comment>
    <comment ref="CA94" authorId="0">
      <text>
        <r>
          <rPr>
            <b/>
            <sz val="9"/>
            <color indexed="81"/>
            <rFont val="Tahoma"/>
            <family val="2"/>
          </rPr>
          <t>SMA Foundation estimates</t>
        </r>
      </text>
    </comment>
    <comment ref="CB94" authorId="0">
      <text>
        <r>
          <rPr>
            <b/>
            <sz val="9"/>
            <color indexed="81"/>
            <rFont val="Tahoma"/>
            <family val="2"/>
          </rPr>
          <t>SMA Foundation estimates</t>
        </r>
      </text>
    </comment>
    <comment ref="CC94" authorId="0">
      <text>
        <r>
          <rPr>
            <b/>
            <sz val="9"/>
            <color indexed="81"/>
            <rFont val="Tahoma"/>
            <family val="2"/>
          </rPr>
          <t>SMA Foundation estimates</t>
        </r>
      </text>
    </comment>
    <comment ref="CD94" authorId="0">
      <text>
        <r>
          <rPr>
            <b/>
            <sz val="9"/>
            <color indexed="81"/>
            <rFont val="Tahoma"/>
            <family val="2"/>
          </rPr>
          <t>SMA Foundation estimates</t>
        </r>
      </text>
    </comment>
    <comment ref="CE94" authorId="0">
      <text>
        <r>
          <rPr>
            <b/>
            <sz val="9"/>
            <color indexed="81"/>
            <rFont val="Tahoma"/>
            <family val="2"/>
          </rPr>
          <t>SMA Foundation estimates</t>
        </r>
      </text>
    </comment>
    <comment ref="CF94" authorId="0">
      <text>
        <r>
          <rPr>
            <b/>
            <sz val="9"/>
            <color indexed="81"/>
            <rFont val="Tahoma"/>
            <family val="2"/>
          </rPr>
          <t>SMA Foundation estimates</t>
        </r>
      </text>
    </comment>
    <comment ref="BS97" authorId="0">
      <text>
        <r>
          <rPr>
            <b/>
            <sz val="9"/>
            <color indexed="81"/>
            <rFont val="Tahoma"/>
            <family val="2"/>
          </rPr>
          <t>SMA Foundation estimates</t>
        </r>
      </text>
    </comment>
    <comment ref="BT97" authorId="0">
      <text>
        <r>
          <rPr>
            <b/>
            <sz val="9"/>
            <color indexed="81"/>
            <rFont val="Tahoma"/>
            <family val="2"/>
          </rPr>
          <t>SMA Foundation estimates</t>
        </r>
      </text>
    </comment>
    <comment ref="BU97" authorId="0">
      <text>
        <r>
          <rPr>
            <b/>
            <sz val="9"/>
            <color indexed="81"/>
            <rFont val="Tahoma"/>
            <family val="2"/>
          </rPr>
          <t>SMA Foundation estimates</t>
        </r>
      </text>
    </comment>
    <comment ref="BV97" authorId="0">
      <text>
        <r>
          <rPr>
            <b/>
            <sz val="9"/>
            <color indexed="81"/>
            <rFont val="Tahoma"/>
            <family val="2"/>
          </rPr>
          <t>SMA Foundation estimates</t>
        </r>
      </text>
    </comment>
    <comment ref="BW97" authorId="0">
      <text>
        <r>
          <rPr>
            <b/>
            <sz val="9"/>
            <color indexed="81"/>
            <rFont val="Tahoma"/>
            <family val="2"/>
          </rPr>
          <t>SMA Foundation estimates</t>
        </r>
      </text>
    </comment>
    <comment ref="BX97" authorId="0">
      <text>
        <r>
          <rPr>
            <b/>
            <sz val="9"/>
            <color indexed="81"/>
            <rFont val="Tahoma"/>
            <family val="2"/>
          </rPr>
          <t>SMA Foundation estimates</t>
        </r>
      </text>
    </comment>
    <comment ref="BY97" authorId="0">
      <text>
        <r>
          <rPr>
            <b/>
            <sz val="9"/>
            <color indexed="81"/>
            <rFont val="Tahoma"/>
            <family val="2"/>
          </rPr>
          <t>SMA Foundation estimates</t>
        </r>
      </text>
    </comment>
    <comment ref="BZ97" authorId="0">
      <text>
        <r>
          <rPr>
            <b/>
            <sz val="9"/>
            <color indexed="81"/>
            <rFont val="Tahoma"/>
            <family val="2"/>
          </rPr>
          <t>SMA Foundation estimates</t>
        </r>
      </text>
    </comment>
    <comment ref="CA97" authorId="0">
      <text>
        <r>
          <rPr>
            <b/>
            <sz val="9"/>
            <color indexed="81"/>
            <rFont val="Tahoma"/>
            <family val="2"/>
          </rPr>
          <t>SMA Foundation estimates</t>
        </r>
      </text>
    </comment>
    <comment ref="CB97" authorId="0">
      <text>
        <r>
          <rPr>
            <b/>
            <sz val="9"/>
            <color indexed="81"/>
            <rFont val="Tahoma"/>
            <family val="2"/>
          </rPr>
          <t>SMA Foundation estimates</t>
        </r>
      </text>
    </comment>
    <comment ref="CC97" authorId="0">
      <text>
        <r>
          <rPr>
            <b/>
            <sz val="9"/>
            <color indexed="81"/>
            <rFont val="Tahoma"/>
            <family val="2"/>
          </rPr>
          <t>SMA Foundation estimates</t>
        </r>
      </text>
    </comment>
    <comment ref="CD97" authorId="0">
      <text>
        <r>
          <rPr>
            <b/>
            <sz val="9"/>
            <color indexed="81"/>
            <rFont val="Tahoma"/>
            <family val="2"/>
          </rPr>
          <t>SMA Foundation estimates</t>
        </r>
      </text>
    </comment>
    <comment ref="CE97" authorId="0">
      <text>
        <r>
          <rPr>
            <b/>
            <sz val="9"/>
            <color indexed="81"/>
            <rFont val="Tahoma"/>
            <family val="2"/>
          </rPr>
          <t>SMA Foundation estimates</t>
        </r>
      </text>
    </comment>
    <comment ref="CF97" authorId="0">
      <text>
        <r>
          <rPr>
            <b/>
            <sz val="9"/>
            <color indexed="81"/>
            <rFont val="Tahoma"/>
            <family val="2"/>
          </rPr>
          <t>SMA Foundation estimates</t>
        </r>
      </text>
    </comment>
    <comment ref="BS103" authorId="0">
      <text>
        <r>
          <rPr>
            <b/>
            <sz val="9"/>
            <color indexed="81"/>
            <rFont val="Tahoma"/>
            <family val="2"/>
          </rPr>
          <t>SMA Foundation estimates</t>
        </r>
      </text>
    </comment>
    <comment ref="BT103" authorId="0">
      <text>
        <r>
          <rPr>
            <b/>
            <sz val="9"/>
            <color indexed="81"/>
            <rFont val="Tahoma"/>
            <family val="2"/>
          </rPr>
          <t>SMA Foundation estimates</t>
        </r>
      </text>
    </comment>
    <comment ref="BU103" authorId="0">
      <text>
        <r>
          <rPr>
            <b/>
            <sz val="9"/>
            <color indexed="81"/>
            <rFont val="Tahoma"/>
            <family val="2"/>
          </rPr>
          <t>SMA Foundation estimates</t>
        </r>
      </text>
    </comment>
    <comment ref="BV103" authorId="0">
      <text>
        <r>
          <rPr>
            <b/>
            <sz val="9"/>
            <color indexed="81"/>
            <rFont val="Tahoma"/>
            <family val="2"/>
          </rPr>
          <t>SMA Foundation estimates</t>
        </r>
      </text>
    </comment>
    <comment ref="BW103" authorId="0">
      <text>
        <r>
          <rPr>
            <b/>
            <sz val="9"/>
            <color indexed="81"/>
            <rFont val="Tahoma"/>
            <family val="2"/>
          </rPr>
          <t>SMA Foundation estimates</t>
        </r>
      </text>
    </comment>
    <comment ref="BX103" authorId="0">
      <text>
        <r>
          <rPr>
            <b/>
            <sz val="9"/>
            <color indexed="81"/>
            <rFont val="Tahoma"/>
            <family val="2"/>
          </rPr>
          <t>SMA Foundation estimates</t>
        </r>
      </text>
    </comment>
    <comment ref="BY103" authorId="0">
      <text>
        <r>
          <rPr>
            <b/>
            <sz val="9"/>
            <color indexed="81"/>
            <rFont val="Tahoma"/>
            <family val="2"/>
          </rPr>
          <t>SMA Foundation estimates</t>
        </r>
      </text>
    </comment>
    <comment ref="BZ103" authorId="0">
      <text>
        <r>
          <rPr>
            <b/>
            <sz val="9"/>
            <color indexed="81"/>
            <rFont val="Tahoma"/>
            <family val="2"/>
          </rPr>
          <t>SMA Foundation estimates</t>
        </r>
      </text>
    </comment>
    <comment ref="CA103" authorId="0">
      <text>
        <r>
          <rPr>
            <b/>
            <sz val="9"/>
            <color indexed="81"/>
            <rFont val="Tahoma"/>
            <family val="2"/>
          </rPr>
          <t>SMA Foundation estimates</t>
        </r>
      </text>
    </comment>
    <comment ref="CB103" authorId="0">
      <text>
        <r>
          <rPr>
            <b/>
            <sz val="9"/>
            <color indexed="81"/>
            <rFont val="Tahoma"/>
            <family val="2"/>
          </rPr>
          <t>SMA Foundation estimates</t>
        </r>
      </text>
    </comment>
    <comment ref="CC103" authorId="0">
      <text>
        <r>
          <rPr>
            <b/>
            <sz val="9"/>
            <color indexed="81"/>
            <rFont val="Tahoma"/>
            <family val="2"/>
          </rPr>
          <t>SMA Foundation estimates</t>
        </r>
      </text>
    </comment>
    <comment ref="CD103" authorId="0">
      <text>
        <r>
          <rPr>
            <b/>
            <sz val="9"/>
            <color indexed="81"/>
            <rFont val="Tahoma"/>
            <family val="2"/>
          </rPr>
          <t>SMA Foundation estimates</t>
        </r>
      </text>
    </comment>
    <comment ref="CE103" authorId="0">
      <text>
        <r>
          <rPr>
            <b/>
            <sz val="9"/>
            <color indexed="81"/>
            <rFont val="Tahoma"/>
            <family val="2"/>
          </rPr>
          <t>SMA Foundation estimates</t>
        </r>
      </text>
    </comment>
    <comment ref="CF103" authorId="0">
      <text>
        <r>
          <rPr>
            <b/>
            <sz val="9"/>
            <color indexed="81"/>
            <rFont val="Tahoma"/>
            <family val="2"/>
          </rPr>
          <t>SMA Foundation estimates</t>
        </r>
      </text>
    </comment>
    <comment ref="BS199" authorId="0">
      <text>
        <r>
          <rPr>
            <b/>
            <sz val="9"/>
            <color indexed="81"/>
            <rFont val="Tahoma"/>
            <family val="2"/>
          </rPr>
          <t>1/6000 births
http://thegsf.org/press/detail/what_is_spinal_muscular_atrophy_sma/</t>
        </r>
      </text>
    </comment>
    <comment ref="BT199" authorId="0">
      <text>
        <r>
          <rPr>
            <b/>
            <sz val="9"/>
            <color indexed="81"/>
            <rFont val="Tahoma"/>
            <family val="2"/>
          </rPr>
          <t>1/6000 births
http://thegsf.org/press/detail/what_is_spinal_muscular_atrophy_sma/</t>
        </r>
      </text>
    </comment>
    <comment ref="BU199" authorId="0">
      <text>
        <r>
          <rPr>
            <b/>
            <sz val="9"/>
            <color indexed="81"/>
            <rFont val="Tahoma"/>
            <family val="2"/>
          </rPr>
          <t>1/6000 births
http://thegsf.org/press/detail/what_is_spinal_muscular_atrophy_sma/</t>
        </r>
      </text>
    </comment>
    <comment ref="BV199" authorId="0">
      <text>
        <r>
          <rPr>
            <b/>
            <sz val="9"/>
            <color indexed="81"/>
            <rFont val="Tahoma"/>
            <family val="2"/>
          </rPr>
          <t>1/6000 births
http://thegsf.org/press/detail/what_is_spinal_muscular_atrophy_sma/</t>
        </r>
      </text>
    </comment>
    <comment ref="BW199" authorId="0">
      <text>
        <r>
          <rPr>
            <b/>
            <sz val="9"/>
            <color indexed="81"/>
            <rFont val="Tahoma"/>
            <family val="2"/>
          </rPr>
          <t>1/6000 births
http://thegsf.org/press/detail/what_is_spinal_muscular_atrophy_sma/</t>
        </r>
      </text>
    </comment>
    <comment ref="BX199" authorId="0">
      <text>
        <r>
          <rPr>
            <b/>
            <sz val="9"/>
            <color indexed="81"/>
            <rFont val="Tahoma"/>
            <family val="2"/>
          </rPr>
          <t>1/6000 births
http://thegsf.org/press/detail/what_is_spinal_muscular_atrophy_sma/</t>
        </r>
      </text>
    </comment>
    <comment ref="BY199" authorId="0">
      <text>
        <r>
          <rPr>
            <b/>
            <sz val="9"/>
            <color indexed="81"/>
            <rFont val="Tahoma"/>
            <family val="2"/>
          </rPr>
          <t>1/6000 births
http://thegsf.org/press/detail/what_is_spinal_muscular_atrophy_sma/</t>
        </r>
      </text>
    </comment>
    <comment ref="BZ199" authorId="0">
      <text>
        <r>
          <rPr>
            <b/>
            <sz val="9"/>
            <color indexed="81"/>
            <rFont val="Tahoma"/>
            <family val="2"/>
          </rPr>
          <t>1/6000 births
http://thegsf.org/press/detail/what_is_spinal_muscular_atrophy_sma/</t>
        </r>
      </text>
    </comment>
    <comment ref="CA199" authorId="0">
      <text>
        <r>
          <rPr>
            <b/>
            <sz val="9"/>
            <color indexed="81"/>
            <rFont val="Tahoma"/>
            <family val="2"/>
          </rPr>
          <t>1/6000 births
http://thegsf.org/press/detail/what_is_spinal_muscular_atrophy_sma/</t>
        </r>
      </text>
    </comment>
    <comment ref="CB199" authorId="0">
      <text>
        <r>
          <rPr>
            <b/>
            <sz val="9"/>
            <color indexed="81"/>
            <rFont val="Tahoma"/>
            <family val="2"/>
          </rPr>
          <t>1/6000 births
http://thegsf.org/press/detail/what_is_spinal_muscular_atrophy_sma/</t>
        </r>
      </text>
    </comment>
    <comment ref="CC199" authorId="0">
      <text>
        <r>
          <rPr>
            <b/>
            <sz val="9"/>
            <color indexed="81"/>
            <rFont val="Tahoma"/>
            <family val="2"/>
          </rPr>
          <t>1/6000 births
http://thegsf.org/press/detail/what_is_spinal_muscular_atrophy_sma/</t>
        </r>
      </text>
    </comment>
    <comment ref="CD199" authorId="0">
      <text>
        <r>
          <rPr>
            <b/>
            <sz val="9"/>
            <color indexed="81"/>
            <rFont val="Tahoma"/>
            <family val="2"/>
          </rPr>
          <t>1/6000 births
http://thegsf.org/press/detail/what_is_spinal_muscular_atrophy_sma/</t>
        </r>
      </text>
    </comment>
    <comment ref="CE199" authorId="0">
      <text>
        <r>
          <rPr>
            <b/>
            <sz val="9"/>
            <color indexed="81"/>
            <rFont val="Tahoma"/>
            <family val="2"/>
          </rPr>
          <t>1/6000 births
http://thegsf.org/press/detail/what_is_spinal_muscular_atrophy_sma/</t>
        </r>
      </text>
    </comment>
    <comment ref="CF199" authorId="0">
      <text>
        <r>
          <rPr>
            <b/>
            <sz val="9"/>
            <color indexed="81"/>
            <rFont val="Tahoma"/>
            <family val="2"/>
          </rPr>
          <t>1/6000 births
http://thegsf.org/press/detail/what_is_spinal_muscular_atrophy_sma/</t>
        </r>
      </text>
    </comment>
    <comment ref="BS202" authorId="0">
      <text>
        <r>
          <rPr>
            <b/>
            <sz val="9"/>
            <color indexed="81"/>
            <rFont val="Tahoma"/>
            <family val="2"/>
          </rPr>
          <t>SMA Foundation estimates</t>
        </r>
      </text>
    </comment>
    <comment ref="BT202" authorId="0">
      <text>
        <r>
          <rPr>
            <b/>
            <sz val="9"/>
            <color indexed="81"/>
            <rFont val="Tahoma"/>
            <family val="2"/>
          </rPr>
          <t>SMA Foundation estimates</t>
        </r>
      </text>
    </comment>
    <comment ref="BU202" authorId="0">
      <text>
        <r>
          <rPr>
            <b/>
            <sz val="9"/>
            <color indexed="81"/>
            <rFont val="Tahoma"/>
            <family val="2"/>
          </rPr>
          <t>SMA Foundation estimates</t>
        </r>
      </text>
    </comment>
    <comment ref="BV202" authorId="0">
      <text>
        <r>
          <rPr>
            <b/>
            <sz val="9"/>
            <color indexed="81"/>
            <rFont val="Tahoma"/>
            <family val="2"/>
          </rPr>
          <t>SMA Foundation estimates</t>
        </r>
      </text>
    </comment>
    <comment ref="BW202" authorId="0">
      <text>
        <r>
          <rPr>
            <b/>
            <sz val="9"/>
            <color indexed="81"/>
            <rFont val="Tahoma"/>
            <family val="2"/>
          </rPr>
          <t>SMA Foundation estimates</t>
        </r>
      </text>
    </comment>
    <comment ref="BX202" authorId="0">
      <text>
        <r>
          <rPr>
            <b/>
            <sz val="9"/>
            <color indexed="81"/>
            <rFont val="Tahoma"/>
            <family val="2"/>
          </rPr>
          <t>SMA Foundation estimates</t>
        </r>
      </text>
    </comment>
    <comment ref="BY202" authorId="0">
      <text>
        <r>
          <rPr>
            <b/>
            <sz val="9"/>
            <color indexed="81"/>
            <rFont val="Tahoma"/>
            <family val="2"/>
          </rPr>
          <t>SMA Foundation estimates</t>
        </r>
      </text>
    </comment>
    <comment ref="BZ202" authorId="0">
      <text>
        <r>
          <rPr>
            <b/>
            <sz val="9"/>
            <color indexed="81"/>
            <rFont val="Tahoma"/>
            <family val="2"/>
          </rPr>
          <t>SMA Foundation estimates</t>
        </r>
      </text>
    </comment>
    <comment ref="CA202" authorId="0">
      <text>
        <r>
          <rPr>
            <b/>
            <sz val="9"/>
            <color indexed="81"/>
            <rFont val="Tahoma"/>
            <family val="2"/>
          </rPr>
          <t>SMA Foundation estimates</t>
        </r>
      </text>
    </comment>
    <comment ref="CB202" authorId="0">
      <text>
        <r>
          <rPr>
            <b/>
            <sz val="9"/>
            <color indexed="81"/>
            <rFont val="Tahoma"/>
            <family val="2"/>
          </rPr>
          <t>SMA Foundation estimates</t>
        </r>
      </text>
    </comment>
    <comment ref="CC202" authorId="0">
      <text>
        <r>
          <rPr>
            <b/>
            <sz val="9"/>
            <color indexed="81"/>
            <rFont val="Tahoma"/>
            <family val="2"/>
          </rPr>
          <t>SMA Foundation estimates</t>
        </r>
      </text>
    </comment>
    <comment ref="CD202" authorId="0">
      <text>
        <r>
          <rPr>
            <b/>
            <sz val="9"/>
            <color indexed="81"/>
            <rFont val="Tahoma"/>
            <family val="2"/>
          </rPr>
          <t>SMA Foundation estimates</t>
        </r>
      </text>
    </comment>
    <comment ref="CE202" authorId="0">
      <text>
        <r>
          <rPr>
            <b/>
            <sz val="9"/>
            <color indexed="81"/>
            <rFont val="Tahoma"/>
            <family val="2"/>
          </rPr>
          <t>SMA Foundation estimates</t>
        </r>
      </text>
    </comment>
    <comment ref="CF202" authorId="0">
      <text>
        <r>
          <rPr>
            <b/>
            <sz val="9"/>
            <color indexed="81"/>
            <rFont val="Tahoma"/>
            <family val="2"/>
          </rPr>
          <t>SMA Foundation estimates</t>
        </r>
      </text>
    </comment>
    <comment ref="BS205" authorId="0">
      <text>
        <r>
          <rPr>
            <b/>
            <sz val="9"/>
            <color indexed="81"/>
            <rFont val="Tahoma"/>
            <family val="2"/>
          </rPr>
          <t>SMA Foundation estimates</t>
        </r>
      </text>
    </comment>
    <comment ref="BT205" authorId="0">
      <text>
        <r>
          <rPr>
            <b/>
            <sz val="9"/>
            <color indexed="81"/>
            <rFont val="Tahoma"/>
            <family val="2"/>
          </rPr>
          <t>SMA Foundation estimates</t>
        </r>
      </text>
    </comment>
    <comment ref="BU205" authorId="0">
      <text>
        <r>
          <rPr>
            <b/>
            <sz val="9"/>
            <color indexed="81"/>
            <rFont val="Tahoma"/>
            <family val="2"/>
          </rPr>
          <t>SMA Foundation estimates</t>
        </r>
      </text>
    </comment>
    <comment ref="BV205" authorId="0">
      <text>
        <r>
          <rPr>
            <b/>
            <sz val="9"/>
            <color indexed="81"/>
            <rFont val="Tahoma"/>
            <family val="2"/>
          </rPr>
          <t>SMA Foundation estimates</t>
        </r>
      </text>
    </comment>
    <comment ref="BW205" authorId="0">
      <text>
        <r>
          <rPr>
            <b/>
            <sz val="9"/>
            <color indexed="81"/>
            <rFont val="Tahoma"/>
            <family val="2"/>
          </rPr>
          <t>SMA Foundation estimates</t>
        </r>
      </text>
    </comment>
    <comment ref="BX205" authorId="0">
      <text>
        <r>
          <rPr>
            <b/>
            <sz val="9"/>
            <color indexed="81"/>
            <rFont val="Tahoma"/>
            <family val="2"/>
          </rPr>
          <t>SMA Foundation estimates</t>
        </r>
      </text>
    </comment>
    <comment ref="BY205" authorId="0">
      <text>
        <r>
          <rPr>
            <b/>
            <sz val="9"/>
            <color indexed="81"/>
            <rFont val="Tahoma"/>
            <family val="2"/>
          </rPr>
          <t>SMA Foundation estimates</t>
        </r>
      </text>
    </comment>
    <comment ref="BZ205" authorId="0">
      <text>
        <r>
          <rPr>
            <b/>
            <sz val="9"/>
            <color indexed="81"/>
            <rFont val="Tahoma"/>
            <family val="2"/>
          </rPr>
          <t>SMA Foundation estimates</t>
        </r>
      </text>
    </comment>
    <comment ref="CA205" authorId="0">
      <text>
        <r>
          <rPr>
            <b/>
            <sz val="9"/>
            <color indexed="81"/>
            <rFont val="Tahoma"/>
            <family val="2"/>
          </rPr>
          <t>SMA Foundation estimates</t>
        </r>
      </text>
    </comment>
    <comment ref="CB205" authorId="0">
      <text>
        <r>
          <rPr>
            <b/>
            <sz val="9"/>
            <color indexed="81"/>
            <rFont val="Tahoma"/>
            <family val="2"/>
          </rPr>
          <t>SMA Foundation estimates</t>
        </r>
      </text>
    </comment>
    <comment ref="CC205" authorId="0">
      <text>
        <r>
          <rPr>
            <b/>
            <sz val="9"/>
            <color indexed="81"/>
            <rFont val="Tahoma"/>
            <family val="2"/>
          </rPr>
          <t>SMA Foundation estimates</t>
        </r>
      </text>
    </comment>
    <comment ref="CD205" authorId="0">
      <text>
        <r>
          <rPr>
            <b/>
            <sz val="9"/>
            <color indexed="81"/>
            <rFont val="Tahoma"/>
            <family val="2"/>
          </rPr>
          <t>SMA Foundation estimates</t>
        </r>
      </text>
    </comment>
    <comment ref="CE205" authorId="0">
      <text>
        <r>
          <rPr>
            <b/>
            <sz val="9"/>
            <color indexed="81"/>
            <rFont val="Tahoma"/>
            <family val="2"/>
          </rPr>
          <t>SMA Foundation estimates</t>
        </r>
      </text>
    </comment>
    <comment ref="CF205" authorId="0">
      <text>
        <r>
          <rPr>
            <b/>
            <sz val="9"/>
            <color indexed="81"/>
            <rFont val="Tahoma"/>
            <family val="2"/>
          </rPr>
          <t>SMA Foundation estimates</t>
        </r>
      </text>
    </comment>
    <comment ref="BS211" authorId="0">
      <text>
        <r>
          <rPr>
            <b/>
            <sz val="9"/>
            <color indexed="81"/>
            <rFont val="Tahoma"/>
            <family val="2"/>
          </rPr>
          <t>SMA Foundation estimates</t>
        </r>
      </text>
    </comment>
    <comment ref="BT211" authorId="0">
      <text>
        <r>
          <rPr>
            <b/>
            <sz val="9"/>
            <color indexed="81"/>
            <rFont val="Tahoma"/>
            <family val="2"/>
          </rPr>
          <t>SMA Foundation estimates</t>
        </r>
      </text>
    </comment>
    <comment ref="BU211" authorId="0">
      <text>
        <r>
          <rPr>
            <b/>
            <sz val="9"/>
            <color indexed="81"/>
            <rFont val="Tahoma"/>
            <family val="2"/>
          </rPr>
          <t>SMA Foundation estimates</t>
        </r>
      </text>
    </comment>
    <comment ref="BV211" authorId="0">
      <text>
        <r>
          <rPr>
            <b/>
            <sz val="9"/>
            <color indexed="81"/>
            <rFont val="Tahoma"/>
            <family val="2"/>
          </rPr>
          <t>SMA Foundation estimates</t>
        </r>
      </text>
    </comment>
    <comment ref="BW211" authorId="0">
      <text>
        <r>
          <rPr>
            <b/>
            <sz val="9"/>
            <color indexed="81"/>
            <rFont val="Tahoma"/>
            <family val="2"/>
          </rPr>
          <t>SMA Foundation estimates</t>
        </r>
      </text>
    </comment>
    <comment ref="BX211" authorId="0">
      <text>
        <r>
          <rPr>
            <b/>
            <sz val="9"/>
            <color indexed="81"/>
            <rFont val="Tahoma"/>
            <family val="2"/>
          </rPr>
          <t>SMA Foundation estimates</t>
        </r>
      </text>
    </comment>
    <comment ref="BY211" authorId="0">
      <text>
        <r>
          <rPr>
            <b/>
            <sz val="9"/>
            <color indexed="81"/>
            <rFont val="Tahoma"/>
            <family val="2"/>
          </rPr>
          <t>SMA Foundation estimates</t>
        </r>
      </text>
    </comment>
    <comment ref="BZ211" authorId="0">
      <text>
        <r>
          <rPr>
            <b/>
            <sz val="9"/>
            <color indexed="81"/>
            <rFont val="Tahoma"/>
            <family val="2"/>
          </rPr>
          <t>SMA Foundation estimates</t>
        </r>
      </text>
    </comment>
    <comment ref="CA211" authorId="0">
      <text>
        <r>
          <rPr>
            <b/>
            <sz val="9"/>
            <color indexed="81"/>
            <rFont val="Tahoma"/>
            <family val="2"/>
          </rPr>
          <t>SMA Foundation estimates</t>
        </r>
      </text>
    </comment>
    <comment ref="CB211" authorId="0">
      <text>
        <r>
          <rPr>
            <b/>
            <sz val="9"/>
            <color indexed="81"/>
            <rFont val="Tahoma"/>
            <family val="2"/>
          </rPr>
          <t>SMA Foundation estimates</t>
        </r>
      </text>
    </comment>
    <comment ref="CC211" authorId="0">
      <text>
        <r>
          <rPr>
            <b/>
            <sz val="9"/>
            <color indexed="81"/>
            <rFont val="Tahoma"/>
            <family val="2"/>
          </rPr>
          <t>SMA Foundation estimates</t>
        </r>
      </text>
    </comment>
    <comment ref="CD211" authorId="0">
      <text>
        <r>
          <rPr>
            <b/>
            <sz val="9"/>
            <color indexed="81"/>
            <rFont val="Tahoma"/>
            <family val="2"/>
          </rPr>
          <t>SMA Foundation estimates</t>
        </r>
      </text>
    </comment>
    <comment ref="CE211" authorId="0">
      <text>
        <r>
          <rPr>
            <b/>
            <sz val="9"/>
            <color indexed="81"/>
            <rFont val="Tahoma"/>
            <family val="2"/>
          </rPr>
          <t>SMA Foundation estimates</t>
        </r>
      </text>
    </comment>
    <comment ref="CF211" authorId="0">
      <text>
        <r>
          <rPr>
            <b/>
            <sz val="9"/>
            <color indexed="81"/>
            <rFont val="Tahoma"/>
            <family val="2"/>
          </rPr>
          <t>SMA Foundation estimates</t>
        </r>
      </text>
    </comment>
  </commentList>
</comments>
</file>

<file path=xl/sharedStrings.xml><?xml version="1.0" encoding="utf-8"?>
<sst xmlns="http://schemas.openxmlformats.org/spreadsheetml/2006/main" count="1081" uniqueCount="782">
  <si>
    <t>2018E</t>
  </si>
  <si>
    <t>2019E</t>
  </si>
  <si>
    <t>2020E</t>
  </si>
  <si>
    <t>Revenues:</t>
  </si>
  <si>
    <t>Total Revenues</t>
  </si>
  <si>
    <t>COGS</t>
  </si>
  <si>
    <t>R&amp;D</t>
  </si>
  <si>
    <t>YoY Growth</t>
  </si>
  <si>
    <t>SG&amp;A</t>
  </si>
  <si>
    <t>Operating Income (Loss)</t>
  </si>
  <si>
    <t>Stock Compensation Expense</t>
  </si>
  <si>
    <t>% of Operating Expenses</t>
  </si>
  <si>
    <t>Shares Outstanding - Basic</t>
  </si>
  <si>
    <t>Shares Outstanding - Diluted</t>
  </si>
  <si>
    <t>GAAP Net Income</t>
  </si>
  <si>
    <t>Taxable Income</t>
  </si>
  <si>
    <t>Income taxes owed</t>
  </si>
  <si>
    <t>Income taxes paid</t>
  </si>
  <si>
    <t>Interest Income</t>
  </si>
  <si>
    <t>($ in millions)</t>
  </si>
  <si>
    <t>Assets</t>
  </si>
  <si>
    <t xml:space="preserve">Cash and Cash Equivalents </t>
  </si>
  <si>
    <t>Prepaid Expenses and Other Current Assets</t>
  </si>
  <si>
    <t>Property and Equipment, Net</t>
  </si>
  <si>
    <t>Liabilities</t>
  </si>
  <si>
    <t>Accounts Payable</t>
  </si>
  <si>
    <t>Other Long-Term Liabilities</t>
  </si>
  <si>
    <t>Shareholder's Equity</t>
  </si>
  <si>
    <t>Existing PP&amp;E</t>
  </si>
  <si>
    <t xml:space="preserve">Stock Price (average) </t>
  </si>
  <si>
    <t>Option Balance (Beginning Year)</t>
  </si>
  <si>
    <t xml:space="preserve">   % Exercisable</t>
  </si>
  <si>
    <t>Options Cancelled</t>
  </si>
  <si>
    <t xml:space="preserve">   % Cancelled </t>
  </si>
  <si>
    <t>Options Exercised</t>
  </si>
  <si>
    <t>Weighted Average Exercise Price</t>
  </si>
  <si>
    <t>Proceeds from option</t>
  </si>
  <si>
    <t>Tax Benefit from Options</t>
  </si>
  <si>
    <t>Options Granted</t>
  </si>
  <si>
    <t xml:space="preserve">     % of Outstanding Options</t>
  </si>
  <si>
    <t>Shares Issued</t>
  </si>
  <si>
    <t>Proceeds from share issuance</t>
  </si>
  <si>
    <t>Shares Repurchased (mm)</t>
  </si>
  <si>
    <t>Share Repurchase Cost</t>
  </si>
  <si>
    <t>Total Change in APIC</t>
  </si>
  <si>
    <t>Beginning Period Shares</t>
  </si>
  <si>
    <t>End of Period Shares</t>
  </si>
  <si>
    <t xml:space="preserve">Average Shares Outstanding-basic </t>
  </si>
  <si>
    <t>Average Shares Outstanding-diluted</t>
  </si>
  <si>
    <t>2021E</t>
  </si>
  <si>
    <t>Discount Rate</t>
  </si>
  <si>
    <t>Terminal Growth Rate</t>
  </si>
  <si>
    <t>Net Cash</t>
  </si>
  <si>
    <t>Equity Value</t>
  </si>
  <si>
    <t>Alnylam Annual Income Statement</t>
  </si>
  <si>
    <t>Deferred Revenue</t>
  </si>
  <si>
    <t>Deferred Revenue, Net of Current Portion</t>
  </si>
  <si>
    <t>Other (Expense) Income</t>
  </si>
  <si>
    <t>Bull</t>
  </si>
  <si>
    <t>Base</t>
  </si>
  <si>
    <t>Bear</t>
  </si>
  <si>
    <t>USD</t>
  </si>
  <si>
    <t>Inventories</t>
  </si>
  <si>
    <t>ALNY.O,mscalc:closePriceCurrencyCalc</t>
  </si>
  <si>
    <t>ALNY.O,mscalc:sedolCodeCalc</t>
  </si>
  <si>
    <t>ALNY.O,mscalc:targetPrice,,,,USD</t>
  </si>
  <si>
    <t>2Q13</t>
  </si>
  <si>
    <t>B00FWN1</t>
  </si>
  <si>
    <t>3Q13</t>
  </si>
  <si>
    <t>4Q13</t>
  </si>
  <si>
    <t>1Q13</t>
  </si>
  <si>
    <t>1Q14</t>
  </si>
  <si>
    <t>72</t>
  </si>
  <si>
    <t>Terminal</t>
  </si>
  <si>
    <t>Growth</t>
  </si>
  <si>
    <t>Taxes</t>
  </si>
  <si>
    <t>Tax rate</t>
  </si>
  <si>
    <t>Non-GAAP EBIT, after tax</t>
  </si>
  <si>
    <t>Plus: D&amp;A</t>
  </si>
  <si>
    <t>Plus/Less: Change in non-Cash WC</t>
  </si>
  <si>
    <t>Less: Capital expenditures</t>
  </si>
  <si>
    <t>Free Cash Flow to Firm (FCFF)</t>
  </si>
  <si>
    <t>Present Value of FCFF</t>
  </si>
  <si>
    <t>Sum of Discounted CF</t>
  </si>
  <si>
    <t>Equity Value Per Share</t>
  </si>
  <si>
    <t>Time of Valuation</t>
  </si>
  <si>
    <t>Shares Outstanding</t>
  </si>
  <si>
    <t>Scenarios</t>
  </si>
  <si>
    <t>Selector ---&gt;</t>
  </si>
  <si>
    <t>1 = Bull</t>
  </si>
  <si>
    <t>2 = Base</t>
  </si>
  <si>
    <t>3 = Bear</t>
  </si>
  <si>
    <t>2Q14</t>
  </si>
  <si>
    <t>3Q14</t>
  </si>
  <si>
    <t>4Q14</t>
  </si>
  <si>
    <t>1Q15</t>
  </si>
  <si>
    <t>2Q15</t>
  </si>
  <si>
    <t>1Q18E</t>
  </si>
  <si>
    <t>2Q18E</t>
  </si>
  <si>
    <t>3Q18E</t>
  </si>
  <si>
    <t>4Q18E</t>
  </si>
  <si>
    <t>1Q19E</t>
  </si>
  <si>
    <t>2Q19E</t>
  </si>
  <si>
    <t>3Q19E</t>
  </si>
  <si>
    <t>4Q19E</t>
  </si>
  <si>
    <t>1Q20E</t>
  </si>
  <si>
    <t>2Q20E</t>
  </si>
  <si>
    <t>3Q20E</t>
  </si>
  <si>
    <t>4Q20E</t>
  </si>
  <si>
    <t>Costs and expenses</t>
  </si>
  <si>
    <t>Cost of product revenues/royalties</t>
  </si>
  <si>
    <t>Interest income</t>
  </si>
  <si>
    <t>Operating income (loss)</t>
  </si>
  <si>
    <t>G&amp;A</t>
  </si>
  <si>
    <t>Other</t>
  </si>
  <si>
    <t>GAAP EPS (basic)</t>
  </si>
  <si>
    <t>GAAP EPS (diluted)</t>
  </si>
  <si>
    <t>One-time expense</t>
  </si>
  <si>
    <t>Check</t>
  </si>
  <si>
    <t>Accrued expenses</t>
  </si>
  <si>
    <t>1Q21E</t>
  </si>
  <si>
    <t>2Q21E</t>
  </si>
  <si>
    <t>3Q21E</t>
  </si>
  <si>
    <t>4Q21E</t>
  </si>
  <si>
    <t>Others</t>
  </si>
  <si>
    <t>Non-GAAP R&amp;D (bull)</t>
  </si>
  <si>
    <t>Non-GAAP R&amp;D (base)</t>
  </si>
  <si>
    <t>Non-GAAP R&amp;D (bear)</t>
  </si>
  <si>
    <t xml:space="preserve">    YoY Growth (bull case)</t>
  </si>
  <si>
    <t xml:space="preserve">    YoY Growth (base case)</t>
  </si>
  <si>
    <t xml:space="preserve">    YoY Growth (bear case)</t>
  </si>
  <si>
    <t>Scenario</t>
  </si>
  <si>
    <t>Non-GAAP SG&amp;A (bull)</t>
  </si>
  <si>
    <t>Non-GAAP SG&amp;A (base)</t>
  </si>
  <si>
    <t>Non-GAAP (bear)</t>
  </si>
  <si>
    <t>Average cash &amp; investments</t>
  </si>
  <si>
    <t xml:space="preserve">  Interest rate</t>
  </si>
  <si>
    <t>Income Taxes</t>
  </si>
  <si>
    <t>Statutory tax rate</t>
  </si>
  <si>
    <t>Ending NOL</t>
  </si>
  <si>
    <t>Depreciation &amp; Amortization</t>
  </si>
  <si>
    <t>EBITDA (GAAP)</t>
  </si>
  <si>
    <t>EBITDA (Non-GAAP)</t>
  </si>
  <si>
    <t>Revenues</t>
  </si>
  <si>
    <t>Operating expenses</t>
  </si>
  <si>
    <t>NI</t>
  </si>
  <si>
    <t>Operating CF</t>
  </si>
  <si>
    <t>Capex</t>
  </si>
  <si>
    <t>Operating Activity</t>
  </si>
  <si>
    <t>AR Turnover (Total Sales / AR)</t>
  </si>
  <si>
    <t>Inventory Turnover (COGS / Inv)</t>
  </si>
  <si>
    <t>AP &amp; Accrued Liabilities Turnover (COGS / AP &amp; Accrued Liabilities)</t>
  </si>
  <si>
    <t>Days Sales Outstanding</t>
  </si>
  <si>
    <t>Days inventory outstanding</t>
  </si>
  <si>
    <t>Days payable outstanding</t>
  </si>
  <si>
    <t>Accounts receivable</t>
  </si>
  <si>
    <t xml:space="preserve">      % of revenue</t>
  </si>
  <si>
    <t>Prepaid expenses and other current assets</t>
  </si>
  <si>
    <t xml:space="preserve">     % of revenue</t>
  </si>
  <si>
    <t>Other non-current assets</t>
  </si>
  <si>
    <t>Accounts payable</t>
  </si>
  <si>
    <t xml:space="preserve">    % operating expenses</t>
  </si>
  <si>
    <t>Deferred revenue</t>
  </si>
  <si>
    <t>Other liabilities</t>
  </si>
  <si>
    <t xml:space="preserve">  Capital expenditures, net</t>
  </si>
  <si>
    <t xml:space="preserve">  Depreciation</t>
  </si>
  <si>
    <t xml:space="preserve">  Others</t>
  </si>
  <si>
    <t>Ending Balance</t>
  </si>
  <si>
    <t xml:space="preserve">  2014 capital expenditures</t>
  </si>
  <si>
    <t xml:space="preserve">  2015 capital expenditures</t>
  </si>
  <si>
    <t xml:space="preserve">  2016 capital expenditures</t>
  </si>
  <si>
    <t xml:space="preserve">  2017 capital expenditures</t>
  </si>
  <si>
    <t xml:space="preserve">  2018 capital expenditures</t>
  </si>
  <si>
    <t xml:space="preserve">  2019 capital expenditures</t>
  </si>
  <si>
    <t xml:space="preserve">  2020 capital expenditures</t>
  </si>
  <si>
    <t xml:space="preserve"> Total depreciation</t>
  </si>
  <si>
    <t xml:space="preserve">  2021 capital expenditures</t>
  </si>
  <si>
    <t>Stock Options and Share Count</t>
  </si>
  <si>
    <t>Average Options Exercisable</t>
  </si>
  <si>
    <t>Weighted Average Exercise Price of exercisable</t>
  </si>
  <si>
    <t xml:space="preserve">   Statutory Tax rate</t>
  </si>
  <si>
    <t>Closing Balance</t>
  </si>
  <si>
    <t>Keyed</t>
  </si>
  <si>
    <t>Stock option exercises</t>
  </si>
  <si>
    <t>Warrant exercise</t>
  </si>
  <si>
    <t>Stock options expense</t>
  </si>
  <si>
    <t>Tax benefit from equity compensation</t>
  </si>
  <si>
    <t>Options Expense</t>
  </si>
  <si>
    <t xml:space="preserve">  % of operating expense</t>
  </si>
  <si>
    <t>Tax impact</t>
  </si>
  <si>
    <t>Net Income (non-GAAP, incl option exp)</t>
  </si>
  <si>
    <t>EPS, diluted (non-GAAP, incl option exp)</t>
  </si>
  <si>
    <t>Key Numbers</t>
  </si>
  <si>
    <t>% of revenue</t>
  </si>
  <si>
    <t>Beginning balance</t>
  </si>
  <si>
    <t>1Q22E</t>
  </si>
  <si>
    <t>2Q22E</t>
  </si>
  <si>
    <t>3Q22E</t>
  </si>
  <si>
    <t>4Q22E</t>
  </si>
  <si>
    <t>2022E</t>
  </si>
  <si>
    <t>2023E</t>
  </si>
  <si>
    <t xml:space="preserve">  2022 capital expenditures</t>
  </si>
  <si>
    <t xml:space="preserve">  2023 capital expenditures</t>
  </si>
  <si>
    <t>Stock Price</t>
  </si>
  <si>
    <t>Revenue from collaborative research</t>
  </si>
  <si>
    <t>Grant revenue</t>
  </si>
  <si>
    <t>3Q15</t>
  </si>
  <si>
    <t>NOL carry forwards</t>
  </si>
  <si>
    <t>Pre-tax Income</t>
  </si>
  <si>
    <t xml:space="preserve">Depreciation </t>
  </si>
  <si>
    <t xml:space="preserve">  2013 capital expenditures</t>
  </si>
  <si>
    <t>EBIT</t>
  </si>
  <si>
    <t>For Modelware: Do not delete</t>
  </si>
  <si>
    <t>Unrecorded Goodwill</t>
  </si>
  <si>
    <t>ND</t>
  </si>
  <si>
    <t>Net inssuance</t>
  </si>
  <si>
    <t>MGNX.O,mscalc:targetPrice,,,,USD</t>
  </si>
  <si>
    <t>MGNX.O,mscalc:sedolCodeCalc</t>
  </si>
  <si>
    <t>MGNX.O,mscalc:closePriceCurrencyCalc</t>
  </si>
  <si>
    <t>1Q16</t>
  </si>
  <si>
    <t>EPS (diluted)</t>
  </si>
  <si>
    <t>EPS (basic)</t>
  </si>
  <si>
    <t>Net Income</t>
  </si>
  <si>
    <t>4Q15</t>
  </si>
  <si>
    <t>BFDV8K0</t>
  </si>
  <si>
    <t>Unrealized gain (loss) on investments</t>
  </si>
  <si>
    <t>MGNX.O,mscalc:sharePriceCurrent</t>
  </si>
  <si>
    <t>20.22</t>
  </si>
  <si>
    <t>NM</t>
  </si>
  <si>
    <t>4Q16</t>
  </si>
  <si>
    <t>3Q16</t>
  </si>
  <si>
    <t>2Q16</t>
  </si>
  <si>
    <t>24</t>
  </si>
  <si>
    <t>AVEXIS INC. (NSDQ:AVXS)</t>
  </si>
  <si>
    <t>Marketable Securities</t>
  </si>
  <si>
    <t>Other Assets</t>
  </si>
  <si>
    <t>Accrued Expenses</t>
  </si>
  <si>
    <t>Other Liabilities</t>
  </si>
  <si>
    <t xml:space="preserve">Common Stock </t>
  </si>
  <si>
    <t>Retained Earnings (Accumulated Deficit)</t>
  </si>
  <si>
    <t>Net Loss</t>
  </si>
  <si>
    <t>Share-Based Compensation Expense</t>
  </si>
  <si>
    <t>Other Non-Cash Items, Net</t>
  </si>
  <si>
    <t>Pre-Paid Expenses and Other Assets</t>
  </si>
  <si>
    <t>Accounts Receivable</t>
  </si>
  <si>
    <t>Accrued Expenses and Other Liabilities</t>
  </si>
  <si>
    <t>Purchases of Property, Plant and Equipment</t>
  </si>
  <si>
    <t>Purchases of Marketable Securities</t>
  </si>
  <si>
    <t>Sale and Maturities of Marketable Securities</t>
  </si>
  <si>
    <t>Payment of Asset Acquisition</t>
  </si>
  <si>
    <t>Net Cash Provided By Financing Activities</t>
  </si>
  <si>
    <t>Adjustments to Reconcile Net Loss to Net Cash Used in Operating Activities:</t>
  </si>
  <si>
    <t>Cash Flows from Operating Activities</t>
  </si>
  <si>
    <t>Changes in Operating Assets and Liabilities:</t>
  </si>
  <si>
    <t>Net Cash Provided by (Used in) Operating Activities</t>
  </si>
  <si>
    <t>Cash Flows from Investing Activities</t>
  </si>
  <si>
    <t>Net Cash Used in Investing Activities</t>
  </si>
  <si>
    <t>Cash Flows from Financing Activities</t>
  </si>
  <si>
    <t>Proceeds from Exercise of Stock Options + Other Equity</t>
  </si>
  <si>
    <t>Proceeds from Issuance of Common Stock</t>
  </si>
  <si>
    <t>Change in Cash and Cash Equivalents</t>
  </si>
  <si>
    <t>Cash and Cash Equivalents at Beginning of Year</t>
  </si>
  <si>
    <t>Cash and Cash Equivalents at End of Year</t>
  </si>
  <si>
    <t>Cash and Marketable Securities at End of Year</t>
  </si>
  <si>
    <t>Total Current Assets</t>
  </si>
  <si>
    <t>Restricted Cash</t>
  </si>
  <si>
    <t>Total Assets</t>
  </si>
  <si>
    <t>Total Current Liabilities</t>
  </si>
  <si>
    <t>Total Liabilities</t>
  </si>
  <si>
    <t>Additional Paid-in Capital</t>
  </si>
  <si>
    <t>Total Shareholder's Equity</t>
  </si>
  <si>
    <t>Total Liabilities and Shareholder's Equity</t>
  </si>
  <si>
    <t>Source: Company Data and Morgan Stanley Research</t>
  </si>
  <si>
    <t xml:space="preserve">Preferred Stock </t>
  </si>
  <si>
    <t>Loss from discontinued operations, net of tax</t>
  </si>
  <si>
    <t>Loss from sale of discontinued operations, net of tax</t>
  </si>
  <si>
    <t>Net loss and comprehensive loss</t>
  </si>
  <si>
    <t>Net loss</t>
  </si>
  <si>
    <t>1Q23E</t>
  </si>
  <si>
    <t>2Q23E</t>
  </si>
  <si>
    <t>3Q23E</t>
  </si>
  <si>
    <t>4Q23E</t>
  </si>
  <si>
    <t>1Q24E</t>
  </si>
  <si>
    <t>2Q24E</t>
  </si>
  <si>
    <t>3Q24E</t>
  </si>
  <si>
    <t>4Q24E</t>
  </si>
  <si>
    <t>2024E</t>
  </si>
  <si>
    <t>1Q25E</t>
  </si>
  <si>
    <t>2Q25E</t>
  </si>
  <si>
    <t>3Q25E</t>
  </si>
  <si>
    <t>4Q25E</t>
  </si>
  <si>
    <t>2025E</t>
  </si>
  <si>
    <t>1Q26E</t>
  </si>
  <si>
    <t>2Q26E</t>
  </si>
  <si>
    <t>3Q26E</t>
  </si>
  <si>
    <t>4Q26E</t>
  </si>
  <si>
    <t>2026E</t>
  </si>
  <si>
    <t>1Q27E</t>
  </si>
  <si>
    <t>2Q27E</t>
  </si>
  <si>
    <t>3Q27E</t>
  </si>
  <si>
    <t>4Q27E</t>
  </si>
  <si>
    <t>2027E</t>
  </si>
  <si>
    <t>1Q28E</t>
  </si>
  <si>
    <t>2Q28E</t>
  </si>
  <si>
    <t>3Q28E</t>
  </si>
  <si>
    <t>4Q28E</t>
  </si>
  <si>
    <t>2028E</t>
  </si>
  <si>
    <t>1Q29E</t>
  </si>
  <si>
    <t>2Q29E</t>
  </si>
  <si>
    <t>3Q29E</t>
  </si>
  <si>
    <t>4Q29E</t>
  </si>
  <si>
    <t>2029E</t>
  </si>
  <si>
    <t>1Q30E</t>
  </si>
  <si>
    <t>2Q30E</t>
  </si>
  <si>
    <t>3Q30E</t>
  </si>
  <si>
    <t>4Q30E</t>
  </si>
  <si>
    <t>2030E</t>
  </si>
  <si>
    <t>Notes Payable</t>
  </si>
  <si>
    <t xml:space="preserve">  2024 capital expenditures</t>
  </si>
  <si>
    <t xml:space="preserve">  2025 capital expenditures</t>
  </si>
  <si>
    <t xml:space="preserve">  2026 capital expenditures</t>
  </si>
  <si>
    <t xml:space="preserve">  2027 capital expenditures</t>
  </si>
  <si>
    <t xml:space="preserve">  2028 capital expenditures</t>
  </si>
  <si>
    <t xml:space="preserve">  2029 capital expenditures</t>
  </si>
  <si>
    <t xml:space="preserve">  2030 capital expenditures</t>
  </si>
  <si>
    <t>US/EU Market Penetration Scenarios</t>
  </si>
  <si>
    <t xml:space="preserve">Select Scenario (1-3) </t>
  </si>
  <si>
    <t>PT Output</t>
  </si>
  <si>
    <t>US SMA Type 1  - % End of Yr Market Share</t>
  </si>
  <si>
    <t>US SMA Type 2  - % End of Yr Market Share</t>
  </si>
  <si>
    <t>US SMA Type 3  - % End of Yr Market Share</t>
  </si>
  <si>
    <t>US SMA Type 4  - % End of Yr Market Share</t>
  </si>
  <si>
    <t>SMA US Market</t>
  </si>
  <si>
    <t>SMA Type 1</t>
  </si>
  <si>
    <t>% Type 1</t>
  </si>
  <si>
    <t>SMA Type 2</t>
  </si>
  <si>
    <t>% Type 2</t>
  </si>
  <si>
    <t>SMA Type 3</t>
  </si>
  <si>
    <t>% Type 3</t>
  </si>
  <si>
    <t>SMA Type 4</t>
  </si>
  <si>
    <t>% Type 4</t>
  </si>
  <si>
    <t>Deaths</t>
  </si>
  <si>
    <t>Price Change %</t>
  </si>
  <si>
    <t>Net Realized Price Per Dose ($)</t>
  </si>
  <si>
    <t>Gross to Net Discount</t>
  </si>
  <si>
    <t>SMA ROW Market</t>
  </si>
  <si>
    <t>AVXS-101 Sales, US ($mn)</t>
  </si>
  <si>
    <t xml:space="preserve">AVXS-101 Booster SMA1 Sales </t>
  </si>
  <si>
    <t>AVXS-101 New SMA1 Sales</t>
  </si>
  <si>
    <t>Annual Births, U.S.</t>
  </si>
  <si>
    <t>% Penetration</t>
  </si>
  <si>
    <t>SMA1 Administered AVXS-101 Booster</t>
  </si>
  <si>
    <t>US SMA Type 1 Booster - % End of Yr Market Share</t>
  </si>
  <si>
    <t>Newly Diagnosed SMA Population</t>
  </si>
  <si>
    <t>Newly Diagnosed SMA1 Administered AVXS-101</t>
  </si>
  <si>
    <t>Total SMA1 Administered AVXS-101 Population</t>
  </si>
  <si>
    <t>Gross Price Per Initial Administration ($)</t>
  </si>
  <si>
    <t>Gross Price Per Booster Administration ($)</t>
  </si>
  <si>
    <t>Newly Diagnosed SMA2 Patients</t>
  </si>
  <si>
    <t>SMA2 Population, End of Year</t>
  </si>
  <si>
    <t>SMA2 Population, Beginning of Year</t>
  </si>
  <si>
    <t>Total SMA2 Administered AVXS-101</t>
  </si>
  <si>
    <t>SMA3 Population, Beginning of Year</t>
  </si>
  <si>
    <t>Newly Diagnosed SMA3 Patients</t>
  </si>
  <si>
    <t>SMA3 Population, End of Year</t>
  </si>
  <si>
    <t>SMA4 Population, Beginning of Year</t>
  </si>
  <si>
    <t>Newly Diagnosed SMA4 Patients</t>
  </si>
  <si>
    <t>SMA4 Population, End of Year</t>
  </si>
  <si>
    <t>New SMA2 Pts Adminiostered AVXS-101</t>
  </si>
  <si>
    <t>Total SMA3 Administered AVXS-101</t>
  </si>
  <si>
    <t>New SMA3 Pts Adminiostered AVXS-101</t>
  </si>
  <si>
    <t>SMA2 Administered AVXS-101 Booster</t>
  </si>
  <si>
    <t>US SMA Type 2 Booster - % End of Yr Market Share</t>
  </si>
  <si>
    <t>SMA3 Administered AVXS-101 Booster</t>
  </si>
  <si>
    <t>US SMA Type 3  Booster - % End of Yr Market Share</t>
  </si>
  <si>
    <t>SMA4 Administered AVXS-101 Booster</t>
  </si>
  <si>
    <t>Total SMA4 Administered AVXS-101</t>
  </si>
  <si>
    <t>New SMA4 Pts Adminiostered AVXS-101</t>
  </si>
  <si>
    <t>US SMA Type 4  Booster - % End of Yr Market Share</t>
  </si>
  <si>
    <t>Annual Births, ROW</t>
  </si>
  <si>
    <t>AVXS-101 Sales, ROW ($mn)</t>
  </si>
  <si>
    <t>ROW SMA Type 1  - % End of Yr Market Share</t>
  </si>
  <si>
    <t>ROW SMA Type 1 Booster - % End of Yr Market Share</t>
  </si>
  <si>
    <t>ROW SMA Type 2 Booster - % End of Yr Market Share</t>
  </si>
  <si>
    <t>ROW SMA Type 2  - % End of Yr Market Share</t>
  </si>
  <si>
    <t>ROW SMA Type 3  - % End of Yr Market Share</t>
  </si>
  <si>
    <t>ROW SMA Type 3  Booster - % End of Yr Market Share</t>
  </si>
  <si>
    <t>ROW SMA Type 4  - % End of Yr Market Share</t>
  </si>
  <si>
    <t>ROW SMA Type 4  Booster - % End of Yr Market Share</t>
  </si>
  <si>
    <t>AVXS-101 Sales, WW ($mn)</t>
  </si>
  <si>
    <t>% Royalty to Regenxbio</t>
  </si>
  <si>
    <t>AVXS-101 Revenue to AveXis ($mn)</t>
  </si>
  <si>
    <t>AVXS-101 sales</t>
  </si>
  <si>
    <t>AVXS-101 revenue (ex. Regenxbio Royalty)</t>
  </si>
  <si>
    <t>1Q17</t>
  </si>
  <si>
    <t>AVXS.O</t>
  </si>
  <si>
    <t>AveXis Inc</t>
  </si>
  <si>
    <t xml:space="preserve">Perioed end shares outstanding </t>
  </si>
  <si>
    <t>Currency</t>
  </si>
  <si>
    <t>Current Stock Price</t>
  </si>
  <si>
    <t>Count</t>
  </si>
  <si>
    <t>AVXS.O,mscalc:targetPrice,,,,USD</t>
  </si>
  <si>
    <t>AVXS.O,mscalc:closePriceCurrencyCalc</t>
  </si>
  <si>
    <t>AVXS.O,mscalc:sedolCodeCalc</t>
  </si>
  <si>
    <t>$T$2</t>
  </si>
  <si>
    <t xml:space="preserve">Modelware net income tag </t>
  </si>
  <si>
    <t xml:space="preserve">Income Tax </t>
  </si>
  <si>
    <t>AVXS-101 SMA2 New Sales</t>
  </si>
  <si>
    <t>AVXS-101 SMA2 Booster Sales</t>
  </si>
  <si>
    <t>% Risk Adjustment</t>
  </si>
  <si>
    <t>Risk Adjusted AVXS-101 SMA2 New Sales</t>
  </si>
  <si>
    <t>2Q17</t>
  </si>
  <si>
    <t>Scenario 1</t>
  </si>
  <si>
    <t>Pricing Scenarios (1-3)</t>
  </si>
  <si>
    <t>Scenario 2</t>
  </si>
  <si>
    <t>Scenario 3</t>
  </si>
  <si>
    <t>BYMM7T9</t>
  </si>
  <si>
    <t>% Tax rate</t>
  </si>
  <si>
    <t xml:space="preserve"> </t>
  </si>
  <si>
    <t>3Q17</t>
  </si>
  <si>
    <t>RIC</t>
  </si>
  <si>
    <t>119</t>
  </si>
  <si>
    <t>4Q17</t>
  </si>
  <si>
    <t>Research</t>
  </si>
  <si>
    <t>MSA23MLF</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</si>
  <si>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</si>
  <si>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</si>
  <si>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</si>
  <si>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</si>
  <si>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</si>
  <si>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</si>
  <si>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</si>
  <si>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David Lebowitz</t>
  </si>
  <si>
    <t>Date: 05 Mar 2018</t>
  </si>
  <si>
    <t>Ticker: AVXS.O</t>
  </si>
  <si>
    <t>Stock Rating: Overweight</t>
  </si>
  <si>
    <t>Industry: Biotechnology</t>
  </si>
  <si>
    <t>Industry View: In-Line</t>
  </si>
  <si>
    <t>Price as of 05 Mar 2018: 127.35</t>
  </si>
  <si>
    <t>Target Price: 129</t>
  </si>
  <si>
    <t>Analyst Certification</t>
  </si>
  <si>
    <t>Unless otherwise stated, the individuals listed on the cover page of this report are research analysts.</t>
  </si>
  <si>
    <t>Global Research Conflict Management Policy</t>
  </si>
  <si>
    <t>Important US Regulatory Disclosures on Subject Companies</t>
  </si>
  <si>
    <t>STOCK RATINGS</t>
  </si>
  <si>
    <t>Global Stock Ratings Distribution</t>
  </si>
  <si>
    <t>(as of February 28,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</si>
  <si>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</si>
  <si>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</si>
  <si>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</si>
  <si>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</si>
  <si>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</si>
  <si>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</si>
  <si>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</si>
  <si>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</si>
  <si>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</si>
  <si>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</si>
  <si>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</si>
  <si>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</si>
  <si>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Total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</si>
  <si>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</si>
  <si>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</si>
  <si>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</si>
  <si>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</si>
  <si>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</si>
  <si>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</si>
  <si>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</si>
  <si>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</si>
  <si>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</si>
  <si>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</si>
  <si>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</si>
  <si>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</si>
  <si>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</si>
  <si>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</si>
  <si>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</si>
  <si>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</si>
  <si>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</si>
  <si>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</si>
  <si>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</si>
  <si>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</si>
  <si>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</si>
  <si>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</si>
  <si>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</si>
  <si>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</si>
  <si>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</si>
  <si>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</si>
  <si>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</si>
  <si>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</si>
  <si>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</si>
  <si>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</si>
  <si>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</si>
  <si>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</si>
  <si>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</si>
  <si>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</si>
  <si>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</si>
  <si>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</si>
  <si>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</si>
  <si>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</si>
  <si>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</si>
  <si>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</si>
  <si>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</si>
  <si>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</si>
  <si>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</si>
  <si>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</si>
  <si>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</si>
  <si>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</si>
  <si>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</si>
  <si>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</si>
  <si>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</si>
  <si>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</si>
  <si>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</si>
  <si>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</si>
  <si>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</si>
  <si>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</si>
  <si>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</si>
  <si>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</si>
  <si>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</si>
  <si>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</si>
  <si>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</si>
  <si>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</si>
  <si>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</si>
  <si>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</si>
  <si>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</si>
  <si>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</si>
  <si>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</si>
  <si>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</si>
  <si>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</si>
  <si>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</si>
  <si>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</si>
  <si>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</si>
  <si>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</si>
  <si>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</si>
  <si>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</si>
  <si>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</si>
  <si>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</si>
  <si>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</si>
  <si>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</si>
  <si>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</si>
  <si>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</si>
  <si>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</si>
  <si>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</si>
  <si>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</si>
  <si>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</si>
  <si>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</si>
  <si>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</si>
  <si>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</si>
  <si>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</si>
  <si>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</si>
  <si>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</si>
  <si>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</si>
  <si>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</si>
  <si>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</si>
  <si>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</si>
  <si>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</si>
  <si>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</si>
  <si>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</si>
  <si>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</si>
  <si>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</si>
  <si>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</si>
  <si>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</si>
  <si>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</si>
  <si>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</si>
  <si>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</si>
  <si>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</si>
  <si>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</si>
  <si>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</si>
  <si>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</si>
  <si>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</si>
  <si>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</si>
  <si>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</si>
  <si>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</si>
  <si>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</si>
  <si>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</si>
  <si>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</si>
  <si>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</si>
  <si>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</si>
  <si>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</si>
  <si>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</si>
  <si>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</si>
  <si>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</si>
  <si>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</si>
  <si>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</si>
  <si>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</si>
  <si>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</si>
  <si>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</si>
  <si>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</si>
  <si>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</si>
  <si>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</si>
  <si>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</si>
  <si>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</si>
  <si>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</si>
  <si>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</si>
  <si>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</si>
  <si>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</si>
  <si>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</si>
  <si>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</si>
  <si>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</si>
  <si>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</si>
  <si>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</si>
  <si>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</si>
  <si>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</si>
  <si>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</si>
  <si>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</si>
  <si>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</si>
  <si>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</si>
  <si>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</si>
  <si>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</si>
  <si>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</si>
  <si>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</si>
  <si>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</si>
  <si>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</si>
  <si>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</si>
  <si>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</si>
  <si>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</si>
  <si>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</si>
  <si>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</si>
  <si>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</si>
  <si>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</si>
  <si>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</si>
  <si>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</si>
  <si>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</si>
  <si>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</si>
  <si>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</si>
  <si>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</si>
  <si>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</si>
  <si>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</si>
  <si>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</si>
  <si>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</si>
  <si>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</si>
  <si>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</si>
  <si>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</si>
  <si>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</si>
  <si>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</si>
  <si>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</si>
  <si>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</si>
  <si>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</si>
  <si>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</si>
  <si>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</si>
  <si>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</si>
  <si>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</si>
  <si>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</si>
  <si>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</si>
  <si>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</si>
  <si>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</si>
  <si>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</si>
  <si>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</si>
  <si>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</si>
  <si>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</si>
  <si>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</si>
  <si>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</si>
  <si>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</si>
  <si>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</si>
  <si>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</si>
  <si>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</si>
  <si>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</si>
  <si>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</si>
  <si>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</si>
  <si>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</si>
  <si>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</si>
  <si>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</si>
  <si>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</si>
  <si>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</si>
  <si>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</si>
  <si>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</si>
  <si>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</si>
  <si>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</si>
  <si>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</si>
  <si>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</si>
  <si>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</si>
  <si>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</si>
  <si>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</si>
  <si>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</si>
  <si>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</si>
  <si>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</si>
  <si>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</si>
  <si>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</si>
  <si>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</si>
  <si>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</si>
  <si>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</si>
  <si>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</si>
  <si>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</si>
  <si>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</si>
  <si>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</si>
  <si>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</si>
  <si>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</si>
  <si>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</si>
  <si>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</si>
  <si>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AveXis Inc.</t>
  </si>
  <si>
    <t>In the next 3 months, Morgan Stanley expects to receive or intends to seek compensation for investment</t>
  </si>
  <si>
    <t>banking services from AveXis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</si>
  <si>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</si>
  <si>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</si>
  <si>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</si>
  <si>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</si>
  <si>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</si>
  <si>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David N Lebowitz, MPH,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</si>
  <si>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</si>
  <si>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</si>
  <si>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</si>
  <si>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</si>
  <si>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</si>
  <si>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</si>
  <si>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</si>
  <si>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</si>
  <si>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</si>
  <si>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</si>
  <si>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</si>
  <si>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</si>
  <si>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</si>
  <si>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</si>
  <si>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</si>
  <si>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</si>
  <si>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</si>
  <si>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</si>
  <si>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</si>
  <si>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</si>
  <si>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</si>
  <si>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</si>
  <si>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</si>
  <si>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</si>
  <si>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</si>
  <si>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</si>
  <si>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</si>
  <si>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</si>
  <si>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</si>
  <si>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</si>
  <si>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</si>
  <si>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</si>
  <si>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</si>
  <si>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</si>
  <si>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</si>
  <si>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</si>
  <si>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</si>
  <si>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</si>
  <si>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</si>
  <si>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</si>
  <si>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</si>
  <si>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</si>
  <si>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</si>
  <si>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</si>
  <si>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</si>
  <si>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</si>
  <si>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</si>
  <si>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</si>
  <si>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</si>
  <si>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</si>
  <si>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</si>
  <si>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</si>
  <si>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</si>
  <si>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</si>
  <si>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</si>
  <si>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</si>
  <si>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</si>
  <si>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</si>
  <si>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</si>
  <si>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</si>
  <si>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</si>
  <si>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</si>
  <si>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</si>
  <si>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</si>
  <si>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</si>
  <si>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</si>
  <si>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</si>
  <si>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</si>
  <si>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Quarterly Update</t>
  </si>
  <si>
    <t>NorthAmerica</t>
  </si>
  <si>
    <t>lebowdav</t>
  </si>
  <si>
    <t>05366U100</t>
  </si>
  <si>
    <t>L:\HEALTH\Biotech\Lebowitz\Models\AVXS_DL.xlsm</t>
  </si>
  <si>
    <t>[BRO MSA]</t>
  </si>
  <si>
    <t>[PRODUCT MODEL]</t>
  </si>
  <si>
    <t>[EMAIL_ALERT YES]</t>
  </si>
  <si>
    <t>[DISCIPLINE Company]</t>
  </si>
  <si>
    <t>[SUPPRESSED NO]</t>
  </si>
  <si>
    <t>[DOCDAT 2018-03-05]</t>
  </si>
  <si>
    <t>[DOCTIME 10:38]</t>
  </si>
  <si>
    <t>[PSYM AVXS.O(S&amp;P) (None)]</t>
  </si>
  <si>
    <t>[COU 1]</t>
  </si>
  <si>
    <t>[ANA ]</t>
  </si>
  <si>
    <t>[HL AVXS.O Model]</t>
  </si>
  <si>
    <t>[IND BIOTEC]</t>
  </si>
  <si>
    <t>[PANA MSA23MLF]</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</si>
</sst>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5" formatCode="&quot;$&quot;#,##0_);\(&quot;$&quot;#,##0\)"/>
    <numFmt numFmtId="7" formatCode="&quot;$&quot;#,##0.00_);\(&quot;$&quot;#,##0.00\)"/>
    <numFmt numFmtId="44" formatCode="_(&quot;$&quot;* #,##0.00_);_(&quot;$&quot;* \(#,##0.00\);_(&quot;$&quot;* &quot;-&quot;??_);_(@_)"/>
    <numFmt numFmtId="43" formatCode="_(* #,##0.00_);_(* \(#,##0.00\);_(* &quot;-&quot;??_);_(@_)"/>
    <numFmt numFmtId="164" formatCode="_-&quot;£&quot;* #,##0.00_-;\-&quot;£&quot;* #,##0.00_-;_-&quot;£&quot;* &quot;-&quot;??_-;_-@_-"/>
    <numFmt numFmtId="165" formatCode="0.0%_);\(0.0%\)"/>
    <numFmt numFmtId="166" formatCode="0%_);\(0%\)"/>
    <numFmt numFmtId="167" formatCode="0_);[Red]\(0\)"/>
    <numFmt numFmtId="168" formatCode="#,##0.0_);\(#,##0.0\)"/>
    <numFmt numFmtId="169" formatCode="_(* #,##0_);_(* \(#,##0\);_(* &quot;-&quot;??_);_(@_)"/>
    <numFmt numFmtId="170" formatCode="0.0%"/>
    <numFmt numFmtId="171" formatCode="#,##0.000_);\(#,##0.000\)"/>
    <numFmt numFmtId="172" formatCode="&quot;$&quot;#,##0.0_);\(&quot;$&quot;#,##0.0\)"/>
    <numFmt numFmtId="173" formatCode="0.0"/>
    <numFmt numFmtId="174" formatCode="0_);\(0\)"/>
    <numFmt numFmtId="175" formatCode="_(* #,##0.0_);_(* \(#,##0.0\);_(* &quot;-&quot;??_);_(@_)"/>
    <numFmt numFmtId="176" formatCode="&quot;$&quot;#,##0"/>
    <numFmt numFmtId="177" formatCode="_(* #,##0.000_);_(* \(#,##0.000\);_(* &quot;-&quot;??_);_(@_)"/>
    <numFmt numFmtId="178" formatCode="0.0_);\(0.0\)"/>
    <numFmt numFmtId="179" formatCode="#,##0.0_);[Red]\(#,##0.0\)"/>
    <numFmt numFmtId="180" formatCode="0.0_);[Red]\(0.0\)"/>
    <numFmt numFmtId="192" formatCode="mm/dd/yy\ hh:mm"/>
  </numFmts>
  <fonts count="61">
    <font>
      <sz val="10"/>
      <name val="Arial"/>
    </font>
    <font>
      <sz val="11"/>
      <color theme="1"/>
      <name val="Calibri"/>
      <family val="2"/>
      <scheme val="minor"/>
    </font>
    <font>
      <sz val="10"/>
      <name val="Arial"/>
      <family val="2"/>
    </font>
    <font>
      <sz val="8"/>
      <name val="Arial"/>
      <family val="2"/>
    </font>
    <font>
      <sz val="10"/>
      <name val="Arial"/>
      <family val="2"/>
    </font>
    <font>
      <b/>
      <sz val="10"/>
      <name val="Arial"/>
      <family val="2"/>
    </font>
    <font>
      <sz val="10"/>
      <name val="MS Sans Serif"/>
      <family val="2"/>
    </font>
    <font>
      <sz val="11"/>
      <color indexed="8"/>
      <name val="Calibri"/>
      <family val="2"/>
    </font>
    <font>
      <sz val="11"/>
      <color indexed="9"/>
      <name val="Calibri"/>
      <family val="2"/>
    </font>
    <font>
      <sz val="11"/>
      <color indexed="20"/>
      <name val="Calibri"/>
      <family val="2"/>
    </font>
    <font>
      <b/>
      <sz val="10"/>
      <color indexed="8"/>
      <name val="Times New Roman"/>
      <family val="1"/>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9"/>
      <name val="Times New Roman"/>
      <family val="1"/>
    </font>
    <font>
      <sz val="10"/>
      <color indexed="8"/>
      <name val="Times New Roman"/>
      <family val="1"/>
    </font>
    <font>
      <i/>
      <sz val="8"/>
      <name val="Times New Roman"/>
      <family val="1"/>
    </font>
    <font>
      <b/>
      <sz val="18"/>
      <color indexed="62"/>
      <name val="Cambria"/>
      <family val="2"/>
    </font>
    <font>
      <b/>
      <sz val="11"/>
      <color indexed="8"/>
      <name val="Calibri"/>
      <family val="2"/>
    </font>
    <font>
      <sz val="11"/>
      <color indexed="10"/>
      <name val="Calibri"/>
      <family val="2"/>
    </font>
    <font>
      <sz val="11"/>
      <name val="Arial"/>
      <family val="2"/>
    </font>
    <font>
      <sz val="10"/>
      <color indexed="9"/>
      <name val="Arial"/>
      <family val="2"/>
    </font>
    <font>
      <sz val="10"/>
      <color indexed="8"/>
      <name val="Arial"/>
      <family val="2"/>
    </font>
    <font>
      <i/>
      <sz val="10"/>
      <name val="Arial"/>
      <family val="2"/>
    </font>
    <font>
      <sz val="11"/>
      <color theme="1"/>
      <name val="Arial"/>
      <family val="2"/>
    </font>
    <font>
      <sz val="10"/>
      <color indexed="23"/>
      <name val="Arial"/>
      <family val="2"/>
    </font>
    <font>
      <i/>
      <sz val="10"/>
      <color indexed="8"/>
      <name val="Arial"/>
      <family val="2"/>
    </font>
    <font>
      <b/>
      <sz val="10"/>
      <color indexed="8"/>
      <name val="Arial"/>
      <family val="2"/>
    </font>
    <font>
      <sz val="10"/>
      <color rgb="FF0000FF"/>
      <name val="Arial"/>
      <family val="2"/>
    </font>
    <font>
      <b/>
      <i/>
      <sz val="10"/>
      <name val="Arial"/>
      <family val="2"/>
    </font>
    <font>
      <i/>
      <sz val="10"/>
      <color indexed="10"/>
      <name val="Arial"/>
      <family val="2"/>
    </font>
    <font>
      <sz val="8"/>
      <color indexed="22"/>
      <name val="Arial"/>
      <family val="2"/>
    </font>
    <font>
      <sz val="12"/>
      <color theme="1"/>
      <name val="Calibri"/>
      <family val="2"/>
      <scheme val="minor"/>
    </font>
    <font>
      <sz val="12"/>
      <name val="바탕체"/>
      <family val="3"/>
      <charset val="129"/>
    </font>
    <font>
      <sz val="12"/>
      <name val="바탕체"/>
      <family val="3"/>
    </font>
    <font>
      <sz val="10"/>
      <name val="Helv"/>
    </font>
    <font>
      <i/>
      <sz val="10"/>
      <color rgb="FF0070C0"/>
      <name val="Arial"/>
      <family val="2"/>
    </font>
    <font>
      <sz val="10"/>
      <color rgb="FF0070C0"/>
      <name val="Arial"/>
      <family val="2"/>
    </font>
    <font>
      <i/>
      <sz val="10"/>
      <color rgb="FFFF0000"/>
      <name val="Arial"/>
      <family val="2"/>
    </font>
    <font>
      <sz val="10"/>
      <color rgb="FFFF0000"/>
      <name val="Arial"/>
      <family val="2"/>
    </font>
    <font>
      <b/>
      <sz val="10"/>
      <color rgb="FFFF0000"/>
      <name val="Arial"/>
      <family val="2"/>
    </font>
    <font>
      <i/>
      <sz val="10"/>
      <color indexed="53"/>
      <name val="Arial"/>
      <family val="2"/>
    </font>
    <font>
      <sz val="10"/>
      <color theme="1"/>
      <name val="Arial"/>
      <family val="2"/>
    </font>
    <font>
      <sz val="9"/>
      <color indexed="81"/>
      <name val="Tahoma"/>
      <family val="2"/>
    </font>
    <font>
      <b/>
      <sz val="10"/>
      <color theme="1"/>
      <name val="Arial"/>
      <family val="2"/>
    </font>
    <font>
      <i/>
      <sz val="10"/>
      <color theme="1"/>
      <name val="Arial"/>
      <family val="2"/>
    </font>
    <font>
      <b/>
      <sz val="9"/>
      <color indexed="81"/>
      <name val="Tahoma"/>
      <family val="2"/>
    </font>
    <font>
      <b/>
      <i/>
      <sz val="11"/>
      <name val="Calibri"/>
      <family val="2"/>
      <scheme val="minor"/>
    </font>
    <font>
      <sz val="10"/>
      <color indexed="12"/>
      <name val="Arial"/>
      <family val="2"/>
    </font>
    <font>
      <u/>
      <sz val="10"/>
      <color theme="10"/>
      <name val="Arial"/>
      <family val="2"/>
    </font>
    <font>
      <sz val="10"/>
      <name val="Courier"/>
      <family val="3"/>
    </font>
    <font>
      <sz val="10"/>
      <color rgb="FF000000"/>
      <name val="Arial"/>
      <family val="2"/>
    </font>
    <font>
      <b/>
      <sz val="12"/>
      <color rgb="FF000080"/>
      <name val="Arial"/>
      <family val="2"/>
    </font>
  </fonts>
  <fills count="31">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solid">
        <fgColor indexed="9"/>
        <bgColor indexed="64"/>
      </patternFill>
    </fill>
    <fill>
      <patternFill patternType="solid">
        <fgColor theme="0"/>
        <bgColor indexed="64"/>
      </patternFill>
    </fill>
    <fill>
      <patternFill patternType="solid">
        <fgColor indexed="65"/>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FF99"/>
        <bgColor indexed="64"/>
      </patternFill>
    </fill>
    <fill>
      <patternFill patternType="solid">
        <fgColor rgb="FFFFFFFF"/>
        <bgColor indexed="64"/>
      </patternFill>
    </fill>
    <fill>
      <patternFill patternType="solid">
        <fgColor rgb="FFBFEBFF"/>
        <bgColor indexed="64"/>
      </patternFill>
    </fill>
    <fill>
      <patternFill patternType="solid">
        <fgColor rgb="FF006393"/>
        <bgColor indexed="64"/>
      </patternFill>
    </fill>
    <fill>
      <patternFill patternType="solid">
        <fgColor rgb="FFD3D3D3"/>
        <bgColor indexed="64"/>
      </patternFill>
    </fill>
    <fill>
      <patternFill patternType="solid">
        <fgColor rgb="FFFFFFCC"/>
        <bgColor indexed="64"/>
      </patternFill>
    </fill>
    <fill>
      <patternFill patternType="solid">
        <fgColor rgb="FFFF0000"/>
        <bgColor indexed="64"/>
      </patternFill>
    </fill>
    <fill>
      <patternFill patternType="solid">
        <fgColor indexed="22"/>
        <bgColor indexed="64"/>
      </patternFill>
    </fill>
    <fill>
      <patternFill patternType="solid">
        <fgColor indexed="44"/>
        <bgColor indexed="64"/>
      </patternFill>
    </fill>
    <fill>
      <patternFill patternType="solid">
        <fgColor theme="6" tint="0.79998168889431442"/>
        <bgColor indexed="64"/>
      </patternFill>
    </fill>
  </fills>
  <borders count="4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right/>
      <top style="thin">
        <color indexed="64"/>
      </top>
      <bottom style="double">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top/>
      <bottom style="thin">
        <color auto="1"/>
      </bottom>
      <diagonal/>
    </border>
    <border>
      <left/>
      <right style="thin">
        <color indexed="64"/>
      </right>
      <top style="thin">
        <color indexed="64"/>
      </top>
      <bottom/>
      <diagonal/>
    </border>
    <border>
      <left/>
      <right/>
      <top style="thin">
        <color indexed="64"/>
      </top>
      <bottom/>
      <diagonal/>
    </border>
    <border>
      <left/>
      <right style="thin">
        <color indexed="64"/>
      </right>
      <top/>
      <bottom style="thin">
        <color auto="1"/>
      </bottom>
      <diagonal/>
    </border>
    <border>
      <left style="thin">
        <color indexed="64"/>
      </left>
      <right/>
      <top style="thin">
        <color indexed="64"/>
      </top>
      <bottom style="thin">
        <color indexed="64"/>
      </bottom>
      <diagonal/>
    </border>
    <border>
      <left/>
      <right/>
      <top style="medium">
        <color indexed="64"/>
      </top>
      <bottom style="medium">
        <color indexed="64"/>
      </bottom>
      <diagonal/>
    </border>
    <border>
      <left/>
      <right/>
      <top style="thin">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98">
    <xf numFmtId="0" fontId="0" fillId="0" borderId="0"/>
    <xf numFmtId="0" fontId="4" fillId="0" borderId="0"/>
    <xf numFmtId="0" fontId="2"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2" borderId="0" applyNumberFormat="0" applyBorder="0" applyAlignment="0" applyProtection="0"/>
    <xf numFmtId="0" fontId="7" fillId="5" borderId="0" applyNumberFormat="0" applyBorder="0" applyAlignment="0" applyProtection="0"/>
    <xf numFmtId="0" fontId="7" fillId="4" borderId="0" applyNumberFormat="0" applyBorder="0" applyAlignment="0" applyProtection="0"/>
    <xf numFmtId="0" fontId="7" fillId="6"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4" borderId="0" applyNumberFormat="0" applyBorder="0" applyAlignment="0" applyProtection="0"/>
    <xf numFmtId="0" fontId="8" fillId="8"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8" fillId="6" borderId="0" applyNumberFormat="0" applyBorder="0" applyAlignment="0" applyProtection="0"/>
    <xf numFmtId="0" fontId="8" fillId="8" borderId="0" applyNumberFormat="0" applyBorder="0" applyAlignment="0" applyProtection="0"/>
    <xf numFmtId="0" fontId="8" fillId="4" borderId="0" applyNumberFormat="0" applyBorder="0" applyAlignment="0" applyProtection="0"/>
    <xf numFmtId="0" fontId="8" fillId="8"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8" borderId="0" applyNumberFormat="0" applyBorder="0" applyAlignment="0" applyProtection="0"/>
    <xf numFmtId="0" fontId="8" fillId="3" borderId="0" applyNumberFormat="0" applyBorder="0" applyAlignment="0" applyProtection="0"/>
    <xf numFmtId="0" fontId="9" fillId="11" borderId="0" applyNumberFormat="0" applyBorder="0" applyAlignment="0" applyProtection="0"/>
    <xf numFmtId="0" fontId="10" fillId="0" borderId="0"/>
    <xf numFmtId="0" fontId="11" fillId="12" borderId="1" applyNumberFormat="0" applyAlignment="0" applyProtection="0"/>
    <xf numFmtId="0" fontId="12" fillId="13" borderId="2" applyNumberFormat="0" applyAlignment="0" applyProtection="0"/>
    <xf numFmtId="43" fontId="2" fillId="0" borderId="0" applyFont="0" applyFill="0" applyBorder="0" applyAlignment="0" applyProtection="0"/>
    <xf numFmtId="0" fontId="13" fillId="0" borderId="0" applyNumberFormat="0" applyFill="0" applyBorder="0" applyAlignment="0" applyProtection="0"/>
    <xf numFmtId="0" fontId="14" fillId="14"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4" borderId="1" applyNumberFormat="0" applyAlignment="0" applyProtection="0"/>
    <xf numFmtId="0" fontId="19" fillId="0" borderId="6" applyNumberFormat="0" applyFill="0" applyAlignment="0" applyProtection="0"/>
    <xf numFmtId="0" fontId="20" fillId="4" borderId="0" applyNumberFormat="0" applyBorder="0" applyAlignment="0" applyProtection="0"/>
    <xf numFmtId="0" fontId="2" fillId="0" borderId="0"/>
    <xf numFmtId="0" fontId="2" fillId="0" borderId="0"/>
    <xf numFmtId="38" fontId="2" fillId="0" borderId="0" applyFont="0" applyFill="0" applyBorder="0" applyAlignment="0" applyProtection="0"/>
    <xf numFmtId="0" fontId="2" fillId="0" borderId="0"/>
    <xf numFmtId="0" fontId="2" fillId="4" borderId="7" applyNumberFormat="0" applyFont="0" applyAlignment="0" applyProtection="0"/>
    <xf numFmtId="0" fontId="21" fillId="12" borderId="8" applyNumberFormat="0" applyAlignment="0" applyProtection="0"/>
    <xf numFmtId="0" fontId="22" fillId="0" borderId="0">
      <alignment vertical="center"/>
    </xf>
    <xf numFmtId="9" fontId="2" fillId="0" borderId="0" applyFont="0" applyFill="0" applyBorder="0" applyAlignment="0" applyProtection="0"/>
    <xf numFmtId="166" fontId="2" fillId="0" borderId="0" applyFont="0" applyFill="0" applyBorder="0" applyAlignment="0" applyProtection="0"/>
    <xf numFmtId="0" fontId="23" fillId="0" borderId="0"/>
    <xf numFmtId="0" fontId="23" fillId="0" borderId="9">
      <alignment horizontal="centerContinuous"/>
    </xf>
    <xf numFmtId="0" fontId="24" fillId="0" borderId="9"/>
    <xf numFmtId="0" fontId="25" fillId="0" borderId="0" applyNumberFormat="0" applyFill="0" applyBorder="0" applyAlignment="0" applyProtection="0"/>
    <xf numFmtId="0" fontId="26" fillId="0" borderId="10" applyNumberFormat="0" applyFill="0" applyAlignment="0" applyProtection="0"/>
    <xf numFmtId="0" fontId="27" fillId="0" borderId="0" applyNumberFormat="0" applyFill="0" applyBorder="0" applyAlignment="0" applyProtection="0"/>
    <xf numFmtId="0" fontId="32" fillId="0" borderId="0"/>
    <xf numFmtId="9" fontId="7" fillId="0" borderId="0" applyFont="0" applyFill="0" applyBorder="0" applyAlignment="0" applyProtection="0"/>
    <xf numFmtId="0" fontId="39" fillId="0" borderId="0"/>
    <xf numFmtId="43" fontId="39" fillId="0" borderId="0" applyFont="0" applyFill="0" applyBorder="0" applyAlignment="0" applyProtection="0"/>
    <xf numFmtId="9" fontId="39" fillId="0" borderId="0" applyFont="0" applyFill="0" applyBorder="0" applyAlignment="0" applyProtection="0"/>
    <xf numFmtId="44" fontId="39" fillId="0" borderId="0" applyFont="0" applyFill="0" applyBorder="0" applyAlignment="0" applyProtection="0"/>
    <xf numFmtId="0" fontId="2" fillId="0" borderId="0"/>
    <xf numFmtId="0" fontId="40" fillId="0" borderId="0"/>
    <xf numFmtId="0" fontId="40" fillId="0" borderId="0"/>
    <xf numFmtId="0" fontId="40" fillId="0" borderId="0"/>
    <xf numFmtId="0" fontId="2" fillId="0" borderId="0"/>
    <xf numFmtId="0" fontId="2" fillId="0" borderId="0"/>
    <xf numFmtId="0" fontId="2" fillId="0" borderId="0"/>
    <xf numFmtId="0" fontId="2" fillId="0" borderId="0"/>
    <xf numFmtId="0" fontId="2" fillId="0" borderId="0">
      <alignment vertical="top"/>
    </xf>
    <xf numFmtId="0" fontId="2" fillId="0" borderId="0">
      <alignment vertical="top"/>
    </xf>
    <xf numFmtId="0" fontId="2" fillId="0" borderId="0" applyNumberFormat="0" applyFill="0" applyBorder="0" applyAlignment="0" applyProtection="0"/>
    <xf numFmtId="0" fontId="43" fillId="0" borderId="0"/>
    <xf numFmtId="0" fontId="6"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applyFont="0" applyFill="0" applyBorder="0" applyAlignment="0" applyProtection="0"/>
    <xf numFmtId="0" fontId="41" fillId="0" borderId="0" applyFont="0" applyFill="0" applyBorder="0" applyAlignment="0" applyProtection="0"/>
    <xf numFmtId="0" fontId="42" fillId="0" borderId="0"/>
    <xf numFmtId="0" fontId="2" fillId="0" borderId="0"/>
    <xf numFmtId="0" fontId="2" fillId="15" borderId="0" applyNumberFormat="0" applyFont="0" applyBorder="0" applyAlignment="0" applyProtection="0"/>
    <xf numFmtId="164" fontId="2" fillId="0" borderId="0" applyFont="0" applyFill="0" applyBorder="0" applyAlignment="0" applyProtection="0"/>
    <xf numFmtId="44" fontId="2" fillId="0" borderId="0" applyFont="0" applyFill="0" applyBorder="0" applyAlignment="0" applyProtection="0"/>
    <xf numFmtId="0" fontId="57" fillId="0" borderId="0" applyNumberFormat="0" applyFill="0" applyBorder="0" applyAlignment="0" applyProtection="0">
      <alignment vertical="top"/>
      <protection locked="0"/>
    </xf>
    <xf numFmtId="0" fontId="1" fillId="0" borderId="0"/>
    <xf numFmtId="0" fontId="2" fillId="0" borderId="0"/>
    <xf numFmtId="0" fontId="58" fillId="0" borderId="0"/>
  </cellStyleXfs>
  <cellXfs count="481">
    <xf numFmtId="0" fontId="0" fillId="0" borderId="0" xfId="0"/>
    <xf numFmtId="49" fontId="0" fillId="0" borderId="0" xfId="0" applyNumberFormat="1"/>
    <xf numFmtId="0" fontId="33" fillId="18" borderId="0" xfId="62" applyFont="1" applyFill="1"/>
    <xf numFmtId="0" fontId="30" fillId="18" borderId="0" xfId="62" applyFont="1" applyFill="1"/>
    <xf numFmtId="0" fontId="30" fillId="18" borderId="0" xfId="62" applyFont="1" applyFill="1" applyAlignment="1">
      <alignment horizontal="left"/>
    </xf>
    <xf numFmtId="0" fontId="34" fillId="18" borderId="0" xfId="62" applyFont="1" applyFill="1" applyAlignment="1">
      <alignment horizontal="left" indent="1"/>
    </xf>
    <xf numFmtId="9" fontId="35" fillId="18" borderId="0" xfId="62" applyNumberFormat="1" applyFont="1" applyFill="1" applyBorder="1"/>
    <xf numFmtId="0" fontId="34" fillId="18" borderId="0" xfId="62" applyFont="1" applyFill="1"/>
    <xf numFmtId="0" fontId="30" fillId="18" borderId="20" xfId="62" applyFont="1" applyFill="1" applyBorder="1"/>
    <xf numFmtId="5" fontId="30" fillId="18" borderId="20" xfId="62" applyNumberFormat="1" applyFont="1" applyFill="1" applyBorder="1"/>
    <xf numFmtId="0" fontId="35" fillId="18" borderId="0" xfId="62" applyFont="1" applyFill="1"/>
    <xf numFmtId="176" fontId="35" fillId="18" borderId="0" xfId="62" applyNumberFormat="1" applyFont="1" applyFill="1"/>
    <xf numFmtId="0" fontId="35" fillId="18" borderId="11" xfId="62" applyFont="1" applyFill="1" applyBorder="1"/>
    <xf numFmtId="176" fontId="35" fillId="18" borderId="11" xfId="62" applyNumberFormat="1" applyFont="1" applyFill="1" applyBorder="1"/>
    <xf numFmtId="0" fontId="29" fillId="18" borderId="0" xfId="62" applyFont="1" applyFill="1"/>
    <xf numFmtId="0" fontId="35" fillId="16" borderId="21" xfId="62" applyFont="1" applyFill="1" applyBorder="1"/>
    <xf numFmtId="0" fontId="30" fillId="16" borderId="22" xfId="62" applyFont="1" applyFill="1" applyBorder="1"/>
    <xf numFmtId="0" fontId="30" fillId="16" borderId="0" xfId="62" applyFont="1" applyFill="1" applyBorder="1"/>
    <xf numFmtId="0" fontId="30" fillId="16" borderId="24" xfId="62" applyFont="1" applyFill="1" applyBorder="1"/>
    <xf numFmtId="0" fontId="30" fillId="16" borderId="16" xfId="62" applyFont="1" applyFill="1" applyBorder="1"/>
    <xf numFmtId="38" fontId="2" fillId="16" borderId="0" xfId="49" applyFont="1" applyFill="1" applyBorder="1"/>
    <xf numFmtId="0" fontId="5" fillId="16" borderId="0" xfId="0" applyFont="1" applyFill="1" applyAlignment="1">
      <alignment horizontal="left"/>
    </xf>
    <xf numFmtId="38" fontId="5" fillId="16" borderId="0" xfId="49" applyFont="1" applyFill="1" applyBorder="1"/>
    <xf numFmtId="38" fontId="2" fillId="16" borderId="0" xfId="48" applyNumberFormat="1" applyFont="1" applyFill="1" applyBorder="1" applyAlignment="1">
      <alignment horizontal="left" indent="1"/>
    </xf>
    <xf numFmtId="38" fontId="31" fillId="16" borderId="0" xfId="48" applyNumberFormat="1" applyFont="1" applyFill="1" applyBorder="1" applyAlignment="1">
      <alignment horizontal="left" indent="1"/>
    </xf>
    <xf numFmtId="0" fontId="2" fillId="16" borderId="0" xfId="0" applyFont="1" applyFill="1" applyBorder="1"/>
    <xf numFmtId="38" fontId="2" fillId="16" borderId="0" xfId="48" applyNumberFormat="1" applyFont="1" applyFill="1" applyBorder="1" applyAlignment="1">
      <alignment horizontal="left"/>
    </xf>
    <xf numFmtId="38" fontId="37" fillId="16" borderId="0" xfId="49" applyFont="1" applyFill="1" applyBorder="1" applyAlignment="1">
      <alignment horizontal="left"/>
    </xf>
    <xf numFmtId="38" fontId="2" fillId="16" borderId="0" xfId="49" applyFont="1" applyFill="1" applyBorder="1" applyAlignment="1">
      <alignment horizontal="center"/>
    </xf>
    <xf numFmtId="38" fontId="31" fillId="16" borderId="0" xfId="49" quotePrefix="1" applyFont="1" applyFill="1" applyBorder="1" applyAlignment="1">
      <alignment horizontal="left"/>
    </xf>
    <xf numFmtId="38" fontId="2" fillId="16" borderId="0" xfId="49" applyFont="1" applyFill="1" applyBorder="1" applyAlignment="1">
      <alignment horizontal="left" wrapText="1"/>
    </xf>
    <xf numFmtId="0" fontId="2" fillId="0" borderId="0" xfId="0" applyFont="1"/>
    <xf numFmtId="0" fontId="2" fillId="16" borderId="0" xfId="0" applyFont="1" applyFill="1" applyBorder="1" applyAlignment="1">
      <alignment horizontal="center"/>
    </xf>
    <xf numFmtId="0" fontId="5" fillId="16" borderId="0" xfId="0" applyFont="1" applyFill="1" applyBorder="1"/>
    <xf numFmtId="168" fontId="5" fillId="16" borderId="0" xfId="0" applyNumberFormat="1" applyFont="1" applyFill="1" applyBorder="1" applyAlignment="1">
      <alignment horizontal="left"/>
    </xf>
    <xf numFmtId="168" fontId="5" fillId="23" borderId="11" xfId="37" applyNumberFormat="1" applyFont="1" applyFill="1" applyBorder="1" applyAlignment="1">
      <alignment horizontal="right"/>
    </xf>
    <xf numFmtId="168" fontId="5" fillId="23" borderId="0" xfId="49" applyNumberFormat="1" applyFont="1" applyFill="1" applyBorder="1" applyAlignment="1">
      <alignment wrapText="1"/>
    </xf>
    <xf numFmtId="168" fontId="2" fillId="23" borderId="0" xfId="48" applyNumberFormat="1" applyFont="1" applyFill="1" applyBorder="1" applyAlignment="1"/>
    <xf numFmtId="168" fontId="5" fillId="23" borderId="11" xfId="48" applyNumberFormat="1" applyFont="1" applyFill="1" applyBorder="1" applyAlignment="1">
      <alignment wrapText="1"/>
    </xf>
    <xf numFmtId="168" fontId="2" fillId="23" borderId="13" xfId="37" applyNumberFormat="1" applyFont="1" applyFill="1" applyBorder="1" applyAlignment="1">
      <alignment horizontal="right"/>
    </xf>
    <xf numFmtId="168" fontId="2" fillId="23" borderId="0" xfId="37" applyNumberFormat="1" applyFont="1" applyFill="1" applyBorder="1" applyAlignment="1">
      <alignment horizontal="right"/>
    </xf>
    <xf numFmtId="168" fontId="2" fillId="23" borderId="14" xfId="37" applyNumberFormat="1" applyFont="1" applyFill="1" applyBorder="1" applyAlignment="1">
      <alignment horizontal="right"/>
    </xf>
    <xf numFmtId="40" fontId="2" fillId="16" borderId="0" xfId="48" applyNumberFormat="1" applyFont="1" applyFill="1" applyBorder="1" applyAlignment="1">
      <alignment horizontal="left" indent="2"/>
    </xf>
    <xf numFmtId="9" fontId="31" fillId="23" borderId="0" xfId="54" applyFont="1" applyFill="1" applyBorder="1" applyAlignment="1"/>
    <xf numFmtId="168" fontId="5" fillId="17" borderId="11" xfId="37" applyNumberFormat="1" applyFont="1" applyFill="1" applyBorder="1" applyAlignment="1">
      <alignment horizontal="right"/>
    </xf>
    <xf numFmtId="168" fontId="2" fillId="17" borderId="13" xfId="37" applyNumberFormat="1" applyFont="1" applyFill="1" applyBorder="1" applyAlignment="1">
      <alignment horizontal="right"/>
    </xf>
    <xf numFmtId="168" fontId="2" fillId="17" borderId="0" xfId="37" applyNumberFormat="1" applyFont="1" applyFill="1" applyBorder="1" applyAlignment="1">
      <alignment horizontal="right"/>
    </xf>
    <xf numFmtId="168" fontId="2" fillId="17" borderId="14" xfId="37" applyNumberFormat="1" applyFont="1" applyFill="1" applyBorder="1" applyAlignment="1">
      <alignment horizontal="right"/>
    </xf>
    <xf numFmtId="168" fontId="5" fillId="17" borderId="0" xfId="49" applyNumberFormat="1" applyFont="1" applyFill="1" applyBorder="1" applyAlignment="1">
      <alignment wrapText="1"/>
    </xf>
    <xf numFmtId="168" fontId="2" fillId="17" borderId="0" xfId="48" applyNumberFormat="1" applyFont="1" applyFill="1" applyBorder="1" applyAlignment="1"/>
    <xf numFmtId="9" fontId="31" fillId="17" borderId="0" xfId="54" applyFont="1" applyFill="1" applyBorder="1" applyAlignment="1"/>
    <xf numFmtId="171" fontId="2" fillId="23" borderId="0" xfId="37" applyNumberFormat="1" applyFont="1" applyFill="1" applyBorder="1" applyAlignment="1">
      <alignment horizontal="right"/>
    </xf>
    <xf numFmtId="171" fontId="31" fillId="23" borderId="0" xfId="54" applyNumberFormat="1" applyFont="1" applyFill="1" applyBorder="1" applyAlignment="1"/>
    <xf numFmtId="170" fontId="31" fillId="23" borderId="0" xfId="54" applyNumberFormat="1" applyFont="1" applyFill="1" applyBorder="1" applyAlignment="1"/>
    <xf numFmtId="43" fontId="5" fillId="17" borderId="11" xfId="37" applyFont="1" applyFill="1" applyBorder="1" applyAlignment="1">
      <alignment wrapText="1"/>
    </xf>
    <xf numFmtId="0" fontId="2" fillId="16" borderId="0" xfId="50" applyFont="1" applyFill="1"/>
    <xf numFmtId="0" fontId="2" fillId="16" borderId="0" xfId="50" applyFont="1" applyFill="1" applyBorder="1"/>
    <xf numFmtId="0" fontId="5" fillId="0" borderId="14" xfId="50" applyFont="1" applyFill="1" applyBorder="1"/>
    <xf numFmtId="0" fontId="2" fillId="0" borderId="14" xfId="0" applyFont="1" applyFill="1" applyBorder="1"/>
    <xf numFmtId="0" fontId="5" fillId="16" borderId="0" xfId="50" applyFont="1" applyFill="1"/>
    <xf numFmtId="0" fontId="5" fillId="16" borderId="0" xfId="50" applyFont="1" applyFill="1" applyBorder="1"/>
    <xf numFmtId="170" fontId="2" fillId="16" borderId="0" xfId="0" applyNumberFormat="1" applyFont="1" applyFill="1"/>
    <xf numFmtId="170" fontId="2" fillId="16" borderId="0" xfId="0" applyNumberFormat="1" applyFont="1" applyFill="1" applyBorder="1"/>
    <xf numFmtId="167" fontId="5" fillId="0" borderId="0" xfId="50" applyNumberFormat="1" applyFont="1" applyFill="1" applyBorder="1" applyAlignment="1">
      <alignment horizontal="left" wrapText="1"/>
    </xf>
    <xf numFmtId="169" fontId="2" fillId="16" borderId="0" xfId="50" applyNumberFormat="1" applyFont="1" applyFill="1" applyBorder="1" applyAlignment="1"/>
    <xf numFmtId="0" fontId="2" fillId="16" borderId="0" xfId="50" applyFont="1" applyFill="1" applyBorder="1" applyAlignment="1"/>
    <xf numFmtId="167" fontId="2" fillId="16" borderId="0" xfId="50" applyNumberFormat="1" applyFont="1" applyFill="1" applyBorder="1"/>
    <xf numFmtId="167" fontId="2" fillId="16" borderId="0" xfId="50" applyNumberFormat="1" applyFont="1" applyFill="1"/>
    <xf numFmtId="168" fontId="2" fillId="16" borderId="0" xfId="50" applyNumberFormat="1" applyFont="1" applyFill="1" applyBorder="1"/>
    <xf numFmtId="174" fontId="2" fillId="16" borderId="0" xfId="37" applyNumberFormat="1" applyFont="1" applyFill="1" applyBorder="1" applyAlignment="1">
      <alignment horizontal="center"/>
    </xf>
    <xf numFmtId="178" fontId="2" fillId="16" borderId="0" xfId="37" applyNumberFormat="1" applyFont="1" applyFill="1" applyBorder="1" applyAlignment="1">
      <alignment horizontal="center"/>
    </xf>
    <xf numFmtId="167" fontId="2" fillId="16" borderId="0" xfId="37" applyNumberFormat="1" applyFont="1" applyFill="1" applyBorder="1" applyAlignment="1">
      <alignment horizontal="center"/>
    </xf>
    <xf numFmtId="167" fontId="2" fillId="0" borderId="0" xfId="50" applyNumberFormat="1" applyFont="1" applyFill="1" applyAlignment="1">
      <alignment horizontal="right"/>
    </xf>
    <xf numFmtId="167" fontId="2" fillId="16" borderId="0" xfId="50" applyNumberFormat="1" applyFont="1" applyFill="1" applyAlignment="1">
      <alignment horizontal="right"/>
    </xf>
    <xf numFmtId="168" fontId="2" fillId="0" borderId="0" xfId="37" applyNumberFormat="1" applyFont="1" applyFill="1" applyBorder="1" applyAlignment="1">
      <alignment horizontal="right"/>
    </xf>
    <xf numFmtId="168" fontId="5" fillId="0" borderId="0" xfId="37" applyNumberFormat="1" applyFont="1" applyFill="1" applyBorder="1" applyAlignment="1">
      <alignment horizontal="right"/>
    </xf>
    <xf numFmtId="169" fontId="2" fillId="16" borderId="0" xfId="37" applyNumberFormat="1" applyFont="1" applyFill="1" applyAlignment="1"/>
    <xf numFmtId="0" fontId="2" fillId="0" borderId="0" xfId="50" applyFont="1" applyFill="1" applyBorder="1" applyAlignment="1"/>
    <xf numFmtId="177" fontId="2" fillId="16" borderId="0" xfId="50" applyNumberFormat="1" applyFont="1" applyFill="1" applyBorder="1" applyAlignment="1"/>
    <xf numFmtId="167" fontId="5" fillId="16" borderId="0" xfId="50" applyNumberFormat="1" applyFont="1" applyFill="1" applyBorder="1" applyAlignment="1"/>
    <xf numFmtId="43" fontId="2" fillId="16" borderId="0" xfId="50" applyNumberFormat="1" applyFont="1" applyFill="1" applyBorder="1" applyAlignment="1"/>
    <xf numFmtId="9" fontId="31" fillId="23" borderId="26" xfId="54" applyFont="1" applyFill="1" applyBorder="1" applyAlignment="1"/>
    <xf numFmtId="5" fontId="2" fillId="17" borderId="0" xfId="64" applyNumberFormat="1" applyFont="1" applyFill="1" applyBorder="1" applyAlignment="1">
      <alignment horizontal="center"/>
    </xf>
    <xf numFmtId="5" fontId="2" fillId="17" borderId="26" xfId="64" applyNumberFormat="1" applyFont="1" applyFill="1" applyBorder="1" applyAlignment="1">
      <alignment horizontal="center"/>
    </xf>
    <xf numFmtId="179" fontId="31" fillId="23" borderId="26" xfId="54" applyNumberFormat="1" applyFont="1" applyFill="1" applyBorder="1" applyAlignment="1"/>
    <xf numFmtId="179" fontId="31" fillId="23" borderId="28" xfId="54" applyNumberFormat="1" applyFont="1" applyFill="1" applyBorder="1" applyAlignment="1"/>
    <xf numFmtId="168" fontId="45" fillId="23" borderId="0" xfId="37" applyNumberFormat="1" applyFont="1" applyFill="1" applyBorder="1" applyAlignment="1">
      <alignment horizontal="right"/>
    </xf>
    <xf numFmtId="168" fontId="2" fillId="17" borderId="28" xfId="48" applyNumberFormat="1" applyFont="1" applyFill="1" applyBorder="1" applyAlignment="1"/>
    <xf numFmtId="168" fontId="2" fillId="23" borderId="28" xfId="37" applyNumberFormat="1" applyFont="1" applyFill="1" applyBorder="1" applyAlignment="1">
      <alignment horizontal="right"/>
    </xf>
    <xf numFmtId="170" fontId="31" fillId="17" borderId="0" xfId="54" applyNumberFormat="1" applyFont="1" applyFill="1" applyBorder="1" applyAlignment="1">
      <alignment horizontal="right"/>
    </xf>
    <xf numFmtId="170" fontId="31" fillId="23" borderId="0" xfId="55" applyNumberFormat="1" applyFont="1" applyFill="1" applyBorder="1" applyAlignment="1">
      <alignment horizontal="right"/>
    </xf>
    <xf numFmtId="0" fontId="5" fillId="0" borderId="26" xfId="50" applyFont="1" applyFill="1" applyBorder="1"/>
    <xf numFmtId="0" fontId="5" fillId="17" borderId="11" xfId="0" applyFont="1" applyFill="1" applyBorder="1" applyAlignment="1">
      <alignment horizontal="right"/>
    </xf>
    <xf numFmtId="175" fontId="2" fillId="17" borderId="15" xfId="65" applyNumberFormat="1" applyFont="1" applyFill="1" applyBorder="1"/>
    <xf numFmtId="175" fontId="2" fillId="17" borderId="0" xfId="65" applyNumberFormat="1" applyFont="1" applyFill="1" applyBorder="1"/>
    <xf numFmtId="169" fontId="47" fillId="21" borderId="0" xfId="65" applyNumberFormat="1" applyFont="1" applyFill="1"/>
    <xf numFmtId="173" fontId="2" fillId="17" borderId="0" xfId="0" applyNumberFormat="1" applyFont="1" applyFill="1" applyBorder="1" applyAlignment="1">
      <alignment horizontal="right"/>
    </xf>
    <xf numFmtId="170" fontId="2" fillId="17" borderId="0" xfId="0" applyNumberFormat="1" applyFont="1" applyFill="1" applyBorder="1" applyAlignment="1">
      <alignment horizontal="right"/>
    </xf>
    <xf numFmtId="170" fontId="2" fillId="17" borderId="0" xfId="0" applyNumberFormat="1" applyFont="1" applyFill="1" applyBorder="1"/>
    <xf numFmtId="167" fontId="5" fillId="16" borderId="28" xfId="50" applyNumberFormat="1" applyFont="1" applyFill="1" applyBorder="1" applyAlignment="1"/>
    <xf numFmtId="167" fontId="5" fillId="16" borderId="27" xfId="50" applyNumberFormat="1" applyFont="1" applyFill="1" applyBorder="1" applyAlignment="1"/>
    <xf numFmtId="173" fontId="45" fillId="17" borderId="0" xfId="0" applyNumberFormat="1" applyFont="1" applyFill="1" applyBorder="1" applyAlignment="1">
      <alignment horizontal="right"/>
    </xf>
    <xf numFmtId="173" fontId="5" fillId="17" borderId="28" xfId="0" applyNumberFormat="1" applyFont="1" applyFill="1" applyBorder="1" applyAlignment="1">
      <alignment horizontal="right"/>
    </xf>
    <xf numFmtId="173" fontId="5" fillId="17" borderId="27" xfId="0" applyNumberFormat="1" applyFont="1" applyFill="1" applyBorder="1" applyAlignment="1">
      <alignment horizontal="right"/>
    </xf>
    <xf numFmtId="173" fontId="2" fillId="17" borderId="15" xfId="0" applyNumberFormat="1" applyFont="1" applyFill="1" applyBorder="1" applyAlignment="1">
      <alignment horizontal="right"/>
    </xf>
    <xf numFmtId="173" fontId="45" fillId="17" borderId="15" xfId="0" applyNumberFormat="1" applyFont="1" applyFill="1" applyBorder="1" applyAlignment="1">
      <alignment horizontal="right"/>
    </xf>
    <xf numFmtId="173" fontId="5" fillId="17" borderId="26" xfId="0" applyNumberFormat="1" applyFont="1" applyFill="1" applyBorder="1" applyAlignment="1">
      <alignment horizontal="right"/>
    </xf>
    <xf numFmtId="180" fontId="5" fillId="16" borderId="26" xfId="50" applyNumberFormat="1" applyFont="1" applyFill="1" applyBorder="1" applyAlignment="1"/>
    <xf numFmtId="180" fontId="5" fillId="16" borderId="0" xfId="50" applyNumberFormat="1" applyFont="1" applyFill="1" applyBorder="1" applyAlignment="1"/>
    <xf numFmtId="167" fontId="45" fillId="16" borderId="0" xfId="50" applyNumberFormat="1" applyFont="1" applyFill="1" applyBorder="1" applyAlignment="1"/>
    <xf numFmtId="180" fontId="5" fillId="16" borderId="15" xfId="50" applyNumberFormat="1" applyFont="1" applyFill="1" applyBorder="1" applyAlignment="1"/>
    <xf numFmtId="169" fontId="2" fillId="17" borderId="0" xfId="65" applyNumberFormat="1" applyFont="1" applyFill="1" applyBorder="1"/>
    <xf numFmtId="0" fontId="5" fillId="17" borderId="0" xfId="47" applyFont="1" applyFill="1" applyBorder="1" applyAlignment="1">
      <alignment horizontal="left"/>
    </xf>
    <xf numFmtId="170" fontId="2" fillId="17" borderId="0" xfId="0" applyNumberFormat="1" applyFont="1" applyFill="1" applyBorder="1" applyAlignment="1"/>
    <xf numFmtId="175" fontId="31" fillId="17" borderId="0" xfId="65" applyNumberFormat="1" applyFont="1" applyFill="1"/>
    <xf numFmtId="175" fontId="47" fillId="21" borderId="0" xfId="0" applyNumberFormat="1" applyFont="1" applyFill="1"/>
    <xf numFmtId="175" fontId="5" fillId="17" borderId="0" xfId="0" applyNumberFormat="1" applyFont="1" applyFill="1"/>
    <xf numFmtId="175" fontId="48" fillId="21" borderId="0" xfId="0" applyNumberFormat="1" applyFont="1" applyFill="1"/>
    <xf numFmtId="175" fontId="38" fillId="17" borderId="0" xfId="0" applyNumberFormat="1" applyFont="1" applyFill="1"/>
    <xf numFmtId="173" fontId="2" fillId="17" borderId="0" xfId="0" applyNumberFormat="1" applyFont="1" applyFill="1"/>
    <xf numFmtId="173" fontId="0" fillId="17" borderId="0" xfId="0" applyNumberFormat="1" applyFill="1"/>
    <xf numFmtId="37" fontId="2" fillId="0" borderId="0" xfId="37" applyNumberFormat="1" applyFont="1" applyFill="1" applyBorder="1" applyAlignment="1">
      <alignment horizontal="right"/>
    </xf>
    <xf numFmtId="170" fontId="45" fillId="17" borderId="0" xfId="54" applyNumberFormat="1" applyFont="1" applyFill="1" applyBorder="1" applyAlignment="1"/>
    <xf numFmtId="173" fontId="2" fillId="17" borderId="28" xfId="0" applyNumberFormat="1" applyFont="1" applyFill="1" applyBorder="1" applyAlignment="1">
      <alignment horizontal="right"/>
    </xf>
    <xf numFmtId="173" fontId="2" fillId="17" borderId="27" xfId="0" applyNumberFormat="1" applyFont="1" applyFill="1" applyBorder="1" applyAlignment="1">
      <alignment horizontal="right"/>
    </xf>
    <xf numFmtId="170" fontId="2" fillId="17" borderId="26" xfId="0" applyNumberFormat="1" applyFont="1" applyFill="1" applyBorder="1" applyAlignment="1">
      <alignment horizontal="right"/>
    </xf>
    <xf numFmtId="170" fontId="45" fillId="17" borderId="15" xfId="54" applyNumberFormat="1" applyFont="1" applyFill="1" applyBorder="1" applyAlignment="1"/>
    <xf numFmtId="7" fontId="2" fillId="17" borderId="0" xfId="67" applyNumberFormat="1" applyFont="1" applyFill="1" applyBorder="1"/>
    <xf numFmtId="7" fontId="2" fillId="17" borderId="15" xfId="67" applyNumberFormat="1" applyFont="1" applyFill="1" applyBorder="1"/>
    <xf numFmtId="169" fontId="2" fillId="17" borderId="0" xfId="0" applyNumberFormat="1" applyFont="1" applyFill="1" applyBorder="1"/>
    <xf numFmtId="169" fontId="2" fillId="17" borderId="15" xfId="0" applyNumberFormat="1" applyFont="1" applyFill="1" applyBorder="1"/>
    <xf numFmtId="169" fontId="2" fillId="17" borderId="15" xfId="65" applyNumberFormat="1" applyFont="1" applyFill="1" applyBorder="1"/>
    <xf numFmtId="170" fontId="2" fillId="17" borderId="15" xfId="0" applyNumberFormat="1" applyFont="1" applyFill="1" applyBorder="1" applyAlignment="1">
      <alignment horizontal="right"/>
    </xf>
    <xf numFmtId="37" fontId="2" fillId="0" borderId="15" xfId="37" applyNumberFormat="1" applyFont="1" applyFill="1" applyBorder="1" applyAlignment="1">
      <alignment horizontal="right"/>
    </xf>
    <xf numFmtId="170" fontId="45" fillId="17" borderId="26" xfId="54" applyNumberFormat="1" applyFont="1" applyFill="1" applyBorder="1" applyAlignment="1"/>
    <xf numFmtId="7" fontId="2" fillId="23" borderId="0" xfId="48" applyNumberFormat="1" applyFont="1" applyFill="1" applyBorder="1" applyAlignment="1"/>
    <xf numFmtId="7" fontId="2" fillId="17" borderId="0" xfId="48" applyNumberFormat="1" applyFont="1" applyFill="1" applyBorder="1" applyAlignment="1"/>
    <xf numFmtId="172" fontId="5" fillId="22" borderId="0" xfId="0" applyNumberFormat="1" applyFont="1" applyFill="1" applyBorder="1" applyAlignment="1">
      <alignment horizontal="right"/>
    </xf>
    <xf numFmtId="170" fontId="2" fillId="17" borderId="0" xfId="54" applyNumberFormat="1" applyFont="1" applyFill="1" applyBorder="1" applyAlignment="1">
      <alignment wrapText="1"/>
    </xf>
    <xf numFmtId="170" fontId="2" fillId="23" borderId="0" xfId="54" applyNumberFormat="1" applyFont="1" applyFill="1" applyBorder="1" applyAlignment="1">
      <alignment wrapText="1"/>
    </xf>
    <xf numFmtId="170" fontId="45" fillId="23" borderId="0" xfId="54" applyNumberFormat="1" applyFont="1" applyFill="1" applyBorder="1" applyAlignment="1">
      <alignment wrapText="1"/>
    </xf>
    <xf numFmtId="170" fontId="31" fillId="17" borderId="0" xfId="54" applyNumberFormat="1" applyFont="1" applyFill="1" applyBorder="1" applyAlignment="1">
      <alignment horizontal="center"/>
    </xf>
    <xf numFmtId="9" fontId="31" fillId="23" borderId="0" xfId="54" applyFont="1" applyFill="1" applyBorder="1" applyAlignment="1">
      <alignment horizontal="center"/>
    </xf>
    <xf numFmtId="9" fontId="44" fillId="23" borderId="28" xfId="54" applyFont="1" applyFill="1" applyBorder="1" applyAlignment="1">
      <alignment horizontal="center"/>
    </xf>
    <xf numFmtId="170" fontId="2" fillId="17" borderId="0" xfId="54" applyNumberFormat="1" applyFont="1" applyFill="1" applyBorder="1" applyAlignment="1">
      <alignment horizontal="center" wrapText="1"/>
    </xf>
    <xf numFmtId="170" fontId="2" fillId="23" borderId="0" xfId="54" applyNumberFormat="1" applyFont="1" applyFill="1" applyBorder="1" applyAlignment="1">
      <alignment horizontal="center" wrapText="1"/>
    </xf>
    <xf numFmtId="170" fontId="45" fillId="23" borderId="0" xfId="54" applyNumberFormat="1" applyFont="1" applyFill="1" applyBorder="1" applyAlignment="1">
      <alignment horizontal="center" wrapText="1"/>
    </xf>
    <xf numFmtId="168" fontId="2" fillId="16" borderId="0" xfId="50" applyNumberFormat="1" applyFont="1" applyFill="1" applyBorder="1" applyAlignment="1"/>
    <xf numFmtId="168" fontId="2" fillId="16" borderId="15" xfId="50" applyNumberFormat="1" applyFont="1" applyFill="1" applyBorder="1" applyAlignment="1"/>
    <xf numFmtId="175" fontId="0" fillId="17" borderId="28" xfId="65" applyNumberFormat="1" applyFont="1" applyFill="1" applyBorder="1"/>
    <xf numFmtId="175" fontId="0" fillId="17" borderId="27" xfId="65" applyNumberFormat="1" applyFont="1" applyFill="1" applyBorder="1"/>
    <xf numFmtId="169" fontId="45" fillId="17" borderId="15" xfId="65" applyNumberFormat="1" applyFont="1" applyFill="1" applyBorder="1"/>
    <xf numFmtId="175" fontId="45" fillId="17" borderId="0" xfId="65" applyNumberFormat="1" applyFont="1" applyFill="1" applyBorder="1"/>
    <xf numFmtId="175" fontId="50" fillId="17" borderId="0" xfId="65" applyNumberFormat="1" applyFont="1" applyFill="1" applyBorder="1"/>
    <xf numFmtId="175" fontId="50" fillId="17" borderId="15" xfId="65" applyNumberFormat="1" applyFont="1" applyFill="1" applyBorder="1"/>
    <xf numFmtId="175" fontId="45" fillId="17" borderId="15" xfId="65" applyNumberFormat="1" applyFont="1" applyFill="1" applyBorder="1"/>
    <xf numFmtId="169" fontId="5" fillId="20" borderId="26" xfId="0" applyNumberFormat="1" applyFont="1" applyFill="1" applyBorder="1"/>
    <xf numFmtId="170" fontId="45" fillId="17" borderId="0" xfId="54" applyNumberFormat="1" applyFont="1" applyFill="1" applyBorder="1"/>
    <xf numFmtId="0" fontId="0" fillId="17" borderId="0" xfId="0" applyFill="1" applyBorder="1"/>
    <xf numFmtId="7" fontId="2" fillId="17" borderId="28" xfId="67" applyNumberFormat="1" applyFont="1" applyFill="1" applyBorder="1"/>
    <xf numFmtId="7" fontId="2" fillId="17" borderId="27" xfId="67" applyNumberFormat="1" applyFont="1" applyFill="1" applyBorder="1"/>
    <xf numFmtId="175" fontId="47" fillId="21" borderId="0" xfId="65" applyNumberFormat="1" applyFont="1" applyFill="1"/>
    <xf numFmtId="170" fontId="2" fillId="16" borderId="0" xfId="50" applyNumberFormat="1" applyFont="1" applyFill="1" applyBorder="1" applyAlignment="1"/>
    <xf numFmtId="180" fontId="2" fillId="16" borderId="0" xfId="50" applyNumberFormat="1" applyFont="1" applyFill="1" applyBorder="1" applyAlignment="1"/>
    <xf numFmtId="7" fontId="50" fillId="17" borderId="28" xfId="67" applyNumberFormat="1" applyFont="1" applyFill="1" applyBorder="1"/>
    <xf numFmtId="169" fontId="50" fillId="17" borderId="0" xfId="0" applyNumberFormat="1" applyFont="1" applyFill="1" applyBorder="1"/>
    <xf numFmtId="169" fontId="50" fillId="0" borderId="0" xfId="0" applyNumberFormat="1" applyFont="1" applyFill="1" applyBorder="1"/>
    <xf numFmtId="170" fontId="50" fillId="17" borderId="0" xfId="66" applyNumberFormat="1" applyFont="1" applyFill="1" applyBorder="1" applyAlignment="1">
      <alignment horizontal="right"/>
    </xf>
    <xf numFmtId="7" fontId="50" fillId="17" borderId="0" xfId="67" applyNumberFormat="1" applyFont="1" applyFill="1" applyBorder="1"/>
    <xf numFmtId="7" fontId="50" fillId="0" borderId="0" xfId="67" applyNumberFormat="1" applyFont="1" applyFill="1" applyBorder="1"/>
    <xf numFmtId="170" fontId="50" fillId="17" borderId="0" xfId="0" applyNumberFormat="1" applyFont="1" applyFill="1" applyBorder="1" applyAlignment="1">
      <alignment horizontal="right"/>
    </xf>
    <xf numFmtId="169" fontId="50" fillId="17" borderId="0" xfId="65" applyNumberFormat="1" applyFont="1" applyFill="1" applyBorder="1"/>
    <xf numFmtId="37" fontId="50" fillId="0" borderId="0" xfId="37" applyNumberFormat="1" applyFont="1" applyFill="1" applyBorder="1" applyAlignment="1">
      <alignment horizontal="right"/>
    </xf>
    <xf numFmtId="170" fontId="50" fillId="17" borderId="26" xfId="0" applyNumberFormat="1" applyFont="1" applyFill="1" applyBorder="1" applyAlignment="1"/>
    <xf numFmtId="175" fontId="50" fillId="17" borderId="28" xfId="65" applyNumberFormat="1" applyFont="1" applyFill="1" applyBorder="1"/>
    <xf numFmtId="169" fontId="52" fillId="20" borderId="26" xfId="0" applyNumberFormat="1" applyFont="1" applyFill="1" applyBorder="1"/>
    <xf numFmtId="9" fontId="53" fillId="23" borderId="0" xfId="54" applyFont="1" applyFill="1" applyBorder="1" applyAlignment="1"/>
    <xf numFmtId="168" fontId="50" fillId="23" borderId="0" xfId="37" applyNumberFormat="1" applyFont="1" applyFill="1" applyBorder="1" applyAlignment="1">
      <alignment horizontal="right"/>
    </xf>
    <xf numFmtId="38" fontId="2" fillId="17" borderId="0" xfId="49" applyFont="1" applyFill="1" applyBorder="1" applyAlignment="1">
      <alignment horizontal="center"/>
    </xf>
    <xf numFmtId="0" fontId="5" fillId="17" borderId="0" xfId="0" applyNumberFormat="1" applyFont="1" applyFill="1" applyBorder="1" applyAlignment="1">
      <alignment horizontal="right"/>
    </xf>
    <xf numFmtId="37" fontId="2" fillId="17" borderId="0" xfId="49" applyNumberFormat="1" applyFont="1" applyFill="1" applyBorder="1" applyAlignment="1">
      <alignment horizontal="center"/>
    </xf>
    <xf numFmtId="179" fontId="2" fillId="17" borderId="28" xfId="49" applyNumberFormat="1" applyFont="1" applyFill="1" applyBorder="1" applyAlignment="1">
      <alignment horizontal="center"/>
    </xf>
    <xf numFmtId="170" fontId="2" fillId="17" borderId="0" xfId="54" applyNumberFormat="1" applyFont="1" applyFill="1" applyBorder="1" applyAlignment="1">
      <alignment horizontal="center"/>
    </xf>
    <xf numFmtId="179" fontId="2" fillId="17" borderId="26" xfId="49" applyNumberFormat="1" applyFont="1" applyFill="1" applyBorder="1" applyAlignment="1">
      <alignment horizontal="center"/>
    </xf>
    <xf numFmtId="9" fontId="45" fillId="17" borderId="28" xfId="66" applyFont="1" applyFill="1" applyBorder="1" applyAlignment="1">
      <alignment horizontal="center"/>
    </xf>
    <xf numFmtId="170" fontId="44" fillId="17" borderId="0" xfId="54" applyNumberFormat="1" applyFont="1" applyFill="1" applyBorder="1" applyAlignment="1">
      <alignment horizontal="center"/>
    </xf>
    <xf numFmtId="5" fontId="44" fillId="17" borderId="0" xfId="54" applyNumberFormat="1" applyFont="1" applyFill="1" applyBorder="1" applyAlignment="1">
      <alignment horizontal="center"/>
    </xf>
    <xf numFmtId="9" fontId="44" fillId="17" borderId="0" xfId="37" applyNumberFormat="1" applyFont="1" applyFill="1" applyBorder="1" applyAlignment="1">
      <alignment horizontal="right"/>
    </xf>
    <xf numFmtId="180" fontId="2" fillId="16" borderId="15" xfId="50" applyNumberFormat="1" applyFont="1" applyFill="1" applyBorder="1" applyAlignment="1"/>
    <xf numFmtId="0" fontId="2" fillId="16" borderId="0" xfId="50" applyFont="1" applyFill="1"/>
    <xf numFmtId="0" fontId="2" fillId="16" borderId="0" xfId="50" applyFont="1" applyFill="1" applyBorder="1"/>
    <xf numFmtId="167" fontId="5" fillId="16" borderId="0" xfId="50" applyNumberFormat="1" applyFont="1" applyFill="1" applyBorder="1" applyAlignment="1"/>
    <xf numFmtId="169" fontId="45" fillId="17" borderId="0" xfId="65" applyNumberFormat="1" applyFont="1" applyFill="1" applyBorder="1"/>
    <xf numFmtId="0" fontId="2" fillId="18" borderId="0" xfId="72" applyFill="1"/>
    <xf numFmtId="3" fontId="2" fillId="19" borderId="0" xfId="62" applyNumberFormat="1" applyFont="1" applyFill="1"/>
    <xf numFmtId="9" fontId="31" fillId="18" borderId="0" xfId="63" applyFont="1" applyFill="1" applyAlignment="1">
      <alignment horizontal="right"/>
    </xf>
    <xf numFmtId="0" fontId="2" fillId="19" borderId="0" xfId="72" applyFill="1"/>
    <xf numFmtId="37" fontId="2" fillId="19" borderId="0" xfId="72" applyNumberFormat="1" applyFill="1"/>
    <xf numFmtId="9" fontId="31" fillId="18" borderId="0" xfId="66" applyFont="1" applyFill="1"/>
    <xf numFmtId="9" fontId="31" fillId="19" borderId="0" xfId="66" applyFont="1" applyFill="1"/>
    <xf numFmtId="9" fontId="36" fillId="18" borderId="0" xfId="72" applyNumberFormat="1" applyFont="1" applyFill="1"/>
    <xf numFmtId="0" fontId="2" fillId="24" borderId="0" xfId="62" applyFont="1" applyFill="1" applyAlignment="1">
      <alignment horizontal="center"/>
    </xf>
    <xf numFmtId="0" fontId="2" fillId="24" borderId="0" xfId="62" applyFont="1" applyFill="1" applyBorder="1" applyAlignment="1">
      <alignment horizontal="center"/>
    </xf>
    <xf numFmtId="0" fontId="5" fillId="24" borderId="0" xfId="62" applyFont="1" applyFill="1" applyAlignment="1">
      <alignment horizontal="center"/>
    </xf>
    <xf numFmtId="0" fontId="5" fillId="24" borderId="26" xfId="62" applyFont="1" applyFill="1" applyBorder="1" applyAlignment="1">
      <alignment horizontal="center"/>
    </xf>
    <xf numFmtId="167" fontId="2" fillId="25" borderId="0" xfId="50" applyNumberFormat="1" applyFont="1" applyFill="1" applyAlignment="1">
      <alignment horizontal="left" wrapText="1" indent="1"/>
    </xf>
    <xf numFmtId="43" fontId="2" fillId="25" borderId="0" xfId="37" applyFont="1" applyFill="1" applyBorder="1"/>
    <xf numFmtId="168" fontId="2" fillId="16" borderId="0" xfId="0" applyNumberFormat="1" applyFont="1" applyFill="1" applyBorder="1" applyAlignment="1">
      <alignment horizontal="left"/>
    </xf>
    <xf numFmtId="168" fontId="2" fillId="0" borderId="0" xfId="48" applyNumberFormat="1" applyFont="1" applyFill="1" applyBorder="1" applyAlignment="1"/>
    <xf numFmtId="38" fontId="2" fillId="0" borderId="0" xfId="49" applyFont="1" applyFill="1" applyBorder="1"/>
    <xf numFmtId="0" fontId="2" fillId="0" borderId="0" xfId="64" applyFont="1" applyFill="1" applyBorder="1"/>
    <xf numFmtId="168" fontId="2" fillId="23" borderId="26" xfId="37" applyNumberFormat="1" applyFont="1" applyFill="1" applyBorder="1" applyAlignment="1">
      <alignment horizontal="right"/>
    </xf>
    <xf numFmtId="170" fontId="45" fillId="17" borderId="0" xfId="0" applyNumberFormat="1" applyFont="1" applyFill="1" applyBorder="1" applyAlignment="1">
      <alignment horizontal="right"/>
    </xf>
    <xf numFmtId="170" fontId="45" fillId="17" borderId="15" xfId="0" applyNumberFormat="1" applyFont="1" applyFill="1" applyBorder="1" applyAlignment="1">
      <alignment horizontal="right"/>
    </xf>
    <xf numFmtId="170" fontId="45" fillId="17" borderId="26" xfId="0" applyNumberFormat="1" applyFont="1" applyFill="1" applyBorder="1" applyAlignment="1">
      <alignment horizontal="right"/>
    </xf>
    <xf numFmtId="170" fontId="45" fillId="17" borderId="29" xfId="0" applyNumberFormat="1" applyFont="1" applyFill="1" applyBorder="1" applyAlignment="1">
      <alignment horizontal="right"/>
    </xf>
    <xf numFmtId="43" fontId="31" fillId="17" borderId="0" xfId="37" applyFont="1" applyFill="1" applyBorder="1" applyAlignment="1"/>
    <xf numFmtId="168" fontId="45" fillId="23" borderId="26" xfId="37" applyNumberFormat="1" applyFont="1" applyFill="1" applyBorder="1" applyAlignment="1">
      <alignment horizontal="right"/>
    </xf>
    <xf numFmtId="7" fontId="5" fillId="17" borderId="11" xfId="37" applyNumberFormat="1" applyFont="1" applyFill="1" applyBorder="1" applyAlignment="1">
      <alignment wrapText="1"/>
    </xf>
    <xf numFmtId="7" fontId="5" fillId="23" borderId="11" xfId="48" applyNumberFormat="1" applyFont="1" applyFill="1" applyBorder="1" applyAlignment="1">
      <alignment wrapText="1"/>
    </xf>
    <xf numFmtId="172" fontId="5" fillId="23" borderId="0" xfId="0" applyNumberFormat="1" applyFont="1" applyFill="1" applyBorder="1" applyAlignment="1">
      <alignment horizontal="right"/>
    </xf>
    <xf numFmtId="37" fontId="2" fillId="23" borderId="0" xfId="49" applyNumberFormat="1" applyFont="1" applyFill="1" applyBorder="1" applyAlignment="1">
      <alignment horizontal="center"/>
    </xf>
    <xf numFmtId="172" fontId="5" fillId="22" borderId="11" xfId="0" applyNumberFormat="1" applyFont="1" applyFill="1" applyBorder="1" applyAlignment="1">
      <alignment horizontal="right"/>
    </xf>
    <xf numFmtId="0" fontId="5" fillId="17" borderId="11" xfId="0" applyNumberFormat="1" applyFont="1" applyFill="1" applyBorder="1" applyAlignment="1">
      <alignment horizontal="right"/>
    </xf>
    <xf numFmtId="172" fontId="5" fillId="23" borderId="11" xfId="0" applyNumberFormat="1" applyFont="1" applyFill="1" applyBorder="1" applyAlignment="1">
      <alignment horizontal="right"/>
    </xf>
    <xf numFmtId="173" fontId="2" fillId="18" borderId="0" xfId="72" applyNumberFormat="1" applyFill="1"/>
    <xf numFmtId="168" fontId="50" fillId="23" borderId="26" xfId="37" applyNumberFormat="1" applyFont="1" applyFill="1" applyBorder="1" applyAlignment="1">
      <alignment horizontal="right"/>
    </xf>
    <xf numFmtId="168" fontId="52" fillId="23" borderId="11" xfId="37" applyNumberFormat="1" applyFont="1" applyFill="1" applyBorder="1" applyAlignment="1">
      <alignment horizontal="right"/>
    </xf>
    <xf numFmtId="168" fontId="50" fillId="23" borderId="13" xfId="37" applyNumberFormat="1" applyFont="1" applyFill="1" applyBorder="1" applyAlignment="1">
      <alignment horizontal="right"/>
    </xf>
    <xf numFmtId="170" fontId="50" fillId="23" borderId="0" xfId="54" applyNumberFormat="1" applyFont="1" applyFill="1" applyBorder="1" applyAlignment="1">
      <alignment horizontal="center" wrapText="1"/>
    </xf>
    <xf numFmtId="170" fontId="50" fillId="23" borderId="0" xfId="54" applyNumberFormat="1" applyFont="1" applyFill="1" applyBorder="1" applyAlignment="1">
      <alignment wrapText="1"/>
    </xf>
    <xf numFmtId="168" fontId="50" fillId="23" borderId="14" xfId="37" applyNumberFormat="1" applyFont="1" applyFill="1" applyBorder="1" applyAlignment="1">
      <alignment horizontal="right"/>
    </xf>
    <xf numFmtId="168" fontId="52" fillId="23" borderId="0" xfId="49" applyNumberFormat="1" applyFont="1" applyFill="1" applyBorder="1" applyAlignment="1">
      <alignment wrapText="1"/>
    </xf>
    <xf numFmtId="170" fontId="53" fillId="23" borderId="0" xfId="55" applyNumberFormat="1" applyFont="1" applyFill="1" applyBorder="1" applyAlignment="1">
      <alignment horizontal="right"/>
    </xf>
    <xf numFmtId="171" fontId="50" fillId="23" borderId="0" xfId="37" applyNumberFormat="1" applyFont="1" applyFill="1" applyBorder="1" applyAlignment="1">
      <alignment horizontal="right"/>
    </xf>
    <xf numFmtId="7" fontId="52" fillId="23" borderId="11" xfId="48" applyNumberFormat="1" applyFont="1" applyFill="1" applyBorder="1" applyAlignment="1">
      <alignment wrapText="1"/>
    </xf>
    <xf numFmtId="171" fontId="53" fillId="23" borderId="0" xfId="54" applyNumberFormat="1" applyFont="1" applyFill="1" applyBorder="1" applyAlignment="1"/>
    <xf numFmtId="172" fontId="2" fillId="18" borderId="0" xfId="72" applyNumberFormat="1" applyFill="1"/>
    <xf numFmtId="9" fontId="31" fillId="23" borderId="0" xfId="54" applyNumberFormat="1" applyFont="1" applyFill="1" applyBorder="1" applyAlignment="1">
      <alignment horizontal="center"/>
    </xf>
    <xf numFmtId="168" fontId="50" fillId="17" borderId="0" xfId="37" applyNumberFormat="1" applyFont="1" applyFill="1" applyBorder="1" applyAlignment="1">
      <alignment horizontal="right"/>
    </xf>
    <xf numFmtId="168" fontId="5" fillId="0" borderId="20" xfId="37" applyNumberFormat="1" applyFont="1" applyFill="1" applyBorder="1" applyAlignment="1"/>
    <xf numFmtId="0" fontId="5" fillId="26" borderId="25" xfId="73" applyFont="1" applyFill="1" applyBorder="1" applyAlignment="1">
      <alignment horizontal="center"/>
    </xf>
    <xf numFmtId="168" fontId="50" fillId="0" borderId="0" xfId="37" applyNumberFormat="1" applyFont="1" applyFill="1" applyBorder="1" applyAlignment="1"/>
    <xf numFmtId="168" fontId="52" fillId="0" borderId="0" xfId="37" applyNumberFormat="1" applyFont="1" applyFill="1" applyBorder="1" applyAlignment="1"/>
    <xf numFmtId="168" fontId="52" fillId="0" borderId="20" xfId="37" applyNumberFormat="1" applyFont="1" applyFill="1" applyBorder="1" applyAlignment="1"/>
    <xf numFmtId="168" fontId="50" fillId="0" borderId="14" xfId="37" applyNumberFormat="1" applyFont="1" applyFill="1" applyBorder="1" applyAlignment="1"/>
    <xf numFmtId="168" fontId="50" fillId="0" borderId="26" xfId="37" applyNumberFormat="1" applyFont="1" applyFill="1" applyBorder="1" applyAlignment="1"/>
    <xf numFmtId="168" fontId="52" fillId="0" borderId="11" xfId="37" applyNumberFormat="1" applyFont="1" applyFill="1" applyBorder="1" applyAlignment="1"/>
    <xf numFmtId="168" fontId="50" fillId="0" borderId="0" xfId="0" applyNumberFormat="1" applyFont="1" applyFill="1" applyBorder="1" applyAlignment="1"/>
    <xf numFmtId="168" fontId="50" fillId="0" borderId="0" xfId="37" applyNumberFormat="1" applyFont="1" applyFill="1" applyAlignment="1">
      <alignment horizontal="right"/>
    </xf>
    <xf numFmtId="168" fontId="50" fillId="16" borderId="0" xfId="50" applyNumberFormat="1" applyFont="1" applyFill="1"/>
    <xf numFmtId="168" fontId="50" fillId="17" borderId="0" xfId="37" applyNumberFormat="1" applyFont="1" applyFill="1" applyAlignment="1">
      <alignment horizontal="right"/>
    </xf>
    <xf numFmtId="168" fontId="52" fillId="0" borderId="11" xfId="37" applyNumberFormat="1" applyFont="1" applyFill="1" applyBorder="1" applyAlignment="1">
      <alignment horizontal="right"/>
    </xf>
    <xf numFmtId="168" fontId="50" fillId="0" borderId="0" xfId="50" applyNumberFormat="1" applyFont="1" applyFill="1" applyAlignment="1">
      <alignment horizontal="right"/>
    </xf>
    <xf numFmtId="168" fontId="52" fillId="0" borderId="0" xfId="37" applyNumberFormat="1" applyFont="1" applyFill="1" applyBorder="1" applyAlignment="1">
      <alignment horizontal="right"/>
    </xf>
    <xf numFmtId="168" fontId="50" fillId="0" borderId="0" xfId="37" applyNumberFormat="1" applyFont="1" applyFill="1" applyBorder="1" applyAlignment="1">
      <alignment horizontal="right"/>
    </xf>
    <xf numFmtId="168" fontId="52" fillId="0" borderId="28" xfId="37" applyNumberFormat="1" applyFont="1" applyFill="1" applyBorder="1" applyAlignment="1">
      <alignment horizontal="right"/>
    </xf>
    <xf numFmtId="168" fontId="52" fillId="0" borderId="14" xfId="37" applyNumberFormat="1" applyFont="1" applyFill="1" applyBorder="1" applyAlignment="1">
      <alignment horizontal="right"/>
    </xf>
    <xf numFmtId="9" fontId="0" fillId="0" borderId="0" xfId="54" applyFont="1"/>
    <xf numFmtId="173" fontId="45" fillId="20" borderId="0" xfId="0" applyNumberFormat="1" applyFont="1" applyFill="1" applyBorder="1" applyAlignment="1">
      <alignment horizontal="right"/>
    </xf>
    <xf numFmtId="9" fontId="45" fillId="20" borderId="28" xfId="66" applyFont="1" applyFill="1" applyBorder="1" applyAlignment="1">
      <alignment horizontal="center"/>
    </xf>
    <xf numFmtId="5" fontId="44" fillId="20" borderId="0" xfId="54" applyNumberFormat="1" applyFont="1" applyFill="1" applyBorder="1" applyAlignment="1">
      <alignment horizontal="center"/>
    </xf>
    <xf numFmtId="168" fontId="50" fillId="20" borderId="0" xfId="37" applyNumberFormat="1" applyFont="1" applyFill="1" applyBorder="1" applyAlignment="1">
      <alignment horizontal="right"/>
    </xf>
    <xf numFmtId="168" fontId="5" fillId="23" borderId="0" xfId="37" applyNumberFormat="1" applyFont="1" applyFill="1" applyBorder="1" applyAlignment="1">
      <alignment horizontal="right"/>
    </xf>
    <xf numFmtId="168" fontId="5" fillId="17" borderId="0" xfId="37" applyNumberFormat="1" applyFont="1" applyFill="1" applyBorder="1" applyAlignment="1">
      <alignment horizontal="right"/>
    </xf>
    <xf numFmtId="168" fontId="52" fillId="23" borderId="0" xfId="37" applyNumberFormat="1" applyFont="1" applyFill="1" applyBorder="1" applyAlignment="1">
      <alignment horizontal="right"/>
    </xf>
    <xf numFmtId="9" fontId="31" fillId="17" borderId="0" xfId="37" applyNumberFormat="1" applyFont="1" applyFill="1" applyBorder="1" applyAlignment="1">
      <alignment horizontal="right"/>
    </xf>
    <xf numFmtId="179" fontId="2" fillId="23" borderId="26" xfId="54" applyNumberFormat="1" applyFont="1" applyFill="1" applyBorder="1" applyAlignment="1"/>
    <xf numFmtId="5" fontId="31" fillId="17" borderId="0" xfId="54" applyNumberFormat="1" applyFont="1" applyFill="1" applyBorder="1" applyAlignment="1">
      <alignment horizontal="center"/>
    </xf>
    <xf numFmtId="173" fontId="5" fillId="17" borderId="29" xfId="0" applyNumberFormat="1" applyFont="1" applyFill="1" applyBorder="1" applyAlignment="1">
      <alignment horizontal="right"/>
    </xf>
    <xf numFmtId="180" fontId="5" fillId="16" borderId="29" xfId="50" applyNumberFormat="1" applyFont="1" applyFill="1" applyBorder="1" applyAlignment="1"/>
    <xf numFmtId="170" fontId="45" fillId="17" borderId="29" xfId="54" applyNumberFormat="1" applyFont="1" applyFill="1" applyBorder="1" applyAlignment="1"/>
    <xf numFmtId="169" fontId="5" fillId="20" borderId="29" xfId="0" applyNumberFormat="1" applyFont="1" applyFill="1" applyBorder="1"/>
    <xf numFmtId="168" fontId="2" fillId="17" borderId="28" xfId="50" applyNumberFormat="1" applyFont="1" applyFill="1" applyBorder="1" applyAlignment="1"/>
    <xf numFmtId="168" fontId="2" fillId="17" borderId="27" xfId="50" applyNumberFormat="1" applyFont="1" applyFill="1" applyBorder="1" applyAlignment="1"/>
    <xf numFmtId="168" fontId="2" fillId="17" borderId="0" xfId="50" applyNumberFormat="1" applyFont="1" applyFill="1" applyBorder="1" applyAlignment="1"/>
    <xf numFmtId="168" fontId="2" fillId="17" borderId="15" xfId="50" applyNumberFormat="1" applyFont="1" applyFill="1" applyBorder="1" applyAlignment="1"/>
    <xf numFmtId="168" fontId="2" fillId="17" borderId="26" xfId="50" applyNumberFormat="1" applyFont="1" applyFill="1" applyBorder="1" applyAlignment="1"/>
    <xf numFmtId="168" fontId="2" fillId="17" borderId="29" xfId="50" applyNumberFormat="1" applyFont="1" applyFill="1" applyBorder="1" applyAlignment="1"/>
    <xf numFmtId="168" fontId="2" fillId="17" borderId="27" xfId="48" applyNumberFormat="1" applyFont="1" applyFill="1" applyBorder="1" applyAlignment="1"/>
    <xf numFmtId="168" fontId="2" fillId="17" borderId="15" xfId="48" applyNumberFormat="1" applyFont="1" applyFill="1" applyBorder="1" applyAlignment="1"/>
    <xf numFmtId="179" fontId="2" fillId="17" borderId="27" xfId="49" applyNumberFormat="1" applyFont="1" applyFill="1" applyBorder="1" applyAlignment="1">
      <alignment horizontal="center"/>
    </xf>
    <xf numFmtId="170" fontId="44" fillId="17" borderId="15" xfId="54" applyNumberFormat="1" applyFont="1" applyFill="1" applyBorder="1" applyAlignment="1">
      <alignment horizontal="center"/>
    </xf>
    <xf numFmtId="179" fontId="2" fillId="17" borderId="29" xfId="49" applyNumberFormat="1" applyFont="1" applyFill="1" applyBorder="1" applyAlignment="1">
      <alignment horizontal="center"/>
    </xf>
    <xf numFmtId="9" fontId="45" fillId="17" borderId="27" xfId="66" applyFont="1" applyFill="1" applyBorder="1" applyAlignment="1">
      <alignment horizontal="center"/>
    </xf>
    <xf numFmtId="5" fontId="44" fillId="17" borderId="15" xfId="54" applyNumberFormat="1" applyFont="1" applyFill="1" applyBorder="1" applyAlignment="1">
      <alignment horizontal="center"/>
    </xf>
    <xf numFmtId="5" fontId="2" fillId="17" borderId="15" xfId="64" applyNumberFormat="1" applyFont="1" applyFill="1" applyBorder="1" applyAlignment="1">
      <alignment horizontal="center"/>
    </xf>
    <xf numFmtId="38" fontId="2" fillId="17" borderId="15" xfId="49" applyFont="1" applyFill="1" applyBorder="1" applyAlignment="1">
      <alignment horizontal="center"/>
    </xf>
    <xf numFmtId="5" fontId="2" fillId="17" borderId="29" xfId="64" applyNumberFormat="1" applyFont="1" applyFill="1" applyBorder="1" applyAlignment="1">
      <alignment horizontal="center"/>
    </xf>
    <xf numFmtId="169" fontId="2" fillId="16" borderId="0" xfId="50" applyNumberFormat="1" applyFont="1" applyFill="1" applyBorder="1"/>
    <xf numFmtId="9" fontId="31" fillId="23" borderId="0" xfId="54" applyFont="1" applyFill="1" applyBorder="1" applyAlignment="1">
      <alignment horizontal="right"/>
    </xf>
    <xf numFmtId="9" fontId="31" fillId="23" borderId="0" xfId="54" applyNumberFormat="1" applyFont="1" applyFill="1" applyBorder="1" applyAlignment="1">
      <alignment horizontal="right"/>
    </xf>
    <xf numFmtId="170" fontId="44" fillId="23" borderId="0" xfId="54" applyNumberFormat="1" applyFont="1" applyFill="1" applyBorder="1" applyAlignment="1">
      <alignment horizontal="right"/>
    </xf>
    <xf numFmtId="0" fontId="0" fillId="0" borderId="0" xfId="0" applyAlignment="1">
      <alignment horizontal="right"/>
    </xf>
    <xf numFmtId="0" fontId="5" fillId="17" borderId="0" xfId="68" applyFont="1" applyFill="1" applyAlignment="1">
      <alignment horizontal="center"/>
    </xf>
    <xf numFmtId="0" fontId="2" fillId="17" borderId="0" xfId="68" applyFont="1" applyFill="1"/>
    <xf numFmtId="0" fontId="2" fillId="21" borderId="30" xfId="68" applyFont="1" applyFill="1" applyBorder="1" applyAlignment="1">
      <alignment horizontal="center"/>
    </xf>
    <xf numFmtId="0" fontId="5" fillId="21" borderId="12" xfId="68" applyFont="1" applyFill="1" applyBorder="1" applyAlignment="1">
      <alignment horizontal="center"/>
    </xf>
    <xf numFmtId="0" fontId="2" fillId="28" borderId="30" xfId="68" applyFont="1" applyFill="1" applyBorder="1" applyAlignment="1">
      <alignment horizontal="center"/>
    </xf>
    <xf numFmtId="176" fontId="2" fillId="28" borderId="12" xfId="68" applyNumberFormat="1" applyFont="1" applyFill="1" applyBorder="1" applyAlignment="1">
      <alignment horizontal="center"/>
    </xf>
    <xf numFmtId="0" fontId="5" fillId="29" borderId="30" xfId="68" applyFont="1" applyFill="1" applyBorder="1" applyAlignment="1" applyProtection="1">
      <alignment horizontal="center"/>
      <protection locked="0"/>
    </xf>
    <xf numFmtId="0" fontId="5" fillId="29" borderId="11" xfId="68" applyFont="1" applyFill="1" applyBorder="1" applyAlignment="1" applyProtection="1">
      <alignment horizontal="center"/>
      <protection locked="0"/>
    </xf>
    <xf numFmtId="0" fontId="5" fillId="29" borderId="12" xfId="68" applyFont="1" applyFill="1" applyBorder="1" applyAlignment="1" applyProtection="1">
      <alignment horizontal="center"/>
      <protection locked="0"/>
    </xf>
    <xf numFmtId="0" fontId="2" fillId="16" borderId="0" xfId="68" applyFont="1" applyFill="1" applyAlignment="1">
      <alignment horizontal="left"/>
    </xf>
    <xf numFmtId="170" fontId="56" fillId="16" borderId="0" xfId="54" applyNumberFormat="1" applyFont="1" applyFill="1" applyBorder="1" applyAlignment="1">
      <alignment horizontal="center"/>
    </xf>
    <xf numFmtId="170" fontId="56" fillId="16" borderId="0" xfId="68" applyNumberFormat="1" applyFont="1" applyFill="1" applyAlignment="1">
      <alignment horizontal="center"/>
    </xf>
    <xf numFmtId="9" fontId="45" fillId="17" borderId="0" xfId="68" applyNumberFormat="1" applyFont="1" applyFill="1" applyAlignment="1">
      <alignment horizontal="center"/>
    </xf>
    <xf numFmtId="0" fontId="2" fillId="16" borderId="0" xfId="68" applyFont="1" applyFill="1" applyBorder="1" applyAlignment="1">
      <alignment horizontal="left"/>
    </xf>
    <xf numFmtId="0" fontId="2" fillId="16" borderId="0" xfId="68" applyFont="1" applyFill="1" applyBorder="1" applyAlignment="1">
      <alignment horizontal="center"/>
    </xf>
    <xf numFmtId="0" fontId="2" fillId="16" borderId="0" xfId="68" applyFont="1" applyFill="1" applyAlignment="1">
      <alignment horizontal="center"/>
    </xf>
    <xf numFmtId="0" fontId="50" fillId="17" borderId="0" xfId="68" applyFont="1" applyFill="1"/>
    <xf numFmtId="0" fontId="50" fillId="16" borderId="0" xfId="68" applyFont="1" applyFill="1" applyAlignment="1">
      <alignment horizontal="left"/>
    </xf>
    <xf numFmtId="37" fontId="50" fillId="16" borderId="0" xfId="68" applyNumberFormat="1" applyFont="1" applyFill="1" applyAlignment="1">
      <alignment horizontal="center"/>
    </xf>
    <xf numFmtId="0" fontId="50" fillId="17" borderId="0" xfId="68" applyFont="1" applyFill="1" applyBorder="1" applyAlignment="1">
      <alignment horizontal="left" indent="1"/>
    </xf>
    <xf numFmtId="3" fontId="50" fillId="17" borderId="0" xfId="68" applyNumberFormat="1" applyFont="1" applyFill="1" applyBorder="1" applyAlignment="1">
      <alignment horizontal="center"/>
    </xf>
    <xf numFmtId="9" fontId="50" fillId="17" borderId="0" xfId="68" applyNumberFormat="1" applyFont="1" applyFill="1" applyBorder="1" applyAlignment="1">
      <alignment horizontal="center"/>
    </xf>
    <xf numFmtId="0" fontId="52" fillId="17" borderId="0" xfId="68" applyFont="1" applyFill="1"/>
    <xf numFmtId="0" fontId="50" fillId="16" borderId="28" xfId="68" applyFont="1" applyFill="1" applyBorder="1" applyAlignment="1">
      <alignment horizontal="left"/>
    </xf>
    <xf numFmtId="37" fontId="50" fillId="16" borderId="28" xfId="68" applyNumberFormat="1" applyFont="1" applyFill="1" applyBorder="1" applyAlignment="1">
      <alignment horizontal="center"/>
    </xf>
    <xf numFmtId="0" fontId="50" fillId="16" borderId="0" xfId="68" applyFont="1" applyFill="1" applyBorder="1" applyAlignment="1">
      <alignment horizontal="left"/>
    </xf>
    <xf numFmtId="0" fontId="50" fillId="17" borderId="0" xfId="68" applyFont="1" applyFill="1" applyBorder="1"/>
    <xf numFmtId="37" fontId="50" fillId="16" borderId="0" xfId="68" applyNumberFormat="1" applyFont="1" applyFill="1" applyBorder="1" applyAlignment="1">
      <alignment horizontal="center"/>
    </xf>
    <xf numFmtId="37" fontId="50" fillId="17" borderId="0" xfId="68" applyNumberFormat="1" applyFont="1" applyFill="1" applyBorder="1" applyAlignment="1">
      <alignment horizontal="center"/>
    </xf>
    <xf numFmtId="0" fontId="50" fillId="17" borderId="26" xfId="68" applyFont="1" applyFill="1" applyBorder="1" applyAlignment="1">
      <alignment horizontal="left" indent="1"/>
    </xf>
    <xf numFmtId="9" fontId="50" fillId="17" borderId="26" xfId="68" applyNumberFormat="1" applyFont="1" applyFill="1" applyBorder="1" applyAlignment="1">
      <alignment horizontal="center"/>
    </xf>
    <xf numFmtId="0" fontId="50" fillId="16" borderId="0" xfId="68" applyFont="1" applyFill="1" applyBorder="1" applyAlignment="1">
      <alignment horizontal="left" indent="1"/>
    </xf>
    <xf numFmtId="0" fontId="52" fillId="29" borderId="11" xfId="68" applyFont="1" applyFill="1" applyBorder="1" applyAlignment="1">
      <alignment horizontal="center"/>
    </xf>
    <xf numFmtId="176" fontId="52" fillId="29" borderId="11" xfId="68" applyNumberFormat="1" applyFont="1" applyFill="1" applyBorder="1" applyAlignment="1">
      <alignment horizontal="center"/>
    </xf>
    <xf numFmtId="0" fontId="2" fillId="21" borderId="0" xfId="68" applyFont="1" applyFill="1" applyBorder="1" applyAlignment="1">
      <alignment horizontal="center"/>
    </xf>
    <xf numFmtId="0" fontId="52" fillId="29" borderId="11" xfId="68" applyFont="1" applyFill="1" applyBorder="1" applyAlignment="1">
      <alignment horizontal="left"/>
    </xf>
    <xf numFmtId="0" fontId="50" fillId="17" borderId="28" xfId="68" applyFont="1" applyFill="1" applyBorder="1"/>
    <xf numFmtId="5" fontId="50" fillId="17" borderId="0" xfId="68" applyNumberFormat="1" applyFont="1" applyFill="1" applyAlignment="1">
      <alignment horizontal="center"/>
    </xf>
    <xf numFmtId="5" fontId="50" fillId="17" borderId="0" xfId="68" applyNumberFormat="1" applyFont="1" applyFill="1"/>
    <xf numFmtId="0" fontId="50" fillId="16" borderId="32" xfId="68" applyFont="1" applyFill="1" applyBorder="1" applyAlignment="1">
      <alignment horizontal="left"/>
    </xf>
    <xf numFmtId="0" fontId="50" fillId="17" borderId="32" xfId="68" applyFont="1" applyFill="1" applyBorder="1"/>
    <xf numFmtId="170" fontId="44" fillId="17" borderId="0" xfId="54" applyNumberFormat="1" applyFont="1" applyFill="1" applyBorder="1" applyAlignment="1">
      <alignment horizontal="right"/>
    </xf>
    <xf numFmtId="170" fontId="44" fillId="17" borderId="15" xfId="54" applyNumberFormat="1" applyFont="1" applyFill="1" applyBorder="1" applyAlignment="1">
      <alignment horizontal="right"/>
    </xf>
    <xf numFmtId="9" fontId="31" fillId="23" borderId="33" xfId="54" applyFont="1" applyFill="1" applyBorder="1" applyAlignment="1">
      <alignment horizontal="center"/>
    </xf>
    <xf numFmtId="170" fontId="31" fillId="17" borderId="33" xfId="54" applyNumberFormat="1" applyFont="1" applyFill="1" applyBorder="1" applyAlignment="1">
      <alignment horizontal="center"/>
    </xf>
    <xf numFmtId="9" fontId="31" fillId="23" borderId="33" xfId="54" applyNumberFormat="1" applyFont="1" applyFill="1" applyBorder="1" applyAlignment="1">
      <alignment horizontal="center"/>
    </xf>
    <xf numFmtId="170" fontId="31" fillId="17" borderId="33" xfId="54" applyNumberFormat="1" applyFont="1" applyFill="1" applyBorder="1" applyAlignment="1">
      <alignment horizontal="right"/>
    </xf>
    <xf numFmtId="9" fontId="31" fillId="23" borderId="33" xfId="54" applyFont="1" applyFill="1" applyBorder="1" applyAlignment="1">
      <alignment horizontal="right"/>
    </xf>
    <xf numFmtId="9" fontId="31" fillId="23" borderId="33" xfId="54" applyNumberFormat="1" applyFont="1" applyFill="1" applyBorder="1" applyAlignment="1">
      <alignment horizontal="right"/>
    </xf>
    <xf numFmtId="170" fontId="44" fillId="23" borderId="33" xfId="54" applyNumberFormat="1" applyFont="1" applyFill="1" applyBorder="1" applyAlignment="1">
      <alignment horizontal="right"/>
    </xf>
    <xf numFmtId="170" fontId="44" fillId="17" borderId="33" xfId="54" applyNumberFormat="1" applyFont="1" applyFill="1" applyBorder="1" applyAlignment="1">
      <alignment horizontal="right"/>
    </xf>
    <xf numFmtId="170" fontId="44" fillId="17" borderId="34" xfId="54" applyNumberFormat="1" applyFont="1" applyFill="1" applyBorder="1" applyAlignment="1">
      <alignment horizontal="right"/>
    </xf>
    <xf numFmtId="0" fontId="30" fillId="16" borderId="0" xfId="62" applyFont="1" applyFill="1" applyBorder="1" applyAlignment="1">
      <alignment horizontal="center"/>
    </xf>
    <xf numFmtId="7" fontId="2" fillId="17" borderId="28" xfId="67" applyNumberFormat="1" applyFont="1" applyFill="1" applyBorder="1" applyAlignment="1">
      <alignment horizontal="right"/>
    </xf>
    <xf numFmtId="170" fontId="2" fillId="18" borderId="0" xfId="72" applyNumberFormat="1" applyFill="1"/>
    <xf numFmtId="43" fontId="31" fillId="23" borderId="0" xfId="37" applyFont="1" applyFill="1" applyBorder="1" applyAlignment="1"/>
    <xf numFmtId="168" fontId="0" fillId="0" borderId="0" xfId="0" applyNumberFormat="1"/>
    <xf numFmtId="0" fontId="0" fillId="0" borderId="0" xfId="0" applyFill="1"/>
    <xf numFmtId="0" fontId="2" fillId="0" borderId="0" xfId="0" applyFont="1" applyFill="1"/>
    <xf numFmtId="0" fontId="50" fillId="17" borderId="32" xfId="68" applyFont="1" applyFill="1" applyBorder="1" applyAlignment="1">
      <alignment horizontal="left" indent="1"/>
    </xf>
    <xf numFmtId="9" fontId="50" fillId="17" borderId="32" xfId="68" applyNumberFormat="1" applyFont="1" applyFill="1" applyBorder="1" applyAlignment="1">
      <alignment horizontal="center"/>
    </xf>
    <xf numFmtId="168" fontId="2" fillId="18" borderId="0" xfId="72" applyNumberFormat="1" applyFill="1"/>
    <xf numFmtId="168" fontId="2" fillId="18" borderId="0" xfId="62" applyNumberFormat="1" applyFont="1" applyFill="1"/>
    <xf numFmtId="0" fontId="2" fillId="30" borderId="0" xfId="68" applyFont="1" applyFill="1" applyBorder="1" applyAlignment="1">
      <alignment horizontal="left" indent="1"/>
    </xf>
    <xf numFmtId="0" fontId="2" fillId="30" borderId="0" xfId="68" applyFont="1" applyFill="1"/>
    <xf numFmtId="9" fontId="2" fillId="30" borderId="0" xfId="68" applyNumberFormat="1" applyFont="1" applyFill="1" applyBorder="1" applyAlignment="1">
      <alignment horizontal="center"/>
    </xf>
    <xf numFmtId="3" fontId="2" fillId="18" borderId="0" xfId="72" applyNumberFormat="1" applyFill="1"/>
    <xf numFmtId="0" fontId="2" fillId="17" borderId="30" xfId="68" applyFont="1" applyFill="1" applyBorder="1"/>
    <xf numFmtId="0" fontId="2" fillId="17" borderId="11" xfId="68" applyFont="1" applyFill="1" applyBorder="1"/>
    <xf numFmtId="0" fontId="5" fillId="17" borderId="12" xfId="68" applyFont="1" applyFill="1" applyBorder="1" applyAlignment="1">
      <alignment horizontal="center"/>
    </xf>
    <xf numFmtId="0" fontId="2" fillId="30" borderId="0" xfId="68" applyFont="1" applyFill="1" applyBorder="1" applyAlignment="1">
      <alignment horizontal="left"/>
    </xf>
    <xf numFmtId="3" fontId="2" fillId="30" borderId="0" xfId="68" applyNumberFormat="1" applyFont="1" applyFill="1" applyBorder="1" applyAlignment="1">
      <alignment horizontal="center"/>
    </xf>
    <xf numFmtId="0" fontId="5" fillId="22" borderId="11" xfId="0" applyFont="1" applyFill="1" applyBorder="1" applyAlignment="1">
      <alignment horizontal="left"/>
    </xf>
    <xf numFmtId="0" fontId="5" fillId="22" borderId="0" xfId="0" applyFont="1" applyFill="1" applyBorder="1" applyAlignment="1">
      <alignment horizontal="left"/>
    </xf>
    <xf numFmtId="0" fontId="5" fillId="16" borderId="0" xfId="0" applyFont="1" applyFill="1" applyBorder="1" applyAlignment="1">
      <alignment horizontal="left"/>
    </xf>
    <xf numFmtId="0" fontId="2" fillId="22" borderId="0" xfId="0" applyFont="1" applyFill="1" applyBorder="1" applyAlignment="1">
      <alignment horizontal="left" indent="1"/>
    </xf>
    <xf numFmtId="0" fontId="2" fillId="22" borderId="0" xfId="0" applyFont="1" applyFill="1" applyBorder="1"/>
    <xf numFmtId="38" fontId="5" fillId="16" borderId="0" xfId="49" applyFont="1" applyFill="1" applyBorder="1" applyAlignment="1">
      <alignment horizontal="left" wrapText="1"/>
    </xf>
    <xf numFmtId="0" fontId="5" fillId="22" borderId="0" xfId="0" applyFont="1" applyFill="1" applyBorder="1"/>
    <xf numFmtId="38" fontId="2" fillId="16" borderId="0" xfId="48" applyNumberFormat="1" applyFont="1" applyFill="1" applyBorder="1" applyAlignment="1">
      <alignment horizontal="left" wrapText="1" indent="1"/>
    </xf>
    <xf numFmtId="165" fontId="31" fillId="0" borderId="0" xfId="55" applyNumberFormat="1" applyFont="1" applyFill="1" applyBorder="1" applyAlignment="1">
      <alignment horizontal="left" indent="2"/>
    </xf>
    <xf numFmtId="0" fontId="2" fillId="17" borderId="0" xfId="0" applyFont="1" applyFill="1" applyBorder="1"/>
    <xf numFmtId="0" fontId="5" fillId="17" borderId="0" xfId="0" applyFont="1" applyFill="1" applyBorder="1"/>
    <xf numFmtId="0" fontId="5" fillId="17" borderId="0" xfId="0" applyNumberFormat="1" applyFont="1" applyFill="1" applyBorder="1"/>
    <xf numFmtId="0" fontId="2" fillId="17" borderId="0" xfId="0" applyFont="1" applyFill="1" applyBorder="1" applyAlignment="1">
      <alignment horizontal="left" indent="1"/>
    </xf>
    <xf numFmtId="168" fontId="2" fillId="16" borderId="0" xfId="50" applyNumberFormat="1" applyFont="1" applyFill="1" applyBorder="1" applyAlignment="1">
      <alignment horizontal="left" wrapText="1" indent="2"/>
    </xf>
    <xf numFmtId="168" fontId="5" fillId="16" borderId="11" xfId="50" applyNumberFormat="1" applyFont="1" applyFill="1" applyBorder="1" applyAlignment="1">
      <alignment wrapText="1"/>
    </xf>
    <xf numFmtId="168" fontId="5" fillId="16" borderId="0" xfId="50" applyNumberFormat="1" applyFont="1" applyFill="1" applyBorder="1" applyAlignment="1">
      <alignment wrapText="1"/>
    </xf>
    <xf numFmtId="168" fontId="2" fillId="16" borderId="0" xfId="50" applyNumberFormat="1" applyFont="1" applyFill="1" applyBorder="1" applyAlignment="1">
      <alignment horizontal="left" wrapText="1" indent="1"/>
    </xf>
    <xf numFmtId="168" fontId="2" fillId="16" borderId="0" xfId="50" applyNumberFormat="1" applyFont="1" applyFill="1" applyBorder="1" applyAlignment="1">
      <alignment wrapText="1"/>
    </xf>
    <xf numFmtId="168" fontId="5" fillId="16" borderId="35" xfId="50" applyNumberFormat="1" applyFont="1" applyFill="1" applyBorder="1" applyAlignment="1">
      <alignment horizontal="left" wrapText="1"/>
    </xf>
    <xf numFmtId="167" fontId="5" fillId="16" borderId="0" xfId="50" applyNumberFormat="1" applyFont="1" applyFill="1" applyBorder="1" applyAlignment="1">
      <alignment horizontal="left" wrapText="1"/>
    </xf>
    <xf numFmtId="167" fontId="5" fillId="16" borderId="33" xfId="50" applyNumberFormat="1" applyFont="1" applyFill="1" applyBorder="1" applyAlignment="1">
      <alignment wrapText="1"/>
    </xf>
    <xf numFmtId="0" fontId="5" fillId="16" borderId="0" xfId="50" applyFont="1" applyFill="1" applyBorder="1" applyAlignment="1">
      <alignment horizontal="left" wrapText="1"/>
    </xf>
    <xf numFmtId="0" fontId="2" fillId="0" borderId="0" xfId="50" applyFont="1" applyFill="1" applyBorder="1" applyAlignment="1">
      <alignment horizontal="left" wrapText="1" indent="1"/>
    </xf>
    <xf numFmtId="0" fontId="2" fillId="0" borderId="33" xfId="50" applyFont="1" applyFill="1" applyBorder="1" applyAlignment="1">
      <alignment horizontal="left" wrapText="1" indent="1"/>
    </xf>
    <xf numFmtId="0" fontId="5" fillId="0" borderId="20" xfId="50" applyFont="1" applyFill="1" applyBorder="1" applyAlignment="1">
      <alignment horizontal="left" vertical="center" wrapText="1"/>
    </xf>
    <xf numFmtId="0" fontId="5" fillId="0" borderId="0" xfId="50" applyFont="1" applyFill="1" applyBorder="1" applyAlignment="1">
      <alignment wrapText="1"/>
    </xf>
    <xf numFmtId="0" fontId="5" fillId="0" borderId="11" xfId="50" applyFont="1" applyFill="1" applyBorder="1" applyAlignment="1">
      <alignment horizontal="left" vertical="center" wrapText="1"/>
    </xf>
    <xf numFmtId="0" fontId="5" fillId="0" borderId="0" xfId="50" applyFont="1" applyFill="1" applyBorder="1" applyAlignment="1">
      <alignment horizontal="left" wrapText="1"/>
    </xf>
    <xf numFmtId="0" fontId="5" fillId="16" borderId="11" xfId="50" applyFont="1" applyFill="1" applyBorder="1" applyAlignment="1">
      <alignment horizontal="left" vertical="center" wrapText="1"/>
    </xf>
    <xf numFmtId="0" fontId="5" fillId="16" borderId="0" xfId="50" applyFont="1" applyFill="1" applyBorder="1" applyAlignment="1">
      <alignment wrapText="1"/>
    </xf>
    <xf numFmtId="0" fontId="5" fillId="16" borderId="20" xfId="50" applyFont="1" applyFill="1" applyBorder="1" applyAlignment="1">
      <alignment horizontal="left" vertical="center" wrapText="1"/>
    </xf>
    <xf numFmtId="5" fontId="2" fillId="17" borderId="0" xfId="68" applyNumberFormat="1" applyFont="1" applyFill="1"/>
    <xf numFmtId="37" fontId="2" fillId="16" borderId="0" xfId="50" applyNumberFormat="1" applyFont="1" applyFill="1" applyBorder="1" applyAlignment="1"/>
    <xf numFmtId="38" fontId="37" fillId="16" borderId="0" xfId="49" applyFont="1" applyFill="1" applyBorder="1"/>
    <xf numFmtId="0" fontId="31" fillId="0" borderId="0" xfId="0" applyFont="1"/>
    <xf numFmtId="0" fontId="2" fillId="16" borderId="17" xfId="73" applyFill="1" applyBorder="1" applyAlignment="1">
      <alignment horizontal="center"/>
    </xf>
    <xf numFmtId="0" fontId="2" fillId="16" borderId="18" xfId="73" applyFill="1" applyBorder="1" applyAlignment="1">
      <alignment horizontal="center"/>
    </xf>
    <xf numFmtId="0" fontId="30" fillId="16" borderId="0" xfId="62" applyFont="1" applyFill="1" applyBorder="1" applyAlignment="1">
      <alignment horizontal="center"/>
    </xf>
    <xf numFmtId="0" fontId="30" fillId="16" borderId="23" xfId="62" applyFont="1" applyFill="1" applyBorder="1" applyAlignment="1">
      <alignment horizontal="center"/>
    </xf>
    <xf numFmtId="0" fontId="30" fillId="16" borderId="16" xfId="62" applyFont="1" applyFill="1" applyBorder="1" applyAlignment="1">
      <alignment horizontal="center"/>
    </xf>
    <xf numFmtId="0" fontId="30" fillId="16" borderId="19" xfId="62" applyFont="1" applyFill="1" applyBorder="1" applyAlignment="1">
      <alignment horizontal="center"/>
    </xf>
    <xf numFmtId="167" fontId="2" fillId="25" borderId="0" xfId="50" applyNumberFormat="1" applyFont="1" applyFill="1" applyBorder="1" applyAlignment="1">
      <alignment horizontal="left" wrapText="1" indent="1"/>
    </xf>
    <xf numFmtId="0" fontId="5" fillId="22" borderId="11" xfId="0" applyFont="1" applyFill="1" applyBorder="1"/>
    <xf numFmtId="0" fontId="5" fillId="16" borderId="11" xfId="48" applyFont="1" applyFill="1" applyBorder="1" applyAlignment="1">
      <alignment horizontal="left" wrapText="1"/>
    </xf>
    <xf numFmtId="170" fontId="2" fillId="17" borderId="0" xfId="0" applyNumberFormat="1" applyFont="1" applyFill="1" applyBorder="1" applyAlignment="1">
      <alignment horizontal="left" indent="1"/>
    </xf>
    <xf numFmtId="172" fontId="5" fillId="17" borderId="0" xfId="64" applyNumberFormat="1" applyFont="1" applyFill="1" applyBorder="1"/>
    <xf numFmtId="0" fontId="5" fillId="17" borderId="0" xfId="64" applyFont="1" applyFill="1" applyBorder="1"/>
    <xf numFmtId="0" fontId="5" fillId="21" borderId="31" xfId="64" applyFont="1" applyFill="1" applyBorder="1" applyAlignment="1">
      <alignment horizontal="center"/>
    </xf>
    <xf numFmtId="0" fontId="5" fillId="0" borderId="0" xfId="64" applyFont="1" applyBorder="1"/>
    <xf numFmtId="0" fontId="2" fillId="0" borderId="35" xfId="64" applyFont="1" applyBorder="1"/>
    <xf numFmtId="0" fontId="2" fillId="0" borderId="0" xfId="64" applyFont="1" applyBorder="1"/>
    <xf numFmtId="0" fontId="2" fillId="0" borderId="33" xfId="64" applyFont="1" applyBorder="1"/>
    <xf numFmtId="0" fontId="5" fillId="0" borderId="33" xfId="64" applyFont="1" applyBorder="1"/>
    <xf numFmtId="0" fontId="2" fillId="0" borderId="0" xfId="0" applyFont="1" applyBorder="1"/>
    <xf numFmtId="0" fontId="0" fillId="0" borderId="0" xfId="0" applyFill="1" applyBorder="1"/>
    <xf numFmtId="0" fontId="0" fillId="0" borderId="0" xfId="0" applyBorder="1"/>
    <xf numFmtId="0" fontId="2" fillId="16" borderId="0" xfId="50" applyFont="1" applyFill="1" applyBorder="1" applyAlignment="1">
      <alignment wrapText="1"/>
    </xf>
    <xf numFmtId="0" fontId="46" fillId="21" borderId="0" xfId="0" applyFont="1" applyFill="1" applyBorder="1"/>
    <xf numFmtId="0" fontId="31" fillId="16" borderId="0" xfId="50" applyFont="1" applyFill="1" applyBorder="1"/>
    <xf numFmtId="172" fontId="2" fillId="17" borderId="35" xfId="0" applyNumberFormat="1" applyFont="1" applyFill="1" applyBorder="1"/>
    <xf numFmtId="172" fontId="2" fillId="17" borderId="0" xfId="0" applyNumberFormat="1" applyFont="1" applyFill="1" applyBorder="1"/>
    <xf numFmtId="168" fontId="2" fillId="17" borderId="0" xfId="0" applyNumberFormat="1" applyFont="1" applyFill="1" applyBorder="1"/>
    <xf numFmtId="168" fontId="2" fillId="17" borderId="33" xfId="0" applyNumberFormat="1" applyFont="1" applyFill="1" applyBorder="1"/>
    <xf numFmtId="168" fontId="2" fillId="17" borderId="35" xfId="0" applyNumberFormat="1" applyFont="1" applyFill="1" applyBorder="1"/>
    <xf numFmtId="37" fontId="2" fillId="17" borderId="0" xfId="0" applyNumberFormat="1" applyFont="1" applyFill="1" applyBorder="1" applyAlignment="1"/>
    <xf numFmtId="0" fontId="2" fillId="17" borderId="0" xfId="0" applyFont="1" applyFill="1" applyBorder="1" applyAlignment="1">
      <alignment horizontal="left"/>
    </xf>
    <xf numFmtId="170" fontId="2" fillId="17" borderId="33" xfId="0" applyNumberFormat="1" applyFont="1" applyFill="1" applyBorder="1"/>
    <xf numFmtId="172" fontId="5" fillId="17" borderId="35" xfId="0" applyNumberFormat="1" applyFont="1" applyFill="1" applyBorder="1"/>
    <xf numFmtId="172" fontId="5" fillId="17" borderId="33" xfId="0" applyNumberFormat="1" applyFont="1" applyFill="1" applyBorder="1"/>
    <xf numFmtId="0" fontId="5" fillId="27" borderId="0" xfId="0" applyFont="1" applyFill="1" applyBorder="1"/>
    <xf numFmtId="0" fontId="5" fillId="17" borderId="35" xfId="0" applyFont="1" applyFill="1" applyBorder="1"/>
    <xf numFmtId="168" fontId="5" fillId="17" borderId="33" xfId="0" applyNumberFormat="1" applyFont="1" applyFill="1" applyBorder="1"/>
    <xf numFmtId="167" fontId="5" fillId="16" borderId="0" xfId="50" applyNumberFormat="1" applyFont="1" applyFill="1" applyBorder="1" applyAlignment="1">
      <alignment wrapText="1"/>
    </xf>
    <xf numFmtId="167" fontId="2" fillId="16" borderId="0" xfId="50" applyNumberFormat="1" applyFont="1" applyFill="1" applyBorder="1" applyAlignment="1">
      <alignment wrapText="1"/>
    </xf>
    <xf numFmtId="167" fontId="31" fillId="16" borderId="0" xfId="50" applyNumberFormat="1" applyFont="1" applyFill="1" applyBorder="1"/>
    <xf numFmtId="168" fontId="2" fillId="17" borderId="35" xfId="65" applyNumberFormat="1" applyFont="1" applyFill="1" applyBorder="1"/>
    <xf numFmtId="168" fontId="2" fillId="17" borderId="0" xfId="65" applyNumberFormat="1" applyFont="1" applyFill="1" applyBorder="1"/>
    <xf numFmtId="170" fontId="2" fillId="17" borderId="0" xfId="47" applyNumberFormat="1" applyFont="1" applyFill="1" applyBorder="1"/>
    <xf numFmtId="7" fontId="2" fillId="17" borderId="0" xfId="47" applyNumberFormat="1" applyFont="1" applyFill="1" applyBorder="1"/>
    <xf numFmtId="168" fontId="2" fillId="17" borderId="0" xfId="47" applyNumberFormat="1" applyFont="1" applyFill="1" applyBorder="1"/>
    <xf numFmtId="170" fontId="2" fillId="17" borderId="33" xfId="47" applyNumberFormat="1" applyFont="1" applyFill="1" applyBorder="1"/>
    <xf numFmtId="168" fontId="31" fillId="17" borderId="0" xfId="47" applyNumberFormat="1" applyFont="1" applyFill="1" applyBorder="1"/>
    <xf numFmtId="172" fontId="5" fillId="17" borderId="33" xfId="47" applyNumberFormat="1" applyFont="1" applyFill="1" applyBorder="1"/>
    <xf numFmtId="172" fontId="5" fillId="17" borderId="0" xfId="47" applyNumberFormat="1" applyFont="1" applyFill="1" applyBorder="1"/>
    <xf numFmtId="0" fontId="49" fillId="17" borderId="0" xfId="0" applyFont="1" applyFill="1" applyBorder="1"/>
    <xf numFmtId="0" fontId="50" fillId="0" borderId="0" xfId="0" applyFont="1"/>
    <xf numFmtId="0" fontId="2" fillId="0" borderId="0" xfId="96"/>
    <xf numFmtId="0" fontId="55" fillId="24" borderId="0" xfId="64" applyFont="1" applyFill="1" applyBorder="1" applyAlignment="1">
      <alignment horizontal="left" vertical="center"/>
    </xf>
    <xf numFmtId="0" fontId="55" fillId="24" borderId="26" xfId="64" applyFont="1" applyFill="1" applyBorder="1" applyAlignment="1">
      <alignment horizontal="left" vertical="center"/>
    </xf>
    <xf numFmtId="0" fontId="2" fillId="18" borderId="0" xfId="97" applyFont="1" applyFill="1" applyAlignment="1">
      <alignment vertical="top"/>
    </xf>
    <xf numFmtId="0" fontId="2" fillId="18" borderId="0" xfId="96" applyFill="1" applyAlignment="1">
      <alignment vertical="top"/>
    </xf>
    <xf numFmtId="0" fontId="2" fillId="18" borderId="0" xfId="96" applyFill="1"/>
    <xf numFmtId="0" fontId="28" fillId="18" borderId="0" xfId="97" applyFont="1" applyFill="1" applyAlignment="1">
      <alignment horizontal="left" vertical="top"/>
    </xf>
    <xf numFmtId="0" fontId="2" fillId="18" borderId="0" xfId="96" applyFont="1" applyFill="1" applyAlignment="1">
      <alignment vertical="top"/>
    </xf>
    <xf numFmtId="0" fontId="31" fillId="18" borderId="0" xfId="97" applyFont="1" applyFill="1" applyAlignment="1">
      <alignment vertical="top"/>
    </xf>
    <xf numFmtId="0" fontId="0" fillId="18" borderId="0" xfId="0" applyFill="1" applyAlignment="1">
      <alignment vertical="top"/>
    </xf>
    <xf numFmtId="0" fontId="59" fillId="18" borderId="0" xfId="0" applyFont="1" applyFill="1" applyAlignment="1">
      <alignment vertical="top"/>
    </xf>
    <xf numFmtId="0" fontId="60" fillId="18" borderId="0" xfId="0" applyFont="1" applyFill="1" applyAlignment="1">
      <alignment vertical="top"/>
    </xf>
    <xf numFmtId="0" fontId="60" fillId="18" borderId="0" xfId="0" applyFont="1" applyFill="1" applyAlignment="1">
      <alignment vertical="top"/>
    </xf>
    <xf numFmtId="0" fontId="59" fillId="18" borderId="0" xfId="0" applyFont="1" applyFill="1" applyAlignment="1">
      <alignment vertical="top"/>
    </xf>
    <xf numFmtId="0" fontId="0" fillId="18" borderId="0" xfId="0" applyFill="1" applyAlignment="1">
      <alignment vertical="top"/>
    </xf>
    <xf numFmtId="0" fontId="0" fillId="18" borderId="40" xfId="0" applyFill="1" applyBorder="1" applyAlignment="1">
      <alignment vertical="top"/>
    </xf>
    <xf numFmtId="0" fontId="59" fillId="18" borderId="36" xfId="0" applyFont="1" applyFill="1" applyBorder="1" applyAlignment="1">
      <alignment vertical="top"/>
    </xf>
    <xf numFmtId="0" fontId="59" fillId="18" borderId="37" xfId="0" applyFont="1" applyFill="1" applyBorder="1" applyAlignment="1">
      <alignment vertical="top"/>
    </xf>
    <xf numFmtId="0" fontId="59" fillId="18" borderId="38" xfId="0" applyFont="1" applyFill="1" applyBorder="1" applyAlignment="1">
      <alignment vertical="top"/>
    </xf>
    <xf numFmtId="0" fontId="59" fillId="18" borderId="39" xfId="0" applyFont="1" applyFill="1" applyBorder="1" applyAlignment="1">
      <alignment vertical="top"/>
    </xf>
    <xf numFmtId="9" fontId="59" fillId="18" borderId="36" xfId="0" applyNumberFormat="1" applyFont="1" applyFill="1" applyBorder="1" applyAlignment="1">
      <alignment vertical="top"/>
    </xf>
    <xf numFmtId="3" fontId="59" fillId="18" borderId="36" xfId="0" applyNumberFormat="1" applyFont="1" applyFill="1" applyBorder="1" applyAlignment="1">
      <alignment vertical="top"/>
    </xf>
    <xf numFmtId="0" fontId="0" fillId="18" borderId="41" xfId="0" applyFill="1" applyBorder="1" applyAlignment="1">
      <alignment vertical="top"/>
    </xf>
    <xf numFmtId="2" fontId="2" fillId="0" borderId="0" xfId="96" applyNumberFormat="1" applyAlignment="1">
      <alignment horizontal="left"/>
    </xf>
    <xf numFmtId="0" fontId="2" fillId="0" borderId="0" xfId="96" applyNumberFormat="1" applyAlignment="1">
      <alignment horizontal="left"/>
    </xf>
    <xf numFmtId="1" fontId="2" fillId="0" borderId="0" xfId="96" applyNumberFormat="1" applyAlignment="1">
      <alignment horizontal="left"/>
    </xf>
    <xf numFmtId="0" fontId="2" fillId="0" borderId="0" xfId="96" applyFont="1"/>
    <xf numFmtId="192" fontId="2" fillId="0" borderId="0" xfId="96" applyNumberFormat="1" applyAlignment="1">
      <alignment horizontal="left"/>
    </xf>
    <xf numFmtId="49" fontId="2" fillId="0" borderId="0" xfId="96" applyNumberFormat="1"/>
  </cellXfs>
  <cellStyles count="98">
    <cellStyle name=" 1" xfId="1"/>
    <cellStyle name=" 1 2" xfId="75"/>
    <cellStyle name=" 1 3" xfId="74"/>
    <cellStyle name=" 2" xfId="76"/>
    <cellStyle name=" 2 2" xfId="77"/>
    <cellStyle name="_Balance Sheet " xfId="90"/>
    <cellStyle name="_BS " xfId="78"/>
    <cellStyle name="_DCF " xfId="79"/>
    <cellStyle name="_SUMMARY " xfId="2"/>
    <cellStyle name="0_Annual-VRTX " xfId="3"/>
    <cellStyle name="0_Capex &amp; Depreciation " xfId="4"/>
    <cellStyle name="0_OMV EP 2000-2015 Consolidated " xfId="80"/>
    <cellStyle name="0_P&amp;L-adj " xfId="5"/>
    <cellStyle name="0_Quarterly " xfId="6"/>
    <cellStyle name="0_Quarterly-ITMN " xfId="7"/>
    <cellStyle name="0_Valuing BP " xfId="8"/>
    <cellStyle name="20% - Accent1" xfId="9" builtinId="30" customBuiltin="1"/>
    <cellStyle name="20% - Accent2" xfId="10" builtinId="34" customBuiltin="1"/>
    <cellStyle name="20% - Accent3" xfId="11" builtinId="38" customBuiltin="1"/>
    <cellStyle name="20% - Accent4" xfId="12" builtinId="42" customBuiltin="1"/>
    <cellStyle name="20% - Accent5" xfId="13" builtinId="46" customBuiltin="1"/>
    <cellStyle name="20% - Accent6" xfId="14" builtinId="50" customBuiltin="1"/>
    <cellStyle name="40% - Accent1" xfId="15" builtinId="31" customBuiltin="1"/>
    <cellStyle name="40% - Accent2" xfId="16" builtinId="35" customBuiltin="1"/>
    <cellStyle name="40% - Accent3" xfId="17" builtinId="39" customBuiltin="1"/>
    <cellStyle name="40% - Accent4" xfId="18" builtinId="43" customBuiltin="1"/>
    <cellStyle name="40% - Accent5" xfId="19" builtinId="47" customBuiltin="1"/>
    <cellStyle name="40% - Accent6" xfId="20" builtinId="51" customBuiltin="1"/>
    <cellStyle name="60% - Accent1" xfId="21" builtinId="32" customBuiltin="1"/>
    <cellStyle name="60% - Accent2" xfId="22" builtinId="36" customBuiltin="1"/>
    <cellStyle name="60% - Accent3" xfId="23" builtinId="40" customBuiltin="1"/>
    <cellStyle name="60% - Accent4" xfId="24" builtinId="44" customBuiltin="1"/>
    <cellStyle name="60% - Accent5" xfId="25" builtinId="48" customBuiltin="1"/>
    <cellStyle name="60% - Accent6" xfId="26" builtinId="52" customBuiltin="1"/>
    <cellStyle name="Accent1" xfId="27" builtinId="29" customBuiltin="1"/>
    <cellStyle name="Accent2" xfId="28" builtinId="33" customBuiltin="1"/>
    <cellStyle name="Accent3" xfId="29" builtinId="37" customBuiltin="1"/>
    <cellStyle name="Accent4" xfId="30" builtinId="41" customBuiltin="1"/>
    <cellStyle name="Accent5" xfId="31" builtinId="45" customBuiltin="1"/>
    <cellStyle name="Accent6" xfId="32" builtinId="49" customBuiltin="1"/>
    <cellStyle name="ÅëÈ­ [0]_cover " xfId="81"/>
    <cellStyle name="ÅëÈ­_cover " xfId="82"/>
    <cellStyle name="ÄÞ¸¶ [0]_cover " xfId="83"/>
    <cellStyle name="ÄÞ¸¶_cover " xfId="84"/>
    <cellStyle name="Bad" xfId="33" builtinId="27" customBuiltin="1"/>
    <cellStyle name="c_HardInc " xfId="34"/>
    <cellStyle name="C￥AØ_¿μ¾÷CoE² " xfId="85"/>
    <cellStyle name="Ç¥ÁØ_cover " xfId="86"/>
    <cellStyle name="Calculation" xfId="35" builtinId="22" customBuiltin="1"/>
    <cellStyle name="Check Cell" xfId="36" builtinId="23" customBuiltin="1"/>
    <cellStyle name="Comma" xfId="37" builtinId="3"/>
    <cellStyle name="Comma 2" xfId="65"/>
    <cellStyle name="Currency 2" xfId="92"/>
    <cellStyle name="Currency 3" xfId="93"/>
    <cellStyle name="Currency 4" xfId="67"/>
    <cellStyle name="Explanatory Text" xfId="38" builtinId="53" customBuiltin="1"/>
    <cellStyle name="Good" xfId="39" builtinId="26" customBuiltin="1"/>
    <cellStyle name="Heading 1" xfId="40" builtinId="16" customBuiltin="1"/>
    <cellStyle name="Heading 2" xfId="41" builtinId="17" customBuiltin="1"/>
    <cellStyle name="Heading 3" xfId="42" builtinId="18" customBuiltin="1"/>
    <cellStyle name="Heading 4" xfId="43" builtinId="19" customBuiltin="1"/>
    <cellStyle name="Hyperlink 2" xfId="94"/>
    <cellStyle name="Input" xfId="44" builtinId="20" customBuiltin="1"/>
    <cellStyle name="Linked Cell" xfId="45" builtinId="24" customBuiltin="1"/>
    <cellStyle name="Neutral" xfId="46" builtinId="28" customBuiltin="1"/>
    <cellStyle name="Normal" xfId="0" builtinId="0"/>
    <cellStyle name="Normal 2" xfId="96"/>
    <cellStyle name="Normal 2 2" xfId="68"/>
    <cellStyle name="Normal 3" xfId="64"/>
    <cellStyle name="Normal 3 2" xfId="95"/>
    <cellStyle name="Normal 3 2 2" xfId="73"/>
    <cellStyle name="Normal 3 3" xfId="62"/>
    <cellStyle name="Normal 4" xfId="69"/>
    <cellStyle name="Normal 5" xfId="70"/>
    <cellStyle name="Normal 6 2" xfId="72"/>
    <cellStyle name="Normal 9" xfId="71"/>
    <cellStyle name="Normal_AMGN" xfId="47"/>
    <cellStyle name="Normal_DisclaimerSheet Samples" xfId="97"/>
    <cellStyle name="Normal_Gilead_MW" xfId="48"/>
    <cellStyle name="Normal_MICU110404" xfId="49"/>
    <cellStyle name="Normal_NBIX" xfId="50"/>
    <cellStyle name="Note" xfId="51" builtinId="10" customBuiltin="1"/>
    <cellStyle name="Output" xfId="52" builtinId="21" customBuiltin="1"/>
    <cellStyle name="p " xfId="53"/>
    <cellStyle name="Percent" xfId="54" builtinId="5"/>
    <cellStyle name="Percent 2 2" xfId="63"/>
    <cellStyle name="Percent 5" xfId="66"/>
    <cellStyle name="Percent_MICU110404" xfId="55"/>
    <cellStyle name="RRSInstruction" xfId="91"/>
    <cellStyle name="s_HardInc " xfId="56"/>
    <cellStyle name="s_Valuation " xfId="57"/>
    <cellStyle name="ssp " xfId="58"/>
    <cellStyle name="Title" xfId="59" builtinId="15" customBuiltin="1"/>
    <cellStyle name="Total" xfId="60" builtinId="25" customBuiltin="1"/>
    <cellStyle name="Warning Text" xfId="61" builtinId="11" customBuiltin="1"/>
    <cellStyle name="콤마 [0]_ 2팀층별 " xfId="87"/>
    <cellStyle name="콤마_ 2팀층별 " xfId="88"/>
    <cellStyle name="표준_0N-HANDLING " xfId="89"/>
  </cellStyles>
  <dxfs count="0"/>
  <tableStyles count="0" defaultTableStyle="TableStyleMedium2" defaultPivotStyle="PivotStyleLight16"/>
  <colors>
    <mruColors>
      <color rgb="FF00FF00"/>
      <color rgb="FFFF7C80"/>
      <color rgb="FFBFEBFF"/>
      <color rgb="FFFFFFCC"/>
      <color rgb="FF257BAF"/>
      <color rgb="FF0000FF"/>
      <color rgb="FFFFFF99"/>
      <color rgb="FF65D6A0"/>
      <color rgb="FF006393"/>
      <color rgb="FF66FFCC"/>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pldatasource.trrtdserver">
      <tp>
        <v>38.687608888888903</v>
        <stp/>
        <stp>{5B7930B5-EDE5-4222-A8F0-EA6620187ADD}_x0000_</stp>
        <tr r="F48" s="11"/>
      </tp>
      <tp t="s">
        <v>USD</v>
        <stp/>
        <stp>{7101EDB9-5280-4BDD-AD3B-9F09DF93185D}_x0000_</stp>
        <tr r="AF2" s="11"/>
      </tp>
      <tp t="s">
        <v>-</v>
        <stp/>
        <stp>{51E9AD92-5E6F-4B0D-81CA-5A3A578E6D2D}_x0000_</stp>
        <tr r="D48" s="11"/>
      </tp>
      <tp t="s">
        <v>-</v>
        <stp/>
        <stp>{CFC27E64-E806-42FC-B672-550BD007DCD0}_x0000_</stp>
        <tr r="E48" s="11"/>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externalLinks/externalLink1.xml" Type="http://schemas.openxmlformats.org/officeDocument/2006/relationships/externalLink"/>
<Relationship Id="rId11" Target="externalLinks/externalLink2.xml" Type="http://schemas.openxmlformats.org/officeDocument/2006/relationships/externalLink"/>
<Relationship Id="rId12" Target="externalLinks/externalLink3.xml" Type="http://schemas.openxmlformats.org/officeDocument/2006/relationships/externalLink"/>
<Relationship Id="rId13" Target="externalLinks/externalLink4.xml" Type="http://schemas.openxmlformats.org/officeDocument/2006/relationships/externalLink"/>
<Relationship Id="rId14" Target="externalLinks/externalLink5.xml" Type="http://schemas.openxmlformats.org/officeDocument/2006/relationships/externalLink"/>
<Relationship Id="rId15" Target="externalLinks/externalLink6.xml" Type="http://schemas.openxmlformats.org/officeDocument/2006/relationships/externalLink"/>
<Relationship Id="rId16" Target="externalLinks/externalLink7.xml" Type="http://schemas.openxmlformats.org/officeDocument/2006/relationships/externalLink"/>
<Relationship Id="rId17" Target="theme/theme1.xml" Type="http://schemas.openxmlformats.org/officeDocument/2006/relationships/theme"/>
<Relationship Id="rId18" Target="styles.xml" Type="http://schemas.openxmlformats.org/officeDocument/2006/relationships/styles"/>
<Relationship Id="rId19" Target="sharedStrings.xml" Type="http://schemas.openxmlformats.org/officeDocument/2006/relationships/sharedStrings"/>
<Relationship Id="rId2" Target="worksheets/sheet2.xml" Type="http://schemas.openxmlformats.org/officeDocument/2006/relationships/worksheet"/>
<Relationship Id="rId20" Target="calcChain.xml" Type="http://schemas.openxmlformats.org/officeDocument/2006/relationships/calcChain"/>
<Relationship Id="rId21" Target="../customXml/item1.xml" Type="http://schemas.openxmlformats.org/officeDocument/2006/relationships/customXml"/>
<Relationship Id="rId22" Target="../customXml/item2.xml" Type="http://schemas.openxmlformats.org/officeDocument/2006/relationships/customXml"/>
<Relationship Id="rId23" Target="volatileDependencies.xml" Type="http://schemas.openxmlformats.org/officeDocument/2006/relationships/volatileDependencies"/>
<Relationship Id="rId24"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165</xdr:row>
      <xdr:rowOff>0</xdr:rowOff>
    </xdr:from>
    <xdr:to>
      <xdr:col>7</xdr:col>
      <xdr:colOff>390525</xdr:colOff>
      <xdr:row>188</xdr:row>
      <xdr:rowOff>104775</xdr:rowOff>
    </xdr:to>
    <xdr:pic>
      <xdr:nvPicPr>
        <xdr:cNvPr id="146433" name="Picture 1" descr="C:\Users\lebowdav\AppData\Local\Temp\MercuryPriceRatingHistoryChart\AVXS.O_2018_03_05_08_20_2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53460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HEALTH/Pharma/Risinger/models/LLY/LLYwk.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HEALTH/HarrS/Companies/GENZ/Models/DNA_041206.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HEALTH/HarrS/Companies/AMGN/Models/AMGN_051506.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6.xml.rels><?xml version="1.0" encoding="UTF-8" standalone="yes"?>
<Relationships xmlns="http://schemas.openxmlformats.org/package/2006/relationships">
<Relationship Id="rId1" Target="file://///server/DB/US%20infra%20SW/akshay/WEBM/Documents%20and%20Settings/akshayn/Local%20Settings/Temporary%20Internet%20Files/OLKC5/traker1/Industry%20Comps/Security_Comparable_Large.xls" TargetMode="External" Type="http://schemas.openxmlformats.org/officeDocument/2006/relationships/externalLinkPath"/>
</Relationships>

</file>

<file path=xl/externalLinks/_rels/externalLink7.xml.rels><?xml version="1.0" encoding="UTF-8" standalone="yes"?>
<Relationships xmlns="http://schemas.openxmlformats.org/package/2006/relationships">
<Relationship Id="rId1" Target="health/RubinJ/Company/WLA/WLAwork1.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RI"/>
      <sheetName val="BULLBEAR"/>
      <sheetName val="Sheet2"/>
      <sheetName val="DCF"/>
      <sheetName val="MWA RR"/>
      <sheetName val="Cash Flow"/>
      <sheetName val="upside_downside"/>
      <sheetName val="Income Statement"/>
      <sheetName val="Balance Sheet"/>
      <sheetName val="REVENUE BY GEOGRAPHY"/>
      <sheetName val="NonQtr"/>
      <sheetName val="Data 20d"/>
      <sheetName val="Data"/>
      <sheetName val="Risk-Reward_View_Chart"/>
      <sheetName val="Valsum"/>
      <sheetName val="Interims"/>
      <sheetName val="Financial Statements"/>
      <sheetName val="Good 12-00 (2)"/>
      <sheetName val="Good 11-36"/>
      <sheetName val="Good 11-50"/>
      <sheetName val="Sheet3 (5)"/>
      <sheetName val="Inputs"/>
      <sheetName val="FX"/>
      <sheetName val="Summary"/>
      <sheetName val="Floater Demand"/>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rev change analysis"/>
      <sheetName val="rev contribution analysis"/>
      <sheetName val="WP Detail "/>
      <sheetName val="Model"/>
      <sheetName val="Sheet4"/>
      <sheetName val="ForeignStake"/>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Basket_June09_2010"/>
      <sheetName val="C1070"/>
      <sheetName val="Basket_Jan09"/>
      <sheetName val="Basket_2010"/>
      <sheetName val="Inflation v Price 6mth lag"/>
      <sheetName val="Basket_2011"/>
      <sheetName val="Basket_June09"/>
      <sheetName val="Basket_June09_Futures"/>
      <sheetName val="Commodities Exposure"/>
      <sheetName val=" Capital"/>
      <sheetName val="New Business"/>
      <sheetName val="Charts"/>
      <sheetName val="Pension"/>
      <sheetName val="Walk"/>
      <sheetName val="Chart 6"/>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summary"/>
      <sheetName val="consensus"/>
      <sheetName val="Gaap Adj"/>
      <sheetName val="COVER SHEET"/>
      <sheetName val="MW-Cache"/>
      <sheetName val="__FDSCACHE__"/>
      <sheetName val="IS-ANNUAL"/>
      <sheetName val="IS-QTRLY"/>
      <sheetName val="REV-ANNUAL"/>
      <sheetName val="REV-QTRLY"/>
      <sheetName val="SEL_FRANCHISES"/>
      <sheetName val="CFBS"/>
      <sheetName val="FOOTNOTES"/>
      <sheetName val="AGREEMENTS"/>
      <sheetName val="MGMT PROJECTIONS"/>
      <sheetName val="PIPELINE"/>
      <sheetName val="PIPELINE_UNADJ"/>
      <sheetName val="DCF"/>
      <sheetName val="DEBT"/>
      <sheetName val="patent expirations"/>
      <sheetName val="Var-YOY"/>
      <sheetName val="Var-Seq"/>
      <sheetName val="revenue snapshot"/>
      <sheetName val="rev contribution analysis"/>
      <sheetName val="rev change analysis"/>
      <sheetName val="2015 rev change"/>
      <sheetName val="MWA RR"/>
      <sheetName val="mwareDates"/>
      <sheetName val="MW Valuation"/>
      <sheetName val="mwareSettings"/>
      <sheetName val="ANOMALIES"/>
      <sheetName val="ASSUMPTIONS"/>
      <sheetName val="2008 pro forma EPS (wIMCL)"/>
      <sheetName val="prasugrel sales potential"/>
      <sheetName val="prasugrel npv"/>
      <sheetName val="Cialis JV"/>
      <sheetName val="tabs"/>
      <sheetName val="pipeline_summary"/>
      <sheetName val="C38001"/>
      <sheetName val="C3800"/>
      <sheetName val="Product Mix"/>
      <sheetName val="calendar"/>
      <sheetName val="patents"/>
      <sheetName val="launches"/>
      <sheetName val="pipeline handout"/>
      <sheetName val="FCF vs Guidance"/>
      <sheetName val="#REF"/>
      <sheetName val="diabetes_multiple"/>
      <sheetName val="TR Convert"/>
      <sheetName val="Annual"/>
      <sheetName val="Becker"/>
      <sheetName val="HGSI"/>
      <sheetName val="Partnerships"/>
    </sheetNames>
    <sheetDataSet>
      <sheetData sheetId="0" refreshError="1"/>
      <sheetData sheetId="1">
        <row r="1">
          <cell r="B1" t="str">
            <v>Eli Lilly &amp; Co.</v>
          </cell>
        </row>
      </sheetData>
      <sheetData sheetId="2"/>
      <sheetData sheetId="3"/>
      <sheetData sheetId="4"/>
      <sheetData sheetId="5"/>
      <sheetData sheetId="6"/>
      <sheetData sheetId="7" refreshError="1"/>
      <sheetData sheetId="8"/>
      <sheetData sheetId="9" refreshError="1"/>
      <sheetData sheetId="10"/>
      <sheetData sheetId="11"/>
      <sheetData sheetId="12"/>
      <sheetData sheetId="13" refreshError="1"/>
      <sheetData sheetId="14" refreshError="1"/>
      <sheetData sheetId="15"/>
      <sheetData sheetId="16"/>
      <sheetData sheetId="17"/>
      <sheetData sheetId="18" refreshError="1"/>
      <sheetData sheetId="19"/>
      <sheetData sheetId="20"/>
      <sheetData sheetId="21"/>
      <sheetData sheetId="22"/>
      <sheetData sheetId="23"/>
      <sheetData sheetId="24" refreshError="1">
        <row r="1">
          <cell r="U1" t="str">
            <v>SmartCharts</v>
          </cell>
          <cell r="BD1" t="str">
            <v>.</v>
          </cell>
        </row>
        <row r="2">
          <cell r="BD2" t="str">
            <v>.</v>
          </cell>
        </row>
        <row r="3">
          <cell r="BD3" t="str">
            <v>.</v>
          </cell>
        </row>
        <row r="4">
          <cell r="BD4" t="str">
            <v>.</v>
          </cell>
        </row>
        <row r="5">
          <cell r="C5" t="str">
            <v>Define value axis here:</v>
          </cell>
        </row>
        <row r="6">
          <cell r="C6" t="str">
            <v>Eli Lilly revenue contributions 2010E-2015E</v>
          </cell>
        </row>
        <row r="10">
          <cell r="C10" t="str">
            <v>Input your data here:</v>
          </cell>
          <cell r="BD10" t="str">
            <v>.</v>
          </cell>
        </row>
        <row r="11">
          <cell r="C11" t="str">
            <v>Sales ($M)</v>
          </cell>
          <cell r="D11" t="str">
            <v>2010E</v>
          </cell>
          <cell r="E11" t="str">
            <v>2011E</v>
          </cell>
          <cell r="F11" t="str">
            <v>2012E</v>
          </cell>
          <cell r="G11" t="str">
            <v>2013E</v>
          </cell>
          <cell r="H11" t="str">
            <v>2014E</v>
          </cell>
          <cell r="I11" t="str">
            <v>2015E</v>
          </cell>
          <cell r="BD11" t="str">
            <v>.</v>
          </cell>
        </row>
        <row r="12">
          <cell r="C12" t="str">
            <v>In-line products</v>
          </cell>
          <cell r="D12">
            <v>8741.7301775000014</v>
          </cell>
          <cell r="E12">
            <v>9422.206420550001</v>
          </cell>
          <cell r="F12">
            <v>9908.4720542889991</v>
          </cell>
          <cell r="G12">
            <v>10300.675416810274</v>
          </cell>
          <cell r="H12">
            <v>10709.128179281421</v>
          </cell>
          <cell r="I12">
            <v>10990.829805762725</v>
          </cell>
          <cell r="BD12" t="str">
            <v>.</v>
          </cell>
        </row>
        <row r="13">
          <cell r="C13" t="str">
            <v>Pipeline products launching 2010–2015</v>
          </cell>
          <cell r="D13">
            <v>141.25</v>
          </cell>
          <cell r="E13">
            <v>332.1875</v>
          </cell>
          <cell r="F13">
            <v>643.02499999999986</v>
          </cell>
          <cell r="G13">
            <v>1188.9100000000001</v>
          </cell>
          <cell r="H13">
            <v>2060.8072999999999</v>
          </cell>
          <cell r="I13">
            <v>3252.5061575</v>
          </cell>
          <cell r="BD13" t="str">
            <v>.</v>
          </cell>
        </row>
        <row r="14">
          <cell r="C14" t="str">
            <v>Products expiring 2010–2015</v>
          </cell>
          <cell r="D14">
            <v>13516.758760000001</v>
          </cell>
          <cell r="E14">
            <v>13145.262609800002</v>
          </cell>
          <cell r="F14">
            <v>10919.249930854003</v>
          </cell>
          <cell r="G14">
            <v>10206.164042898221</v>
          </cell>
          <cell r="H14">
            <v>7639.4611699592915</v>
          </cell>
          <cell r="I14">
            <v>5257.1242554678174</v>
          </cell>
          <cell r="BD14" t="str">
            <v>.</v>
          </cell>
        </row>
        <row r="15">
          <cell r="C15" t="str">
            <v>Δ in expiring products off 2010 base</v>
          </cell>
          <cell r="D15">
            <v>0</v>
          </cell>
          <cell r="E15">
            <v>-371.49615019999874</v>
          </cell>
          <cell r="F15">
            <v>-2597.5088291459979</v>
          </cell>
          <cell r="G15">
            <v>-3310.5947171017797</v>
          </cell>
          <cell r="H15">
            <v>-5877.2975900407091</v>
          </cell>
          <cell r="I15">
            <v>-8259.6345045321832</v>
          </cell>
          <cell r="BD15" t="str">
            <v>.</v>
          </cell>
        </row>
        <row r="16">
          <cell r="C16" t="str">
            <v>Net product sales</v>
          </cell>
          <cell r="D16">
            <v>22399.738937500002</v>
          </cell>
          <cell r="E16">
            <v>22899.656530350003</v>
          </cell>
          <cell r="F16">
            <v>21470.746985143003</v>
          </cell>
          <cell r="G16">
            <v>21695.749459708495</v>
          </cell>
          <cell r="H16">
            <v>20409.396649240713</v>
          </cell>
          <cell r="I16">
            <v>19500.460218730543</v>
          </cell>
          <cell r="BD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BD996" t="str">
            <v>.</v>
          </cell>
        </row>
        <row r="997">
          <cell r="A997" t="str">
            <v>.</v>
          </cell>
          <cell r="B997" t="str">
            <v>.</v>
          </cell>
          <cell r="C997" t="str">
            <v>.</v>
          </cell>
          <cell r="D997" t="str">
            <v>.</v>
          </cell>
          <cell r="E997" t="str">
            <v>.</v>
          </cell>
          <cell r="F997" t="str">
            <v>.</v>
          </cell>
          <cell r="G997" t="str">
            <v>.</v>
          </cell>
          <cell r="H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5" refreshError="1">
        <row r="1">
          <cell r="U1" t="str">
            <v>SmartCharts</v>
          </cell>
          <cell r="BD1" t="str">
            <v>.</v>
          </cell>
        </row>
        <row r="2">
          <cell r="BD2" t="str">
            <v>.</v>
          </cell>
        </row>
        <row r="3">
          <cell r="BD3" t="str">
            <v>.</v>
          </cell>
        </row>
        <row r="4">
          <cell r="BD4" t="str">
            <v>.</v>
          </cell>
        </row>
        <row r="5">
          <cell r="C5" t="str">
            <v>Define value axis here:</v>
          </cell>
        </row>
        <row r="6">
          <cell r="C6" t="str">
            <v>Eli Lilly YOY revenue change 2010E-2015E</v>
          </cell>
        </row>
        <row r="10">
          <cell r="C10" t="str">
            <v>Input your data here:</v>
          </cell>
          <cell r="BD10" t="str">
            <v>.</v>
          </cell>
        </row>
        <row r="11">
          <cell r="C11" t="str">
            <v>Sales ($M)</v>
          </cell>
          <cell r="D11" t="str">
            <v>2011E</v>
          </cell>
          <cell r="E11" t="str">
            <v>2012E</v>
          </cell>
          <cell r="F11" t="str">
            <v>2013E</v>
          </cell>
          <cell r="G11" t="str">
            <v>2014E</v>
          </cell>
          <cell r="H11" t="str">
            <v>2015E</v>
          </cell>
          <cell r="BC11" t="str">
            <v>.</v>
          </cell>
        </row>
        <row r="12">
          <cell r="C12" t="str">
            <v>In-line products</v>
          </cell>
          <cell r="D12">
            <v>680.47624304999954</v>
          </cell>
          <cell r="E12">
            <v>486.26563373899808</v>
          </cell>
          <cell r="F12">
            <v>392.20336252127527</v>
          </cell>
          <cell r="G12">
            <v>408.45276247114634</v>
          </cell>
          <cell r="H12">
            <v>281.70162648130463</v>
          </cell>
          <cell r="BC12" t="str">
            <v>.</v>
          </cell>
        </row>
        <row r="13">
          <cell r="A13" t="str">
            <v>.</v>
          </cell>
          <cell r="C13" t="str">
            <v>Pipeline products launching 2010–2015</v>
          </cell>
          <cell r="D13">
            <v>190.9375</v>
          </cell>
          <cell r="E13">
            <v>310.83749999999986</v>
          </cell>
          <cell r="F13">
            <v>545.88500000000022</v>
          </cell>
          <cell r="G13">
            <v>871.89729999999986</v>
          </cell>
          <cell r="H13">
            <v>1191.6988575</v>
          </cell>
          <cell r="BC13" t="str">
            <v>.</v>
          </cell>
        </row>
        <row r="14">
          <cell r="C14" t="str">
            <v>Products expiring 2010–2015</v>
          </cell>
          <cell r="D14">
            <v>-371.49615019999874</v>
          </cell>
          <cell r="E14">
            <v>-2226.0126789459991</v>
          </cell>
          <cell r="F14">
            <v>-713.0858879557818</v>
          </cell>
          <cell r="G14">
            <v>-2566.7028729389294</v>
          </cell>
          <cell r="H14">
            <v>-2382.3369144914741</v>
          </cell>
          <cell r="BC14" t="str">
            <v>.</v>
          </cell>
        </row>
        <row r="15">
          <cell r="C15" t="str">
            <v>Net YOY change</v>
          </cell>
          <cell r="D15">
            <v>499.9175928500008</v>
          </cell>
          <cell r="E15">
            <v>-1428.9095452069996</v>
          </cell>
          <cell r="F15">
            <v>225.00247456549187</v>
          </cell>
          <cell r="G15">
            <v>-1286.3528104677825</v>
          </cell>
          <cell r="H15">
            <v>-908.93643051016988</v>
          </cell>
          <cell r="BC15" t="str">
            <v>.</v>
          </cell>
        </row>
        <row r="16">
          <cell r="BC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C996" t="str">
            <v>.</v>
          </cell>
          <cell r="D996" t="str">
            <v>.</v>
          </cell>
          <cell r="E996" t="str">
            <v>.</v>
          </cell>
          <cell r="F996" t="str">
            <v>.</v>
          </cell>
          <cell r="G996" t="str">
            <v>.</v>
          </cell>
          <cell r="H996" t="str">
            <v>.</v>
          </cell>
          <cell r="BD996" t="str">
            <v>.</v>
          </cell>
        </row>
        <row r="997">
          <cell r="A997" t="str">
            <v>.</v>
          </cell>
          <cell r="B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6"/>
      <sheetData sheetId="27">
        <row r="1">
          <cell r="A1" t="str">
            <v>RRS-5.10</v>
          </cell>
        </row>
      </sheetData>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sheetData sheetId="46"/>
      <sheetData sheetId="47" refreshError="1"/>
      <sheetData sheetId="48"/>
      <sheetData sheetId="49" refreshError="1"/>
      <sheetData sheetId="50" refreshError="1"/>
      <sheetData sheetId="51" refreshError="1"/>
      <sheetData sheetId="52" refreshError="1"/>
      <sheetData sheetId="5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wareTaxoPres"/>
      <sheetName val="LOG"/>
      <sheetName val="MS Est vs. Rpt"/>
      <sheetName val="Changes to the Model"/>
      <sheetName val="Quarterly"/>
      <sheetName val="mwareValPrintout"/>
      <sheetName val="Annual"/>
      <sheetName val="Balance Sheet "/>
      <sheetName val="Cashflow"/>
      <sheetName val="Avastin"/>
      <sheetName val="Herceptin"/>
      <sheetName val="Rituxan"/>
      <sheetName val="Raptiva"/>
      <sheetName val="Xolair"/>
      <sheetName val="Avastin-Patient Ramp"/>
      <sheetName val="DCF Valuation"/>
      <sheetName val="Model_Template"/>
      <sheetName val="Clinical data"/>
      <sheetName val="Sheet1"/>
      <sheetName val="Sheet1 (2)"/>
      <sheetName val="Marketing"/>
      <sheetName val="mwareDates"/>
      <sheetName val="MWare_Cached"/>
      <sheetName val="Manufacturing"/>
      <sheetName val="NY UPLOAD shadow"/>
      <sheetName val="mwareSettings"/>
      <sheetName val="mStartup"/>
      <sheetName val="MainCode"/>
      <sheetName val="Figures"/>
      <sheetName val="MS Est. Vs Actual"/>
      <sheetName val="ProcritAranesp"/>
      <sheetName val="Changes to Model"/>
    </sheetNames>
    <sheetDataSet>
      <sheetData sheetId="0" refreshError="1"/>
      <sheetData sheetId="1" refreshError="1"/>
      <sheetData sheetId="2" refreshError="1"/>
      <sheetData sheetId="3" refreshError="1">
        <row r="2">
          <cell r="B2" t="str">
            <v>Earnings Snapshot</v>
          </cell>
        </row>
        <row r="3">
          <cell r="C3" t="str">
            <v>1Q05</v>
          </cell>
          <cell r="D3" t="str">
            <v>1Q06</v>
          </cell>
          <cell r="E3" t="str">
            <v>1Q06</v>
          </cell>
          <cell r="F3" t="str">
            <v>% Var.</v>
          </cell>
          <cell r="G3" t="str">
            <v>Y/Y</v>
          </cell>
        </row>
        <row r="4">
          <cell r="C4" t="str">
            <v>Actual</v>
          </cell>
          <cell r="D4" t="str">
            <v>MS Est</v>
          </cell>
          <cell r="E4" t="str">
            <v>Actual</v>
          </cell>
          <cell r="F4" t="str">
            <v>from est.</v>
          </cell>
          <cell r="G4" t="str">
            <v>% chg</v>
          </cell>
          <cell r="H4" t="str">
            <v>Comments</v>
          </cell>
        </row>
        <row r="5">
          <cell r="B5" t="str">
            <v>Revenues:</v>
          </cell>
        </row>
        <row r="6">
          <cell r="B6" t="str">
            <v>Rituxan US</v>
          </cell>
          <cell r="C6">
            <v>440.55</v>
          </cell>
          <cell r="D6">
            <v>505</v>
          </cell>
          <cell r="E6">
            <v>477</v>
          </cell>
          <cell r="F6">
            <v>-5.5445544554455495E-2</v>
          </cell>
          <cell r="G6">
            <v>0.14629440472137101</v>
          </cell>
          <cell r="H6" t="str">
            <v>Rituxan sales meaningfully weaker than indicated by IMS sales trends.</v>
          </cell>
        </row>
        <row r="7">
          <cell r="B7" t="str">
            <v>Avastin US</v>
          </cell>
          <cell r="C7">
            <v>202.85499999999999</v>
          </cell>
          <cell r="D7">
            <v>405</v>
          </cell>
          <cell r="E7">
            <v>398</v>
          </cell>
          <cell r="F7">
            <v>-1.7283950617283939E-2</v>
          </cell>
          <cell r="G7">
            <v>0.99649996302777866</v>
          </cell>
          <cell r="H7" t="str">
            <v xml:space="preserve">US sales were $10M short of our estimate after adjusting for $3M add back for destroyed shipment. </v>
          </cell>
        </row>
        <row r="8">
          <cell r="B8" t="str">
            <v>Herceptin US</v>
          </cell>
          <cell r="C8">
            <v>129.63</v>
          </cell>
          <cell r="D8">
            <v>273</v>
          </cell>
          <cell r="E8">
            <v>290</v>
          </cell>
          <cell r="F8">
            <v>6.2271062271062272E-2</v>
          </cell>
          <cell r="G8">
            <v>1.1059939828743346</v>
          </cell>
          <cell r="H8" t="str">
            <v>Herceptin strength in line with IMS sales data ($2M added back for destroyed shipment).</v>
          </cell>
        </row>
        <row r="9">
          <cell r="B9" t="str">
            <v>Xolair</v>
          </cell>
          <cell r="C9">
            <v>68.597000000000008</v>
          </cell>
          <cell r="D9">
            <v>98</v>
          </cell>
          <cell r="E9">
            <v>95</v>
          </cell>
          <cell r="F9">
            <v>-3.0612244897959218E-2</v>
          </cell>
          <cell r="G9">
            <v>0.42863390527282519</v>
          </cell>
        </row>
        <row r="10">
          <cell r="B10" t="str">
            <v>Tarceva - US</v>
          </cell>
          <cell r="C10">
            <v>47.585000000000001</v>
          </cell>
          <cell r="D10">
            <v>97</v>
          </cell>
          <cell r="E10">
            <v>93</v>
          </cell>
          <cell r="F10">
            <v>-4.123711340206182E-2</v>
          </cell>
          <cell r="G10" t="str">
            <v>NM</v>
          </cell>
          <cell r="H10" t="str">
            <v>US Tarceva sales below expectations based on IMS prescription trends and the November price increase.</v>
          </cell>
        </row>
        <row r="11">
          <cell r="B11" t="str">
            <v>Raptiva</v>
          </cell>
          <cell r="C11">
            <v>24.114999999999998</v>
          </cell>
          <cell r="D11">
            <v>22</v>
          </cell>
          <cell r="E11">
            <v>21</v>
          </cell>
          <cell r="F11">
            <v>-4.5454545454545414E-2</v>
          </cell>
          <cell r="G11">
            <v>-8.7704748082106487E-2</v>
          </cell>
        </row>
        <row r="12">
          <cell r="B12" t="str">
            <v>Growth Hormone Products</v>
          </cell>
          <cell r="C12">
            <v>92.087999999999994</v>
          </cell>
          <cell r="D12">
            <v>94</v>
          </cell>
          <cell r="E12">
            <v>87</v>
          </cell>
          <cell r="F12">
            <v>-7.4468085106383031E-2</v>
          </cell>
          <cell r="G12">
            <v>2.0762748675180243E-2</v>
          </cell>
        </row>
        <row r="13">
          <cell r="B13" t="str">
            <v>Thrombolytics</v>
          </cell>
          <cell r="C13">
            <v>53.57</v>
          </cell>
          <cell r="D13">
            <v>59</v>
          </cell>
          <cell r="E13">
            <v>59</v>
          </cell>
          <cell r="F13">
            <v>0</v>
          </cell>
          <cell r="G13">
            <v>0.10136270300541339</v>
          </cell>
        </row>
        <row r="14">
          <cell r="B14" t="str">
            <v>Pulmozyme</v>
          </cell>
          <cell r="C14">
            <v>51.745999999999995</v>
          </cell>
          <cell r="D14">
            <v>51</v>
          </cell>
          <cell r="E14">
            <v>49</v>
          </cell>
          <cell r="F14">
            <v>-3.9215686274509776E-2</v>
          </cell>
          <cell r="G14">
            <v>-1.4416573261701315E-2</v>
          </cell>
        </row>
        <row r="15">
          <cell r="B15" t="str">
            <v>Royalties, Contracts and Other</v>
          </cell>
          <cell r="C15">
            <v>275.60000000000002</v>
          </cell>
          <cell r="D15">
            <v>316.2</v>
          </cell>
          <cell r="E15">
            <v>342</v>
          </cell>
          <cell r="F15">
            <v>8.1593927893738094E-2</v>
          </cell>
          <cell r="G15">
            <v>0.1473149492017416</v>
          </cell>
        </row>
        <row r="16">
          <cell r="B16" t="str">
            <v>Total Revenues</v>
          </cell>
          <cell r="C16">
            <v>1461.6020000000003</v>
          </cell>
          <cell r="D16">
            <v>2013.12</v>
          </cell>
          <cell r="E16">
            <v>1986</v>
          </cell>
          <cell r="F16">
            <v>-1.3471626132570247E-2</v>
          </cell>
          <cell r="G16">
            <v>0.37733801677884915</v>
          </cell>
        </row>
        <row r="17">
          <cell r="B17" t="str">
            <v>Operating Expenses:</v>
          </cell>
        </row>
        <row r="18">
          <cell r="B18" t="str">
            <v>Cost of Sales</v>
          </cell>
          <cell r="C18">
            <v>251.041</v>
          </cell>
          <cell r="D18">
            <v>268.11336</v>
          </cell>
          <cell r="E18">
            <v>262</v>
          </cell>
          <cell r="F18">
            <v>-2.28014001241863E-2</v>
          </cell>
          <cell r="G18">
            <v>6.8006261925342981E-2</v>
          </cell>
        </row>
        <row r="19">
          <cell r="B19" t="str">
            <v>R&amp;D</v>
          </cell>
          <cell r="C19">
            <v>243.24</v>
          </cell>
          <cell r="D19">
            <v>367.39440000000002</v>
          </cell>
          <cell r="E19">
            <v>341</v>
          </cell>
          <cell r="F19">
            <v>-7.1842140217706185E-2</v>
          </cell>
          <cell r="G19">
            <v>0.51041933892451907</v>
          </cell>
        </row>
        <row r="20">
          <cell r="B20" t="str">
            <v>SG&amp;A</v>
          </cell>
          <cell r="C20">
            <v>315.214</v>
          </cell>
          <cell r="D20">
            <v>417.72239999999999</v>
          </cell>
          <cell r="E20">
            <v>400</v>
          </cell>
          <cell r="F20">
            <v>-4.2426262034307882E-2</v>
          </cell>
          <cell r="G20">
            <v>0.32520256079996446</v>
          </cell>
        </row>
        <row r="21">
          <cell r="B21" t="str">
            <v>Collaborative Profit Split</v>
          </cell>
          <cell r="C21">
            <v>176.27699999999999</v>
          </cell>
          <cell r="D21">
            <v>240</v>
          </cell>
          <cell r="E21">
            <v>226</v>
          </cell>
          <cell r="F21">
            <v>-5.8333333333333348E-2</v>
          </cell>
          <cell r="G21">
            <v>0.36149355843360187</v>
          </cell>
        </row>
        <row r="22">
          <cell r="B22" t="str">
            <v>Total Op.Expenses</v>
          </cell>
          <cell r="C22">
            <v>985.77199999999993</v>
          </cell>
          <cell r="D22">
            <v>1293.2301600000001</v>
          </cell>
          <cell r="E22">
            <v>1229</v>
          </cell>
          <cell r="F22">
            <v>-4.9666456897355382E-2</v>
          </cell>
          <cell r="G22">
            <v>0.31189581363641916</v>
          </cell>
        </row>
        <row r="23">
          <cell r="B23" t="str">
            <v>Operating Income (Loss)</v>
          </cell>
          <cell r="C23">
            <v>475.83000000000027</v>
          </cell>
          <cell r="D23">
            <v>719.88984000000005</v>
          </cell>
          <cell r="E23">
            <v>757</v>
          </cell>
          <cell r="F23">
            <v>5.154977600461752E-2</v>
          </cell>
          <cell r="G23">
            <v>0.51291393985246758</v>
          </cell>
        </row>
        <row r="24">
          <cell r="B24" t="str">
            <v xml:space="preserve">   Net Other Income</v>
          </cell>
          <cell r="C24">
            <v>16.396000000000001</v>
          </cell>
          <cell r="D24">
            <v>16</v>
          </cell>
          <cell r="E24">
            <v>34</v>
          </cell>
          <cell r="F24">
            <v>1.125</v>
          </cell>
          <cell r="G24">
            <v>-2.4152232251768768E-2</v>
          </cell>
        </row>
        <row r="25">
          <cell r="B25" t="str">
            <v xml:space="preserve">   Tax Expense</v>
          </cell>
          <cell r="C25">
            <v>180.58500000000001</v>
          </cell>
          <cell r="D25">
            <v>272.27924080000003</v>
          </cell>
          <cell r="E25">
            <v>300</v>
          </cell>
          <cell r="F25">
            <v>0.10181003560371304</v>
          </cell>
          <cell r="G25">
            <v>0.50776222166846652</v>
          </cell>
        </row>
        <row r="26">
          <cell r="B26" t="str">
            <v>Net Income (Loss)</v>
          </cell>
          <cell r="C26">
            <v>311.6410000000003</v>
          </cell>
          <cell r="D26">
            <v>463.61059920000002</v>
          </cell>
          <cell r="E26">
            <v>491</v>
          </cell>
          <cell r="F26">
            <v>5.9078461207018762E-2</v>
          </cell>
          <cell r="G26">
            <v>0.48764315093328414</v>
          </cell>
        </row>
        <row r="27">
          <cell r="B27" t="str">
            <v>EPS, Diluted</v>
          </cell>
          <cell r="C27">
            <v>0.29205273126155645</v>
          </cell>
          <cell r="D27">
            <v>0.42985344635725764</v>
          </cell>
          <cell r="E27">
            <v>0.45674418604651162</v>
          </cell>
          <cell r="F27">
            <v>6.2557925072222575E-2</v>
          </cell>
          <cell r="G27">
            <v>0.47183505013103155</v>
          </cell>
        </row>
        <row r="28">
          <cell r="B28" t="str">
            <v>Consensus EPS</v>
          </cell>
          <cell r="D28">
            <v>0.41</v>
          </cell>
        </row>
        <row r="29">
          <cell r="B29" t="str">
            <v xml:space="preserve">Diluted Shares Outstanding </v>
          </cell>
          <cell r="C29">
            <v>1067.0709999999999</v>
          </cell>
          <cell r="D29">
            <v>1078.531772</v>
          </cell>
          <cell r="E29">
            <v>1075</v>
          </cell>
          <cell r="F29">
            <v>-3.2746109958826652E-3</v>
          </cell>
          <cell r="G29">
            <v>1.0740402466190346E-2</v>
          </cell>
        </row>
      </sheetData>
      <sheetData sheetId="4" refreshError="1">
        <row r="2">
          <cell r="B2" t="str">
            <v>Changes To Model</v>
          </cell>
        </row>
        <row r="3">
          <cell r="C3">
            <v>2003</v>
          </cell>
          <cell r="E3">
            <v>2004</v>
          </cell>
          <cell r="G3">
            <v>2005</v>
          </cell>
          <cell r="I3">
            <v>2006</v>
          </cell>
          <cell r="K3">
            <v>2007</v>
          </cell>
          <cell r="M3">
            <v>2008</v>
          </cell>
          <cell r="O3">
            <v>2009</v>
          </cell>
          <cell r="Q3">
            <v>2010</v>
          </cell>
          <cell r="R3" t="str">
            <v>Comments</v>
          </cell>
        </row>
        <row r="4">
          <cell r="B4" t="str">
            <v>Avastin US Sales</v>
          </cell>
          <cell r="R4" t="str">
            <v>Lowered near term (2006-09) estimates based on current usage trends.  Long term, sales projections become more dependent upon additional indications.</v>
          </cell>
        </row>
        <row r="5">
          <cell r="B5" t="str">
            <v xml:space="preserve">   Current</v>
          </cell>
          <cell r="C5">
            <v>0</v>
          </cell>
          <cell r="E5">
            <v>552.34</v>
          </cell>
          <cell r="G5">
            <v>1132.721</v>
          </cell>
          <cell r="I5">
            <v>1876</v>
          </cell>
          <cell r="K5">
            <v>2817.9611602894643</v>
          </cell>
          <cell r="M5">
            <v>3802.1294573955038</v>
          </cell>
          <cell r="O5">
            <v>4624.6783247655285</v>
          </cell>
          <cell r="Q5">
            <v>5307.1770570587933</v>
          </cell>
        </row>
        <row r="6">
          <cell r="B6" t="str">
            <v xml:space="preserve">   Prior</v>
          </cell>
          <cell r="C6">
            <v>0</v>
          </cell>
          <cell r="E6">
            <v>545.5</v>
          </cell>
          <cell r="G6">
            <v>1132.721</v>
          </cell>
          <cell r="I6">
            <v>1991</v>
          </cell>
          <cell r="K6">
            <v>3237.062488981529</v>
          </cell>
          <cell r="M6">
            <v>4383.5907709546664</v>
          </cell>
          <cell r="O6">
            <v>4968.255300105604</v>
          </cell>
          <cell r="Q6">
            <v>5357.3388751605999</v>
          </cell>
        </row>
        <row r="7">
          <cell r="B7" t="str">
            <v>Rituxan US Sales</v>
          </cell>
        </row>
        <row r="8">
          <cell r="B8" t="str">
            <v xml:space="preserve">   Current</v>
          </cell>
          <cell r="C8">
            <v>1360.2</v>
          </cell>
          <cell r="E8">
            <v>1574</v>
          </cell>
          <cell r="G8">
            <v>1831.481</v>
          </cell>
          <cell r="I8">
            <v>2097</v>
          </cell>
          <cell r="K8">
            <v>2430.2807564833265</v>
          </cell>
          <cell r="M8">
            <v>2695.0166005063993</v>
          </cell>
          <cell r="O8">
            <v>2950.119381396431</v>
          </cell>
          <cell r="Q8">
            <v>3220</v>
          </cell>
        </row>
        <row r="9">
          <cell r="B9" t="str">
            <v xml:space="preserve">   Prior</v>
          </cell>
          <cell r="C9">
            <v>1360.2</v>
          </cell>
          <cell r="E9">
            <v>1574</v>
          </cell>
          <cell r="G9">
            <v>1831.481</v>
          </cell>
          <cell r="I9">
            <v>2160</v>
          </cell>
          <cell r="K9">
            <v>2437.3514265485192</v>
          </cell>
          <cell r="M9">
            <v>2692.5171673115556</v>
          </cell>
          <cell r="O9">
            <v>2933.0759826633407</v>
          </cell>
          <cell r="Q9">
            <v>3195</v>
          </cell>
        </row>
        <row r="10">
          <cell r="B10" t="str">
            <v>Herceptin US Sales</v>
          </cell>
        </row>
        <row r="11">
          <cell r="B11" t="str">
            <v xml:space="preserve">   Current</v>
          </cell>
          <cell r="C11">
            <v>424.8</v>
          </cell>
          <cell r="E11">
            <v>482.27499999999998</v>
          </cell>
          <cell r="G11">
            <v>747.24699999999996</v>
          </cell>
          <cell r="I11">
            <v>1375</v>
          </cell>
          <cell r="K11">
            <v>1566.9607618585742</v>
          </cell>
          <cell r="M11">
            <v>1676.8953104490511</v>
          </cell>
          <cell r="O11">
            <v>1772.633441089682</v>
          </cell>
          <cell r="Q11">
            <v>1873.880898727371</v>
          </cell>
        </row>
        <row r="12">
          <cell r="B12" t="str">
            <v xml:space="preserve">   Prior</v>
          </cell>
          <cell r="C12">
            <v>424.8</v>
          </cell>
          <cell r="E12">
            <v>482.27499999999998</v>
          </cell>
          <cell r="G12">
            <v>747.24699999999996</v>
          </cell>
          <cell r="I12">
            <v>1236</v>
          </cell>
          <cell r="K12">
            <v>1467.230824775874</v>
          </cell>
          <cell r="M12">
            <v>1572.4179521860037</v>
          </cell>
          <cell r="O12">
            <v>1676.1602207869551</v>
          </cell>
          <cell r="Q12">
            <v>1802.0633882939715</v>
          </cell>
        </row>
        <row r="13">
          <cell r="B13" t="str">
            <v>Xolair</v>
          </cell>
        </row>
        <row r="14">
          <cell r="B14" t="str">
            <v xml:space="preserve">   Current</v>
          </cell>
          <cell r="C14">
            <v>25.3</v>
          </cell>
          <cell r="E14">
            <v>188.5</v>
          </cell>
          <cell r="G14">
            <v>323.79700000000003</v>
          </cell>
          <cell r="I14">
            <v>423</v>
          </cell>
          <cell r="K14">
            <v>496.67639851943272</v>
          </cell>
          <cell r="M14">
            <v>549.18117450569844</v>
          </cell>
          <cell r="O14">
            <v>609.0179751523707</v>
          </cell>
          <cell r="Q14">
            <v>656.42413544863268</v>
          </cell>
        </row>
        <row r="15">
          <cell r="B15" t="str">
            <v xml:space="preserve">   Prior</v>
          </cell>
          <cell r="C15">
            <v>25.3</v>
          </cell>
          <cell r="E15">
            <v>188.5</v>
          </cell>
          <cell r="G15">
            <v>332.99700000000001</v>
          </cell>
          <cell r="I15">
            <v>443.81706468549254</v>
          </cell>
          <cell r="K15">
            <v>496.67639851943272</v>
          </cell>
          <cell r="M15">
            <v>583.43592955279041</v>
          </cell>
          <cell r="O15">
            <v>583.43592955279041</v>
          </cell>
          <cell r="Q15">
            <v>583.43592955279041</v>
          </cell>
        </row>
        <row r="16">
          <cell r="B16" t="str">
            <v>Raptiva</v>
          </cell>
        </row>
        <row r="17">
          <cell r="B17" t="str">
            <v xml:space="preserve">   Current</v>
          </cell>
          <cell r="C17">
            <v>1.4</v>
          </cell>
          <cell r="E17">
            <v>56.300000000000004</v>
          </cell>
          <cell r="G17">
            <v>86.754999999999995</v>
          </cell>
          <cell r="I17">
            <v>93</v>
          </cell>
          <cell r="K17">
            <v>114.74883545485645</v>
          </cell>
          <cell r="M17">
            <v>111.02507700089812</v>
          </cell>
          <cell r="O17">
            <v>116.64294589714356</v>
          </cell>
          <cell r="Q17">
            <v>122.54507895953904</v>
          </cell>
        </row>
        <row r="18">
          <cell r="B18" t="str">
            <v xml:space="preserve">   Prior</v>
          </cell>
          <cell r="C18">
            <v>1.4</v>
          </cell>
          <cell r="E18">
            <v>56.3</v>
          </cell>
          <cell r="G18">
            <v>96.415000000000006</v>
          </cell>
          <cell r="I18">
            <v>128.34202046044302</v>
          </cell>
          <cell r="K18">
            <v>154.41809851788798</v>
          </cell>
          <cell r="M18">
            <v>190.17374516347169</v>
          </cell>
          <cell r="O18">
            <v>190.17374516347169</v>
          </cell>
          <cell r="Q18">
            <v>190.17374516347169</v>
          </cell>
        </row>
        <row r="19">
          <cell r="B19" t="str">
            <v>Lucentis</v>
          </cell>
        </row>
        <row r="20">
          <cell r="B20" t="str">
            <v xml:space="preserve">   Current</v>
          </cell>
          <cell r="C20">
            <v>0</v>
          </cell>
          <cell r="E20">
            <v>0</v>
          </cell>
          <cell r="G20">
            <v>0</v>
          </cell>
          <cell r="I20">
            <v>135</v>
          </cell>
          <cell r="K20">
            <v>550</v>
          </cell>
          <cell r="M20">
            <v>850</v>
          </cell>
          <cell r="O20">
            <v>1050</v>
          </cell>
          <cell r="Q20">
            <v>1200</v>
          </cell>
        </row>
        <row r="21">
          <cell r="B21" t="str">
            <v xml:space="preserve">   Prior</v>
          </cell>
          <cell r="C21">
            <v>1.4</v>
          </cell>
          <cell r="E21">
            <v>0</v>
          </cell>
          <cell r="G21">
            <v>0</v>
          </cell>
          <cell r="I21">
            <v>150</v>
          </cell>
          <cell r="K21">
            <v>700</v>
          </cell>
          <cell r="M21">
            <v>1150</v>
          </cell>
          <cell r="O21">
            <v>1150</v>
          </cell>
          <cell r="Q21">
            <v>1150</v>
          </cell>
        </row>
        <row r="22">
          <cell r="B22" t="str">
            <v>Total Revenue</v>
          </cell>
          <cell r="R22" t="str">
            <v>2006 Guidance: Sales to Collaborators= YoY growth of 30%; Royalties = YoY growth of 30%; Net Interest Income = YoY growth of 30%</v>
          </cell>
        </row>
        <row r="23">
          <cell r="B23" t="str">
            <v xml:space="preserve">   Current</v>
          </cell>
          <cell r="C23">
            <v>3300.2629999999999</v>
          </cell>
          <cell r="E23">
            <v>4621.2</v>
          </cell>
          <cell r="G23">
            <v>6633.4230000000007</v>
          </cell>
          <cell r="I23">
            <v>9120.36</v>
          </cell>
          <cell r="K23">
            <v>11279.125121683228</v>
          </cell>
          <cell r="M23">
            <v>13104.186311101828</v>
          </cell>
          <cell r="O23">
            <v>14586.038977915103</v>
          </cell>
          <cell r="Q23">
            <v>15778.109649377711</v>
          </cell>
        </row>
        <row r="24">
          <cell r="B24" t="str">
            <v xml:space="preserve">   Prior</v>
          </cell>
          <cell r="C24">
            <v>3300.2629999999999</v>
          </cell>
          <cell r="E24">
            <v>4614.3599999999997</v>
          </cell>
          <cell r="G24">
            <v>6633.4230000000007</v>
          </cell>
          <cell r="I24">
            <v>9060.77</v>
          </cell>
          <cell r="K24">
            <v>11649.799183357783</v>
          </cell>
          <cell r="M24">
            <v>13530.991983203103</v>
          </cell>
          <cell r="O24">
            <v>14825.172049719364</v>
          </cell>
          <cell r="Q24">
            <v>15802.880857526117</v>
          </cell>
        </row>
        <row r="25">
          <cell r="B25" t="str">
            <v>COGS ($MM)</v>
          </cell>
          <cell r="R25" t="str">
            <v xml:space="preserve">2006 Guidance: 16% of sales (from 15-16%);  </v>
          </cell>
        </row>
        <row r="26">
          <cell r="B26" t="str">
            <v xml:space="preserve">   Current</v>
          </cell>
          <cell r="C26">
            <v>480.15100000000001</v>
          </cell>
          <cell r="E26">
            <v>672.5</v>
          </cell>
          <cell r="G26">
            <v>1011.0629999999999</v>
          </cell>
          <cell r="I26">
            <v>1222.5376000000001</v>
          </cell>
          <cell r="K26">
            <v>1506.7599287814626</v>
          </cell>
          <cell r="M26">
            <v>1619.0699996815897</v>
          </cell>
          <cell r="O26">
            <v>1702.8029601920346</v>
          </cell>
          <cell r="Q26">
            <v>1774.5598005138277</v>
          </cell>
        </row>
        <row r="27">
          <cell r="B27" t="str">
            <v xml:space="preserve">   Prior</v>
          </cell>
          <cell r="C27">
            <v>480.15100000000001</v>
          </cell>
          <cell r="E27">
            <v>672.5</v>
          </cell>
          <cell r="G27">
            <v>1011.0629999999999</v>
          </cell>
          <cell r="I27">
            <v>1202.9025999999999</v>
          </cell>
          <cell r="K27">
            <v>1565.9989624404361</v>
          </cell>
          <cell r="M27">
            <v>1695.7885048324765</v>
          </cell>
          <cell r="O27">
            <v>1751.9607945750547</v>
          </cell>
          <cell r="Q27">
            <v>1797.2421266516367</v>
          </cell>
        </row>
        <row r="28">
          <cell r="B28" t="str">
            <v>R&amp;D ($MM)</v>
          </cell>
          <cell r="R28" t="str">
            <v>2006 Guidance: 18-19% of operating revenue.</v>
          </cell>
        </row>
        <row r="29">
          <cell r="B29" t="str">
            <v xml:space="preserve">   Current</v>
          </cell>
          <cell r="C29">
            <v>721.96299999999997</v>
          </cell>
          <cell r="D29">
            <v>0.15795323682159235</v>
          </cell>
          <cell r="E29">
            <v>947.5</v>
          </cell>
          <cell r="F29">
            <v>0.3123941254607232</v>
          </cell>
          <cell r="G29">
            <v>1261.8240000000001</v>
          </cell>
          <cell r="H29">
            <v>0.33174036939314</v>
          </cell>
          <cell r="I29">
            <v>1677.1420800000001</v>
          </cell>
          <cell r="J29">
            <v>0.3291410529519172</v>
          </cell>
          <cell r="K29">
            <v>2058.4403347071889</v>
          </cell>
          <cell r="M29">
            <v>2384.9619086205325</v>
          </cell>
          <cell r="O29">
            <v>2654.6590939805487</v>
          </cell>
          <cell r="Q29">
            <v>2871.6159561867435</v>
          </cell>
        </row>
        <row r="30">
          <cell r="B30" t="str">
            <v xml:space="preserve">   Prior</v>
          </cell>
          <cell r="C30">
            <v>721.96299999999997</v>
          </cell>
          <cell r="E30">
            <v>947.5</v>
          </cell>
          <cell r="F30">
            <v>0.3123941254607232</v>
          </cell>
          <cell r="G30">
            <v>1261.8240000000001</v>
          </cell>
          <cell r="H30">
            <v>0.33174036939314</v>
          </cell>
          <cell r="I30">
            <v>1677.54035</v>
          </cell>
          <cell r="J30">
            <v>0.32945668334094136</v>
          </cell>
          <cell r="K30">
            <v>2126.0883509627956</v>
          </cell>
          <cell r="M30">
            <v>2462.6405409429644</v>
          </cell>
          <cell r="O30">
            <v>2698.181313048924</v>
          </cell>
          <cell r="Q30">
            <v>2876.1243160697531</v>
          </cell>
        </row>
        <row r="31">
          <cell r="B31" t="str">
            <v>SG&amp;A ($MM)</v>
          </cell>
          <cell r="R31" t="str">
            <v>2006 Guidance: 21% of operating revenue (from 21-22%)</v>
          </cell>
        </row>
        <row r="32">
          <cell r="B32" t="str">
            <v xml:space="preserve">   Current</v>
          </cell>
          <cell r="C32">
            <v>794.88499999999999</v>
          </cell>
          <cell r="D32">
            <v>0.45509778939583656</v>
          </cell>
          <cell r="E32">
            <v>1088.2</v>
          </cell>
          <cell r="F32">
            <v>0.36900306333620603</v>
          </cell>
          <cell r="G32">
            <v>1435.0319999999999</v>
          </cell>
          <cell r="H32">
            <v>0.31872082337805541</v>
          </cell>
          <cell r="I32">
            <v>1928.0563000000002</v>
          </cell>
          <cell r="J32">
            <v>0.34356327942512799</v>
          </cell>
          <cell r="K32">
            <v>2114.835960315605</v>
          </cell>
          <cell r="M32">
            <v>2293.2326044428196</v>
          </cell>
          <cell r="O32">
            <v>2406.696431355992</v>
          </cell>
          <cell r="Q32">
            <v>2406.1617215301007</v>
          </cell>
        </row>
        <row r="33">
          <cell r="B33" t="str">
            <v xml:space="preserve">   Prior</v>
          </cell>
          <cell r="C33">
            <v>794.88499999999999</v>
          </cell>
          <cell r="D33">
            <v>0.45509778939583656</v>
          </cell>
          <cell r="E33">
            <v>1088.2</v>
          </cell>
          <cell r="F33">
            <v>0.36900306333620603</v>
          </cell>
          <cell r="G33">
            <v>1435.0319999999999</v>
          </cell>
          <cell r="H33">
            <v>0.31872082337805541</v>
          </cell>
          <cell r="I33">
            <v>1955.315885</v>
          </cell>
          <cell r="J33">
            <v>0.36255908230617861</v>
          </cell>
          <cell r="K33">
            <v>2184.3373468795844</v>
          </cell>
          <cell r="M33">
            <v>2367.9235970605428</v>
          </cell>
          <cell r="O33">
            <v>2446.1533882036952</v>
          </cell>
          <cell r="Q33">
            <v>2409.9393307727328</v>
          </cell>
        </row>
        <row r="34">
          <cell r="B34" t="str">
            <v>Interest, Other Income</v>
          </cell>
        </row>
        <row r="35">
          <cell r="B35" t="str">
            <v xml:space="preserve">   Current</v>
          </cell>
          <cell r="C35">
            <v>92.807000000000002</v>
          </cell>
          <cell r="D35">
            <v>0</v>
          </cell>
          <cell r="E35">
            <v>82.597000000000008</v>
          </cell>
          <cell r="F35">
            <v>0</v>
          </cell>
          <cell r="G35">
            <v>140.9</v>
          </cell>
          <cell r="H35">
            <v>0</v>
          </cell>
          <cell r="I35">
            <v>228</v>
          </cell>
          <cell r="J35">
            <v>0</v>
          </cell>
          <cell r="K35">
            <v>158.27981570681379</v>
          </cell>
          <cell r="M35">
            <v>214.14721389467866</v>
          </cell>
          <cell r="O35">
            <v>298.9218808473185</v>
          </cell>
          <cell r="Q35">
            <v>424.04459975088002</v>
          </cell>
        </row>
        <row r="36">
          <cell r="B36" t="str">
            <v xml:space="preserve">   Prior</v>
          </cell>
          <cell r="C36">
            <v>92.8</v>
          </cell>
          <cell r="E36">
            <v>82.597000000000008</v>
          </cell>
          <cell r="F36">
            <v>0</v>
          </cell>
          <cell r="G36">
            <v>140.9</v>
          </cell>
          <cell r="H36">
            <v>0</v>
          </cell>
          <cell r="I36">
            <v>175</v>
          </cell>
          <cell r="J36">
            <v>0</v>
          </cell>
          <cell r="K36">
            <v>144.98120766629103</v>
          </cell>
          <cell r="M36">
            <v>198.6848384525747</v>
          </cell>
          <cell r="O36">
            <v>299.84795970525033</v>
          </cell>
          <cell r="Q36">
            <v>427.16721415138414</v>
          </cell>
        </row>
        <row r="37">
          <cell r="B37" t="str">
            <v xml:space="preserve">Net Income ($MM) </v>
          </cell>
        </row>
        <row r="38">
          <cell r="B38" t="str">
            <v xml:space="preserve">   Current</v>
          </cell>
          <cell r="C38">
            <v>634.65584265857763</v>
          </cell>
          <cell r="D38">
            <v>0.31253732024758918</v>
          </cell>
          <cell r="E38">
            <v>894.36599999999964</v>
          </cell>
          <cell r="F38">
            <v>0.4092141596829777</v>
          </cell>
          <cell r="G38">
            <v>1387.3240000000012</v>
          </cell>
          <cell r="H38">
            <v>0.55118150734710603</v>
          </cell>
          <cell r="I38">
            <v>2124.9055085800001</v>
          </cell>
          <cell r="J38">
            <v>0.53165771555887331</v>
          </cell>
          <cell r="K38">
            <v>2800.6211029553579</v>
          </cell>
          <cell r="M38">
            <v>3493.9576522401981</v>
          </cell>
          <cell r="O38">
            <v>4096.4026406736639</v>
          </cell>
          <cell r="Q38">
            <v>4671.2691888702175</v>
          </cell>
        </row>
        <row r="39">
          <cell r="B39" t="str">
            <v xml:space="preserve">   Prior</v>
          </cell>
          <cell r="C39">
            <v>634.65584265857763</v>
          </cell>
          <cell r="E39">
            <v>887.5259999999995</v>
          </cell>
          <cell r="F39">
            <v>0.3984366649523734</v>
          </cell>
          <cell r="G39">
            <v>1387.3240000000012</v>
          </cell>
          <cell r="H39">
            <v>0.55118150734710603</v>
          </cell>
          <cell r="I39">
            <v>2034.2770339500007</v>
          </cell>
          <cell r="J39">
            <v>0.4663316095951624</v>
          </cell>
          <cell r="K39">
            <v>2904.7667281963868</v>
          </cell>
          <cell r="M39">
            <v>3614.4886831826261</v>
          </cell>
          <cell r="O39">
            <v>4174.1361237760229</v>
          </cell>
          <cell r="Q39">
            <v>4681.8126100993795</v>
          </cell>
        </row>
        <row r="40">
          <cell r="B40" t="str">
            <v>Non-GAAP EPS, Diluted</v>
          </cell>
          <cell r="R40" t="str">
            <v>2006 Guidance: 45-55% YoY growth.  Raised guidance again (company raised guidance from 35-45% to 40%-50% at its analyst day three weeks ago).  Horizon 2010 guidance of 5-year CAGR of 25% (our model assumes 28%).  We are lowering 2007-09 EPS estimates.</v>
          </cell>
        </row>
        <row r="41">
          <cell r="B41" t="str">
            <v xml:space="preserve">   Current</v>
          </cell>
          <cell r="C41">
            <v>0.60195636879300407</v>
          </cell>
          <cell r="D41">
            <v>0.30585864252004424</v>
          </cell>
          <cell r="E41">
            <v>0.82872362999196592</v>
          </cell>
          <cell r="F41">
            <v>0.37671710601493902</v>
          </cell>
          <cell r="G41">
            <v>1.2834315032439099</v>
          </cell>
          <cell r="H41">
            <v>0.54868457564840067</v>
          </cell>
          <cell r="I41">
            <v>1.9766562870511628</v>
          </cell>
          <cell r="J41">
            <v>0.54013383811688231</v>
          </cell>
          <cell r="K41">
            <v>2.6131703146035923</v>
          </cell>
          <cell r="M41">
            <v>3.2657035401917991</v>
          </cell>
          <cell r="O41">
            <v>3.8441841959191563</v>
          </cell>
          <cell r="Q41">
            <v>4.4101388095141756</v>
          </cell>
        </row>
        <row r="42">
          <cell r="B42" t="str">
            <v xml:space="preserve">       Prior</v>
          </cell>
          <cell r="C42">
            <v>0.60195636879300407</v>
          </cell>
          <cell r="E42">
            <v>0.82238565467856495</v>
          </cell>
          <cell r="F42">
            <v>0.36618814471146544</v>
          </cell>
          <cell r="G42">
            <v>1.2834315032439099</v>
          </cell>
          <cell r="H42">
            <v>0.54868457564840067</v>
          </cell>
          <cell r="I42">
            <v>1.8875696940202418</v>
          </cell>
          <cell r="J42">
            <v>0.47072102348224698</v>
          </cell>
          <cell r="K42">
            <v>2.7103452791100371</v>
          </cell>
          <cell r="M42">
            <v>3.3783604907416378</v>
          </cell>
          <cell r="O42">
            <v>3.9171315727880218</v>
          </cell>
          <cell r="Q42">
            <v>4.4200928389797802</v>
          </cell>
        </row>
        <row r="43">
          <cell r="B43" t="str">
            <v>Non-GAAP EPS, Diluted (incl options expense)</v>
          </cell>
        </row>
        <row r="44">
          <cell r="B44" t="str">
            <v xml:space="preserve">   Current</v>
          </cell>
          <cell r="C44">
            <v>0</v>
          </cell>
          <cell r="D44">
            <v>0</v>
          </cell>
          <cell r="E44">
            <v>0</v>
          </cell>
          <cell r="F44">
            <v>0</v>
          </cell>
          <cell r="H44">
            <v>0</v>
          </cell>
          <cell r="I44">
            <v>1.670437236911628</v>
          </cell>
          <cell r="J44">
            <v>0</v>
          </cell>
          <cell r="K44">
            <v>2.2605437247777207</v>
          </cell>
          <cell r="M44">
            <v>2.8726239093062675</v>
          </cell>
          <cell r="O44">
            <v>3.4182573129078739</v>
          </cell>
          <cell r="Q44">
            <v>3.9597085440583326</v>
          </cell>
        </row>
        <row r="45">
          <cell r="B45" t="str">
            <v xml:space="preserve">   Prior</v>
          </cell>
          <cell r="C45">
            <v>0.60195636879300407</v>
          </cell>
          <cell r="E45">
            <v>0.82238565467856495</v>
          </cell>
          <cell r="F45">
            <v>0.36618814471146544</v>
          </cell>
          <cell r="H45">
            <v>0</v>
          </cell>
          <cell r="I45">
            <v>1.7230350353762618</v>
          </cell>
          <cell r="J45">
            <v>0</v>
          </cell>
          <cell r="K45">
            <v>2.5124428538629009</v>
          </cell>
          <cell r="M45">
            <v>3.1575521802291613</v>
          </cell>
          <cell r="O45">
            <v>3.6217186312474188</v>
          </cell>
          <cell r="Q45">
            <v>4.1138707857302448</v>
          </cell>
        </row>
        <row r="46">
          <cell r="B46" t="str">
            <v>Capital Expenditures</v>
          </cell>
          <cell r="R46" t="str">
            <v>2006 Guidance: $1.5B; expect decrease to ~$800 by 2010</v>
          </cell>
        </row>
        <row r="47">
          <cell r="B47" t="str">
            <v xml:space="preserve">   Current</v>
          </cell>
          <cell r="C47">
            <v>321.95</v>
          </cell>
          <cell r="D47">
            <v>649.85799999999995</v>
          </cell>
          <cell r="E47">
            <v>649.85799999999995</v>
          </cell>
          <cell r="F47">
            <v>1482.0585000000001</v>
          </cell>
          <cell r="G47">
            <v>1399.8240000000001</v>
          </cell>
          <cell r="H47">
            <v>1179.3767679991645</v>
          </cell>
          <cell r="I47">
            <v>1482.0585000000001</v>
          </cell>
          <cell r="J47">
            <v>828.35075659232984</v>
          </cell>
          <cell r="K47">
            <v>1579.0775170356521</v>
          </cell>
          <cell r="M47">
            <v>1179.3767679991645</v>
          </cell>
          <cell r="O47">
            <v>875.1623386749061</v>
          </cell>
          <cell r="Q47">
            <v>828.35075659232984</v>
          </cell>
        </row>
        <row r="48">
          <cell r="B48" t="str">
            <v xml:space="preserve">   Prior</v>
          </cell>
          <cell r="C48">
            <v>322</v>
          </cell>
          <cell r="E48">
            <v>649.85799999999995</v>
          </cell>
          <cell r="F48">
            <v>1073.9414548082564</v>
          </cell>
          <cell r="G48">
            <v>1399.8240000000001</v>
          </cell>
          <cell r="H48">
            <v>1217.7892784882793</v>
          </cell>
          <cell r="I48">
            <v>1472.375125</v>
          </cell>
          <cell r="J48">
            <v>829.65124502012111</v>
          </cell>
          <cell r="K48">
            <v>1630.9718856700899</v>
          </cell>
          <cell r="M48">
            <v>1217.7892784882793</v>
          </cell>
          <cell r="O48">
            <v>889.51032298316204</v>
          </cell>
          <cell r="Q48">
            <v>829.651245020121</v>
          </cell>
        </row>
        <row r="49">
          <cell r="B49" t="str">
            <v>Basic Shares Outstanding</v>
          </cell>
        </row>
        <row r="50">
          <cell r="B50" t="str">
            <v xml:space="preserve">   Current</v>
          </cell>
          <cell r="C50">
            <v>1034.4565</v>
          </cell>
          <cell r="D50">
            <v>-3.901749480143768E-3</v>
          </cell>
          <cell r="E50">
            <v>1055.165</v>
          </cell>
          <cell r="F50">
            <v>2.0018724808631427E-2</v>
          </cell>
          <cell r="G50">
            <v>1054.952</v>
          </cell>
          <cell r="H50">
            <v>-2.0186416342460323E-4</v>
          </cell>
          <cell r="I50">
            <v>1054</v>
          </cell>
          <cell r="J50">
            <v>-9.0241072579599901E-4</v>
          </cell>
          <cell r="K50">
            <v>1053.713</v>
          </cell>
          <cell r="M50">
            <v>1053.713</v>
          </cell>
          <cell r="O50">
            <v>1053.713</v>
          </cell>
          <cell r="Q50">
            <v>1053.713</v>
          </cell>
        </row>
        <row r="51">
          <cell r="B51" t="str">
            <v xml:space="preserve">   Prior</v>
          </cell>
          <cell r="C51">
            <v>1034.46</v>
          </cell>
          <cell r="E51">
            <v>1055.165</v>
          </cell>
          <cell r="F51">
            <v>2.0018724808631427E-2</v>
          </cell>
          <cell r="G51">
            <v>1054.952</v>
          </cell>
          <cell r="H51">
            <v>-2.0186416342460323E-4</v>
          </cell>
          <cell r="I51">
            <v>1054.7239999999999</v>
          </cell>
          <cell r="J51">
            <v>-2.1612357718647779E-4</v>
          </cell>
          <cell r="K51">
            <v>1053.713</v>
          </cell>
          <cell r="M51">
            <v>1053.713</v>
          </cell>
          <cell r="O51">
            <v>1053.713</v>
          </cell>
          <cell r="Q51">
            <v>1053.713</v>
          </cell>
        </row>
        <row r="52">
          <cell r="B52" t="str">
            <v>Diluted Shares Outstanding</v>
          </cell>
          <cell r="R52" t="str">
            <v xml:space="preserve">2006 Guidance: Flat YoY growth. </v>
          </cell>
        </row>
        <row r="53">
          <cell r="B53" t="str">
            <v xml:space="preserve">   Current</v>
          </cell>
          <cell r="C53">
            <v>1054.3219999999999</v>
          </cell>
          <cell r="D53">
            <v>5.1538922087179806E-3</v>
          </cell>
          <cell r="E53">
            <v>1079.2090000000001</v>
          </cell>
          <cell r="F53">
            <v>2.3604743142986884E-2</v>
          </cell>
          <cell r="G53">
            <v>1080.9490000000001</v>
          </cell>
          <cell r="H53">
            <v>1.6122919656897938E-3</v>
          </cell>
          <cell r="I53">
            <v>1075</v>
          </cell>
          <cell r="J53">
            <v>-5.5034973897936101E-3</v>
          </cell>
          <cell r="K53">
            <v>1071.7330926745205</v>
          </cell>
          <cell r="M53">
            <v>1069.8943150347914</v>
          </cell>
          <cell r="O53">
            <v>1065.6103953141094</v>
          </cell>
          <cell r="Q53">
            <v>1059.2113742072459</v>
          </cell>
        </row>
        <row r="54">
          <cell r="B54" t="str">
            <v xml:space="preserve">   Prior</v>
          </cell>
          <cell r="C54">
            <v>1054.32</v>
          </cell>
          <cell r="E54">
            <v>1079.2090000000001</v>
          </cell>
          <cell r="F54">
            <v>2.3604743142986884E-2</v>
          </cell>
          <cell r="G54">
            <v>1080.9490000000001</v>
          </cell>
          <cell r="H54">
            <v>1.6122919656897938E-3</v>
          </cell>
          <cell r="I54">
            <v>1077.7228731710002</v>
          </cell>
          <cell r="J54">
            <v>-2.9845319520160896E-3</v>
          </cell>
          <cell r="K54">
            <v>1071.7330926745205</v>
          </cell>
          <cell r="M54">
            <v>1069.8943150347914</v>
          </cell>
          <cell r="O54">
            <v>1065.6103953141094</v>
          </cell>
          <cell r="Q54">
            <v>1059.2113742072459</v>
          </cell>
        </row>
      </sheetData>
      <sheetData sheetId="5" refreshError="1">
        <row r="1">
          <cell r="B1" t="str">
            <v>Genentech Quarterly Income Statement</v>
          </cell>
          <cell r="BC1">
            <v>6.0159760359460801E-2</v>
          </cell>
          <cell r="BE1">
            <v>3.0609842241582363E-2</v>
          </cell>
        </row>
        <row r="2">
          <cell r="B2" t="str">
            <v>(Dollars in thousands except per-share data)</v>
          </cell>
          <cell r="BW2">
            <v>55</v>
          </cell>
        </row>
        <row r="3">
          <cell r="BW3">
            <v>0.11121852970795569</v>
          </cell>
        </row>
        <row r="4">
          <cell r="C4" t="str">
            <v>1Q99A</v>
          </cell>
          <cell r="E4" t="str">
            <v>2Q99A</v>
          </cell>
          <cell r="G4" t="str">
            <v>3Q99A</v>
          </cell>
          <cell r="I4" t="str">
            <v>4Q99A</v>
          </cell>
          <cell r="K4" t="str">
            <v>1999A</v>
          </cell>
          <cell r="M4" t="str">
            <v>1Q00A</v>
          </cell>
          <cell r="O4" t="str">
            <v>2Q00A</v>
          </cell>
          <cell r="Q4" t="str">
            <v>3Q00A</v>
          </cell>
          <cell r="S4" t="str">
            <v>4Q00A</v>
          </cell>
          <cell r="U4" t="str">
            <v>2000A</v>
          </cell>
          <cell r="W4" t="str">
            <v>1Q01A</v>
          </cell>
          <cell r="Y4" t="str">
            <v>2Q01A</v>
          </cell>
          <cell r="AA4" t="str">
            <v>3Q01A</v>
          </cell>
          <cell r="AC4" t="str">
            <v>4Q01A</v>
          </cell>
          <cell r="AE4" t="str">
            <v>2001A</v>
          </cell>
          <cell r="AG4" t="str">
            <v>1Q02A</v>
          </cell>
          <cell r="AI4" t="str">
            <v>2Q02A</v>
          </cell>
          <cell r="AK4" t="str">
            <v>3Q02A</v>
          </cell>
          <cell r="AM4" t="str">
            <v>4Q02A</v>
          </cell>
          <cell r="AO4" t="str">
            <v>2002A</v>
          </cell>
          <cell r="AQ4" t="str">
            <v>1Q03A</v>
          </cell>
          <cell r="AS4" t="str">
            <v>2Q03A</v>
          </cell>
          <cell r="AU4" t="str">
            <v>3Q03A</v>
          </cell>
          <cell r="AW4" t="str">
            <v>4Q03A</v>
          </cell>
          <cell r="AY4" t="str">
            <v>2003A</v>
          </cell>
          <cell r="BA4" t="str">
            <v>1Q04A</v>
          </cell>
          <cell r="BB4" t="str">
            <v>% chg</v>
          </cell>
          <cell r="BC4" t="str">
            <v>2Q04A</v>
          </cell>
          <cell r="BD4" t="str">
            <v>% chg</v>
          </cell>
          <cell r="BE4" t="str">
            <v>3Q04A</v>
          </cell>
          <cell r="BF4" t="str">
            <v>% chg</v>
          </cell>
          <cell r="BG4" t="str">
            <v>4Q04A</v>
          </cell>
          <cell r="BH4" t="str">
            <v>% chg</v>
          </cell>
          <cell r="BI4" t="str">
            <v>2004A</v>
          </cell>
          <cell r="BJ4" t="str">
            <v>% chg</v>
          </cell>
          <cell r="BL4" t="str">
            <v>1Q05A</v>
          </cell>
          <cell r="BM4" t="str">
            <v>% chg</v>
          </cell>
          <cell r="BN4" t="str">
            <v>2Q05A</v>
          </cell>
          <cell r="BO4" t="str">
            <v>% chg</v>
          </cell>
          <cell r="BP4" t="str">
            <v>3Q05A</v>
          </cell>
          <cell r="BQ4" t="str">
            <v>% chg</v>
          </cell>
          <cell r="BR4" t="str">
            <v>4Q05A</v>
          </cell>
          <cell r="BS4" t="str">
            <v>% chg</v>
          </cell>
          <cell r="BT4" t="str">
            <v>2005A</v>
          </cell>
          <cell r="BU4" t="str">
            <v>% chg</v>
          </cell>
          <cell r="BW4" t="str">
            <v>1Q06A</v>
          </cell>
          <cell r="BX4" t="str">
            <v>% chg</v>
          </cell>
          <cell r="BY4" t="str">
            <v>2Q06E</v>
          </cell>
          <cell r="BZ4" t="str">
            <v>% chg</v>
          </cell>
          <cell r="CA4" t="str">
            <v>3Q06E</v>
          </cell>
          <cell r="CB4" t="str">
            <v>% chg</v>
          </cell>
          <cell r="CC4" t="str">
            <v>4Q06E</v>
          </cell>
          <cell r="CD4" t="str">
            <v>% chg</v>
          </cell>
          <cell r="CE4" t="str">
            <v>2006E</v>
          </cell>
          <cell r="CF4" t="str">
            <v>% chg</v>
          </cell>
        </row>
        <row r="5">
          <cell r="B5" t="str">
            <v>Rituxan -US</v>
          </cell>
          <cell r="C5" t="str">
            <v>52</v>
          </cell>
          <cell r="E5" t="str">
            <v>68.3</v>
          </cell>
          <cell r="G5" t="str">
            <v>70.2</v>
          </cell>
          <cell r="I5" t="str">
            <v>72.2</v>
          </cell>
          <cell r="K5" t="str">
            <v>262.7</v>
          </cell>
          <cell r="M5" t="str">
            <v>78</v>
          </cell>
          <cell r="O5" t="str">
            <v>96.7</v>
          </cell>
          <cell r="Q5" t="str">
            <v>115.5</v>
          </cell>
          <cell r="S5" t="str">
            <v>134</v>
          </cell>
          <cell r="U5" t="str">
            <v>424.2</v>
          </cell>
          <cell r="W5" t="str">
            <v>168</v>
          </cell>
          <cell r="Y5" t="str">
            <v>180</v>
          </cell>
          <cell r="AA5" t="str">
            <v>205</v>
          </cell>
          <cell r="AC5" t="str">
            <v>226</v>
          </cell>
          <cell r="AE5" t="str">
            <v>779</v>
          </cell>
          <cell r="AG5" t="str">
            <v>235</v>
          </cell>
          <cell r="AI5" t="str">
            <v>257.4</v>
          </cell>
          <cell r="AK5" t="str">
            <v>269.6</v>
          </cell>
          <cell r="AM5" t="str">
            <v>318.2</v>
          </cell>
          <cell r="AO5" t="str">
            <v>1080.2</v>
          </cell>
          <cell r="AQ5" t="str">
            <v>310</v>
          </cell>
          <cell r="AS5" t="str">
            <v>328</v>
          </cell>
          <cell r="AU5" t="str">
            <v>353.6</v>
          </cell>
          <cell r="AW5" t="str">
            <v>368.6</v>
          </cell>
          <cell r="AY5">
            <v>1360.2</v>
          </cell>
          <cell r="BA5">
            <v>361.8</v>
          </cell>
          <cell r="BC5">
            <v>390</v>
          </cell>
          <cell r="BE5">
            <v>393</v>
          </cell>
          <cell r="BG5">
            <v>429.2</v>
          </cell>
          <cell r="BI5">
            <v>1574</v>
          </cell>
          <cell r="BJ5">
            <v>0.15718276724011182</v>
          </cell>
          <cell r="BL5">
            <v>440.55</v>
          </cell>
          <cell r="BN5">
            <v>450.3</v>
          </cell>
          <cell r="BP5">
            <v>456.22699999999998</v>
          </cell>
          <cell r="BR5">
            <v>484.404</v>
          </cell>
          <cell r="BT5">
            <v>1831.481</v>
          </cell>
          <cell r="BU5">
            <v>0.1635838627700128</v>
          </cell>
          <cell r="BW5">
            <v>477</v>
          </cell>
          <cell r="BY5">
            <v>520</v>
          </cell>
          <cell r="CA5">
            <v>540</v>
          </cell>
          <cell r="CC5">
            <v>560</v>
          </cell>
          <cell r="CE5">
            <v>2097</v>
          </cell>
          <cell r="CF5">
            <v>0.14497502294591103</v>
          </cell>
        </row>
        <row r="6">
          <cell r="B6" t="str">
            <v>Rituxan- Ex-US</v>
          </cell>
          <cell r="C6">
            <v>17</v>
          </cell>
          <cell r="E6" t="str">
            <v>20.3</v>
          </cell>
          <cell r="G6">
            <v>8</v>
          </cell>
          <cell r="I6" t="str">
            <v>10.3</v>
          </cell>
          <cell r="K6">
            <v>55.800000000000011</v>
          </cell>
          <cell r="M6">
            <v>31.696428571428569</v>
          </cell>
          <cell r="O6">
            <v>27.232142857142854</v>
          </cell>
          <cell r="Q6">
            <v>10.714285714285714</v>
          </cell>
          <cell r="S6">
            <v>19.196428571428569</v>
          </cell>
          <cell r="U6">
            <v>88.800000000000011</v>
          </cell>
          <cell r="W6">
            <v>24.500000000000028</v>
          </cell>
          <cell r="Y6">
            <v>51.28</v>
          </cell>
          <cell r="AA6">
            <v>56.370000000000005</v>
          </cell>
          <cell r="AC6">
            <v>54.5</v>
          </cell>
          <cell r="AE6">
            <v>186.65000000000003</v>
          </cell>
          <cell r="AG6">
            <v>106.90000000000003</v>
          </cell>
          <cell r="AI6">
            <v>94.760000000000048</v>
          </cell>
          <cell r="AK6">
            <v>119</v>
          </cell>
          <cell r="AM6">
            <v>129.24000000000007</v>
          </cell>
          <cell r="AO6">
            <v>449.90000000000015</v>
          </cell>
          <cell r="AQ6">
            <v>111.58999999999997</v>
          </cell>
          <cell r="AS6">
            <v>161.09999999999997</v>
          </cell>
          <cell r="AU6">
            <v>159.76</v>
          </cell>
          <cell r="AW6">
            <v>217.14999999999998</v>
          </cell>
          <cell r="AY6">
            <v>649.59999999999991</v>
          </cell>
          <cell r="BA6">
            <v>261</v>
          </cell>
          <cell r="BC6">
            <v>270</v>
          </cell>
          <cell r="BE6">
            <v>305</v>
          </cell>
          <cell r="BG6">
            <v>313</v>
          </cell>
          <cell r="BI6">
            <v>1149</v>
          </cell>
          <cell r="BL6">
            <v>330</v>
          </cell>
          <cell r="BM6">
            <v>0.2</v>
          </cell>
          <cell r="BN6">
            <v>361</v>
          </cell>
          <cell r="BO6">
            <v>0.18</v>
          </cell>
          <cell r="BP6">
            <v>350</v>
          </cell>
          <cell r="BQ6">
            <v>0.17</v>
          </cell>
          <cell r="BR6">
            <v>370</v>
          </cell>
          <cell r="BS6">
            <v>0.15</v>
          </cell>
          <cell r="BT6">
            <v>1411</v>
          </cell>
          <cell r="BU6">
            <v>0.22802436901653622</v>
          </cell>
          <cell r="BW6">
            <v>440</v>
          </cell>
          <cell r="BY6">
            <v>460</v>
          </cell>
          <cell r="CA6">
            <v>475</v>
          </cell>
          <cell r="CC6">
            <v>490</v>
          </cell>
          <cell r="CE6">
            <v>1865</v>
          </cell>
          <cell r="CF6">
            <v>0.32175761871013475</v>
          </cell>
        </row>
        <row r="7">
          <cell r="B7" t="str">
            <v xml:space="preserve">Rituxan - Transfer to Roche </v>
          </cell>
          <cell r="C7" t="str">
            <v>5.1</v>
          </cell>
          <cell r="E7" t="str">
            <v>6.1</v>
          </cell>
          <cell r="G7" t="str">
            <v>2.4</v>
          </cell>
          <cell r="I7" t="str">
            <v>3.1</v>
          </cell>
          <cell r="K7" t="str">
            <v>16.7</v>
          </cell>
          <cell r="M7" t="str">
            <v>7.1</v>
          </cell>
          <cell r="O7" t="str">
            <v>6.1</v>
          </cell>
          <cell r="Q7" t="str">
            <v>2.4</v>
          </cell>
          <cell r="S7" t="str">
            <v>4.3</v>
          </cell>
          <cell r="U7">
            <v>19.899999999999977</v>
          </cell>
          <cell r="W7" t="str">
            <v>4.1</v>
          </cell>
          <cell r="Y7" t="str">
            <v>7.7</v>
          </cell>
          <cell r="AA7" t="str">
            <v>7.8</v>
          </cell>
          <cell r="AC7" t="str">
            <v>20</v>
          </cell>
          <cell r="AE7" t="str">
            <v>39.6</v>
          </cell>
          <cell r="AG7" t="str">
            <v>12.5</v>
          </cell>
          <cell r="AI7" t="str">
            <v>17.5</v>
          </cell>
          <cell r="AK7" t="str">
            <v>24.3</v>
          </cell>
          <cell r="AM7" t="str">
            <v>28.4</v>
          </cell>
          <cell r="AO7" t="str">
            <v>82.7</v>
          </cell>
          <cell r="AQ7" t="str">
            <v>31</v>
          </cell>
          <cell r="AS7" t="str">
            <v>35.4</v>
          </cell>
          <cell r="AU7" t="str">
            <v>18.1</v>
          </cell>
          <cell r="AW7" t="str">
            <v>44.4</v>
          </cell>
          <cell r="AY7">
            <v>128.9</v>
          </cell>
          <cell r="BA7">
            <v>38.799999999999997</v>
          </cell>
          <cell r="BC7">
            <v>34.700000000000003</v>
          </cell>
          <cell r="BE7">
            <v>44.7</v>
          </cell>
          <cell r="BG7">
            <v>19</v>
          </cell>
          <cell r="BI7">
            <v>137.19999999999999</v>
          </cell>
          <cell r="BJ7">
            <v>6.4391000775795071E-2</v>
          </cell>
          <cell r="BL7">
            <v>33.049999999999997</v>
          </cell>
          <cell r="BN7">
            <v>32</v>
          </cell>
          <cell r="BP7">
            <v>45.7</v>
          </cell>
          <cell r="BR7">
            <v>47.2</v>
          </cell>
          <cell r="BT7">
            <v>157.94999999999999</v>
          </cell>
          <cell r="BU7">
            <v>0.15123906705539358</v>
          </cell>
          <cell r="BW7">
            <v>32</v>
          </cell>
          <cell r="BY7">
            <v>73.600000000000009</v>
          </cell>
          <cell r="CA7">
            <v>76</v>
          </cell>
          <cell r="CC7">
            <v>78.400000000000006</v>
          </cell>
          <cell r="CE7">
            <v>260</v>
          </cell>
          <cell r="CF7">
            <v>0.64609053497942392</v>
          </cell>
        </row>
        <row r="8">
          <cell r="B8" t="str">
            <v>Rituxan - US &amp; Sales to Roche</v>
          </cell>
          <cell r="C8">
            <v>57.1</v>
          </cell>
          <cell r="E8">
            <v>74.400000000000006</v>
          </cell>
          <cell r="G8">
            <v>72.599999999999994</v>
          </cell>
          <cell r="I8">
            <v>75.3</v>
          </cell>
          <cell r="K8">
            <v>279.39999999999998</v>
          </cell>
          <cell r="M8">
            <v>85.1</v>
          </cell>
          <cell r="O8">
            <v>102.8</v>
          </cell>
          <cell r="Q8">
            <v>117.9</v>
          </cell>
          <cell r="S8">
            <v>138.30000000000001</v>
          </cell>
          <cell r="U8">
            <v>444.09999999999997</v>
          </cell>
          <cell r="W8">
            <v>172.1</v>
          </cell>
          <cell r="Y8">
            <v>187.7</v>
          </cell>
          <cell r="AA8">
            <v>212.8</v>
          </cell>
          <cell r="AC8">
            <v>246</v>
          </cell>
          <cell r="AE8">
            <v>818.59999999999991</v>
          </cell>
          <cell r="AG8">
            <v>247.5</v>
          </cell>
          <cell r="AI8">
            <v>274.89999999999998</v>
          </cell>
          <cell r="AK8">
            <v>293.90000000000003</v>
          </cell>
          <cell r="AM8">
            <v>346.59999999999997</v>
          </cell>
          <cell r="AO8">
            <v>1162.8999999999999</v>
          </cell>
          <cell r="AQ8">
            <v>341</v>
          </cell>
          <cell r="AS8">
            <v>363.4</v>
          </cell>
          <cell r="AU8">
            <v>371.70000000000005</v>
          </cell>
          <cell r="AW8">
            <v>413</v>
          </cell>
          <cell r="AY8">
            <v>1489.1</v>
          </cell>
          <cell r="BA8">
            <v>400.6</v>
          </cell>
          <cell r="BB8">
            <v>0.17478005865102642</v>
          </cell>
          <cell r="BC8">
            <v>424.7</v>
          </cell>
          <cell r="BD8">
            <v>0.1686846450192625</v>
          </cell>
          <cell r="BE8">
            <v>437.7</v>
          </cell>
          <cell r="BF8">
            <v>0.17756255044390623</v>
          </cell>
          <cell r="BG8">
            <v>448.2</v>
          </cell>
          <cell r="BH8">
            <v>8.5230024213075017E-2</v>
          </cell>
          <cell r="BI8">
            <v>1711.2</v>
          </cell>
          <cell r="BJ8">
            <v>0.14915049358673027</v>
          </cell>
          <cell r="BL8">
            <v>473.6</v>
          </cell>
          <cell r="BM8">
            <v>0.18222666000998511</v>
          </cell>
          <cell r="BN8">
            <v>482.3</v>
          </cell>
          <cell r="BO8">
            <v>0.13562514716270324</v>
          </cell>
          <cell r="BP8">
            <v>501.92699999999996</v>
          </cell>
          <cell r="BQ8">
            <v>0.14673749143248793</v>
          </cell>
          <cell r="BR8">
            <v>531.60400000000004</v>
          </cell>
          <cell r="BS8">
            <v>0.18608656849620719</v>
          </cell>
          <cell r="BT8">
            <v>1989.431</v>
          </cell>
          <cell r="BU8">
            <v>0.16259408602150538</v>
          </cell>
          <cell r="BW8">
            <v>509</v>
          </cell>
          <cell r="BX8">
            <v>7.474662162162149E-2</v>
          </cell>
          <cell r="BY8">
            <v>593.6</v>
          </cell>
          <cell r="BZ8">
            <v>0.23076923076923084</v>
          </cell>
          <cell r="CA8">
            <v>616</v>
          </cell>
          <cell r="CB8">
            <v>0.22727010103062795</v>
          </cell>
          <cell r="CC8">
            <v>638.4</v>
          </cell>
          <cell r="CD8">
            <v>0.2008938984657751</v>
          </cell>
          <cell r="CE8">
            <v>2357</v>
          </cell>
          <cell r="CF8">
            <v>0.18476086881123299</v>
          </cell>
        </row>
        <row r="9">
          <cell r="B9" t="str">
            <v>Avastin - US</v>
          </cell>
          <cell r="BA9">
            <v>38.1</v>
          </cell>
          <cell r="BC9">
            <v>133</v>
          </cell>
          <cell r="BE9">
            <v>183</v>
          </cell>
          <cell r="BG9">
            <v>198.24</v>
          </cell>
          <cell r="BI9">
            <v>552.34</v>
          </cell>
          <cell r="BL9">
            <v>202.85499999999999</v>
          </cell>
          <cell r="BN9">
            <v>245.6</v>
          </cell>
          <cell r="BP9">
            <v>325.15600000000001</v>
          </cell>
          <cell r="BR9">
            <v>359.11</v>
          </cell>
          <cell r="BT9">
            <v>1132.721</v>
          </cell>
          <cell r="BW9">
            <v>398</v>
          </cell>
          <cell r="BY9">
            <v>442</v>
          </cell>
          <cell r="CA9">
            <v>486</v>
          </cell>
          <cell r="CC9">
            <v>550</v>
          </cell>
          <cell r="CE9">
            <v>1876</v>
          </cell>
        </row>
        <row r="10">
          <cell r="B10" t="str">
            <v>Avastin - Ex-US</v>
          </cell>
          <cell r="BA10">
            <v>0</v>
          </cell>
          <cell r="BC10">
            <v>0</v>
          </cell>
          <cell r="BE10">
            <v>0</v>
          </cell>
          <cell r="BG10">
            <v>10</v>
          </cell>
          <cell r="BI10">
            <v>10</v>
          </cell>
          <cell r="BL10">
            <v>16.899999999999999</v>
          </cell>
          <cell r="BN10">
            <v>38.200000000000003</v>
          </cell>
          <cell r="BP10">
            <v>60.6</v>
          </cell>
          <cell r="BR10">
            <v>75</v>
          </cell>
          <cell r="BT10">
            <v>190.7</v>
          </cell>
          <cell r="BW10">
            <v>105</v>
          </cell>
          <cell r="BY10">
            <v>130</v>
          </cell>
          <cell r="CA10">
            <v>150</v>
          </cell>
          <cell r="CC10">
            <v>180</v>
          </cell>
          <cell r="CE10">
            <v>565</v>
          </cell>
        </row>
        <row r="11">
          <cell r="B11" t="str">
            <v>Avastin - Transfer to Roche</v>
          </cell>
          <cell r="BG11">
            <v>2.16</v>
          </cell>
          <cell r="BI11">
            <v>2.16</v>
          </cell>
          <cell r="BL11">
            <v>11.632</v>
          </cell>
          <cell r="BN11">
            <v>3.6</v>
          </cell>
          <cell r="BP11">
            <v>35</v>
          </cell>
          <cell r="BR11">
            <v>33.799999999999997</v>
          </cell>
          <cell r="BT11">
            <v>84.031999999999996</v>
          </cell>
          <cell r="BW11">
            <v>18</v>
          </cell>
          <cell r="BY11">
            <v>28.08</v>
          </cell>
          <cell r="CA11">
            <v>32.4</v>
          </cell>
          <cell r="CC11">
            <v>38.879999999999995</v>
          </cell>
          <cell r="CE11">
            <v>117.35999999999999</v>
          </cell>
        </row>
        <row r="12">
          <cell r="B12" t="str">
            <v>Avastin -  US &amp; Sales to Roche</v>
          </cell>
          <cell r="BA12">
            <v>38.1</v>
          </cell>
          <cell r="BB12" t="str">
            <v>NM</v>
          </cell>
          <cell r="BC12">
            <v>133</v>
          </cell>
          <cell r="BD12" t="str">
            <v>NM</v>
          </cell>
          <cell r="BE12">
            <v>183</v>
          </cell>
          <cell r="BF12" t="str">
            <v>NM</v>
          </cell>
          <cell r="BG12">
            <v>200.4</v>
          </cell>
          <cell r="BH12" t="str">
            <v>NM</v>
          </cell>
          <cell r="BI12">
            <v>554.5</v>
          </cell>
          <cell r="BJ12" t="str">
            <v>NM</v>
          </cell>
          <cell r="BL12">
            <v>214.48699999999999</v>
          </cell>
          <cell r="BM12">
            <v>4.6295800524934378</v>
          </cell>
          <cell r="BN12">
            <v>249.2</v>
          </cell>
          <cell r="BO12">
            <v>0.87368421052631562</v>
          </cell>
          <cell r="BP12">
            <v>360.15600000000001</v>
          </cell>
          <cell r="BQ12">
            <v>0.96806557377049174</v>
          </cell>
          <cell r="BR12">
            <v>392.91</v>
          </cell>
          <cell r="BS12">
            <v>0.96062874251497021</v>
          </cell>
          <cell r="BT12">
            <v>1216.7530000000002</v>
          </cell>
          <cell r="BU12">
            <v>1.1943246167718669</v>
          </cell>
          <cell r="BW12">
            <v>416</v>
          </cell>
          <cell r="BX12">
            <v>0.93951148554457853</v>
          </cell>
          <cell r="BY12">
            <v>470.08</v>
          </cell>
          <cell r="BZ12">
            <v>0.88635634028892452</v>
          </cell>
          <cell r="CA12">
            <v>518.4</v>
          </cell>
          <cell r="CB12">
            <v>0.4393762702828774</v>
          </cell>
          <cell r="CC12">
            <v>588.88</v>
          </cell>
          <cell r="CD12">
            <v>0.49876562062558838</v>
          </cell>
          <cell r="CE12">
            <v>1993.3600000000001</v>
          </cell>
          <cell r="CF12">
            <v>0.63826183292747163</v>
          </cell>
        </row>
        <row r="13">
          <cell r="B13" t="str">
            <v>Herceptin - US</v>
          </cell>
          <cell r="C13">
            <v>39.200000000000003</v>
          </cell>
          <cell r="E13">
            <v>42.6</v>
          </cell>
          <cell r="G13">
            <v>47.5</v>
          </cell>
          <cell r="I13">
            <v>54.4</v>
          </cell>
          <cell r="K13">
            <v>183.70000000000002</v>
          </cell>
          <cell r="M13">
            <v>56.7</v>
          </cell>
          <cell r="O13">
            <v>62.6</v>
          </cell>
          <cell r="Q13">
            <v>64.099999999999994</v>
          </cell>
          <cell r="S13">
            <v>66.3</v>
          </cell>
          <cell r="U13">
            <v>249.7</v>
          </cell>
          <cell r="W13">
            <v>70.099999999999994</v>
          </cell>
          <cell r="Y13">
            <v>74.099999999999994</v>
          </cell>
          <cell r="AA13">
            <v>75.900000000000006</v>
          </cell>
          <cell r="AC13">
            <v>95.3</v>
          </cell>
          <cell r="AE13">
            <v>315.39999999999998</v>
          </cell>
          <cell r="AG13">
            <v>77.3</v>
          </cell>
          <cell r="AI13">
            <v>82.5</v>
          </cell>
          <cell r="AK13">
            <v>88.3</v>
          </cell>
          <cell r="AM13">
            <v>96.8</v>
          </cell>
          <cell r="AO13">
            <v>344.9</v>
          </cell>
          <cell r="AQ13">
            <v>93.7</v>
          </cell>
          <cell r="AS13">
            <v>99</v>
          </cell>
          <cell r="AU13">
            <v>106.2</v>
          </cell>
          <cell r="AW13">
            <v>107.1</v>
          </cell>
          <cell r="AY13">
            <v>406</v>
          </cell>
          <cell r="BA13">
            <v>108.7</v>
          </cell>
          <cell r="BC13">
            <v>110</v>
          </cell>
          <cell r="BE13">
            <v>122.7</v>
          </cell>
          <cell r="BG13">
            <v>125</v>
          </cell>
          <cell r="BI13">
            <v>466.4</v>
          </cell>
          <cell r="BJ13">
            <v>0.14876847290640383</v>
          </cell>
          <cell r="BL13">
            <v>129.63</v>
          </cell>
          <cell r="BM13">
            <v>0.19254829806807727</v>
          </cell>
          <cell r="BN13">
            <v>152.4</v>
          </cell>
          <cell r="BO13">
            <v>0.38545454545454549</v>
          </cell>
          <cell r="BP13">
            <v>215.148</v>
          </cell>
          <cell r="BQ13">
            <v>0.75344743276283621</v>
          </cell>
          <cell r="BR13">
            <v>250.06899999999999</v>
          </cell>
          <cell r="BS13">
            <v>1.0005519999999999</v>
          </cell>
          <cell r="BT13">
            <v>747.24699999999996</v>
          </cell>
          <cell r="BU13">
            <v>0.60215909090909081</v>
          </cell>
          <cell r="BW13">
            <v>290</v>
          </cell>
          <cell r="BX13">
            <v>1.2371364653243848</v>
          </cell>
          <cell r="BY13">
            <v>330</v>
          </cell>
          <cell r="BZ13">
            <v>1.1653543307086611</v>
          </cell>
          <cell r="CA13">
            <v>365</v>
          </cell>
          <cell r="CB13">
            <v>0.69650659081190636</v>
          </cell>
          <cell r="CC13">
            <v>390</v>
          </cell>
          <cell r="CD13">
            <v>0.55956955880177084</v>
          </cell>
          <cell r="CE13">
            <v>1375</v>
          </cell>
          <cell r="CF13">
            <v>0.84008768185084737</v>
          </cell>
        </row>
        <row r="14">
          <cell r="B14" t="str">
            <v xml:space="preserve">Herceptin - Ex-US </v>
          </cell>
          <cell r="K14">
            <v>0</v>
          </cell>
          <cell r="M14">
            <v>26.490066225165563</v>
          </cell>
          <cell r="O14">
            <v>9.0507726269315665</v>
          </cell>
          <cell r="Q14">
            <v>18.763796909492275</v>
          </cell>
          <cell r="S14">
            <v>3.7527593818984544</v>
          </cell>
          <cell r="U14">
            <v>58.099999999999966</v>
          </cell>
          <cell r="W14">
            <v>26.799999999999997</v>
          </cell>
          <cell r="Y14">
            <v>31.92</v>
          </cell>
          <cell r="AA14">
            <v>40.379999999999981</v>
          </cell>
          <cell r="AC14">
            <v>44.92</v>
          </cell>
          <cell r="AE14">
            <v>144.01999999999998</v>
          </cell>
          <cell r="AG14">
            <v>67.65000000000002</v>
          </cell>
          <cell r="AI14">
            <v>70.02000000000001</v>
          </cell>
          <cell r="AK14">
            <v>83.89</v>
          </cell>
          <cell r="AM14">
            <v>94.280000000000015</v>
          </cell>
          <cell r="AO14">
            <v>315.84000000000003</v>
          </cell>
          <cell r="AQ14">
            <v>89.149999999999991</v>
          </cell>
          <cell r="AS14">
            <v>109.78</v>
          </cell>
          <cell r="AU14">
            <v>117.71999999999998</v>
          </cell>
          <cell r="AW14">
            <v>129.15</v>
          </cell>
          <cell r="AY14">
            <v>445.79999999999995</v>
          </cell>
          <cell r="BA14">
            <v>147.13999999999999</v>
          </cell>
          <cell r="BC14">
            <v>145</v>
          </cell>
          <cell r="BE14">
            <v>148</v>
          </cell>
          <cell r="BG14">
            <v>150</v>
          </cell>
          <cell r="BI14">
            <v>590.14</v>
          </cell>
          <cell r="BL14">
            <v>201</v>
          </cell>
          <cell r="BM14">
            <v>0.36604594263966295</v>
          </cell>
          <cell r="BN14">
            <v>223</v>
          </cell>
          <cell r="BO14">
            <v>0.53793103448275859</v>
          </cell>
          <cell r="BP14">
            <v>252</v>
          </cell>
          <cell r="BQ14">
            <v>0.70270270270270263</v>
          </cell>
          <cell r="BR14">
            <v>272</v>
          </cell>
          <cell r="BS14">
            <v>0.81333333333333324</v>
          </cell>
          <cell r="BT14">
            <v>948</v>
          </cell>
          <cell r="BU14">
            <v>0.60639848171620292</v>
          </cell>
          <cell r="BW14">
            <v>255</v>
          </cell>
          <cell r="BX14">
            <v>0.26865671641791056</v>
          </cell>
          <cell r="BY14">
            <v>275</v>
          </cell>
          <cell r="BZ14">
            <v>0.23318385650224216</v>
          </cell>
          <cell r="CA14">
            <v>315</v>
          </cell>
          <cell r="CB14">
            <v>0.25</v>
          </cell>
          <cell r="CC14">
            <v>330</v>
          </cell>
          <cell r="CD14">
            <v>0.21323529411764697</v>
          </cell>
          <cell r="CE14">
            <v>1175</v>
          </cell>
          <cell r="CF14">
            <v>0.23945147679324896</v>
          </cell>
        </row>
        <row r="15">
          <cell r="B15" t="str">
            <v>Herceptin - Transfer to Roche</v>
          </cell>
          <cell r="C15">
            <v>0.7</v>
          </cell>
          <cell r="E15">
            <v>3.6</v>
          </cell>
          <cell r="G15">
            <v>0.4</v>
          </cell>
          <cell r="I15">
            <v>0</v>
          </cell>
          <cell r="K15">
            <v>4.7</v>
          </cell>
          <cell r="M15">
            <v>12</v>
          </cell>
          <cell r="O15">
            <v>4.0999999999999996</v>
          </cell>
          <cell r="Q15">
            <v>8.5</v>
          </cell>
          <cell r="S15">
            <v>1.7</v>
          </cell>
          <cell r="U15">
            <v>26.3</v>
          </cell>
          <cell r="W15">
            <v>11.3</v>
          </cell>
          <cell r="Y15">
            <v>4.7</v>
          </cell>
          <cell r="AA15">
            <v>7.9</v>
          </cell>
          <cell r="AC15">
            <v>7.4</v>
          </cell>
          <cell r="AE15">
            <v>31.299999999999997</v>
          </cell>
          <cell r="AG15">
            <v>9.5</v>
          </cell>
          <cell r="AI15">
            <v>12.6</v>
          </cell>
          <cell r="AK15">
            <v>8.4</v>
          </cell>
          <cell r="AM15">
            <v>9.8000000000000007</v>
          </cell>
          <cell r="AO15">
            <v>40.299999999999997</v>
          </cell>
          <cell r="AQ15">
            <v>0</v>
          </cell>
          <cell r="AS15">
            <v>10.1</v>
          </cell>
          <cell r="AU15">
            <v>1.5</v>
          </cell>
          <cell r="AW15">
            <v>7.2</v>
          </cell>
          <cell r="AY15">
            <v>18.8</v>
          </cell>
          <cell r="BA15">
            <v>4.8</v>
          </cell>
          <cell r="BC15">
            <v>3.625</v>
          </cell>
          <cell r="BE15">
            <v>3.7</v>
          </cell>
          <cell r="BG15">
            <v>3.75</v>
          </cell>
          <cell r="BI15">
            <v>15.875</v>
          </cell>
          <cell r="BJ15">
            <v>-0.15558510638297873</v>
          </cell>
          <cell r="BL15">
            <v>10.888</v>
          </cell>
          <cell r="BM15">
            <v>1.2683333333333335</v>
          </cell>
          <cell r="BN15">
            <v>-1.7669999999999999</v>
          </cell>
          <cell r="BO15">
            <v>-1.4874482758620688</v>
          </cell>
          <cell r="BP15">
            <v>5</v>
          </cell>
          <cell r="BQ15">
            <v>0.35135135135135132</v>
          </cell>
          <cell r="BR15">
            <v>2.5</v>
          </cell>
          <cell r="BS15">
            <v>-0.33333333333333337</v>
          </cell>
          <cell r="BT15">
            <v>16.621000000000002</v>
          </cell>
          <cell r="BU15">
            <v>4.6992125984252064E-2</v>
          </cell>
          <cell r="BW15">
            <v>5</v>
          </cell>
          <cell r="BX15">
            <v>-0.54077883908890523</v>
          </cell>
          <cell r="BY15">
            <v>0</v>
          </cell>
          <cell r="CA15">
            <v>0</v>
          </cell>
          <cell r="CC15">
            <v>0</v>
          </cell>
          <cell r="CE15">
            <v>5</v>
          </cell>
          <cell r="CF15">
            <v>-0.69917574153179718</v>
          </cell>
        </row>
        <row r="16">
          <cell r="B16" t="str">
            <v>Herceptin- US &amp; Sales to Roche</v>
          </cell>
          <cell r="C16">
            <v>39.899999999000009</v>
          </cell>
          <cell r="E16">
            <v>46.2</v>
          </cell>
          <cell r="G16">
            <v>47.900000000999995</v>
          </cell>
          <cell r="I16">
            <v>54.4</v>
          </cell>
          <cell r="K16">
            <v>188.4</v>
          </cell>
          <cell r="M16">
            <v>68.700000000999992</v>
          </cell>
          <cell r="O16">
            <v>66.700000000999992</v>
          </cell>
          <cell r="Q16">
            <v>72.599999999999994</v>
          </cell>
          <cell r="S16">
            <v>67.900000000000006</v>
          </cell>
          <cell r="U16">
            <v>275.90000000199996</v>
          </cell>
          <cell r="W16">
            <v>81.400000000000006</v>
          </cell>
          <cell r="Y16">
            <v>78.799999999000008</v>
          </cell>
          <cell r="AA16">
            <v>83.9</v>
          </cell>
          <cell r="AC16">
            <v>102.52497556000002</v>
          </cell>
          <cell r="AE16">
            <v>346.62497555900001</v>
          </cell>
          <cell r="AG16">
            <v>86.835243488000017</v>
          </cell>
          <cell r="AI16">
            <v>95.107865390720022</v>
          </cell>
          <cell r="AK16">
            <v>96.7</v>
          </cell>
          <cell r="AM16">
            <v>106.62597458240003</v>
          </cell>
          <cell r="AO16">
            <v>385.26908346112009</v>
          </cell>
          <cell r="AQ16">
            <v>93.7</v>
          </cell>
          <cell r="AS16">
            <v>109.1</v>
          </cell>
          <cell r="AU16">
            <v>107.7</v>
          </cell>
          <cell r="AW16">
            <v>114.3</v>
          </cell>
          <cell r="AY16">
            <v>424.8</v>
          </cell>
          <cell r="BA16">
            <v>113.5</v>
          </cell>
          <cell r="BB16">
            <v>0.21131270010672365</v>
          </cell>
          <cell r="BC16">
            <v>117.7</v>
          </cell>
          <cell r="BD16">
            <v>7.8826764436296992E-2</v>
          </cell>
          <cell r="BE16">
            <v>126</v>
          </cell>
          <cell r="BF16">
            <v>0.16991643454038985</v>
          </cell>
          <cell r="BG16">
            <v>126</v>
          </cell>
          <cell r="BH16">
            <v>0.10236220472440949</v>
          </cell>
          <cell r="BI16">
            <v>483.2</v>
          </cell>
          <cell r="BJ16">
            <v>0.1374764595103577</v>
          </cell>
          <cell r="BL16">
            <v>140.518</v>
          </cell>
          <cell r="BM16">
            <v>0.23804405286343622</v>
          </cell>
          <cell r="BN16">
            <v>150.63300000000001</v>
          </cell>
          <cell r="BO16">
            <v>0.27980458793542917</v>
          </cell>
          <cell r="BP16">
            <v>220.148</v>
          </cell>
          <cell r="BQ16">
            <v>0.74720634920634921</v>
          </cell>
          <cell r="BR16">
            <v>252.56899999999999</v>
          </cell>
          <cell r="BS16">
            <v>1.004515873015873</v>
          </cell>
          <cell r="BT16">
            <v>763.86799999999994</v>
          </cell>
          <cell r="BU16">
            <v>0.58085264900662237</v>
          </cell>
          <cell r="BW16">
            <v>295</v>
          </cell>
          <cell r="BX16">
            <v>1.0993751690174922</v>
          </cell>
          <cell r="BY16">
            <v>330</v>
          </cell>
          <cell r="BZ16">
            <v>1.1907550138415885</v>
          </cell>
          <cell r="CA16">
            <v>365</v>
          </cell>
          <cell r="CB16">
            <v>0.65797554372513045</v>
          </cell>
          <cell r="CC16">
            <v>390</v>
          </cell>
          <cell r="CD16">
            <v>0.54413249448665524</v>
          </cell>
          <cell r="CE16">
            <v>1380</v>
          </cell>
          <cell r="CF16">
            <v>0.8065948567029908</v>
          </cell>
        </row>
        <row r="17">
          <cell r="B17" t="str">
            <v>Xolair</v>
          </cell>
          <cell r="C17">
            <v>0</v>
          </cell>
          <cell r="E17">
            <v>0</v>
          </cell>
          <cell r="G17">
            <v>0</v>
          </cell>
          <cell r="I17">
            <v>0</v>
          </cell>
          <cell r="K17">
            <v>0</v>
          </cell>
          <cell r="M17">
            <v>0</v>
          </cell>
          <cell r="O17">
            <v>0</v>
          </cell>
          <cell r="Q17">
            <v>0</v>
          </cell>
          <cell r="S17">
            <v>0</v>
          </cell>
          <cell r="U17">
            <v>0</v>
          </cell>
          <cell r="W17">
            <v>0</v>
          </cell>
          <cell r="Y17">
            <v>0</v>
          </cell>
          <cell r="AA17">
            <v>0</v>
          </cell>
          <cell r="AC17">
            <v>0</v>
          </cell>
          <cell r="AE17">
            <v>0</v>
          </cell>
          <cell r="AG17">
            <v>0</v>
          </cell>
          <cell r="AI17">
            <v>0</v>
          </cell>
          <cell r="AK17">
            <v>0</v>
          </cell>
          <cell r="AM17">
            <v>0</v>
          </cell>
          <cell r="AO17">
            <v>0</v>
          </cell>
          <cell r="AQ17">
            <v>0</v>
          </cell>
          <cell r="AS17">
            <v>0</v>
          </cell>
          <cell r="AU17">
            <v>6.8</v>
          </cell>
          <cell r="AW17">
            <v>18.5</v>
          </cell>
          <cell r="AY17">
            <v>25.3</v>
          </cell>
          <cell r="BA17">
            <v>30</v>
          </cell>
          <cell r="BB17" t="str">
            <v>NM</v>
          </cell>
          <cell r="BC17">
            <v>43.7</v>
          </cell>
          <cell r="BE17">
            <v>53.9</v>
          </cell>
          <cell r="BG17">
            <v>60.9</v>
          </cell>
          <cell r="BH17">
            <v>2.291891891891892</v>
          </cell>
          <cell r="BI17">
            <v>188.5</v>
          </cell>
          <cell r="BJ17">
            <v>6.4505928853754941</v>
          </cell>
          <cell r="BL17">
            <v>68.597000000000008</v>
          </cell>
          <cell r="BM17">
            <v>1.2865666666666669</v>
          </cell>
          <cell r="BN17">
            <v>80.400000000000006</v>
          </cell>
          <cell r="BO17">
            <v>0.83981693363844401</v>
          </cell>
          <cell r="BP17">
            <v>81.55</v>
          </cell>
          <cell r="BQ17">
            <v>0.51298701298701288</v>
          </cell>
          <cell r="BR17">
            <v>93.25</v>
          </cell>
          <cell r="BS17">
            <v>0.53119868637110024</v>
          </cell>
          <cell r="BT17">
            <v>323.79700000000003</v>
          </cell>
          <cell r="BU17">
            <v>0.71775596816976139</v>
          </cell>
          <cell r="BW17">
            <v>95</v>
          </cell>
          <cell r="BX17">
            <v>0.3849002142950857</v>
          </cell>
          <cell r="BY17">
            <v>106</v>
          </cell>
          <cell r="BZ17">
            <v>0.31840796019900486</v>
          </cell>
          <cell r="CA17">
            <v>108</v>
          </cell>
          <cell r="CB17">
            <v>0.32434089515634579</v>
          </cell>
          <cell r="CC17">
            <v>114</v>
          </cell>
          <cell r="CD17">
            <v>0.22252010723860582</v>
          </cell>
          <cell r="CE17">
            <v>423</v>
          </cell>
          <cell r="CF17">
            <v>0.30637405534949358</v>
          </cell>
        </row>
        <row r="18">
          <cell r="B18" t="str">
            <v>Raptiva</v>
          </cell>
          <cell r="C18">
            <v>0</v>
          </cell>
          <cell r="E18">
            <v>0</v>
          </cell>
          <cell r="G18">
            <v>0</v>
          </cell>
          <cell r="I18">
            <v>0</v>
          </cell>
          <cell r="K18">
            <v>0</v>
          </cell>
          <cell r="M18">
            <v>0</v>
          </cell>
          <cell r="O18">
            <v>0</v>
          </cell>
          <cell r="Q18">
            <v>0</v>
          </cell>
          <cell r="S18">
            <v>0</v>
          </cell>
          <cell r="U18">
            <v>0</v>
          </cell>
          <cell r="W18">
            <v>0</v>
          </cell>
          <cell r="Y18">
            <v>0</v>
          </cell>
          <cell r="AA18">
            <v>0</v>
          </cell>
          <cell r="AC18">
            <v>0</v>
          </cell>
          <cell r="AE18">
            <v>0</v>
          </cell>
          <cell r="AG18">
            <v>0</v>
          </cell>
          <cell r="AI18">
            <v>0</v>
          </cell>
          <cell r="AK18">
            <v>0</v>
          </cell>
          <cell r="AM18">
            <v>0</v>
          </cell>
          <cell r="AO18">
            <v>0</v>
          </cell>
          <cell r="AQ18">
            <v>0</v>
          </cell>
          <cell r="AS18">
            <v>0</v>
          </cell>
          <cell r="AU18">
            <v>0</v>
          </cell>
          <cell r="AW18">
            <v>1.4</v>
          </cell>
          <cell r="AY18">
            <v>1.4</v>
          </cell>
          <cell r="BA18">
            <v>6.3</v>
          </cell>
          <cell r="BB18" t="str">
            <v>NM</v>
          </cell>
          <cell r="BC18">
            <v>13.4</v>
          </cell>
          <cell r="BD18" t="str">
            <v>NM</v>
          </cell>
          <cell r="BE18">
            <v>18</v>
          </cell>
          <cell r="BF18" t="str">
            <v>NM</v>
          </cell>
          <cell r="BG18">
            <v>18.600000000000001</v>
          </cell>
          <cell r="BH18" t="str">
            <v>NM</v>
          </cell>
          <cell r="BI18">
            <v>56.300000000000004</v>
          </cell>
          <cell r="BJ18" t="str">
            <v>NM</v>
          </cell>
          <cell r="BL18">
            <v>24.114999999999998</v>
          </cell>
          <cell r="BM18">
            <v>2.8277777777777775</v>
          </cell>
          <cell r="BN18">
            <v>21.3</v>
          </cell>
          <cell r="BO18">
            <v>0.58955223880597019</v>
          </cell>
          <cell r="BP18">
            <v>20.887</v>
          </cell>
          <cell r="BQ18">
            <v>0.16038888888888891</v>
          </cell>
          <cell r="BR18">
            <v>20.452999999999999</v>
          </cell>
          <cell r="BS18">
            <v>9.9623655913978482E-2</v>
          </cell>
          <cell r="BT18">
            <v>86.754999999999995</v>
          </cell>
          <cell r="BU18">
            <v>0.54094138543516856</v>
          </cell>
          <cell r="BW18">
            <v>21</v>
          </cell>
          <cell r="BX18">
            <v>-0.12917271407837438</v>
          </cell>
          <cell r="BY18">
            <v>23</v>
          </cell>
          <cell r="BZ18">
            <v>7.9812206572769995E-2</v>
          </cell>
          <cell r="CA18">
            <v>24</v>
          </cell>
          <cell r="CB18">
            <v>0.14904007277253783</v>
          </cell>
          <cell r="CC18">
            <v>25</v>
          </cell>
          <cell r="CD18">
            <v>0.22231457487899098</v>
          </cell>
          <cell r="CE18">
            <v>93</v>
          </cell>
          <cell r="CF18">
            <v>7.1984323670105432E-2</v>
          </cell>
        </row>
        <row r="19">
          <cell r="B19" t="str">
            <v>Tarceva - US</v>
          </cell>
          <cell r="BA19">
            <v>0</v>
          </cell>
          <cell r="BC19">
            <v>0</v>
          </cell>
          <cell r="BE19">
            <v>0</v>
          </cell>
          <cell r="BG19">
            <v>13.3</v>
          </cell>
          <cell r="BI19">
            <v>13.3</v>
          </cell>
          <cell r="BL19">
            <v>47.585000000000001</v>
          </cell>
          <cell r="BN19">
            <v>70.2</v>
          </cell>
          <cell r="BP19">
            <v>73.22</v>
          </cell>
          <cell r="BR19">
            <v>83.891000000000005</v>
          </cell>
          <cell r="BT19">
            <v>274.89600000000002</v>
          </cell>
          <cell r="BU19" t="str">
            <v>NM</v>
          </cell>
          <cell r="BW19">
            <v>93</v>
          </cell>
          <cell r="BY19">
            <v>102</v>
          </cell>
          <cell r="CA19">
            <v>109</v>
          </cell>
          <cell r="CC19">
            <v>120</v>
          </cell>
          <cell r="CE19">
            <v>424</v>
          </cell>
          <cell r="CF19" t="str">
            <v>NM</v>
          </cell>
        </row>
        <row r="20">
          <cell r="B20" t="str">
            <v>Lucentis - US</v>
          </cell>
          <cell r="BW20">
            <v>0</v>
          </cell>
          <cell r="BY20">
            <v>0</v>
          </cell>
          <cell r="CA20">
            <v>40</v>
          </cell>
          <cell r="CC20">
            <v>95</v>
          </cell>
          <cell r="CE20">
            <v>135</v>
          </cell>
        </row>
        <row r="21">
          <cell r="B21" t="str">
            <v>Growth Hormone Products</v>
          </cell>
          <cell r="C21">
            <v>56.2</v>
          </cell>
          <cell r="E21">
            <v>59.3</v>
          </cell>
          <cell r="G21">
            <v>59.900000000999995</v>
          </cell>
          <cell r="I21">
            <v>45.8</v>
          </cell>
          <cell r="K21">
            <v>221.20000000099998</v>
          </cell>
          <cell r="M21">
            <v>55.1</v>
          </cell>
          <cell r="O21">
            <v>49.9</v>
          </cell>
          <cell r="Q21">
            <v>61.1</v>
          </cell>
          <cell r="S21">
            <v>60.5</v>
          </cell>
          <cell r="U21">
            <v>226.6</v>
          </cell>
          <cell r="W21">
            <v>55.499999999000018</v>
          </cell>
          <cell r="Y21">
            <v>62.5</v>
          </cell>
          <cell r="AA21">
            <v>67.7</v>
          </cell>
          <cell r="AC21">
            <v>64.53</v>
          </cell>
          <cell r="AE21">
            <v>250.229999999</v>
          </cell>
          <cell r="AG21">
            <v>67.680000000000007</v>
          </cell>
          <cell r="AI21">
            <v>75.33</v>
          </cell>
          <cell r="AK21">
            <v>77.400000000000006</v>
          </cell>
          <cell r="AM21">
            <v>76.814999999999998</v>
          </cell>
          <cell r="AO21">
            <v>297.22500000000002</v>
          </cell>
          <cell r="AQ21">
            <v>76.7</v>
          </cell>
          <cell r="AS21">
            <v>81.599999999999994</v>
          </cell>
          <cell r="AU21">
            <v>80.599999999999994</v>
          </cell>
          <cell r="AW21">
            <v>83</v>
          </cell>
          <cell r="AY21">
            <v>321.89999999999998</v>
          </cell>
          <cell r="BA21">
            <v>85.5</v>
          </cell>
          <cell r="BB21">
            <v>0.11473272490221631</v>
          </cell>
          <cell r="BC21">
            <v>88.4</v>
          </cell>
          <cell r="BD21">
            <v>8.3333333333333481E-2</v>
          </cell>
          <cell r="BE21">
            <v>87.2</v>
          </cell>
          <cell r="BF21">
            <v>8.1885856079404684E-2</v>
          </cell>
          <cell r="BG21">
            <v>92.5</v>
          </cell>
          <cell r="BH21">
            <v>0.1144578313253013</v>
          </cell>
          <cell r="BI21">
            <v>353.6</v>
          </cell>
          <cell r="BJ21">
            <v>9.8477788132960598E-2</v>
          </cell>
          <cell r="BL21">
            <v>92.087999999999994</v>
          </cell>
          <cell r="BM21">
            <v>7.7052631578947262E-2</v>
          </cell>
          <cell r="BN21">
            <v>97.116</v>
          </cell>
          <cell r="BO21">
            <v>9.8597285067873131E-2</v>
          </cell>
          <cell r="BP21">
            <v>88.584999999999994</v>
          </cell>
          <cell r="BQ21">
            <v>1.5883027522935578E-2</v>
          </cell>
          <cell r="BR21">
            <v>94.891000000000005</v>
          </cell>
          <cell r="BS21">
            <v>2.5848648648648664E-2</v>
          </cell>
          <cell r="BT21">
            <v>372.68</v>
          </cell>
          <cell r="BU21">
            <v>5.3959276018099578E-2</v>
          </cell>
          <cell r="BW21">
            <v>87</v>
          </cell>
          <cell r="BX21">
            <v>-5.5251498566588397E-2</v>
          </cell>
          <cell r="BY21">
            <v>97</v>
          </cell>
          <cell r="BZ21">
            <v>-1.194447876765925E-3</v>
          </cell>
          <cell r="CA21">
            <v>97</v>
          </cell>
          <cell r="CB21">
            <v>9.4993509059095871E-2</v>
          </cell>
          <cell r="CC21">
            <v>97</v>
          </cell>
          <cell r="CD21">
            <v>2.2225500837803391E-2</v>
          </cell>
          <cell r="CE21">
            <v>378</v>
          </cell>
          <cell r="CF21">
            <v>1.427498121712989E-2</v>
          </cell>
        </row>
        <row r="22">
          <cell r="B22" t="str">
            <v>Thrombolytics</v>
          </cell>
          <cell r="C22">
            <v>51.999999999000003</v>
          </cell>
          <cell r="E22">
            <v>58.100000000999991</v>
          </cell>
          <cell r="G22">
            <v>59.2</v>
          </cell>
          <cell r="I22">
            <v>66.700000000999992</v>
          </cell>
          <cell r="K22">
            <v>236.00000000099999</v>
          </cell>
          <cell r="M22">
            <v>47.5</v>
          </cell>
          <cell r="O22">
            <v>56.8</v>
          </cell>
          <cell r="Q22">
            <v>50.7</v>
          </cell>
          <cell r="S22">
            <v>51.2</v>
          </cell>
          <cell r="U22">
            <v>206.2</v>
          </cell>
          <cell r="W22">
            <v>52.099999999000005</v>
          </cell>
          <cell r="Y22">
            <v>51.6</v>
          </cell>
          <cell r="AA22">
            <v>48.6</v>
          </cell>
          <cell r="AC22">
            <v>44.805593250000001</v>
          </cell>
          <cell r="AE22">
            <v>197.10559324899998</v>
          </cell>
          <cell r="AG22">
            <v>42.834863389724994</v>
          </cell>
          <cell r="AI22">
            <v>43.103975852272498</v>
          </cell>
          <cell r="AK22">
            <v>45.6</v>
          </cell>
          <cell r="AM22">
            <v>48.655636966529997</v>
          </cell>
          <cell r="AO22">
            <v>180.19447620852748</v>
          </cell>
          <cell r="AQ22">
            <v>47.5</v>
          </cell>
          <cell r="AS22">
            <v>47.6</v>
          </cell>
          <cell r="AU22">
            <v>46</v>
          </cell>
          <cell r="AW22">
            <v>44.1</v>
          </cell>
          <cell r="AY22">
            <v>185.2</v>
          </cell>
          <cell r="BA22">
            <v>46.3</v>
          </cell>
          <cell r="BB22">
            <v>-2.5263157894736876E-2</v>
          </cell>
          <cell r="BC22">
            <v>51.5</v>
          </cell>
          <cell r="BD22">
            <v>8.1932773109243628E-2</v>
          </cell>
          <cell r="BE22">
            <v>54</v>
          </cell>
          <cell r="BF22">
            <v>0.17391304347826098</v>
          </cell>
          <cell r="BG22">
            <v>48.2</v>
          </cell>
          <cell r="BH22">
            <v>9.2970521541950069E-2</v>
          </cell>
          <cell r="BI22">
            <v>200</v>
          </cell>
          <cell r="BJ22">
            <v>7.9913606911447221E-2</v>
          </cell>
          <cell r="BL22">
            <v>53.57</v>
          </cell>
          <cell r="BM22">
            <v>0.15701943844492439</v>
          </cell>
          <cell r="BN22">
            <v>51.6</v>
          </cell>
          <cell r="BO22">
            <v>1.9417475728156219E-3</v>
          </cell>
          <cell r="BP22">
            <v>57.902999999999999</v>
          </cell>
          <cell r="BQ22">
            <v>7.2277777777777663E-2</v>
          </cell>
          <cell r="BR22">
            <v>58.389000000000003</v>
          </cell>
          <cell r="BS22">
            <v>0.21139004149377594</v>
          </cell>
          <cell r="BT22">
            <v>221.46200000000002</v>
          </cell>
          <cell r="BU22">
            <v>0.10731000000000002</v>
          </cell>
          <cell r="BW22">
            <v>59</v>
          </cell>
          <cell r="BX22">
            <v>0.10136270300541339</v>
          </cell>
          <cell r="BY22">
            <v>60</v>
          </cell>
          <cell r="BZ22">
            <v>0.16279069767441867</v>
          </cell>
          <cell r="CA22">
            <v>60</v>
          </cell>
          <cell r="CB22">
            <v>3.6215740117092388E-2</v>
          </cell>
          <cell r="CC22">
            <v>60</v>
          </cell>
          <cell r="CD22">
            <v>2.7590813338128628E-2</v>
          </cell>
          <cell r="CE22">
            <v>239</v>
          </cell>
          <cell r="CF22">
            <v>7.91919155430727E-2</v>
          </cell>
        </row>
        <row r="23">
          <cell r="B23" t="str">
            <v>Pulmozyme</v>
          </cell>
          <cell r="C23">
            <v>28.199999999000003</v>
          </cell>
          <cell r="E23">
            <v>30.600000000999994</v>
          </cell>
          <cell r="G23">
            <v>26.999999999000003</v>
          </cell>
          <cell r="I23">
            <v>25.599999999000005</v>
          </cell>
          <cell r="K23">
            <v>111.399999998</v>
          </cell>
          <cell r="M23">
            <v>26.8</v>
          </cell>
          <cell r="O23">
            <v>32.300000000999994</v>
          </cell>
          <cell r="Q23">
            <v>29.999999999000003</v>
          </cell>
          <cell r="S23">
            <v>32.700000000999992</v>
          </cell>
          <cell r="U23">
            <v>121.80000000099999</v>
          </cell>
          <cell r="W23">
            <v>29.899999999000006</v>
          </cell>
          <cell r="Y23">
            <v>28.1</v>
          </cell>
          <cell r="AA23">
            <v>32.799999999999997</v>
          </cell>
          <cell r="AC23">
            <v>32.077500000000001</v>
          </cell>
          <cell r="AE23">
            <v>122.87749999900001</v>
          </cell>
          <cell r="AG23">
            <v>31.6875</v>
          </cell>
          <cell r="AI23">
            <v>35.1</v>
          </cell>
          <cell r="AK23">
            <v>38.200000000000003</v>
          </cell>
          <cell r="AM23">
            <v>33.052500000000002</v>
          </cell>
          <cell r="AO23">
            <v>138.04</v>
          </cell>
          <cell r="AQ23">
            <v>39.6</v>
          </cell>
          <cell r="AS23">
            <v>42.6</v>
          </cell>
          <cell r="AU23">
            <v>40.4</v>
          </cell>
          <cell r="AW23">
            <v>44.6</v>
          </cell>
          <cell r="AY23">
            <v>167.2</v>
          </cell>
          <cell r="BA23">
            <v>43.4</v>
          </cell>
          <cell r="BB23">
            <v>9.59595959595958E-2</v>
          </cell>
          <cell r="BC23">
            <v>41</v>
          </cell>
          <cell r="BD23">
            <v>-3.7558685446009377E-2</v>
          </cell>
          <cell r="BE23">
            <v>45.7</v>
          </cell>
          <cell r="BF23">
            <v>0.1311881188118813</v>
          </cell>
          <cell r="BG23">
            <v>47.6</v>
          </cell>
          <cell r="BH23">
            <v>6.7264573991031362E-2</v>
          </cell>
          <cell r="BI23">
            <v>177.70000000000002</v>
          </cell>
          <cell r="BJ23">
            <v>6.2799043062201187E-2</v>
          </cell>
          <cell r="BL23">
            <v>51.745999999999995</v>
          </cell>
          <cell r="BM23">
            <v>0.19230414746543767</v>
          </cell>
          <cell r="BN23">
            <v>46.9</v>
          </cell>
          <cell r="BO23">
            <v>0.14390243902439015</v>
          </cell>
          <cell r="BP23">
            <v>46.593000000000004</v>
          </cell>
          <cell r="BQ23">
            <v>1.9540481400437626E-2</v>
          </cell>
          <cell r="BR23">
            <v>49.008000000000003</v>
          </cell>
          <cell r="BS23">
            <v>2.9579831932773137E-2</v>
          </cell>
          <cell r="BT23">
            <v>194.24699999999999</v>
          </cell>
          <cell r="BU23">
            <v>9.3117613956105627E-2</v>
          </cell>
          <cell r="BW23">
            <v>49</v>
          </cell>
          <cell r="BX23">
            <v>-5.3066903722026715E-2</v>
          </cell>
          <cell r="BY23">
            <v>52</v>
          </cell>
          <cell r="BZ23">
            <v>0.10874200426439229</v>
          </cell>
          <cell r="CA23">
            <v>52</v>
          </cell>
          <cell r="CB23">
            <v>0.11604747494258794</v>
          </cell>
          <cell r="CC23">
            <v>52</v>
          </cell>
          <cell r="CD23">
            <v>6.1051256937642684E-2</v>
          </cell>
          <cell r="CE23">
            <v>205</v>
          </cell>
          <cell r="CF23">
            <v>5.5357354296334149E-2</v>
          </cell>
        </row>
        <row r="24">
          <cell r="B24" t="str">
            <v>Actimmune</v>
          </cell>
          <cell r="C24">
            <v>0.7</v>
          </cell>
          <cell r="E24">
            <v>0.7</v>
          </cell>
          <cell r="G24">
            <v>0.4</v>
          </cell>
          <cell r="I24">
            <v>0.9</v>
          </cell>
          <cell r="K24">
            <v>2.6999999999999997</v>
          </cell>
          <cell r="M24">
            <v>0</v>
          </cell>
          <cell r="O24">
            <v>0.9</v>
          </cell>
          <cell r="Q24">
            <v>1.9</v>
          </cell>
          <cell r="S24">
            <v>0.9</v>
          </cell>
          <cell r="U24">
            <v>3.6999999999999997</v>
          </cell>
          <cell r="W24">
            <v>0.9</v>
          </cell>
          <cell r="Y24">
            <v>1.6</v>
          </cell>
          <cell r="AA24">
            <v>2.9</v>
          </cell>
          <cell r="AC24">
            <v>1.5</v>
          </cell>
          <cell r="AE24">
            <v>6.9</v>
          </cell>
          <cell r="AG24">
            <v>0</v>
          </cell>
          <cell r="AI24">
            <v>0</v>
          </cell>
          <cell r="AK24">
            <v>0</v>
          </cell>
          <cell r="AM24">
            <v>0</v>
          </cell>
          <cell r="AO24">
            <v>0</v>
          </cell>
          <cell r="AQ24">
            <v>0</v>
          </cell>
          <cell r="AS24">
            <v>0</v>
          </cell>
          <cell r="AU24">
            <v>0</v>
          </cell>
          <cell r="AW24">
            <v>0</v>
          </cell>
          <cell r="AY24">
            <v>0</v>
          </cell>
          <cell r="BA24">
            <v>0</v>
          </cell>
          <cell r="BC24">
            <v>0</v>
          </cell>
          <cell r="BE24">
            <v>0</v>
          </cell>
          <cell r="BG24">
            <v>0</v>
          </cell>
          <cell r="BI24">
            <v>0</v>
          </cell>
          <cell r="BL24">
            <v>0</v>
          </cell>
          <cell r="BN24">
            <v>0</v>
          </cell>
          <cell r="BP24">
            <v>0</v>
          </cell>
          <cell r="BR24">
            <v>0</v>
          </cell>
          <cell r="BT24">
            <v>0</v>
          </cell>
          <cell r="BW24">
            <v>0</v>
          </cell>
          <cell r="BY24">
            <v>0</v>
          </cell>
          <cell r="CA24">
            <v>0</v>
          </cell>
          <cell r="CC24">
            <v>0</v>
          </cell>
          <cell r="CE24">
            <v>0</v>
          </cell>
        </row>
        <row r="25">
          <cell r="B25" t="str">
            <v>Other</v>
          </cell>
          <cell r="AU25">
            <v>1.7220000000000937</v>
          </cell>
          <cell r="AW25">
            <v>4.9000000000000004</v>
          </cell>
          <cell r="AY25">
            <v>6.622000000000094</v>
          </cell>
          <cell r="BA25">
            <v>0</v>
          </cell>
          <cell r="BC25">
            <v>0</v>
          </cell>
          <cell r="BE25">
            <v>0</v>
          </cell>
          <cell r="BG25">
            <v>10.6</v>
          </cell>
          <cell r="BI25">
            <v>10.6</v>
          </cell>
          <cell r="BL25">
            <v>19.696000000000002</v>
          </cell>
          <cell r="BN25">
            <v>24.5</v>
          </cell>
          <cell r="BP25">
            <v>0</v>
          </cell>
          <cell r="BR25">
            <v>0</v>
          </cell>
          <cell r="BT25">
            <v>44.195999999999998</v>
          </cell>
          <cell r="BW25">
            <v>20</v>
          </cell>
          <cell r="BY25">
            <v>0</v>
          </cell>
          <cell r="CA25">
            <v>0</v>
          </cell>
          <cell r="CC25">
            <v>0</v>
          </cell>
          <cell r="CE25">
            <v>20</v>
          </cell>
        </row>
        <row r="26">
          <cell r="B26" t="str">
            <v>Product Sales</v>
          </cell>
          <cell r="C26">
            <v>273.99999999700003</v>
          </cell>
          <cell r="E26">
            <v>315.50000000200004</v>
          </cell>
          <cell r="G26">
            <v>314.90000000099997</v>
          </cell>
          <cell r="I26">
            <v>323.09999999999991</v>
          </cell>
          <cell r="K26">
            <v>1227.5000000000002</v>
          </cell>
          <cell r="M26">
            <v>378.39006622616557</v>
          </cell>
          <cell r="O26">
            <v>385.15077262893152</v>
          </cell>
          <cell r="Q26">
            <v>425.56379690849229</v>
          </cell>
          <cell r="S26">
            <v>423.25275938289838</v>
          </cell>
          <cell r="U26">
            <v>1612.3573951464878</v>
          </cell>
          <cell r="W26">
            <v>500.09999999700005</v>
          </cell>
          <cell r="Y26">
            <v>521.01999999899999</v>
          </cell>
          <cell r="AA26">
            <v>572.87999999999988</v>
          </cell>
          <cell r="AC26">
            <v>639.05806881000001</v>
          </cell>
          <cell r="AE26">
            <v>2233.0580688059999</v>
          </cell>
          <cell r="AG26">
            <v>476.53760687772501</v>
          </cell>
          <cell r="AI26">
            <v>523.54184124299252</v>
          </cell>
          <cell r="AK26">
            <v>551.80000000000007</v>
          </cell>
          <cell r="AM26">
            <v>611.74911154892993</v>
          </cell>
          <cell r="AO26">
            <v>2163.6285596696475</v>
          </cell>
          <cell r="AQ26">
            <v>598.5</v>
          </cell>
          <cell r="AS26">
            <v>644.29999999999995</v>
          </cell>
          <cell r="AU26">
            <v>654.92200000000014</v>
          </cell>
          <cell r="AW26">
            <v>723.8</v>
          </cell>
          <cell r="AY26">
            <v>2621.5219999999999</v>
          </cell>
          <cell r="BA26">
            <v>763.7</v>
          </cell>
          <cell r="BB26">
            <v>0.27602339181286561</v>
          </cell>
          <cell r="BC26">
            <v>913.36599999999999</v>
          </cell>
          <cell r="BD26">
            <v>0.41760980909514211</v>
          </cell>
          <cell r="BE26">
            <v>1005.5</v>
          </cell>
          <cell r="BF26">
            <v>0.53529733311753125</v>
          </cell>
          <cell r="BG26">
            <v>1066.3000000000002</v>
          </cell>
          <cell r="BH26">
            <v>0.47319701575020767</v>
          </cell>
          <cell r="BI26">
            <v>3748.9</v>
          </cell>
          <cell r="BJ26">
            <v>0.43004712529591593</v>
          </cell>
          <cell r="BL26">
            <v>1186.0020000000002</v>
          </cell>
          <cell r="BM26">
            <v>0.55296844310593185</v>
          </cell>
          <cell r="BN26">
            <v>1274.1490000000001</v>
          </cell>
          <cell r="BO26">
            <v>0.39500375534013754</v>
          </cell>
          <cell r="BP26">
            <v>1450.9689999999998</v>
          </cell>
          <cell r="BQ26">
            <v>0.44303232222774724</v>
          </cell>
          <cell r="BR26">
            <v>1576.9650000000001</v>
          </cell>
          <cell r="BS26">
            <v>0.47891306386570376</v>
          </cell>
          <cell r="BT26">
            <v>5488.085</v>
          </cell>
          <cell r="BU26">
            <v>0.46391874949985334</v>
          </cell>
          <cell r="BW26">
            <v>1644</v>
          </cell>
          <cell r="BX26">
            <v>0.38616966919111406</v>
          </cell>
          <cell r="BY26">
            <v>1833.6799999999998</v>
          </cell>
          <cell r="BZ26">
            <v>0.43914094819365679</v>
          </cell>
          <cell r="CA26">
            <v>1989.4</v>
          </cell>
          <cell r="CB26">
            <v>0.37108373783313109</v>
          </cell>
          <cell r="CC26">
            <v>2180.2800000000002</v>
          </cell>
          <cell r="CD26">
            <v>0.38257982897527842</v>
          </cell>
          <cell r="CE26">
            <v>7647.3600000000006</v>
          </cell>
          <cell r="CF26">
            <v>0.39344780556423609</v>
          </cell>
        </row>
        <row r="27">
          <cell r="B27" t="str">
            <v>Royalties</v>
          </cell>
          <cell r="C27">
            <v>46.618000000000002</v>
          </cell>
          <cell r="E27">
            <v>45.985999999999997</v>
          </cell>
          <cell r="G27">
            <v>46.128</v>
          </cell>
          <cell r="I27">
            <v>50.537999999999997</v>
          </cell>
          <cell r="K27">
            <v>189.26999999999998</v>
          </cell>
          <cell r="M27">
            <v>47.344000000000001</v>
          </cell>
          <cell r="O27">
            <v>49.643000000000001</v>
          </cell>
          <cell r="Q27">
            <v>51.817999999999998</v>
          </cell>
          <cell r="S27">
            <v>58.436</v>
          </cell>
          <cell r="U27">
            <v>207.24100000000001</v>
          </cell>
          <cell r="W27">
            <v>74.631</v>
          </cell>
          <cell r="Y27">
            <v>52.445999999999998</v>
          </cell>
          <cell r="AA27">
            <v>66.051000000000002</v>
          </cell>
          <cell r="AC27">
            <v>71.346000000000004</v>
          </cell>
          <cell r="AE27">
            <v>264.47399999999999</v>
          </cell>
          <cell r="AG27">
            <v>81.843000000000004</v>
          </cell>
          <cell r="AI27">
            <v>85.534999999999997</v>
          </cell>
          <cell r="AK27">
            <v>85.081999999999994</v>
          </cell>
          <cell r="AM27">
            <v>113.09</v>
          </cell>
          <cell r="AO27">
            <v>365.54999999999995</v>
          </cell>
          <cell r="AQ27">
            <v>113.27500000000001</v>
          </cell>
          <cell r="AS27">
            <v>122.786</v>
          </cell>
          <cell r="AU27">
            <v>116.5</v>
          </cell>
          <cell r="AW27">
            <v>148.30699999999999</v>
          </cell>
          <cell r="AY27">
            <v>500.86800000000005</v>
          </cell>
          <cell r="BA27">
            <v>154.09700000000001</v>
          </cell>
          <cell r="BB27">
            <v>0.36037960715073947</v>
          </cell>
          <cell r="BC27">
            <v>151.86000000000001</v>
          </cell>
          <cell r="BD27">
            <v>0.23678595279592152</v>
          </cell>
          <cell r="BE27">
            <v>153.9</v>
          </cell>
          <cell r="BF27">
            <v>0.32103004291845494</v>
          </cell>
          <cell r="BG27">
            <v>181.24300000000002</v>
          </cell>
          <cell r="BH27">
            <v>0.2220798748541879</v>
          </cell>
          <cell r="BI27">
            <v>641.1</v>
          </cell>
          <cell r="BJ27">
            <v>0.27997795826445282</v>
          </cell>
          <cell r="BL27">
            <v>231.9</v>
          </cell>
          <cell r="BM27">
            <v>0.50489626663724785</v>
          </cell>
          <cell r="BN27">
            <v>200.321</v>
          </cell>
          <cell r="BO27">
            <v>0.31911629132095332</v>
          </cell>
          <cell r="BP27">
            <v>237.77699999999999</v>
          </cell>
          <cell r="BQ27">
            <v>0.54500974658869383</v>
          </cell>
          <cell r="BR27">
            <v>265.09899999999999</v>
          </cell>
          <cell r="BS27">
            <v>0.46267166180211072</v>
          </cell>
          <cell r="BT27">
            <v>935.09699999999998</v>
          </cell>
          <cell r="BU27">
            <v>0.45858212447356106</v>
          </cell>
          <cell r="BW27">
            <v>286</v>
          </cell>
          <cell r="BX27">
            <v>0.23329021129797334</v>
          </cell>
          <cell r="BY27">
            <v>299.89999999999998</v>
          </cell>
          <cell r="BZ27">
            <v>0.49709715905970908</v>
          </cell>
          <cell r="CA27">
            <v>325.3</v>
          </cell>
          <cell r="CB27">
            <v>0.36808858720565918</v>
          </cell>
          <cell r="CC27">
            <v>346.8</v>
          </cell>
          <cell r="CD27">
            <v>0.30819052504913258</v>
          </cell>
          <cell r="CE27">
            <v>1258</v>
          </cell>
          <cell r="CF27">
            <v>0.34531497801832334</v>
          </cell>
        </row>
        <row r="28">
          <cell r="B28" t="str">
            <v>Contract and Other</v>
          </cell>
          <cell r="C28">
            <v>19.265999999999998</v>
          </cell>
          <cell r="E28">
            <v>37.578000000000003</v>
          </cell>
          <cell r="G28">
            <v>7.5030000000000001</v>
          </cell>
          <cell r="I28">
            <v>18.895</v>
          </cell>
          <cell r="K28">
            <v>83.242000000000004</v>
          </cell>
          <cell r="M28">
            <v>33.695999999999998</v>
          </cell>
          <cell r="O28">
            <v>32.348999999999997</v>
          </cell>
          <cell r="Q28">
            <v>33.478999999999999</v>
          </cell>
          <cell r="S28">
            <v>54.363999999999997</v>
          </cell>
          <cell r="U28">
            <v>151.72999999999999</v>
          </cell>
          <cell r="W28">
            <v>28.478999999999999</v>
          </cell>
          <cell r="Y28">
            <v>20.934999999999999</v>
          </cell>
          <cell r="AA28">
            <v>8.9410000000000007</v>
          </cell>
          <cell r="AC28">
            <v>6.0019999999999998</v>
          </cell>
          <cell r="AE28">
            <v>62.198999999999998</v>
          </cell>
          <cell r="AG28">
            <v>9.6999999999999993</v>
          </cell>
          <cell r="AI28">
            <v>13.2</v>
          </cell>
          <cell r="AK28">
            <v>13.22</v>
          </cell>
          <cell r="AM28">
            <v>18.3</v>
          </cell>
          <cell r="AO28">
            <v>54.42</v>
          </cell>
          <cell r="AQ28">
            <v>37.914999999999999</v>
          </cell>
          <cell r="AS28">
            <v>32.601999999999997</v>
          </cell>
          <cell r="AU28">
            <v>45.6</v>
          </cell>
          <cell r="AW28">
            <v>61.756</v>
          </cell>
          <cell r="AY28">
            <v>177.87299999999999</v>
          </cell>
          <cell r="BA28">
            <v>57.338000000000001</v>
          </cell>
          <cell r="BB28">
            <v>0.51227746274561525</v>
          </cell>
          <cell r="BC28">
            <v>62.851999999999997</v>
          </cell>
          <cell r="BD28">
            <v>0.92785718667566419</v>
          </cell>
          <cell r="BE28">
            <v>43.2</v>
          </cell>
          <cell r="BF28">
            <v>-5.2631578947368363E-2</v>
          </cell>
          <cell r="BG28">
            <v>67.809999999999988</v>
          </cell>
          <cell r="BH28">
            <v>9.8030960554439828E-2</v>
          </cell>
          <cell r="BI28">
            <v>231.2</v>
          </cell>
          <cell r="BJ28">
            <v>0.29980379259359213</v>
          </cell>
          <cell r="BL28">
            <v>43.7</v>
          </cell>
          <cell r="BM28">
            <v>-0.23785273291708808</v>
          </cell>
          <cell r="BN28">
            <v>52.442999999999998</v>
          </cell>
          <cell r="BO28">
            <v>-0.16561127728632341</v>
          </cell>
          <cell r="BP28">
            <v>63.066000000000003</v>
          </cell>
          <cell r="BQ28">
            <v>0.45986111111111105</v>
          </cell>
          <cell r="BR28">
            <v>51.031999999999996</v>
          </cell>
          <cell r="BS28">
            <v>-0.24742663323993508</v>
          </cell>
          <cell r="BT28">
            <v>210.24099999999999</v>
          </cell>
          <cell r="BU28">
            <v>-9.065311418685118E-2</v>
          </cell>
          <cell r="BW28">
            <v>56</v>
          </cell>
          <cell r="BX28">
            <v>0.28146453089244838</v>
          </cell>
          <cell r="BY28">
            <v>52</v>
          </cell>
          <cell r="BZ28">
            <v>-8.4472665560703097E-3</v>
          </cell>
          <cell r="CA28">
            <v>52</v>
          </cell>
          <cell r="CB28">
            <v>-0.17546697110963116</v>
          </cell>
          <cell r="CC28">
            <v>55</v>
          </cell>
          <cell r="CD28">
            <v>7.7755134033547613E-2</v>
          </cell>
          <cell r="CE28">
            <v>215</v>
          </cell>
          <cell r="CF28">
            <v>2.2635927340528328E-2</v>
          </cell>
        </row>
        <row r="29">
          <cell r="B29" t="str">
            <v>Total Operating Revenue</v>
          </cell>
          <cell r="C29">
            <v>339.88399999700005</v>
          </cell>
          <cell r="E29">
            <v>399.06400000200006</v>
          </cell>
          <cell r="G29">
            <v>368.53100000099994</v>
          </cell>
          <cell r="I29">
            <v>392.5329999999999</v>
          </cell>
          <cell r="K29">
            <v>1500.0120000000002</v>
          </cell>
          <cell r="M29">
            <v>459.43006622616554</v>
          </cell>
          <cell r="O29">
            <v>467.14277262893148</v>
          </cell>
          <cell r="Q29">
            <v>510.86079690849226</v>
          </cell>
          <cell r="S29">
            <v>536.05275938289833</v>
          </cell>
          <cell r="U29">
            <v>1973.4863951464877</v>
          </cell>
          <cell r="W29">
            <v>603.20999999700007</v>
          </cell>
          <cell r="Y29">
            <v>594.40099999899996</v>
          </cell>
          <cell r="AA29">
            <v>647.87199999999996</v>
          </cell>
          <cell r="AC29">
            <v>716.40606880999997</v>
          </cell>
          <cell r="AE29">
            <v>2561.8890688059996</v>
          </cell>
          <cell r="AG29">
            <v>568.08060687772502</v>
          </cell>
          <cell r="AI29">
            <v>622.27684124299253</v>
          </cell>
          <cell r="AK29">
            <v>650.10200000000009</v>
          </cell>
          <cell r="AM29">
            <v>743.13911154892992</v>
          </cell>
          <cell r="AO29">
            <v>2583.5985596696473</v>
          </cell>
          <cell r="AQ29">
            <v>749.68999999999994</v>
          </cell>
          <cell r="AS29">
            <v>799.68799999999999</v>
          </cell>
          <cell r="AU29">
            <v>817.02200000000016</v>
          </cell>
          <cell r="AW29">
            <v>933.86299999999994</v>
          </cell>
          <cell r="AY29">
            <v>3300.2629999999999</v>
          </cell>
          <cell r="BA29">
            <v>975.13499999999999</v>
          </cell>
          <cell r="BB29">
            <v>0.30071762995371421</v>
          </cell>
          <cell r="BC29">
            <v>1128.0780000000002</v>
          </cell>
          <cell r="BD29">
            <v>0.41064765258450819</v>
          </cell>
          <cell r="BE29">
            <v>1202.6000000000001</v>
          </cell>
          <cell r="BF29">
            <v>0.47193098839443715</v>
          </cell>
          <cell r="BG29">
            <v>1315.3530000000001</v>
          </cell>
          <cell r="BH29">
            <v>0.40850745773202291</v>
          </cell>
          <cell r="BI29">
            <v>4621.2</v>
          </cell>
          <cell r="BJ29">
            <v>0.40025204051919494</v>
          </cell>
          <cell r="BL29">
            <v>1461.6020000000003</v>
          </cell>
          <cell r="BM29">
            <v>0.49887143831366965</v>
          </cell>
          <cell r="BN29">
            <v>1526.913</v>
          </cell>
          <cell r="BO29">
            <v>0.35355267986788119</v>
          </cell>
          <cell r="BP29">
            <v>1751.8119999999999</v>
          </cell>
          <cell r="BQ29">
            <v>0.45668717778147316</v>
          </cell>
          <cell r="BR29">
            <v>1893.096</v>
          </cell>
          <cell r="BS29">
            <v>0.43923038150215188</v>
          </cell>
          <cell r="BT29">
            <v>6633.4230000000007</v>
          </cell>
          <cell r="BU29">
            <v>0.43543300441443811</v>
          </cell>
          <cell r="BW29">
            <v>1986</v>
          </cell>
          <cell r="BX29">
            <v>0.35878303395862865</v>
          </cell>
          <cell r="BY29">
            <v>2185.58</v>
          </cell>
          <cell r="BZ29">
            <v>0.43137166295656648</v>
          </cell>
          <cell r="CA29">
            <v>2366.7000000000003</v>
          </cell>
          <cell r="CB29">
            <v>0.35100113482496997</v>
          </cell>
          <cell r="CC29">
            <v>2582.0800000000004</v>
          </cell>
          <cell r="CD29">
            <v>0.36394562135253583</v>
          </cell>
          <cell r="CE29">
            <v>9120.36</v>
          </cell>
          <cell r="CF29">
            <v>0.37491005774846564</v>
          </cell>
        </row>
        <row r="30">
          <cell r="B30" t="str">
            <v>Cost of Sales</v>
          </cell>
          <cell r="C30">
            <v>45.722999999999999</v>
          </cell>
          <cell r="E30">
            <v>52.680999999999997</v>
          </cell>
          <cell r="G30">
            <v>45.936</v>
          </cell>
          <cell r="I30">
            <v>47.850999999999999</v>
          </cell>
          <cell r="K30">
            <v>192.191</v>
          </cell>
          <cell r="M30">
            <v>62.856999999999999</v>
          </cell>
          <cell r="O30">
            <v>66.283000000000001</v>
          </cell>
          <cell r="Q30">
            <v>75.584000000000003</v>
          </cell>
          <cell r="S30">
            <v>67.343999999999994</v>
          </cell>
          <cell r="U30">
            <v>272.06799999999998</v>
          </cell>
          <cell r="W30">
            <v>83.796000000000006</v>
          </cell>
          <cell r="Y30">
            <v>76.188000000000002</v>
          </cell>
          <cell r="AA30">
            <v>96.03</v>
          </cell>
          <cell r="AC30">
            <v>98.427999999999997</v>
          </cell>
          <cell r="AE30">
            <v>354.44200000000001</v>
          </cell>
          <cell r="AG30">
            <v>102.444</v>
          </cell>
          <cell r="AI30">
            <v>106.867</v>
          </cell>
          <cell r="AK30">
            <v>112.48099999999999</v>
          </cell>
          <cell r="AM30">
            <v>119.83799999999999</v>
          </cell>
          <cell r="AO30">
            <v>441.63</v>
          </cell>
          <cell r="AQ30">
            <v>114.842</v>
          </cell>
          <cell r="AS30">
            <v>123.407</v>
          </cell>
          <cell r="AU30">
            <v>115.7</v>
          </cell>
          <cell r="AW30">
            <v>126.202</v>
          </cell>
          <cell r="AY30">
            <v>480.15100000000001</v>
          </cell>
          <cell r="BA30">
            <v>114.48</v>
          </cell>
          <cell r="BB30">
            <v>-3.152156876404022E-3</v>
          </cell>
          <cell r="BC30">
            <v>186.68299999999999</v>
          </cell>
          <cell r="BD30">
            <v>0.51274238900548585</v>
          </cell>
          <cell r="BE30">
            <v>165.99</v>
          </cell>
          <cell r="BF30">
            <v>0.43465859982713928</v>
          </cell>
          <cell r="BG30">
            <v>205.34699999999998</v>
          </cell>
          <cell r="BH30">
            <v>0.62712952251152898</v>
          </cell>
          <cell r="BI30">
            <v>672.5</v>
          </cell>
          <cell r="BJ30">
            <v>0.40060106091625336</v>
          </cell>
          <cell r="BL30">
            <v>251.041</v>
          </cell>
          <cell r="BM30">
            <v>1.1928808525506636</v>
          </cell>
          <cell r="BN30">
            <v>269.48099999999999</v>
          </cell>
          <cell r="BO30">
            <v>0.44352190611892883</v>
          </cell>
          <cell r="BP30">
            <v>245.62700000000001</v>
          </cell>
          <cell r="BQ30">
            <v>0.47976986565455748</v>
          </cell>
          <cell r="BR30">
            <v>244.91399999999999</v>
          </cell>
          <cell r="BS30">
            <v>0.19268360385104244</v>
          </cell>
          <cell r="BT30">
            <v>1011.0629999999999</v>
          </cell>
          <cell r="BU30">
            <v>0.50343940520446084</v>
          </cell>
          <cell r="BW30">
            <v>262</v>
          </cell>
          <cell r="BX30">
            <v>4.3654223812046755E-2</v>
          </cell>
          <cell r="BY30">
            <v>293.3888</v>
          </cell>
          <cell r="BZ30">
            <v>8.8717943008969069E-2</v>
          </cell>
          <cell r="CA30">
            <v>318.30400000000003</v>
          </cell>
          <cell r="CB30">
            <v>0.29588359585876156</v>
          </cell>
          <cell r="CC30">
            <v>348.84480000000002</v>
          </cell>
          <cell r="CD30">
            <v>0.42435630466204488</v>
          </cell>
          <cell r="CE30">
            <v>1222.5376000000001</v>
          </cell>
          <cell r="CF30">
            <v>0.20916065566636322</v>
          </cell>
        </row>
        <row r="31">
          <cell r="B31" t="str">
            <v>% of Product Sales</v>
          </cell>
          <cell r="C31">
            <v>0.19589974293310924</v>
          </cell>
          <cell r="E31">
            <v>0.19613179448848747</v>
          </cell>
          <cell r="G31">
            <v>0.17230307576829593</v>
          </cell>
          <cell r="I31">
            <v>0.17868185212845411</v>
          </cell>
          <cell r="K31">
            <v>0.18544094944037051</v>
          </cell>
          <cell r="M31">
            <v>0.22195268361503551</v>
          </cell>
          <cell r="O31">
            <v>0.21485575364528459</v>
          </cell>
          <cell r="Q31">
            <v>0.22745711706357946</v>
          </cell>
          <cell r="S31">
            <v>0.19208214489391873</v>
          </cell>
          <cell r="U31">
            <v>0.21345363251165828</v>
          </cell>
          <cell r="W31">
            <v>0.2143120204620024</v>
          </cell>
          <cell r="Y31">
            <v>0.18641546366573625</v>
          </cell>
          <cell r="AA31">
            <v>0.21541049798115744</v>
          </cell>
          <cell r="AC31">
            <v>0.20089886103170068</v>
          </cell>
          <cell r="AE31">
            <v>0.20423776933962265</v>
          </cell>
          <cell r="AG31">
            <v>0.21497568821737537</v>
          </cell>
          <cell r="AI31">
            <v>0.20412313129792353</v>
          </cell>
          <cell r="AK31">
            <v>0.20384378397970276</v>
          </cell>
          <cell r="AM31">
            <v>0.1958940319448505</v>
          </cell>
          <cell r="AO31">
            <v>0.2041154421013143</v>
          </cell>
          <cell r="AQ31">
            <v>0.19188304093567252</v>
          </cell>
          <cell r="AS31">
            <v>0.19153655129598013</v>
          </cell>
          <cell r="AT31" t="e">
            <v>#DIV/0!</v>
          </cell>
          <cell r="AU31">
            <v>0.17666225901710431</v>
          </cell>
          <cell r="AW31">
            <v>0.1743603205305333</v>
          </cell>
          <cell r="AY31">
            <v>0.18315734142227302</v>
          </cell>
          <cell r="BA31">
            <v>0.14990179389812752</v>
          </cell>
          <cell r="BC31">
            <v>0.20439013495137764</v>
          </cell>
          <cell r="BE31">
            <v>0.16508204873197416</v>
          </cell>
          <cell r="BG31">
            <v>0.19257901153521517</v>
          </cell>
          <cell r="BI31">
            <v>0.17938595321294246</v>
          </cell>
          <cell r="BL31">
            <v>0.21166996345705991</v>
          </cell>
          <cell r="BN31">
            <v>0.21149881214834371</v>
          </cell>
          <cell r="BP31">
            <v>0.16928480208743263</v>
          </cell>
          <cell r="BR31">
            <v>0.15530718817475339</v>
          </cell>
          <cell r="BT31">
            <v>0.18422874281283907</v>
          </cell>
          <cell r="BW31">
            <v>0.15936739659367397</v>
          </cell>
          <cell r="BY31">
            <v>0.16</v>
          </cell>
          <cell r="CA31">
            <v>0.16</v>
          </cell>
          <cell r="CC31">
            <v>0.16</v>
          </cell>
          <cell r="CE31">
            <v>0.15986400535609674</v>
          </cell>
        </row>
        <row r="32">
          <cell r="B32" t="str">
            <v>Research and Development</v>
          </cell>
          <cell r="C32">
            <v>90.74</v>
          </cell>
          <cell r="E32">
            <v>94.210999999999999</v>
          </cell>
          <cell r="G32">
            <v>84.629000000000005</v>
          </cell>
          <cell r="I32">
            <v>96.572999999999993</v>
          </cell>
          <cell r="K32">
            <v>367.29099999999994</v>
          </cell>
          <cell r="M32">
            <v>111.40600000000001</v>
          </cell>
          <cell r="O32">
            <v>115.563</v>
          </cell>
          <cell r="Q32">
            <v>113.636</v>
          </cell>
          <cell r="S32">
            <v>149.274</v>
          </cell>
          <cell r="U32">
            <v>489.87900000000002</v>
          </cell>
          <cell r="W32">
            <v>136.34</v>
          </cell>
          <cell r="Y32">
            <v>123.44799999999999</v>
          </cell>
          <cell r="AA32">
            <v>128.19499999999999</v>
          </cell>
          <cell r="AC32">
            <v>138.24700000000001</v>
          </cell>
          <cell r="AE32">
            <v>526.23</v>
          </cell>
          <cell r="AG32">
            <v>146.691</v>
          </cell>
          <cell r="AI32">
            <v>147.922</v>
          </cell>
          <cell r="AK32">
            <v>143.65899999999999</v>
          </cell>
          <cell r="AM32">
            <v>185.21</v>
          </cell>
          <cell r="AO32">
            <v>623.48199999999997</v>
          </cell>
          <cell r="AQ32">
            <v>157.43299999999999</v>
          </cell>
          <cell r="AS32">
            <v>180.203</v>
          </cell>
          <cell r="AU32">
            <v>168.7</v>
          </cell>
          <cell r="AW32">
            <v>215.62700000000001</v>
          </cell>
          <cell r="AY32">
            <v>721.96299999999997</v>
          </cell>
          <cell r="BA32">
            <v>190.345</v>
          </cell>
          <cell r="BB32">
            <v>0.2090540102773879</v>
          </cell>
          <cell r="BC32">
            <v>212.886</v>
          </cell>
          <cell r="BD32">
            <v>0.18136767978335544</v>
          </cell>
          <cell r="BE32">
            <v>234.08600000000001</v>
          </cell>
          <cell r="BF32">
            <v>0.38758743331357448</v>
          </cell>
          <cell r="BG32">
            <v>310.18299999999999</v>
          </cell>
          <cell r="BH32">
            <v>0.43851651231061028</v>
          </cell>
          <cell r="BI32">
            <v>947.5</v>
          </cell>
          <cell r="BJ32">
            <v>0.3123941254607232</v>
          </cell>
          <cell r="BL32">
            <v>243.24</v>
          </cell>
          <cell r="BM32">
            <v>0.27789014683863522</v>
          </cell>
          <cell r="BN32">
            <v>278.12400000000002</v>
          </cell>
          <cell r="BO32">
            <v>0.30644570333417898</v>
          </cell>
          <cell r="BP32">
            <v>328.85</v>
          </cell>
          <cell r="BQ32">
            <v>0.40482557692471999</v>
          </cell>
          <cell r="BR32">
            <v>411.61</v>
          </cell>
          <cell r="BS32">
            <v>0.32699084089070007</v>
          </cell>
          <cell r="BT32">
            <v>1261.8240000000001</v>
          </cell>
          <cell r="BU32">
            <v>0.33174036939314</v>
          </cell>
          <cell r="BW32">
            <v>341</v>
          </cell>
          <cell r="BX32">
            <v>0.40190758098996859</v>
          </cell>
          <cell r="BY32">
            <v>399.96114</v>
          </cell>
          <cell r="BZ32">
            <v>0.438067696423178</v>
          </cell>
          <cell r="CA32">
            <v>437.83950000000004</v>
          </cell>
          <cell r="CB32">
            <v>0.33142618214991648</v>
          </cell>
          <cell r="CC32">
            <v>498.34144000000009</v>
          </cell>
          <cell r="CD32">
            <v>0.21071266490124163</v>
          </cell>
          <cell r="CE32">
            <v>1677.1420800000001</v>
          </cell>
          <cell r="CF32">
            <v>0.3291410529519172</v>
          </cell>
        </row>
        <row r="33">
          <cell r="BA33">
            <v>0.19519861352530676</v>
          </cell>
          <cell r="BC33">
            <v>0.215</v>
          </cell>
          <cell r="BE33">
            <v>0.22</v>
          </cell>
          <cell r="BG33">
            <v>0.24</v>
          </cell>
          <cell r="BI33">
            <v>0.20503332467757293</v>
          </cell>
          <cell r="BL33">
            <v>0.16642013352472149</v>
          </cell>
          <cell r="BN33">
            <v>0.18214790233628245</v>
          </cell>
          <cell r="BP33">
            <v>0.18771991515071254</v>
          </cell>
          <cell r="BR33">
            <v>0.21742690280894367</v>
          </cell>
          <cell r="BT33">
            <v>0.19022215227341902</v>
          </cell>
          <cell r="BW33">
            <v>0.17170191339375629</v>
          </cell>
          <cell r="BY33">
            <v>0.183</v>
          </cell>
          <cell r="CA33">
            <v>0.185</v>
          </cell>
          <cell r="CC33">
            <v>0.193</v>
          </cell>
          <cell r="CE33">
            <v>0.18388989908293094</v>
          </cell>
        </row>
        <row r="34">
          <cell r="B34" t="str">
            <v>Selling, General &amp; Administrative</v>
          </cell>
          <cell r="C34">
            <v>97.200999999999993</v>
          </cell>
          <cell r="E34">
            <v>117.372</v>
          </cell>
          <cell r="G34">
            <v>113.613</v>
          </cell>
          <cell r="I34">
            <v>140.928</v>
          </cell>
          <cell r="K34">
            <v>467.94299999999998</v>
          </cell>
          <cell r="M34">
            <v>101.946</v>
          </cell>
          <cell r="O34">
            <v>117.15600000000001</v>
          </cell>
          <cell r="Q34">
            <v>131.726</v>
          </cell>
          <cell r="S34">
            <v>146.208</v>
          </cell>
          <cell r="U34">
            <v>497.03599999999994</v>
          </cell>
          <cell r="W34">
            <v>127.92</v>
          </cell>
          <cell r="Y34">
            <v>107.8</v>
          </cell>
          <cell r="AA34">
            <v>109.36499999999999</v>
          </cell>
          <cell r="AC34">
            <v>129.32499999999999</v>
          </cell>
          <cell r="AE34">
            <v>474.40999999999997</v>
          </cell>
          <cell r="AG34">
            <v>115.4</v>
          </cell>
          <cell r="AI34">
            <v>125.7</v>
          </cell>
          <cell r="AK34">
            <v>135.55000000000001</v>
          </cell>
          <cell r="AM34">
            <v>169.6</v>
          </cell>
          <cell r="AO34">
            <v>546.25</v>
          </cell>
          <cell r="AQ34">
            <v>137.22200000000001</v>
          </cell>
          <cell r="AS34">
            <v>184.25800000000001</v>
          </cell>
          <cell r="AU34">
            <v>209.9</v>
          </cell>
          <cell r="AW34">
            <v>263.505</v>
          </cell>
          <cell r="AY34">
            <v>794.88499999999999</v>
          </cell>
          <cell r="BA34">
            <v>247.31399999999999</v>
          </cell>
          <cell r="BB34">
            <v>0.80229117779947812</v>
          </cell>
          <cell r="BC34">
            <v>276.654</v>
          </cell>
          <cell r="BD34">
            <v>0.50144905512922078</v>
          </cell>
          <cell r="BE34">
            <v>264.64800000000002</v>
          </cell>
          <cell r="BF34">
            <v>0.26082896617436879</v>
          </cell>
          <cell r="BG34">
            <v>299.58400000000006</v>
          </cell>
          <cell r="BH34">
            <v>0.13691960304358575</v>
          </cell>
          <cell r="BI34">
            <v>1088.2</v>
          </cell>
          <cell r="BJ34">
            <v>0.36900306333620603</v>
          </cell>
          <cell r="BL34">
            <v>315.214</v>
          </cell>
          <cell r="BM34">
            <v>0.27454976264991071</v>
          </cell>
          <cell r="BN34">
            <v>356.63799999999998</v>
          </cell>
          <cell r="BO34">
            <v>0.28911203163518318</v>
          </cell>
          <cell r="BP34">
            <v>333.82299999999998</v>
          </cell>
          <cell r="BQ34">
            <v>0.2613849339500014</v>
          </cell>
          <cell r="BR34">
            <v>429.35700000000003</v>
          </cell>
          <cell r="BS34">
            <v>0.43317733924375124</v>
          </cell>
          <cell r="BT34">
            <v>1435.0319999999999</v>
          </cell>
          <cell r="BU34">
            <v>0.31872082337805541</v>
          </cell>
          <cell r="BW34">
            <v>400</v>
          </cell>
          <cell r="BX34">
            <v>0.26897916970692926</v>
          </cell>
          <cell r="BY34">
            <v>475.36365000000001</v>
          </cell>
          <cell r="BZ34">
            <v>0.33290241084797478</v>
          </cell>
          <cell r="CA34">
            <v>491.09025000000003</v>
          </cell>
          <cell r="CB34">
            <v>0.47110968986558754</v>
          </cell>
          <cell r="CC34">
            <v>561.6024000000001</v>
          </cell>
          <cell r="CD34">
            <v>0.30800802129696292</v>
          </cell>
          <cell r="CE34">
            <v>1928.0563000000002</v>
          </cell>
          <cell r="CF34">
            <v>0.34356327942512799</v>
          </cell>
        </row>
        <row r="35">
          <cell r="BA35">
            <v>0.25362026796289744</v>
          </cell>
          <cell r="BC35">
            <v>0.24</v>
          </cell>
          <cell r="BE35">
            <v>0.23300000000000001</v>
          </cell>
          <cell r="BG35">
            <v>0.24</v>
          </cell>
          <cell r="BI35">
            <v>0.23547996191465423</v>
          </cell>
          <cell r="BL35">
            <v>0.21566336116124632</v>
          </cell>
          <cell r="BN35">
            <v>0.23356798979378654</v>
          </cell>
          <cell r="BP35">
            <v>0.19055869008774914</v>
          </cell>
          <cell r="BR35">
            <v>0.22680149342664083</v>
          </cell>
          <cell r="BT35">
            <v>0.2163335581041643</v>
          </cell>
          <cell r="BW35">
            <v>0.2014098690835851</v>
          </cell>
          <cell r="BY35">
            <v>0.2175</v>
          </cell>
          <cell r="CA35">
            <v>0.20749999999999999</v>
          </cell>
          <cell r="CC35">
            <v>0.2175</v>
          </cell>
          <cell r="CE35">
            <v>0.21140133722791646</v>
          </cell>
        </row>
        <row r="36">
          <cell r="B36" t="str">
            <v>Collaborative Profit Split</v>
          </cell>
          <cell r="C36">
            <v>0</v>
          </cell>
          <cell r="E36">
            <v>0</v>
          </cell>
          <cell r="G36">
            <v>0</v>
          </cell>
          <cell r="I36">
            <v>0</v>
          </cell>
          <cell r="K36">
            <v>0</v>
          </cell>
          <cell r="M36">
            <v>0</v>
          </cell>
          <cell r="O36">
            <v>0</v>
          </cell>
          <cell r="Q36">
            <v>0</v>
          </cell>
          <cell r="S36">
            <v>0</v>
          </cell>
          <cell r="U36">
            <v>0</v>
          </cell>
          <cell r="W36">
            <v>46.372999999999998</v>
          </cell>
          <cell r="Y36">
            <v>57.908000000000001</v>
          </cell>
          <cell r="AA36">
            <v>65.796000000000006</v>
          </cell>
          <cell r="AC36">
            <v>76.581000000000003</v>
          </cell>
          <cell r="AE36">
            <v>246.65800000000002</v>
          </cell>
          <cell r="AG36">
            <v>72.076999999999998</v>
          </cell>
          <cell r="AI36">
            <v>84.09</v>
          </cell>
          <cell r="AK36">
            <v>90.048000000000002</v>
          </cell>
          <cell r="AM36">
            <v>104.51</v>
          </cell>
          <cell r="AO36">
            <v>350.72500000000002</v>
          </cell>
          <cell r="AQ36">
            <v>96.6</v>
          </cell>
          <cell r="AS36">
            <v>107.307</v>
          </cell>
          <cell r="AU36">
            <v>119.7</v>
          </cell>
          <cell r="AW36">
            <v>133.92699999999999</v>
          </cell>
          <cell r="AY36">
            <v>457.53399999999999</v>
          </cell>
          <cell r="BA36">
            <v>126.43</v>
          </cell>
          <cell r="BB36">
            <v>0.30879917184265016</v>
          </cell>
          <cell r="BC36">
            <v>145.221</v>
          </cell>
          <cell r="BD36">
            <v>0.35332270960887913</v>
          </cell>
          <cell r="BE36">
            <v>151.89400000000001</v>
          </cell>
          <cell r="BF36">
            <v>0.26895572263993328</v>
          </cell>
          <cell r="BG36">
            <v>170.05500000000001</v>
          </cell>
          <cell r="BH36">
            <v>0.26975889850440926</v>
          </cell>
          <cell r="BI36">
            <v>593.6</v>
          </cell>
          <cell r="BJ36">
            <v>0.29738992074905912</v>
          </cell>
          <cell r="BL36">
            <v>176.27699999999999</v>
          </cell>
          <cell r="BM36">
            <v>0.39426560151862677</v>
          </cell>
          <cell r="BN36">
            <v>198.798</v>
          </cell>
          <cell r="BO36">
            <v>0.36893424504720396</v>
          </cell>
          <cell r="BP36">
            <v>219.59100000000001</v>
          </cell>
          <cell r="BQ36">
            <v>0.44568580720765794</v>
          </cell>
          <cell r="BR36">
            <v>228.417</v>
          </cell>
          <cell r="BS36">
            <v>0.34319484872541239</v>
          </cell>
          <cell r="BT36">
            <v>823.08299999999997</v>
          </cell>
          <cell r="BU36">
            <v>0.38659535040431248</v>
          </cell>
          <cell r="BW36">
            <v>226</v>
          </cell>
          <cell r="BX36">
            <v>0.28207310085830839</v>
          </cell>
          <cell r="BY36">
            <v>255</v>
          </cell>
          <cell r="BZ36">
            <v>0.28270908158029751</v>
          </cell>
          <cell r="CA36">
            <v>275</v>
          </cell>
          <cell r="CB36">
            <v>0.25232819195686518</v>
          </cell>
          <cell r="CC36">
            <v>285</v>
          </cell>
          <cell r="CD36">
            <v>0.24771798946663348</v>
          </cell>
          <cell r="CE36">
            <v>1041</v>
          </cell>
          <cell r="CF36">
            <v>0.26475701721454592</v>
          </cell>
        </row>
        <row r="37">
          <cell r="B37" t="str">
            <v>Total Operating Expenses</v>
          </cell>
          <cell r="C37">
            <v>233.66399999999999</v>
          </cell>
          <cell r="D37" t="e">
            <v>#REF!</v>
          </cell>
          <cell r="E37">
            <v>264.26400000000001</v>
          </cell>
          <cell r="F37" t="e">
            <v>#REF!</v>
          </cell>
          <cell r="G37">
            <v>244.17800000000003</v>
          </cell>
          <cell r="H37" t="e">
            <v>#REF!</v>
          </cell>
          <cell r="I37">
            <v>285.35199999999998</v>
          </cell>
          <cell r="J37" t="e">
            <v>#REF!</v>
          </cell>
          <cell r="K37">
            <v>1027.4580000000001</v>
          </cell>
          <cell r="M37">
            <v>276.209</v>
          </cell>
          <cell r="N37" t="e">
            <v>#REF!</v>
          </cell>
          <cell r="O37">
            <v>299.00200000000001</v>
          </cell>
          <cell r="P37" t="e">
            <v>#REF!</v>
          </cell>
          <cell r="Q37">
            <v>320.94600000000003</v>
          </cell>
          <cell r="R37" t="e">
            <v>#REF!</v>
          </cell>
          <cell r="S37">
            <v>362.82599999999996</v>
          </cell>
          <cell r="T37" t="e">
            <v>#REF!</v>
          </cell>
          <cell r="U37">
            <v>1258.9829999999999</v>
          </cell>
          <cell r="W37">
            <v>394.42900000000003</v>
          </cell>
          <cell r="X37" t="e">
            <v>#REF!</v>
          </cell>
          <cell r="Y37">
            <v>365.34399999999999</v>
          </cell>
          <cell r="Z37" t="e">
            <v>#REF!</v>
          </cell>
          <cell r="AA37">
            <v>399.38599999999997</v>
          </cell>
          <cell r="AB37" t="e">
            <v>#REF!</v>
          </cell>
          <cell r="AC37">
            <v>442.58100000000002</v>
          </cell>
          <cell r="AD37" t="e">
            <v>#REF!</v>
          </cell>
          <cell r="AE37">
            <v>1601.7400000000002</v>
          </cell>
          <cell r="AG37">
            <v>436.61200000000002</v>
          </cell>
          <cell r="AI37">
            <v>464.57900000000001</v>
          </cell>
          <cell r="AK37">
            <v>481.738</v>
          </cell>
          <cell r="AM37">
            <v>579.15800000000002</v>
          </cell>
          <cell r="AO37">
            <v>1962.087</v>
          </cell>
          <cell r="AQ37">
            <v>506.09699999999998</v>
          </cell>
          <cell r="AS37">
            <v>595.17500000000007</v>
          </cell>
          <cell r="AU37">
            <v>614</v>
          </cell>
          <cell r="AW37">
            <v>739.26099999999997</v>
          </cell>
          <cell r="AY37">
            <v>2454.7161573414223</v>
          </cell>
          <cell r="BA37">
            <v>678.56900000000007</v>
          </cell>
          <cell r="BB37">
            <v>0.34078842593415914</v>
          </cell>
          <cell r="BC37">
            <v>821.44399999999996</v>
          </cell>
          <cell r="BD37">
            <v>0.38017221825513481</v>
          </cell>
          <cell r="BE37">
            <v>816.61800000000005</v>
          </cell>
          <cell r="BF37">
            <v>0.32999674267100976</v>
          </cell>
          <cell r="BG37">
            <v>985.1690000000001</v>
          </cell>
          <cell r="BH37">
            <v>0.33264029889308389</v>
          </cell>
          <cell r="BI37">
            <v>3301.8</v>
          </cell>
          <cell r="BJ37">
            <v>0.34508423310987246</v>
          </cell>
          <cell r="BL37">
            <v>985.77200000000005</v>
          </cell>
          <cell r="BM37">
            <v>0.4527218307939207</v>
          </cell>
          <cell r="BN37">
            <v>1103.0409999999999</v>
          </cell>
          <cell r="BO37">
            <v>0.34280730031505491</v>
          </cell>
          <cell r="BP37">
            <v>1127.8910000000001</v>
          </cell>
          <cell r="BQ37">
            <v>0.38117332706357199</v>
          </cell>
          <cell r="BR37">
            <v>1314.298</v>
          </cell>
          <cell r="BS37">
            <v>0.33408379679019529</v>
          </cell>
          <cell r="BT37">
            <v>4531.0020000000004</v>
          </cell>
          <cell r="BU37">
            <v>0.37228239142286035</v>
          </cell>
          <cell r="BW37">
            <v>1229</v>
          </cell>
          <cell r="BX37">
            <v>0.24673859675462473</v>
          </cell>
          <cell r="BY37">
            <v>1423.7135900000001</v>
          </cell>
          <cell r="BZ37">
            <v>0.29071683645485535</v>
          </cell>
          <cell r="CA37">
            <v>1522.2337500000001</v>
          </cell>
          <cell r="CB37">
            <v>0.34962842154073392</v>
          </cell>
          <cell r="CC37">
            <v>1693.7886400000002</v>
          </cell>
          <cell r="CD37">
            <v>0.28874017916789052</v>
          </cell>
          <cell r="CE37">
            <v>5868.7359800000013</v>
          </cell>
          <cell r="CF37">
            <v>0.29524020956071095</v>
          </cell>
        </row>
        <row r="38">
          <cell r="B38" t="str">
            <v>Operating Income (Loss)</v>
          </cell>
          <cell r="C38">
            <v>106.21999999700006</v>
          </cell>
          <cell r="D38" t="e">
            <v>#REF!</v>
          </cell>
          <cell r="E38">
            <v>134.80000000200005</v>
          </cell>
          <cell r="F38" t="e">
            <v>#REF!</v>
          </cell>
          <cell r="G38">
            <v>124.35300000099991</v>
          </cell>
          <cell r="H38" t="e">
            <v>#REF!</v>
          </cell>
          <cell r="I38">
            <v>107.18099999999993</v>
          </cell>
          <cell r="J38" t="e">
            <v>#REF!</v>
          </cell>
          <cell r="K38">
            <v>472.55400000000009</v>
          </cell>
          <cell r="M38">
            <v>183.22106622616553</v>
          </cell>
          <cell r="N38" t="e">
            <v>#REF!</v>
          </cell>
          <cell r="O38">
            <v>168.14077262893147</v>
          </cell>
          <cell r="P38" t="e">
            <v>#REF!</v>
          </cell>
          <cell r="Q38">
            <v>189.91479690849224</v>
          </cell>
          <cell r="R38" t="e">
            <v>#REF!</v>
          </cell>
          <cell r="S38">
            <v>173.22675938289836</v>
          </cell>
          <cell r="T38" t="e">
            <v>#REF!</v>
          </cell>
          <cell r="U38">
            <v>714.50339514648749</v>
          </cell>
          <cell r="W38">
            <v>208.78099999700004</v>
          </cell>
          <cell r="X38" t="e">
            <v>#REF!</v>
          </cell>
          <cell r="Y38">
            <v>229.05699999899997</v>
          </cell>
          <cell r="Z38" t="e">
            <v>#REF!</v>
          </cell>
          <cell r="AA38">
            <v>248.48599999999999</v>
          </cell>
          <cell r="AB38" t="e">
            <v>#REF!</v>
          </cell>
          <cell r="AC38">
            <v>273.82506880999995</v>
          </cell>
          <cell r="AD38" t="e">
            <v>#REF!</v>
          </cell>
          <cell r="AE38">
            <v>960.14906880599995</v>
          </cell>
          <cell r="AG38">
            <v>131.46860687772499</v>
          </cell>
          <cell r="AI38">
            <v>157.69784124299252</v>
          </cell>
          <cell r="AK38">
            <v>168.36400000000009</v>
          </cell>
          <cell r="AM38">
            <v>163.9811115489299</v>
          </cell>
          <cell r="AO38">
            <v>621.51155966964757</v>
          </cell>
          <cell r="AQ38">
            <v>243.59299999999996</v>
          </cell>
          <cell r="AS38">
            <v>204.51299999999992</v>
          </cell>
          <cell r="AU38">
            <v>203.02200000000016</v>
          </cell>
          <cell r="AW38">
            <v>194.60199999999998</v>
          </cell>
          <cell r="AY38">
            <v>845.54684265857759</v>
          </cell>
          <cell r="BA38">
            <v>296.56599999999992</v>
          </cell>
          <cell r="BB38">
            <v>0.21746519809682541</v>
          </cell>
          <cell r="BC38">
            <v>306.63400000000024</v>
          </cell>
          <cell r="BD38">
            <v>0.49933745043102573</v>
          </cell>
          <cell r="BE38">
            <v>385.98200000000008</v>
          </cell>
          <cell r="BF38">
            <v>0.9011831230112981</v>
          </cell>
          <cell r="BG38">
            <v>330.18399999999997</v>
          </cell>
          <cell r="BH38">
            <v>0.69671431948284201</v>
          </cell>
          <cell r="BI38">
            <v>1319.3999999999996</v>
          </cell>
          <cell r="BJ38">
            <v>0.56041029714158452</v>
          </cell>
          <cell r="BL38">
            <v>475.83000000000027</v>
          </cell>
          <cell r="BM38">
            <v>0.60446578501918768</v>
          </cell>
          <cell r="BN38">
            <v>423.87200000000007</v>
          </cell>
          <cell r="BO38">
            <v>0.38233855345460621</v>
          </cell>
          <cell r="BP38">
            <v>623.92099999999982</v>
          </cell>
          <cell r="BQ38">
            <v>0.61645102621365688</v>
          </cell>
          <cell r="BR38">
            <v>578.798</v>
          </cell>
          <cell r="BS38">
            <v>0.75295592760400276</v>
          </cell>
          <cell r="BT38">
            <v>2102.4210000000003</v>
          </cell>
          <cell r="BU38">
            <v>0.59346748522055548</v>
          </cell>
          <cell r="BW38">
            <v>757</v>
          </cell>
          <cell r="BX38">
            <v>0.59090431456612569</v>
          </cell>
          <cell r="BY38">
            <v>761.86640999999986</v>
          </cell>
          <cell r="BZ38">
            <v>0.79739735108711995</v>
          </cell>
          <cell r="CA38">
            <v>844.46625000000017</v>
          </cell>
          <cell r="CB38">
            <v>0.35348265245119248</v>
          </cell>
          <cell r="CC38">
            <v>888.29136000000017</v>
          </cell>
          <cell r="CD38">
            <v>0.53471739708844912</v>
          </cell>
          <cell r="CE38">
            <v>3251.6240200000002</v>
          </cell>
          <cell r="CF38">
            <v>0.54660937081583549</v>
          </cell>
        </row>
        <row r="39">
          <cell r="B39" t="str">
            <v>Interest and other Income net</v>
          </cell>
          <cell r="C39">
            <v>22.399000000000001</v>
          </cell>
          <cell r="E39">
            <v>21.986000000000001</v>
          </cell>
          <cell r="G39">
            <v>24.728999999999999</v>
          </cell>
          <cell r="I39">
            <v>20.32</v>
          </cell>
          <cell r="K39">
            <v>89.433999999999997</v>
          </cell>
          <cell r="M39">
            <v>21.474</v>
          </cell>
          <cell r="O39">
            <v>22.262</v>
          </cell>
          <cell r="Q39">
            <v>25.712</v>
          </cell>
          <cell r="S39">
            <v>20.96</v>
          </cell>
          <cell r="U39">
            <v>90.408000000000015</v>
          </cell>
          <cell r="W39">
            <v>35.064</v>
          </cell>
          <cell r="Y39">
            <v>32.234999999999999</v>
          </cell>
          <cell r="AA39">
            <v>32.472999999999999</v>
          </cell>
          <cell r="AC39">
            <v>30.771999999999998</v>
          </cell>
          <cell r="AE39">
            <v>130.54400000000001</v>
          </cell>
          <cell r="AG39">
            <v>36.4</v>
          </cell>
          <cell r="AI39">
            <v>28.8</v>
          </cell>
          <cell r="AK39">
            <v>15.2</v>
          </cell>
          <cell r="AM39">
            <v>27.4</v>
          </cell>
          <cell r="AO39">
            <v>107.80000000000001</v>
          </cell>
          <cell r="AQ39">
            <v>15.702999999999999</v>
          </cell>
          <cell r="AS39">
            <v>40.869999999999997</v>
          </cell>
          <cell r="AU39">
            <v>15.9</v>
          </cell>
          <cell r="AW39">
            <v>20.334</v>
          </cell>
          <cell r="AY39">
            <v>92.807000000000002</v>
          </cell>
          <cell r="BA39">
            <v>22.32</v>
          </cell>
          <cell r="BB39">
            <v>0.42138444883143356</v>
          </cell>
          <cell r="BC39">
            <v>15.444000000000001</v>
          </cell>
          <cell r="BD39">
            <v>-0.6221189136285783</v>
          </cell>
          <cell r="BE39">
            <v>23.51</v>
          </cell>
          <cell r="BF39">
            <v>0.47861635220125787</v>
          </cell>
          <cell r="BG39">
            <v>21.323</v>
          </cell>
          <cell r="BH39">
            <v>4.8637749581980971E-2</v>
          </cell>
          <cell r="BI39">
            <v>82.597000000000008</v>
          </cell>
          <cell r="BJ39">
            <v>-0.11001325331063383</v>
          </cell>
          <cell r="BL39">
            <v>16.396000000000001</v>
          </cell>
          <cell r="BM39">
            <v>-0.26541218637992825</v>
          </cell>
          <cell r="BN39">
            <v>31.501999999999999</v>
          </cell>
          <cell r="BO39">
            <v>1.0397565397565396</v>
          </cell>
          <cell r="BP39">
            <v>47.390999999999998</v>
          </cell>
          <cell r="BQ39">
            <v>1.0157805189281155</v>
          </cell>
          <cell r="BR39">
            <v>43.743000000000002</v>
          </cell>
          <cell r="BS39">
            <v>1.0514467945411061</v>
          </cell>
          <cell r="BT39">
            <v>140.9</v>
          </cell>
          <cell r="BU39">
            <v>0.70587309466445491</v>
          </cell>
          <cell r="BW39">
            <v>53</v>
          </cell>
          <cell r="BX39">
            <v>2.2324957306660158</v>
          </cell>
          <cell r="BY39">
            <v>80</v>
          </cell>
          <cell r="BZ39">
            <v>1.539521300234906</v>
          </cell>
          <cell r="CA39">
            <v>50</v>
          </cell>
          <cell r="CB39">
            <v>5.5052647127091792E-2</v>
          </cell>
          <cell r="CC39">
            <v>45</v>
          </cell>
          <cell r="CD39">
            <v>2.8736026335642206E-2</v>
          </cell>
          <cell r="CE39">
            <v>228</v>
          </cell>
          <cell r="CF39">
            <v>0.61816891412349184</v>
          </cell>
        </row>
        <row r="40">
          <cell r="B40" t="str">
            <v>Interest Expense</v>
          </cell>
          <cell r="C40">
            <v>-1.363</v>
          </cell>
          <cell r="E40">
            <v>-1.3560000000000001</v>
          </cell>
          <cell r="G40">
            <v>-1.3260000000000001</v>
          </cell>
          <cell r="I40">
            <v>-1.3149999999999999</v>
          </cell>
          <cell r="K40">
            <v>-5.3599999999999994</v>
          </cell>
          <cell r="M40">
            <v>-1.2869999999999999</v>
          </cell>
          <cell r="O40">
            <v>-1.24</v>
          </cell>
          <cell r="Q40">
            <v>-1.175</v>
          </cell>
          <cell r="S40">
            <v>-1.5760000000000001</v>
          </cell>
          <cell r="U40">
            <v>-5.2780000000000005</v>
          </cell>
          <cell r="W40">
            <v>-1.4910000000000001</v>
          </cell>
          <cell r="Y40">
            <v>-1.345</v>
          </cell>
          <cell r="AA40">
            <v>-1.7190000000000001</v>
          </cell>
          <cell r="AC40">
            <v>-1.1819999999999999</v>
          </cell>
          <cell r="AE40">
            <v>-5.7370000000000001</v>
          </cell>
          <cell r="AG40">
            <v>0</v>
          </cell>
          <cell r="AI40">
            <v>0</v>
          </cell>
          <cell r="AK40">
            <v>0</v>
          </cell>
          <cell r="AM40">
            <v>0</v>
          </cell>
          <cell r="AO40">
            <v>0</v>
          </cell>
          <cell r="AQ40">
            <v>0</v>
          </cell>
          <cell r="AS40">
            <v>0</v>
          </cell>
          <cell r="AU40">
            <v>0</v>
          </cell>
          <cell r="AW40">
            <v>0</v>
          </cell>
          <cell r="AY40">
            <v>0</v>
          </cell>
          <cell r="BA40">
            <v>0</v>
          </cell>
          <cell r="BB40" t="str">
            <v>NM</v>
          </cell>
          <cell r="BC40">
            <v>0</v>
          </cell>
          <cell r="BD40" t="str">
            <v>NM</v>
          </cell>
          <cell r="BE40">
            <v>0</v>
          </cell>
          <cell r="BF40" t="str">
            <v>NM</v>
          </cell>
          <cell r="BG40">
            <v>0</v>
          </cell>
          <cell r="BH40" t="str">
            <v>NM</v>
          </cell>
          <cell r="BI40">
            <v>0</v>
          </cell>
          <cell r="BJ40" t="str">
            <v>NM</v>
          </cell>
          <cell r="BL40">
            <v>0</v>
          </cell>
          <cell r="BM40" t="str">
            <v>NM</v>
          </cell>
          <cell r="BN40">
            <v>0</v>
          </cell>
          <cell r="BO40" t="str">
            <v>NM</v>
          </cell>
          <cell r="BP40">
            <v>-25</v>
          </cell>
          <cell r="BQ40" t="str">
            <v>NM</v>
          </cell>
          <cell r="BR40">
            <v>-23.035</v>
          </cell>
          <cell r="BS40" t="str">
            <v>NM</v>
          </cell>
          <cell r="BT40">
            <v>-49.9</v>
          </cell>
          <cell r="BU40" t="str">
            <v>NM</v>
          </cell>
          <cell r="BW40">
            <v>-19</v>
          </cell>
          <cell r="BX40" t="str">
            <v>NM</v>
          </cell>
          <cell r="BY40">
            <v>-24</v>
          </cell>
          <cell r="BZ40" t="str">
            <v>NM</v>
          </cell>
          <cell r="CA40">
            <v>-24</v>
          </cell>
          <cell r="CB40" t="str">
            <v>NM</v>
          </cell>
          <cell r="CC40">
            <v>-24</v>
          </cell>
          <cell r="CD40" t="str">
            <v>NM</v>
          </cell>
          <cell r="CE40">
            <v>-91</v>
          </cell>
          <cell r="CF40" t="str">
            <v>NM</v>
          </cell>
        </row>
        <row r="41">
          <cell r="B41" t="str">
            <v>Other</v>
          </cell>
          <cell r="C41">
            <v>-50</v>
          </cell>
          <cell r="E41">
            <v>0</v>
          </cell>
          <cell r="G41">
            <v>0</v>
          </cell>
          <cell r="I41">
            <v>0</v>
          </cell>
          <cell r="K41">
            <v>-50</v>
          </cell>
          <cell r="M41">
            <v>0</v>
          </cell>
          <cell r="O41">
            <v>0</v>
          </cell>
          <cell r="Q41">
            <v>0</v>
          </cell>
          <cell r="S41">
            <v>0</v>
          </cell>
          <cell r="U41">
            <v>0</v>
          </cell>
          <cell r="W41">
            <v>0</v>
          </cell>
          <cell r="Y41">
            <v>0</v>
          </cell>
          <cell r="AA41">
            <v>0</v>
          </cell>
          <cell r="AC41">
            <v>0</v>
          </cell>
          <cell r="AE41">
            <v>0</v>
          </cell>
          <cell r="AG41">
            <v>0</v>
          </cell>
          <cell r="AI41">
            <v>0</v>
          </cell>
          <cell r="AK41">
            <v>0</v>
          </cell>
          <cell r="AM41">
            <v>0</v>
          </cell>
          <cell r="AO41">
            <v>0</v>
          </cell>
          <cell r="AQ41">
            <v>0</v>
          </cell>
          <cell r="AS41">
            <v>0</v>
          </cell>
          <cell r="AU41">
            <v>0</v>
          </cell>
          <cell r="AW41">
            <v>0</v>
          </cell>
          <cell r="AY41">
            <v>0</v>
          </cell>
          <cell r="BA41">
            <v>0</v>
          </cell>
          <cell r="BB41" t="str">
            <v>NM</v>
          </cell>
          <cell r="BC41">
            <v>0</v>
          </cell>
          <cell r="BD41" t="str">
            <v>NM</v>
          </cell>
          <cell r="BE41">
            <v>0</v>
          </cell>
          <cell r="BF41" t="str">
            <v>NM</v>
          </cell>
          <cell r="BG41">
            <v>0</v>
          </cell>
          <cell r="BH41" t="str">
            <v>NM</v>
          </cell>
          <cell r="BI41">
            <v>0</v>
          </cell>
          <cell r="BJ41" t="str">
            <v>NM</v>
          </cell>
          <cell r="BL41">
            <v>0</v>
          </cell>
          <cell r="BM41" t="str">
            <v>NM</v>
          </cell>
          <cell r="BN41">
            <v>0</v>
          </cell>
          <cell r="BO41" t="str">
            <v>NM</v>
          </cell>
          <cell r="BP41">
            <v>0</v>
          </cell>
          <cell r="BQ41" t="str">
            <v>NM</v>
          </cell>
          <cell r="BR41">
            <v>0</v>
          </cell>
          <cell r="BS41" t="str">
            <v>NM</v>
          </cell>
          <cell r="BT41">
            <v>0</v>
          </cell>
          <cell r="BU41" t="str">
            <v>NM</v>
          </cell>
          <cell r="BW41">
            <v>0</v>
          </cell>
          <cell r="BX41" t="str">
            <v>NM</v>
          </cell>
          <cell r="BY41">
            <v>0</v>
          </cell>
          <cell r="BZ41" t="str">
            <v>NM</v>
          </cell>
          <cell r="CA41">
            <v>0</v>
          </cell>
          <cell r="CB41" t="str">
            <v>NM</v>
          </cell>
          <cell r="CC41">
            <v>0</v>
          </cell>
          <cell r="CD41" t="str">
            <v>NM</v>
          </cell>
          <cell r="CE41">
            <v>0</v>
          </cell>
          <cell r="CF41" t="str">
            <v>NM</v>
          </cell>
        </row>
        <row r="42">
          <cell r="B42" t="str">
            <v>Income (Loss) Before Taxes</v>
          </cell>
          <cell r="C42">
            <v>77.25599999700006</v>
          </cell>
          <cell r="D42" t="e">
            <v>#REF!</v>
          </cell>
          <cell r="E42">
            <v>155.43000000200004</v>
          </cell>
          <cell r="F42" t="e">
            <v>#REF!</v>
          </cell>
          <cell r="G42">
            <v>147.75600000099993</v>
          </cell>
          <cell r="H42" t="e">
            <v>#REF!</v>
          </cell>
          <cell r="I42">
            <v>126.18599999999992</v>
          </cell>
          <cell r="J42" t="e">
            <v>#REF!</v>
          </cell>
          <cell r="K42">
            <v>556.62800000000004</v>
          </cell>
          <cell r="M42">
            <v>203.40806622616552</v>
          </cell>
          <cell r="N42" t="e">
            <v>#REF!</v>
          </cell>
          <cell r="O42">
            <v>189.16277262893146</v>
          </cell>
          <cell r="P42" t="e">
            <v>#REF!</v>
          </cell>
          <cell r="Q42">
            <v>214.45179690849221</v>
          </cell>
          <cell r="R42" t="e">
            <v>#REF!</v>
          </cell>
          <cell r="S42">
            <v>192.61075938289838</v>
          </cell>
          <cell r="T42" t="e">
            <v>#REF!</v>
          </cell>
          <cell r="U42">
            <v>799.6333951464876</v>
          </cell>
          <cell r="W42">
            <v>242.35399999700002</v>
          </cell>
          <cell r="X42" t="e">
            <v>#REF!</v>
          </cell>
          <cell r="Y42">
            <v>259.94699999899996</v>
          </cell>
          <cell r="Z42" t="e">
            <v>#REF!</v>
          </cell>
          <cell r="AA42">
            <v>279.24</v>
          </cell>
          <cell r="AB42" t="e">
            <v>#REF!</v>
          </cell>
          <cell r="AC42">
            <v>303.41506880999992</v>
          </cell>
          <cell r="AD42" t="e">
            <v>#REF!</v>
          </cell>
          <cell r="AE42">
            <v>1084.9560688059998</v>
          </cell>
          <cell r="AG42">
            <v>167.868606877725</v>
          </cell>
          <cell r="AI42">
            <v>186.49784124299254</v>
          </cell>
          <cell r="AK42">
            <v>183.56400000000008</v>
          </cell>
          <cell r="AM42">
            <v>191.38111154892991</v>
          </cell>
          <cell r="AO42">
            <v>729.31155966964752</v>
          </cell>
          <cell r="AQ42">
            <v>259.29599999999994</v>
          </cell>
          <cell r="AS42">
            <v>245.38299999999992</v>
          </cell>
          <cell r="AU42">
            <v>218.92200000000017</v>
          </cell>
          <cell r="AW42">
            <v>214.93599999999998</v>
          </cell>
          <cell r="AY42">
            <v>938.35384265857761</v>
          </cell>
          <cell r="BA42">
            <v>318.88599999999991</v>
          </cell>
          <cell r="BB42">
            <v>0.2298145748488214</v>
          </cell>
          <cell r="BC42">
            <v>322.07800000000026</v>
          </cell>
          <cell r="BD42">
            <v>0.31255221429357527</v>
          </cell>
          <cell r="BE42">
            <v>409.49200000000008</v>
          </cell>
          <cell r="BF42">
            <v>0.8704926868930476</v>
          </cell>
          <cell r="BG42">
            <v>351.50699999999995</v>
          </cell>
          <cell r="BH42">
            <v>0.63540309673577244</v>
          </cell>
          <cell r="BI42">
            <v>1401.9969999999996</v>
          </cell>
          <cell r="BJ42">
            <v>0.4941026894799212</v>
          </cell>
          <cell r="BL42">
            <v>492.22600000000028</v>
          </cell>
          <cell r="BM42">
            <v>0.54357983730863202</v>
          </cell>
          <cell r="BN42">
            <v>455.37400000000008</v>
          </cell>
          <cell r="BO42">
            <v>0.41386248051714092</v>
          </cell>
          <cell r="BP42">
            <v>646.31199999999978</v>
          </cell>
          <cell r="BQ42">
            <v>0.57832631650923494</v>
          </cell>
          <cell r="BR42">
            <v>599.50600000000009</v>
          </cell>
          <cell r="BS42">
            <v>0.70553075756670625</v>
          </cell>
          <cell r="BT42">
            <v>2193.4180000000006</v>
          </cell>
          <cell r="BU42">
            <v>0.56449550177354246</v>
          </cell>
          <cell r="BW42">
            <v>791</v>
          </cell>
          <cell r="BX42">
            <v>0.60698540914132848</v>
          </cell>
          <cell r="BY42">
            <v>817.86640999999986</v>
          </cell>
          <cell r="BZ42">
            <v>0.79603229433388756</v>
          </cell>
          <cell r="CA42">
            <v>870.46625000000017</v>
          </cell>
          <cell r="CB42">
            <v>0.34682049845894936</v>
          </cell>
          <cell r="CC42">
            <v>909.29136000000017</v>
          </cell>
          <cell r="CD42">
            <v>0.51673437797119637</v>
          </cell>
          <cell r="CE42">
            <v>3388.6240200000002</v>
          </cell>
          <cell r="CF42">
            <v>0.54490572248426861</v>
          </cell>
        </row>
        <row r="43">
          <cell r="B43" t="str">
            <v>Income Tax (Benefit)</v>
          </cell>
          <cell r="C43">
            <v>22.91</v>
          </cell>
          <cell r="E43">
            <v>36.084000000000003</v>
          </cell>
          <cell r="G43">
            <v>32.942</v>
          </cell>
          <cell r="I43">
            <v>23.69</v>
          </cell>
          <cell r="K43">
            <v>121.56800000000001</v>
          </cell>
          <cell r="M43">
            <v>33.540999999999997</v>
          </cell>
          <cell r="O43">
            <v>35.161999999999999</v>
          </cell>
          <cell r="Q43">
            <v>38.149000000000001</v>
          </cell>
          <cell r="S43">
            <v>37.49</v>
          </cell>
          <cell r="U43">
            <v>143.67400000000001</v>
          </cell>
          <cell r="W43">
            <v>42.930999999999997</v>
          </cell>
          <cell r="Y43">
            <v>47.738999999999997</v>
          </cell>
          <cell r="AA43">
            <v>49.619</v>
          </cell>
          <cell r="AC43">
            <v>50.045000000000002</v>
          </cell>
          <cell r="AE43">
            <v>190.334</v>
          </cell>
          <cell r="AG43">
            <v>49.2</v>
          </cell>
          <cell r="AI43">
            <v>66.009</v>
          </cell>
          <cell r="AK43">
            <v>63.384999999999998</v>
          </cell>
          <cell r="AM43">
            <v>67.203000000000003</v>
          </cell>
          <cell r="AO43">
            <v>245.797</v>
          </cell>
          <cell r="AQ43">
            <v>76.762</v>
          </cell>
          <cell r="AS43">
            <v>81.891999999999996</v>
          </cell>
          <cell r="AU43">
            <v>75.099999999999994</v>
          </cell>
          <cell r="AW43">
            <v>69.944000000000003</v>
          </cell>
          <cell r="AY43">
            <v>303.69799999999998</v>
          </cell>
          <cell r="BA43">
            <v>111.33499999999999</v>
          </cell>
          <cell r="BB43">
            <v>0.45039212110158666</v>
          </cell>
          <cell r="BC43">
            <v>120.306</v>
          </cell>
          <cell r="BD43">
            <v>0.46908122893567139</v>
          </cell>
          <cell r="BE43">
            <v>149.88999999999999</v>
          </cell>
          <cell r="BF43">
            <v>0.99587217043941401</v>
          </cell>
          <cell r="BG43">
            <v>126.1</v>
          </cell>
          <cell r="BH43">
            <v>0.80287086812306963</v>
          </cell>
          <cell r="BI43">
            <v>507.63099999999997</v>
          </cell>
          <cell r="BJ43">
            <v>0.67149931840183341</v>
          </cell>
          <cell r="BL43">
            <v>180.58500000000001</v>
          </cell>
          <cell r="BM43">
            <v>0.62199667669645686</v>
          </cell>
          <cell r="BN43">
            <v>126.8</v>
          </cell>
          <cell r="BO43">
            <v>5.3979020165245251E-2</v>
          </cell>
          <cell r="BP43">
            <v>262.49099999999999</v>
          </cell>
          <cell r="BQ43">
            <v>0.75122423110280878</v>
          </cell>
          <cell r="BR43">
            <v>236.221</v>
          </cell>
          <cell r="BS43">
            <v>0.87328310864393344</v>
          </cell>
          <cell r="BT43">
            <v>806.09699999999998</v>
          </cell>
          <cell r="BU43">
            <v>0.5879585762098849</v>
          </cell>
          <cell r="BW43">
            <v>300</v>
          </cell>
          <cell r="BX43">
            <v>0.66126754713846658</v>
          </cell>
          <cell r="BY43">
            <v>303.42843810999995</v>
          </cell>
          <cell r="BZ43">
            <v>1.3929687548107252</v>
          </cell>
          <cell r="CA43">
            <v>322.94297875000007</v>
          </cell>
          <cell r="CB43">
            <v>0.23030114842032701</v>
          </cell>
          <cell r="CC43">
            <v>337.34709456000007</v>
          </cell>
          <cell r="CD43">
            <v>0.42809951088175935</v>
          </cell>
          <cell r="CE43">
            <v>1263.7185114200001</v>
          </cell>
          <cell r="CF43">
            <v>0.567700303338184</v>
          </cell>
        </row>
        <row r="44">
          <cell r="B44" t="str">
            <v>Tax Rate</v>
          </cell>
          <cell r="C44">
            <v>0.29654654655806179</v>
          </cell>
          <cell r="E44">
            <v>0.23215595444596077</v>
          </cell>
          <cell r="G44">
            <v>0.22294864506197423</v>
          </cell>
          <cell r="I44">
            <v>0.18773873488342618</v>
          </cell>
          <cell r="K44">
            <v>0.21840079909742235</v>
          </cell>
          <cell r="M44">
            <v>0.31057618156261746</v>
          </cell>
          <cell r="O44">
            <v>0.31062449585915947</v>
          </cell>
          <cell r="Q44">
            <v>0.31050325499576703</v>
          </cell>
          <cell r="S44">
            <v>0.31069126943984371</v>
          </cell>
          <cell r="U44">
            <v>0.17967483708416138</v>
          </cell>
          <cell r="W44">
            <v>0.320523684181443</v>
          </cell>
          <cell r="Y44">
            <v>0.32030716534990089</v>
          </cell>
          <cell r="AA44">
            <v>0.32044099205704007</v>
          </cell>
          <cell r="AC44">
            <v>0.32039990406928232</v>
          </cell>
          <cell r="AE44">
            <v>0.17543014456747877</v>
          </cell>
          <cell r="AG44">
            <v>0.29349894260372089</v>
          </cell>
          <cell r="AI44">
            <v>0.35428459719400968</v>
          </cell>
          <cell r="AK44">
            <v>0.345725382990834</v>
          </cell>
          <cell r="AM44">
            <v>0.35148524883632459</v>
          </cell>
          <cell r="AO44">
            <v>0.33702605798725771</v>
          </cell>
          <cell r="AQ44">
            <v>0.29619869560489492</v>
          </cell>
          <cell r="AS44">
            <v>0.33376329644768415</v>
          </cell>
          <cell r="AU44">
            <v>0.3432807897415317</v>
          </cell>
          <cell r="AW44">
            <v>0.32563596409549711</v>
          </cell>
          <cell r="AY44">
            <v>0.32364976429312847</v>
          </cell>
          <cell r="BA44">
            <v>0.34913730925785397</v>
          </cell>
          <cell r="BC44">
            <v>0.37353063543613629</v>
          </cell>
          <cell r="BE44">
            <v>0.3660388969747882</v>
          </cell>
          <cell r="BG44">
            <v>0.35874107770257779</v>
          </cell>
          <cell r="BI44">
            <v>0.36207709431617907</v>
          </cell>
          <cell r="BJ44">
            <v>0.11873121584679147</v>
          </cell>
          <cell r="BL44">
            <v>0.36687415943083035</v>
          </cell>
          <cell r="BN44">
            <v>0.27845243689802224</v>
          </cell>
          <cell r="BP44">
            <v>0.40613666464493942</v>
          </cell>
          <cell r="BR44">
            <v>0.39402608147374668</v>
          </cell>
          <cell r="BT44">
            <v>0.36750724212165659</v>
          </cell>
          <cell r="BU44">
            <v>1.4997214379807389E-2</v>
          </cell>
          <cell r="BW44">
            <v>0.37926675094816686</v>
          </cell>
          <cell r="BY44">
            <v>0.371</v>
          </cell>
          <cell r="CA44">
            <v>0.371</v>
          </cell>
          <cell r="CC44">
            <v>0.371</v>
          </cell>
          <cell r="CE44">
            <v>0.3729296918045219</v>
          </cell>
          <cell r="CF44">
            <v>1.4754674361139086E-2</v>
          </cell>
        </row>
        <row r="45">
          <cell r="B45" t="str">
            <v>Reported Net Income</v>
          </cell>
          <cell r="C45">
            <v>54.345999997000064</v>
          </cell>
          <cell r="D45" t="e">
            <v>#REF!</v>
          </cell>
          <cell r="E45">
            <v>119.34600000200004</v>
          </cell>
          <cell r="F45" t="e">
            <v>#REF!</v>
          </cell>
          <cell r="G45">
            <v>114.81400000099993</v>
          </cell>
          <cell r="H45" t="e">
            <v>#REF!</v>
          </cell>
          <cell r="I45">
            <v>102.49599999999992</v>
          </cell>
          <cell r="J45" t="e">
            <v>#REF!</v>
          </cell>
          <cell r="K45">
            <v>435.06000000000006</v>
          </cell>
          <cell r="M45">
            <v>169.86706622616552</v>
          </cell>
          <cell r="N45" t="e">
            <v>#REF!</v>
          </cell>
          <cell r="O45">
            <v>154.00077262893146</v>
          </cell>
          <cell r="P45" t="e">
            <v>#REF!</v>
          </cell>
          <cell r="Q45">
            <v>176.30279690849221</v>
          </cell>
          <cell r="R45" t="e">
            <v>#REF!</v>
          </cell>
          <cell r="S45">
            <v>155.12075938289837</v>
          </cell>
          <cell r="T45" t="e">
            <v>#REF!</v>
          </cell>
          <cell r="U45">
            <v>653.88039514648756</v>
          </cell>
          <cell r="W45">
            <v>199.42299999700003</v>
          </cell>
          <cell r="X45" t="e">
            <v>#REF!</v>
          </cell>
          <cell r="Y45">
            <v>212.20799999899995</v>
          </cell>
          <cell r="Z45" t="e">
            <v>#REF!</v>
          </cell>
          <cell r="AA45">
            <v>229.62100000000001</v>
          </cell>
          <cell r="AB45" t="e">
            <v>#REF!</v>
          </cell>
          <cell r="AC45">
            <v>253.37006880999991</v>
          </cell>
          <cell r="AD45" t="e">
            <v>#REF!</v>
          </cell>
          <cell r="AE45">
            <v>893.21106880599996</v>
          </cell>
          <cell r="AG45">
            <v>118.668606877725</v>
          </cell>
          <cell r="AI45">
            <v>120.48884124299254</v>
          </cell>
          <cell r="AK45">
            <v>120.17900000000009</v>
          </cell>
          <cell r="AM45">
            <v>124.17811154892991</v>
          </cell>
          <cell r="AO45">
            <v>483.5145596696475</v>
          </cell>
          <cell r="AQ45">
            <v>182.53399999999993</v>
          </cell>
          <cell r="AS45">
            <v>163.49099999999993</v>
          </cell>
          <cell r="AU45">
            <v>143.82200000000017</v>
          </cell>
          <cell r="AW45">
            <v>144.99199999999996</v>
          </cell>
          <cell r="AY45">
            <v>634.65584265857763</v>
          </cell>
          <cell r="BA45">
            <v>207.55099999999993</v>
          </cell>
          <cell r="BB45">
            <v>0.13705391872199146</v>
          </cell>
          <cell r="BC45">
            <v>201.77200000000028</v>
          </cell>
          <cell r="BD45">
            <v>0.23414744542513266</v>
          </cell>
          <cell r="BE45">
            <v>259.60200000000009</v>
          </cell>
          <cell r="BF45">
            <v>0.80502287549887908</v>
          </cell>
          <cell r="BG45">
            <v>225.40699999999995</v>
          </cell>
          <cell r="BH45">
            <v>0.55461680644449363</v>
          </cell>
          <cell r="BI45">
            <v>894.36599999999964</v>
          </cell>
          <cell r="BJ45">
            <v>0.4092141596829777</v>
          </cell>
          <cell r="BL45">
            <v>311.6410000000003</v>
          </cell>
          <cell r="BM45">
            <v>0.50151529021782792</v>
          </cell>
          <cell r="BN45">
            <v>328.57400000000007</v>
          </cell>
          <cell r="BO45">
            <v>0.6284420038459233</v>
          </cell>
          <cell r="BP45">
            <v>383.8209999999998</v>
          </cell>
          <cell r="BQ45">
            <v>0.47849785440789994</v>
          </cell>
          <cell r="BR45">
            <v>363.28500000000008</v>
          </cell>
          <cell r="BS45">
            <v>0.61168464155949076</v>
          </cell>
          <cell r="BT45">
            <v>1387.3210000000001</v>
          </cell>
          <cell r="BU45">
            <v>0.55117815301565654</v>
          </cell>
          <cell r="BW45">
            <v>491</v>
          </cell>
          <cell r="BX45">
            <v>0.57553081911558346</v>
          </cell>
          <cell r="BY45">
            <v>514.43797188999997</v>
          </cell>
          <cell r="BZ45">
            <v>0.56566853095497471</v>
          </cell>
          <cell r="CA45">
            <v>547.52327125000011</v>
          </cell>
          <cell r="CB45">
            <v>0.42650681242037414</v>
          </cell>
          <cell r="CC45">
            <v>571.94426544000009</v>
          </cell>
          <cell r="CD45">
            <v>0.57436796300425286</v>
          </cell>
          <cell r="CE45">
            <v>2124.9055085800001</v>
          </cell>
          <cell r="CF45">
            <v>0.53166102767852563</v>
          </cell>
        </row>
        <row r="46">
          <cell r="B46" t="str">
            <v>EPS, basic</v>
          </cell>
          <cell r="C46">
            <v>5.3195279706391409E-2</v>
          </cell>
          <cell r="D46" t="e">
            <v>#REF!</v>
          </cell>
          <cell r="E46">
            <v>0.1161134028662049</v>
          </cell>
          <cell r="F46" t="e">
            <v>#REF!</v>
          </cell>
          <cell r="G46">
            <v>0.11225174174395246</v>
          </cell>
          <cell r="H46" t="e">
            <v>#REF!</v>
          </cell>
          <cell r="I46">
            <v>9.9454483000867386E-2</v>
          </cell>
          <cell r="J46" t="e">
            <v>#REF!</v>
          </cell>
          <cell r="K46">
            <v>0.84830168077058077</v>
          </cell>
          <cell r="M46">
            <v>0.15719058841409891</v>
          </cell>
          <cell r="N46" t="e">
            <v>#REF!</v>
          </cell>
          <cell r="O46">
            <v>0.14772766505983081</v>
          </cell>
          <cell r="P46" t="e">
            <v>#REF!</v>
          </cell>
          <cell r="Q46">
            <v>0.16857272598569231</v>
          </cell>
          <cell r="R46" t="e">
            <v>#REF!</v>
          </cell>
          <cell r="S46">
            <v>0.14771576793625393</v>
          </cell>
          <cell r="T46" t="e">
            <v>#REF!</v>
          </cell>
          <cell r="U46">
            <v>0.62610751786886065</v>
          </cell>
          <cell r="W46">
            <v>0.18963949828069879</v>
          </cell>
          <cell r="X46" t="e">
            <v>#REF!</v>
          </cell>
          <cell r="Y46">
            <v>0.201336627462533</v>
          </cell>
          <cell r="Z46" t="e">
            <v>#REF!</v>
          </cell>
          <cell r="AA46">
            <v>0.21772122853328479</v>
          </cell>
          <cell r="AB46" t="e">
            <v>#REF!</v>
          </cell>
          <cell r="AC46">
            <v>0.23995422792662244</v>
          </cell>
          <cell r="AD46" t="e">
            <v>#REF!</v>
          </cell>
          <cell r="AE46">
            <v>0.84741827980205642</v>
          </cell>
          <cell r="AG46">
            <v>0.11262407288593676</v>
          </cell>
          <cell r="AI46">
            <v>0.11585443224435389</v>
          </cell>
          <cell r="AK46">
            <v>0.11644687757376106</v>
          </cell>
          <cell r="AM46">
            <v>0.12075917770961529</v>
          </cell>
          <cell r="AO46">
            <v>0.46558555820163972</v>
          </cell>
          <cell r="AQ46">
            <v>0.17828754720077195</v>
          </cell>
          <cell r="AS46">
            <v>0.15937622463243961</v>
          </cell>
          <cell r="AU46">
            <v>0.13818408916218311</v>
          </cell>
          <cell r="AW46">
            <v>0.13843172075349197</v>
          </cell>
          <cell r="AY46">
            <v>0.61351622099003444</v>
          </cell>
          <cell r="BA46">
            <v>0.19669389062526646</v>
          </cell>
          <cell r="BB46">
            <v>0.10323964692703358</v>
          </cell>
          <cell r="BC46">
            <v>0.19023985050239559</v>
          </cell>
          <cell r="BD46">
            <v>0.19365263508490682</v>
          </cell>
          <cell r="BE46">
            <v>0.24603559717193932</v>
          </cell>
          <cell r="BF46">
            <v>0.78049150711681192</v>
          </cell>
          <cell r="BG46">
            <v>0.21473468610079066</v>
          </cell>
          <cell r="BH46">
            <v>0.55119567200333264</v>
          </cell>
          <cell r="BI46">
            <v>0.84760772011960184</v>
          </cell>
          <cell r="BJ46">
            <v>0.38155714734292223</v>
          </cell>
          <cell r="BL46">
            <v>0.29769915325477275</v>
          </cell>
          <cell r="BM46">
            <v>0.51351499687368318</v>
          </cell>
          <cell r="BN46">
            <v>0.31068947127549734</v>
          </cell>
          <cell r="BO46">
            <v>0.6331461071642559</v>
          </cell>
          <cell r="BP46">
            <v>0.36191125456018103</v>
          </cell>
          <cell r="BQ46">
            <v>0.47097110629590433</v>
          </cell>
          <cell r="BR46">
            <v>0.3444360799602551</v>
          </cell>
          <cell r="BS46">
            <v>0.60400765341928087</v>
          </cell>
          <cell r="BT46">
            <v>1.3150560404644005</v>
          </cell>
          <cell r="BU46">
            <v>0.5514913435177764</v>
          </cell>
          <cell r="BW46">
            <v>0.46584440227703983</v>
          </cell>
          <cell r="BX46">
            <v>0.56481601369677836</v>
          </cell>
          <cell r="BY46">
            <v>0.48808156725806451</v>
          </cell>
          <cell r="BZ46">
            <v>0.57096268906154357</v>
          </cell>
          <cell r="CA46">
            <v>0.51947179435483881</v>
          </cell>
          <cell r="CB46">
            <v>0.43535683902987765</v>
          </cell>
          <cell r="CC46">
            <v>0.54264161806451627</v>
          </cell>
          <cell r="CD46">
            <v>0.57544940741147776</v>
          </cell>
          <cell r="CE46">
            <v>2.0160393819544593</v>
          </cell>
          <cell r="CF46">
            <v>0.53304446344546097</v>
          </cell>
        </row>
        <row r="47">
          <cell r="B47" t="str">
            <v>EPS, diluted</v>
          </cell>
          <cell r="C47">
            <v>5.1261300007734628E-2</v>
          </cell>
          <cell r="D47" t="e">
            <v>#REF!</v>
          </cell>
          <cell r="E47">
            <v>0.11182173883900132</v>
          </cell>
          <cell r="F47" t="e">
            <v>#REF!</v>
          </cell>
          <cell r="G47">
            <v>0.10948743622848416</v>
          </cell>
          <cell r="H47" t="e">
            <v>#REF!</v>
          </cell>
          <cell r="I47">
            <v>9.672335662963033E-2</v>
          </cell>
          <cell r="J47" t="e">
            <v>#REF!</v>
          </cell>
          <cell r="K47">
            <v>0.82168185466735921</v>
          </cell>
          <cell r="M47">
            <v>0.16360744536644534</v>
          </cell>
          <cell r="N47" t="e">
            <v>#REF!</v>
          </cell>
          <cell r="O47">
            <v>0.14302396905211939</v>
          </cell>
          <cell r="P47" t="e">
            <v>#REF!</v>
          </cell>
          <cell r="Q47">
            <v>0.16279624374956575</v>
          </cell>
          <cell r="R47" t="e">
            <v>#REF!</v>
          </cell>
          <cell r="S47">
            <v>0.1442675142833611</v>
          </cell>
          <cell r="T47" t="e">
            <v>#REF!</v>
          </cell>
          <cell r="U47">
            <v>0.60987544247047309</v>
          </cell>
          <cell r="W47">
            <v>0.18630385512668887</v>
          </cell>
          <cell r="X47" t="e">
            <v>#REF!</v>
          </cell>
          <cell r="Y47">
            <v>0.19827260801712437</v>
          </cell>
          <cell r="Z47" t="e">
            <v>#REF!</v>
          </cell>
          <cell r="AA47">
            <v>0.21513388423557631</v>
          </cell>
          <cell r="AB47" t="e">
            <v>#REF!</v>
          </cell>
          <cell r="AC47">
            <v>0.23597362148675347</v>
          </cell>
          <cell r="AD47" t="e">
            <v>#REF!</v>
          </cell>
          <cell r="AE47">
            <v>0.83443278873473636</v>
          </cell>
          <cell r="AG47">
            <v>0.11091602069521243</v>
          </cell>
          <cell r="AI47">
            <v>0.11486526747781373</v>
          </cell>
          <cell r="AK47">
            <v>0.11568376043694142</v>
          </cell>
          <cell r="AM47">
            <v>0.11963762442668824</v>
          </cell>
          <cell r="AO47">
            <v>0.46096594929398294</v>
          </cell>
          <cell r="AQ47">
            <v>0.17644113473531989</v>
          </cell>
          <cell r="AS47">
            <v>0.15632685298156096</v>
          </cell>
          <cell r="AU47">
            <v>0.13499342969776626</v>
          </cell>
          <cell r="AW47">
            <v>0.13531330959153653</v>
          </cell>
          <cell r="AY47">
            <v>0.60195636879300407</v>
          </cell>
          <cell r="BA47">
            <v>0.19188759906363365</v>
          </cell>
          <cell r="BB47">
            <v>8.7544575994056517E-2</v>
          </cell>
          <cell r="BC47">
            <v>0.1856079596205274</v>
          </cell>
          <cell r="BD47">
            <v>0.18730695386300766</v>
          </cell>
          <cell r="BE47">
            <v>0.24102097033403808</v>
          </cell>
          <cell r="BF47">
            <v>0.78542741579093511</v>
          </cell>
          <cell r="BG47">
            <v>0.21052144935874201</v>
          </cell>
          <cell r="BH47">
            <v>0.55580740722573774</v>
          </cell>
          <cell r="BI47">
            <v>0.82872362999196592</v>
          </cell>
          <cell r="BJ47">
            <v>0.37671710601493902</v>
          </cell>
          <cell r="BL47">
            <v>0.29205273126155645</v>
          </cell>
          <cell r="BM47">
            <v>0.52199898631649511</v>
          </cell>
          <cell r="BN47">
            <v>0.30315701288288605</v>
          </cell>
          <cell r="BO47">
            <v>0.63331903169824111</v>
          </cell>
          <cell r="BP47">
            <v>0.35311289058331263</v>
          </cell>
          <cell r="BQ47">
            <v>0.46507123464785272</v>
          </cell>
          <cell r="BR47">
            <v>0.33632766499529704</v>
          </cell>
          <cell r="BS47">
            <v>0.59759333796991476</v>
          </cell>
          <cell r="BT47">
            <v>1.2834287279048318</v>
          </cell>
          <cell r="BU47">
            <v>0.54868122671640718</v>
          </cell>
          <cell r="BW47">
            <v>0.45674418604651162</v>
          </cell>
          <cell r="BX47">
            <v>0.56390999691579968</v>
          </cell>
          <cell r="BY47">
            <v>0.4785469505953488</v>
          </cell>
          <cell r="BZ47">
            <v>0.57854488024071671</v>
          </cell>
          <cell r="CA47">
            <v>0.50932397325581402</v>
          </cell>
          <cell r="CB47">
            <v>0.44238283800530165</v>
          </cell>
          <cell r="CC47">
            <v>0.53204117715348842</v>
          </cell>
          <cell r="CD47">
            <v>0.58191321299997156</v>
          </cell>
          <cell r="CE47">
            <v>1.9766562870511628</v>
          </cell>
          <cell r="CF47">
            <v>0.54013716856565086</v>
          </cell>
        </row>
        <row r="49">
          <cell r="B49" t="str">
            <v>Option expense</v>
          </cell>
          <cell r="BW49">
            <v>74</v>
          </cell>
          <cell r="BY49">
            <v>78.304247450000005</v>
          </cell>
          <cell r="CA49">
            <v>83.722856250000007</v>
          </cell>
          <cell r="CC49">
            <v>93.158375200000009</v>
          </cell>
          <cell r="CE49">
            <v>329.18547890000002</v>
          </cell>
        </row>
        <row r="50">
          <cell r="B50" t="str">
            <v>Net Income (incl options exp)</v>
          </cell>
          <cell r="BW50">
            <v>417</v>
          </cell>
          <cell r="BY50">
            <v>436.13372443999998</v>
          </cell>
          <cell r="CA50">
            <v>463.8004150000001</v>
          </cell>
          <cell r="CC50">
            <v>478.78589024000007</v>
          </cell>
          <cell r="CE50">
            <v>1795.7200296800002</v>
          </cell>
        </row>
        <row r="52">
          <cell r="B52" t="str">
            <v>EPS, diluted (incl option exp)</v>
          </cell>
          <cell r="BW52">
            <v>0.38790697674418606</v>
          </cell>
          <cell r="BY52">
            <v>0.40570579017674419</v>
          </cell>
          <cell r="CA52">
            <v>0.43144224651162799</v>
          </cell>
          <cell r="CC52">
            <v>0.44538222347906986</v>
          </cell>
          <cell r="CE52">
            <v>1.670437236911628</v>
          </cell>
        </row>
        <row r="53">
          <cell r="B53" t="str">
            <v>EPS, GAAP, diluted (incl option exp)</v>
          </cell>
          <cell r="BW53">
            <v>0.39162790697674421</v>
          </cell>
          <cell r="BY53">
            <v>0.38464160413023252</v>
          </cell>
          <cell r="CA53">
            <v>0.41037806046511638</v>
          </cell>
          <cell r="CC53">
            <v>0.42431803743255819</v>
          </cell>
          <cell r="CE53">
            <v>1.6109656090046514</v>
          </cell>
        </row>
        <row r="54">
          <cell r="B54" t="str">
            <v>Shares Outstanding (Basic)</v>
          </cell>
          <cell r="C54">
            <v>1021.6319999999999</v>
          </cell>
          <cell r="D54">
            <v>0</v>
          </cell>
          <cell r="E54">
            <v>1027.8399999999999</v>
          </cell>
          <cell r="F54">
            <v>0</v>
          </cell>
          <cell r="G54">
            <v>1022.826</v>
          </cell>
          <cell r="H54">
            <v>0</v>
          </cell>
          <cell r="I54">
            <v>1030.5820000000001</v>
          </cell>
          <cell r="K54">
            <v>512.86</v>
          </cell>
          <cell r="M54">
            <v>1080.644</v>
          </cell>
          <cell r="N54">
            <v>0</v>
          </cell>
          <cell r="O54">
            <v>1042.4639999999999</v>
          </cell>
          <cell r="P54">
            <v>0</v>
          </cell>
          <cell r="Q54">
            <v>1045.856</v>
          </cell>
          <cell r="R54">
            <v>0</v>
          </cell>
          <cell r="S54">
            <v>1050.1300000000001</v>
          </cell>
          <cell r="T54">
            <v>0</v>
          </cell>
          <cell r="U54">
            <v>1044.3579999999999</v>
          </cell>
          <cell r="W54">
            <v>1051.5899999999999</v>
          </cell>
          <cell r="X54">
            <v>0</v>
          </cell>
          <cell r="Y54">
            <v>1053.9960000000001</v>
          </cell>
          <cell r="Z54">
            <v>0</v>
          </cell>
          <cell r="AA54">
            <v>1054.6559999999999</v>
          </cell>
          <cell r="AB54">
            <v>0</v>
          </cell>
          <cell r="AC54">
            <v>1055.9100000000001</v>
          </cell>
          <cell r="AD54">
            <v>0</v>
          </cell>
          <cell r="AE54">
            <v>1054.038</v>
          </cell>
          <cell r="AG54">
            <v>1053.67</v>
          </cell>
          <cell r="AH54">
            <v>0</v>
          </cell>
          <cell r="AI54">
            <v>1040.002</v>
          </cell>
          <cell r="AJ54">
            <v>0</v>
          </cell>
          <cell r="AK54">
            <v>1032.05</v>
          </cell>
          <cell r="AL54">
            <v>0</v>
          </cell>
          <cell r="AM54">
            <v>1028.3119999999999</v>
          </cell>
          <cell r="AN54">
            <v>0</v>
          </cell>
          <cell r="AO54">
            <v>1038.5084999999999</v>
          </cell>
          <cell r="AQ54">
            <v>1023.818</v>
          </cell>
          <cell r="AR54">
            <v>0</v>
          </cell>
          <cell r="AS54">
            <v>1025.818</v>
          </cell>
          <cell r="AT54">
            <v>0</v>
          </cell>
          <cell r="AU54">
            <v>1040.8</v>
          </cell>
          <cell r="AV54">
            <v>0</v>
          </cell>
          <cell r="AW54">
            <v>1047.3900000000001</v>
          </cell>
          <cell r="AY54">
            <v>1034.4565</v>
          </cell>
          <cell r="BA54">
            <v>1055.1980000000001</v>
          </cell>
          <cell r="BB54">
            <v>3.0649978804826672E-2</v>
          </cell>
          <cell r="BC54">
            <v>1060.6189999999999</v>
          </cell>
          <cell r="BD54">
            <v>3.392512122033331E-2</v>
          </cell>
          <cell r="BE54">
            <v>1055.1400000000001</v>
          </cell>
          <cell r="BF54">
            <v>1.3777863182167671E-2</v>
          </cell>
          <cell r="BG54">
            <v>1049.7</v>
          </cell>
          <cell r="BH54">
            <v>2.2054821986079443E-3</v>
          </cell>
          <cell r="BI54">
            <v>1055.165</v>
          </cell>
          <cell r="BJ54">
            <v>2.0018724808631427E-2</v>
          </cell>
          <cell r="BL54">
            <v>1046.8320000000001</v>
          </cell>
          <cell r="BM54">
            <v>-7.9283698414894799E-3</v>
          </cell>
          <cell r="BN54">
            <v>1057.5640000000001</v>
          </cell>
          <cell r="BO54">
            <v>-2.8803934306285139E-3</v>
          </cell>
          <cell r="BP54">
            <v>1060.539</v>
          </cell>
          <cell r="BQ54">
            <v>5.1168565308867819E-3</v>
          </cell>
          <cell r="BR54">
            <v>1054.7239999999999</v>
          </cell>
          <cell r="BS54">
            <v>4.7861293702962104E-3</v>
          </cell>
          <cell r="BT54">
            <v>1054.952</v>
          </cell>
          <cell r="BU54">
            <v>-2.0186416342460323E-4</v>
          </cell>
          <cell r="BW54">
            <v>1054</v>
          </cell>
          <cell r="BY54">
            <v>1054</v>
          </cell>
          <cell r="CA54">
            <v>1054</v>
          </cell>
          <cell r="CC54">
            <v>1054</v>
          </cell>
          <cell r="CE54">
            <v>1054</v>
          </cell>
          <cell r="CF54">
            <v>-9.0241072579599901E-4</v>
          </cell>
        </row>
        <row r="55">
          <cell r="B55" t="str">
            <v>Shares Outstanding (Diluted)</v>
          </cell>
          <cell r="C55">
            <v>1060.1759999999999</v>
          </cell>
          <cell r="D55">
            <v>0</v>
          </cell>
          <cell r="E55">
            <v>1067.288</v>
          </cell>
          <cell r="F55">
            <v>0</v>
          </cell>
          <cell r="G55">
            <v>1048.6500000000001</v>
          </cell>
          <cell r="H55">
            <v>0</v>
          </cell>
          <cell r="I55">
            <v>1059.682</v>
          </cell>
          <cell r="K55">
            <v>529.47500000000002</v>
          </cell>
          <cell r="M55">
            <v>1038.26</v>
          </cell>
          <cell r="N55">
            <v>0</v>
          </cell>
          <cell r="O55">
            <v>1076.748</v>
          </cell>
          <cell r="P55">
            <v>0</v>
          </cell>
          <cell r="Q55">
            <v>1082.9659999999999</v>
          </cell>
          <cell r="R55">
            <v>0</v>
          </cell>
          <cell r="S55">
            <v>1075.23</v>
          </cell>
          <cell r="T55">
            <v>0</v>
          </cell>
          <cell r="U55">
            <v>1072.154</v>
          </cell>
          <cell r="W55">
            <v>1070.4179999999999</v>
          </cell>
          <cell r="X55">
            <v>0</v>
          </cell>
          <cell r="Y55">
            <v>1070.2840000000001</v>
          </cell>
          <cell r="Z55">
            <v>0</v>
          </cell>
          <cell r="AA55">
            <v>1067.3399999999999</v>
          </cell>
          <cell r="AB55">
            <v>0</v>
          </cell>
          <cell r="AC55">
            <v>1073.722</v>
          </cell>
          <cell r="AD55">
            <v>0</v>
          </cell>
          <cell r="AE55">
            <v>1070.441</v>
          </cell>
          <cell r="AG55">
            <v>1069.896</v>
          </cell>
          <cell r="AH55">
            <v>0</v>
          </cell>
          <cell r="AI55">
            <v>1048.9580000000001</v>
          </cell>
          <cell r="AJ55">
            <v>0</v>
          </cell>
          <cell r="AK55">
            <v>1038.8579999999999</v>
          </cell>
          <cell r="AL55">
            <v>0</v>
          </cell>
          <cell r="AM55">
            <v>1037.952</v>
          </cell>
          <cell r="AN55">
            <v>0</v>
          </cell>
          <cell r="AO55">
            <v>1048.9160000000002</v>
          </cell>
          <cell r="AQ55">
            <v>1034.5319999999999</v>
          </cell>
          <cell r="AR55">
            <v>0</v>
          </cell>
          <cell r="AS55">
            <v>1045.828</v>
          </cell>
          <cell r="AT55">
            <v>0</v>
          </cell>
          <cell r="AU55">
            <v>1065.4000000000001</v>
          </cell>
          <cell r="AV55">
            <v>0</v>
          </cell>
          <cell r="AW55">
            <v>1071.528</v>
          </cell>
          <cell r="AY55">
            <v>1054.3219999999999</v>
          </cell>
          <cell r="BA55">
            <v>1081.6279999999999</v>
          </cell>
          <cell r="BB55">
            <v>4.5523966392533088E-2</v>
          </cell>
          <cell r="BC55">
            <v>1087.087</v>
          </cell>
          <cell r="BD55">
            <v>3.9451037837962E-2</v>
          </cell>
          <cell r="BE55">
            <v>1077.0930000000001</v>
          </cell>
          <cell r="BF55">
            <v>1.0975220574432232E-2</v>
          </cell>
          <cell r="BG55">
            <v>1070.7080000000001</v>
          </cell>
          <cell r="BH55">
            <v>-7.6526231699025615E-4</v>
          </cell>
          <cell r="BI55">
            <v>1079.2090000000001</v>
          </cell>
          <cell r="BJ55">
            <v>2.3604743142986884E-2</v>
          </cell>
          <cell r="BL55">
            <v>1067.0709999999999</v>
          </cell>
          <cell r="BM55">
            <v>-1.345841638714973E-2</v>
          </cell>
          <cell r="BN55">
            <v>1083.8409999999999</v>
          </cell>
          <cell r="BO55">
            <v>-2.9859615651738336E-3</v>
          </cell>
          <cell r="BP55">
            <v>1086.9639999999999</v>
          </cell>
          <cell r="BQ55">
            <v>9.1644825470036384E-3</v>
          </cell>
          <cell r="BR55">
            <v>1080.152</v>
          </cell>
          <cell r="BS55">
            <v>8.8203319672590652E-3</v>
          </cell>
          <cell r="BT55">
            <v>1080.9490000000001</v>
          </cell>
          <cell r="BU55">
            <v>1.6122919656897938E-3</v>
          </cell>
          <cell r="BW55">
            <v>1075</v>
          </cell>
          <cell r="BY55">
            <v>1075</v>
          </cell>
          <cell r="CA55">
            <v>1075</v>
          </cell>
          <cell r="CC55">
            <v>1075</v>
          </cell>
          <cell r="CE55">
            <v>1075</v>
          </cell>
          <cell r="CF55">
            <v>-5.5034973897936101E-3</v>
          </cell>
        </row>
        <row r="58">
          <cell r="B58" t="str">
            <v>GAAP Adjustments</v>
          </cell>
        </row>
        <row r="59">
          <cell r="B59" t="str">
            <v>Charges related to Redemption</v>
          </cell>
          <cell r="AG59">
            <v>-38.9</v>
          </cell>
          <cell r="AI59">
            <v>-38.9</v>
          </cell>
          <cell r="AK59">
            <v>-38.9</v>
          </cell>
          <cell r="AM59">
            <v>-38.9</v>
          </cell>
          <cell r="AO59">
            <v>-155.6</v>
          </cell>
          <cell r="AQ59">
            <v>-38.6</v>
          </cell>
          <cell r="AS59">
            <v>-38.6</v>
          </cell>
          <cell r="AU59">
            <v>-38.6</v>
          </cell>
          <cell r="BA59">
            <v>-38.209000000000003</v>
          </cell>
          <cell r="BC59">
            <v>-38.209000000000003</v>
          </cell>
          <cell r="BE59">
            <v>-30</v>
          </cell>
          <cell r="BG59">
            <v>-34.533999999999999</v>
          </cell>
          <cell r="BI59">
            <v>-140.952</v>
          </cell>
          <cell r="BL59">
            <v>-34.481999999999999</v>
          </cell>
          <cell r="BN59">
            <v>-34.481999999999999</v>
          </cell>
          <cell r="BP59">
            <v>-27.190999999999999</v>
          </cell>
          <cell r="BR59">
            <v>-25</v>
          </cell>
          <cell r="BT59">
            <v>-122.7</v>
          </cell>
          <cell r="BW59">
            <v>-26</v>
          </cell>
          <cell r="BY59">
            <v>-23</v>
          </cell>
          <cell r="CA59">
            <v>-23</v>
          </cell>
          <cell r="CC59">
            <v>-23</v>
          </cell>
          <cell r="CE59">
            <v>-95</v>
          </cell>
        </row>
        <row r="60">
          <cell r="B60" t="str">
            <v>Litigation related charges</v>
          </cell>
          <cell r="AG60">
            <v>0</v>
          </cell>
          <cell r="AI60">
            <v>-518</v>
          </cell>
          <cell r="AK60">
            <v>-12.5</v>
          </cell>
          <cell r="AM60">
            <v>-13.5</v>
          </cell>
          <cell r="AO60">
            <v>-544</v>
          </cell>
          <cell r="AQ60">
            <v>-13.2</v>
          </cell>
          <cell r="AS60">
            <v>-13.4</v>
          </cell>
          <cell r="AU60">
            <v>131.61699999999999</v>
          </cell>
          <cell r="BA60">
            <v>-13.398999999999999</v>
          </cell>
          <cell r="BC60">
            <v>-13.458</v>
          </cell>
          <cell r="BE60">
            <v>-13</v>
          </cell>
          <cell r="BG60">
            <v>3.1890000000000001</v>
          </cell>
          <cell r="BI60">
            <v>-36.667999999999999</v>
          </cell>
          <cell r="BL60">
            <v>-11.256</v>
          </cell>
          <cell r="BN60">
            <v>-19.527000000000001</v>
          </cell>
          <cell r="BP60">
            <v>-13.507</v>
          </cell>
          <cell r="BR60">
            <v>-13</v>
          </cell>
          <cell r="BT60">
            <v>-57.8</v>
          </cell>
          <cell r="BW60">
            <v>-13</v>
          </cell>
          <cell r="BY60">
            <v>-13</v>
          </cell>
          <cell r="CA60">
            <v>-13</v>
          </cell>
          <cell r="CC60">
            <v>-13</v>
          </cell>
          <cell r="CE60">
            <v>-52</v>
          </cell>
        </row>
        <row r="61">
          <cell r="B61" t="str">
            <v>Tax Effect</v>
          </cell>
          <cell r="AG61">
            <v>15.600000000000001</v>
          </cell>
          <cell r="AI61">
            <v>222.709</v>
          </cell>
          <cell r="AK61">
            <v>20.585000000000001</v>
          </cell>
          <cell r="AM61">
            <v>21.203000000000003</v>
          </cell>
          <cell r="AO61">
            <v>280.09699999999998</v>
          </cell>
          <cell r="AQ61">
            <v>20.762</v>
          </cell>
          <cell r="AS61">
            <v>20.791999999999994</v>
          </cell>
          <cell r="AU61">
            <v>-37.300000000000011</v>
          </cell>
          <cell r="BA61">
            <v>20.643999999999998</v>
          </cell>
          <cell r="BC61">
            <v>20.666</v>
          </cell>
          <cell r="BE61">
            <v>15.739672569915893</v>
          </cell>
          <cell r="BG61">
            <v>11.244739080587301</v>
          </cell>
          <cell r="BI61">
            <v>68.294411650503207</v>
          </cell>
          <cell r="BL61">
            <v>18.295000000000002</v>
          </cell>
          <cell r="BN61">
            <v>15.038937664425283</v>
          </cell>
          <cell r="BP61">
            <v>16.28</v>
          </cell>
          <cell r="BR61">
            <v>14.972991096002374</v>
          </cell>
          <cell r="BT61">
            <v>72.2</v>
          </cell>
          <cell r="BW61">
            <v>43</v>
          </cell>
          <cell r="BY61">
            <v>13.356</v>
          </cell>
          <cell r="CA61">
            <v>13.356</v>
          </cell>
          <cell r="CC61">
            <v>13.356</v>
          </cell>
          <cell r="CE61">
            <v>83.067999999999998</v>
          </cell>
        </row>
        <row r="62">
          <cell r="B62" t="str">
            <v>Total Adjustments</v>
          </cell>
          <cell r="AG62">
            <v>-23.299999999999997</v>
          </cell>
          <cell r="AI62">
            <v>-334.19099999999997</v>
          </cell>
          <cell r="AK62">
            <v>-30.814999999999998</v>
          </cell>
          <cell r="AM62">
            <v>-31.196999999999996</v>
          </cell>
          <cell r="AO62">
            <v>-419.50300000000004</v>
          </cell>
          <cell r="AQ62">
            <v>-31.037999999999997</v>
          </cell>
          <cell r="AS62">
            <v>-31.208000000000006</v>
          </cell>
          <cell r="AU62">
            <v>55.716999999999985</v>
          </cell>
          <cell r="BA62">
            <v>-30.964000000000006</v>
          </cell>
          <cell r="BC62">
            <v>-31.001000000000001</v>
          </cell>
          <cell r="BE62">
            <v>-27.260327430084107</v>
          </cell>
          <cell r="BG62">
            <v>-20.100260919412698</v>
          </cell>
          <cell r="BI62">
            <v>-109.3255883494968</v>
          </cell>
          <cell r="BL62">
            <v>-27.442999999999998</v>
          </cell>
          <cell r="BN62">
            <v>-38.970062335574717</v>
          </cell>
          <cell r="BP62">
            <v>-24.417999999999999</v>
          </cell>
          <cell r="BR62">
            <v>-23.027008903997626</v>
          </cell>
          <cell r="BT62">
            <v>-108.3</v>
          </cell>
          <cell r="BW62">
            <v>4</v>
          </cell>
          <cell r="BY62">
            <v>-22.643999999999998</v>
          </cell>
          <cell r="CA62">
            <v>-22.643999999999998</v>
          </cell>
          <cell r="CC62">
            <v>-22.643999999999998</v>
          </cell>
          <cell r="CE62">
            <v>-63.932000000000002</v>
          </cell>
        </row>
        <row r="63">
          <cell r="B63" t="str">
            <v>GAAP Net Income</v>
          </cell>
          <cell r="AG63">
            <v>95.368606877725</v>
          </cell>
          <cell r="AI63">
            <v>-213.70215875700745</v>
          </cell>
          <cell r="AK63">
            <v>89.36400000000009</v>
          </cell>
          <cell r="AM63">
            <v>92.981111548929903</v>
          </cell>
          <cell r="AO63">
            <v>64.011559669647454</v>
          </cell>
          <cell r="AQ63">
            <v>151.49599999999992</v>
          </cell>
          <cell r="AS63">
            <v>132.28299999999993</v>
          </cell>
          <cell r="AU63">
            <v>199.53900000000016</v>
          </cell>
          <cell r="BA63">
            <v>176.58699999999993</v>
          </cell>
          <cell r="BC63">
            <v>170.77100000000027</v>
          </cell>
          <cell r="BE63">
            <v>232.34167256991597</v>
          </cell>
          <cell r="BG63">
            <v>205.30673908058725</v>
          </cell>
          <cell r="BI63">
            <v>785.04041165050285</v>
          </cell>
          <cell r="BL63">
            <v>284.19800000000032</v>
          </cell>
          <cell r="BN63">
            <v>289.60393766442536</v>
          </cell>
          <cell r="BP63">
            <v>359.40299999999979</v>
          </cell>
          <cell r="BR63">
            <v>340.25799109600246</v>
          </cell>
          <cell r="BT63">
            <v>1279.0210000000002</v>
          </cell>
          <cell r="BW63">
            <v>421</v>
          </cell>
          <cell r="BY63">
            <v>413.48972443999997</v>
          </cell>
          <cell r="CA63">
            <v>441.1564150000001</v>
          </cell>
          <cell r="CC63">
            <v>456.14189024000007</v>
          </cell>
          <cell r="CE63">
            <v>1731.7880296800001</v>
          </cell>
        </row>
        <row r="64">
          <cell r="B64" t="str">
            <v>GAAP EPS - Basic</v>
          </cell>
          <cell r="AG64">
            <v>9.0510887543277296E-2</v>
          </cell>
          <cell r="AI64">
            <v>-0.20548244980010372</v>
          </cell>
          <cell r="AK64">
            <v>8.658882806065607E-2</v>
          </cell>
          <cell r="AM64">
            <v>9.042110910786795E-2</v>
          </cell>
          <cell r="AO64">
            <v>6.1637973757217641E-2</v>
          </cell>
          <cell r="AQ64">
            <v>0.14797161214200172</v>
          </cell>
          <cell r="AS64">
            <v>0.12895367404354371</v>
          </cell>
          <cell r="AU64">
            <v>0.19171694850115312</v>
          </cell>
          <cell r="BA64">
            <v>0.1673496348552593</v>
          </cell>
          <cell r="BC64">
            <v>0.1610106928124051</v>
          </cell>
          <cell r="BE64">
            <v>0.22019985269245404</v>
          </cell>
          <cell r="BG64">
            <v>0.19558610944135205</v>
          </cell>
          <cell r="BI64">
            <v>0.74399777442438186</v>
          </cell>
          <cell r="BL64">
            <v>0.27148386751646902</v>
          </cell>
          <cell r="BN64">
            <v>0.27384057859800953</v>
          </cell>
          <cell r="BP64">
            <v>0.33888711306232</v>
          </cell>
          <cell r="BR64">
            <v>0.32260381966846535</v>
          </cell>
          <cell r="BT64">
            <v>1.2123973413008367</v>
          </cell>
          <cell r="BW64">
            <v>0.39943074003795065</v>
          </cell>
          <cell r="BY64">
            <v>0.39230524140417455</v>
          </cell>
          <cell r="CA64">
            <v>0.41855447343453517</v>
          </cell>
          <cell r="CC64">
            <v>0.43277219187855792</v>
          </cell>
          <cell r="CE64">
            <v>1.6430626467552183</v>
          </cell>
        </row>
        <row r="65">
          <cell r="B65" t="str">
            <v>GAAP EPS - Diluted</v>
          </cell>
          <cell r="AG65">
            <v>8.9138203038169134E-2</v>
          </cell>
          <cell r="AI65">
            <v>-0.20372804131052666</v>
          </cell>
          <cell r="AK65">
            <v>8.6021381170477668E-2</v>
          </cell>
          <cell r="AM65">
            <v>8.9581321245038217E-2</v>
          </cell>
          <cell r="AO65">
            <v>6.1026392646930203E-2</v>
          </cell>
          <cell r="AQ65">
            <v>0.1464391628291826</v>
          </cell>
          <cell r="AS65">
            <v>0.1264863820819484</v>
          </cell>
          <cell r="AU65">
            <v>0.18729021963581766</v>
          </cell>
          <cell r="BA65">
            <v>0.16326038157296219</v>
          </cell>
          <cell r="BC65">
            <v>0.15709046286083844</v>
          </cell>
          <cell r="BE65">
            <v>0.21571180257407294</v>
          </cell>
          <cell r="BG65">
            <v>0.19174858045385598</v>
          </cell>
          <cell r="BI65">
            <v>0.72742203933668348</v>
          </cell>
          <cell r="BL65">
            <v>0.26633466751509538</v>
          </cell>
          <cell r="BN65">
            <v>0.26720149695797207</v>
          </cell>
          <cell r="BP65">
            <v>0.3306484851384221</v>
          </cell>
          <cell r="BR65">
            <v>0.31500936080848108</v>
          </cell>
          <cell r="BT65">
            <v>1.183238987223264</v>
          </cell>
          <cell r="BW65">
            <v>0.39162790697674421</v>
          </cell>
          <cell r="BY65">
            <v>0.38464160413023252</v>
          </cell>
          <cell r="CA65">
            <v>0.41037806046511638</v>
          </cell>
          <cell r="CC65">
            <v>0.42431803743255819</v>
          </cell>
          <cell r="CE65">
            <v>1.6109656090046514</v>
          </cell>
        </row>
      </sheetData>
      <sheetData sheetId="6" refreshError="1"/>
      <sheetData sheetId="7" refreshError="1">
        <row r="1">
          <cell r="B1" t="str">
            <v>Genentech Annual Income Statement</v>
          </cell>
          <cell r="AB1" t="str">
            <v>ElementName</v>
          </cell>
          <cell r="AC1" t="str">
            <v>ScaleOverride</v>
          </cell>
          <cell r="AD1" t="str">
            <v>UnitOverride</v>
          </cell>
          <cell r="AE1" t="str">
            <v>ReverseSign</v>
          </cell>
          <cell r="AF1" t="str">
            <v>IsDrivingAssumption</v>
          </cell>
          <cell r="AG1" t="str">
            <v>SegmentID</v>
          </cell>
        </row>
        <row r="2">
          <cell r="B2" t="str">
            <v>(Dollars in thousands except per-share data)</v>
          </cell>
        </row>
        <row r="3">
          <cell r="C3" t="str">
            <v>1999</v>
          </cell>
          <cell r="D3" t="str">
            <v>2000</v>
          </cell>
          <cell r="E3" t="str">
            <v>2001A</v>
          </cell>
          <cell r="F3" t="str">
            <v>2002A</v>
          </cell>
          <cell r="H3" t="str">
            <v>2003A</v>
          </cell>
          <cell r="I3" t="str">
            <v>% chg</v>
          </cell>
          <cell r="J3" t="str">
            <v>2004A</v>
          </cell>
          <cell r="K3" t="str">
            <v>% chg</v>
          </cell>
          <cell r="L3" t="str">
            <v>2005A</v>
          </cell>
          <cell r="M3" t="str">
            <v>% chg</v>
          </cell>
          <cell r="N3" t="str">
            <v>2006E</v>
          </cell>
          <cell r="O3" t="str">
            <v>% chg</v>
          </cell>
          <cell r="P3" t="str">
            <v>2007E</v>
          </cell>
          <cell r="Q3" t="str">
            <v>% chg</v>
          </cell>
          <cell r="R3" t="str">
            <v>2008E</v>
          </cell>
          <cell r="S3" t="str">
            <v>% chg</v>
          </cell>
          <cell r="T3" t="str">
            <v>2009E</v>
          </cell>
          <cell r="U3" t="str">
            <v>% chg</v>
          </cell>
          <cell r="V3" t="str">
            <v>2010E</v>
          </cell>
          <cell r="W3" t="str">
            <v>% chg</v>
          </cell>
        </row>
        <row r="4">
          <cell r="B4" t="str">
            <v>Rituxan - US</v>
          </cell>
          <cell r="C4">
            <v>262.7</v>
          </cell>
          <cell r="D4">
            <v>424.2</v>
          </cell>
          <cell r="E4">
            <v>779</v>
          </cell>
          <cell r="F4">
            <v>1080.2</v>
          </cell>
          <cell r="H4">
            <v>1360.2</v>
          </cell>
          <cell r="I4">
            <v>0.25921125717459725</v>
          </cell>
          <cell r="J4">
            <v>1574</v>
          </cell>
          <cell r="K4">
            <v>0.15718276724011182</v>
          </cell>
          <cell r="L4">
            <v>1831.481</v>
          </cell>
          <cell r="M4">
            <v>0.1635838627700128</v>
          </cell>
          <cell r="N4">
            <v>2097</v>
          </cell>
          <cell r="O4">
            <v>0.14497502294591103</v>
          </cell>
          <cell r="P4">
            <v>2430.2807564833265</v>
          </cell>
          <cell r="Q4">
            <v>0.15893216808933075</v>
          </cell>
          <cell r="R4">
            <v>2695.0166005063993</v>
          </cell>
          <cell r="S4">
            <v>0.10893220600822762</v>
          </cell>
          <cell r="T4">
            <v>2950.119381396431</v>
          </cell>
          <cell r="U4">
            <v>9.465722060565307E-2</v>
          </cell>
          <cell r="V4">
            <v>3220</v>
          </cell>
          <cell r="W4">
            <v>9.1481253370777837E-2</v>
          </cell>
        </row>
        <row r="5">
          <cell r="B5" t="str">
            <v>Rituxan - Ex-US</v>
          </cell>
          <cell r="F5">
            <v>449.90000000000015</v>
          </cell>
          <cell r="H5">
            <v>649.59999999999991</v>
          </cell>
          <cell r="I5">
            <v>0.44387641698155078</v>
          </cell>
          <cell r="J5">
            <v>1149</v>
          </cell>
          <cell r="K5">
            <v>0.76878078817734008</v>
          </cell>
          <cell r="L5">
            <v>1411</v>
          </cell>
          <cell r="M5">
            <v>0.22802436901653622</v>
          </cell>
          <cell r="N5">
            <v>1865</v>
          </cell>
          <cell r="O5">
            <v>0.15</v>
          </cell>
          <cell r="P5">
            <v>2144.75</v>
          </cell>
          <cell r="Q5">
            <v>0.15</v>
          </cell>
          <cell r="R5">
            <v>2316.33</v>
          </cell>
          <cell r="S5">
            <v>0.08</v>
          </cell>
          <cell r="T5">
            <v>2478.4731000000002</v>
          </cell>
          <cell r="U5">
            <v>7.0000000000000007E-2</v>
          </cell>
          <cell r="V5">
            <v>2627.1814860000004</v>
          </cell>
          <cell r="W5">
            <v>0.06</v>
          </cell>
        </row>
        <row r="6">
          <cell r="B6" t="str">
            <v xml:space="preserve">Rituxan - Transfer to Roche </v>
          </cell>
          <cell r="C6">
            <v>16.7</v>
          </cell>
          <cell r="D6">
            <v>19.899999999999999</v>
          </cell>
          <cell r="E6">
            <v>39.6</v>
          </cell>
          <cell r="F6">
            <v>82.7</v>
          </cell>
          <cell r="H6">
            <v>128.9</v>
          </cell>
          <cell r="I6">
            <v>0.55864570737605801</v>
          </cell>
          <cell r="J6">
            <v>137.19999999999999</v>
          </cell>
          <cell r="K6">
            <v>6.4391000775795071E-2</v>
          </cell>
          <cell r="L6">
            <v>157.94999999999999</v>
          </cell>
          <cell r="M6">
            <v>0.12</v>
          </cell>
          <cell r="N6">
            <v>260</v>
          </cell>
          <cell r="O6">
            <v>0.12</v>
          </cell>
          <cell r="P6">
            <v>280.8</v>
          </cell>
          <cell r="Q6">
            <v>0.08</v>
          </cell>
          <cell r="R6">
            <v>238.68</v>
          </cell>
          <cell r="S6">
            <v>-0.15</v>
          </cell>
          <cell r="T6">
            <v>159.91559999999998</v>
          </cell>
          <cell r="U6">
            <v>-0.33</v>
          </cell>
          <cell r="V6">
            <v>79.957799999999992</v>
          </cell>
          <cell r="W6">
            <v>-0.5</v>
          </cell>
        </row>
        <row r="7">
          <cell r="B7" t="str">
            <v>Rituxan - US &amp; Sales to Roche</v>
          </cell>
          <cell r="C7">
            <v>279.39999999999998</v>
          </cell>
          <cell r="D7">
            <v>444.09999999999997</v>
          </cell>
          <cell r="E7">
            <v>818.6</v>
          </cell>
          <cell r="F7">
            <v>1162.9000000000001</v>
          </cell>
          <cell r="H7">
            <v>1489.1000000000001</v>
          </cell>
          <cell r="I7">
            <v>0.28050563247054772</v>
          </cell>
          <cell r="J7">
            <v>1711.2</v>
          </cell>
          <cell r="K7">
            <v>0.14915049358673027</v>
          </cell>
          <cell r="L7">
            <v>1989.431</v>
          </cell>
          <cell r="M7">
            <v>0.16259408602150538</v>
          </cell>
          <cell r="N7">
            <v>2357</v>
          </cell>
          <cell r="O7">
            <v>0.18476086881123299</v>
          </cell>
          <cell r="P7">
            <v>2711.0807564833267</v>
          </cell>
          <cell r="Q7">
            <v>0.15022518306462729</v>
          </cell>
          <cell r="R7">
            <v>2933.6966005063991</v>
          </cell>
          <cell r="S7">
            <v>8.2113320855789595E-2</v>
          </cell>
          <cell r="T7">
            <v>3110.0349813964308</v>
          </cell>
          <cell r="U7">
            <v>6.0107913292599235E-2</v>
          </cell>
          <cell r="V7">
            <v>3299.9578000000001</v>
          </cell>
          <cell r="W7">
            <v>6.1067743526888707E-2</v>
          </cell>
        </row>
        <row r="8">
          <cell r="B8" t="str">
            <v>Avastin - US</v>
          </cell>
          <cell r="E8">
            <v>0</v>
          </cell>
          <cell r="F8">
            <v>0</v>
          </cell>
          <cell r="H8">
            <v>0</v>
          </cell>
          <cell r="J8">
            <v>552.34</v>
          </cell>
          <cell r="K8" t="str">
            <v>NM</v>
          </cell>
          <cell r="L8">
            <v>1132.721</v>
          </cell>
          <cell r="M8">
            <v>1.0507676431183688</v>
          </cell>
          <cell r="N8">
            <v>1876</v>
          </cell>
          <cell r="O8">
            <v>0.6561889467927231</v>
          </cell>
          <cell r="P8">
            <v>2817.9611602894643</v>
          </cell>
          <cell r="Q8">
            <v>0.50211149269161215</v>
          </cell>
          <cell r="R8">
            <v>3802.1294573955038</v>
          </cell>
          <cell r="S8">
            <v>0.34924835408481814</v>
          </cell>
          <cell r="T8">
            <v>4624.6783247655285</v>
          </cell>
          <cell r="U8">
            <v>0.21633899544637769</v>
          </cell>
          <cell r="V8">
            <v>5307.1770570587933</v>
          </cell>
          <cell r="W8">
            <v>0.14757755769486258</v>
          </cell>
        </row>
        <row r="9">
          <cell r="B9" t="str">
            <v>Avastin - Ex-US</v>
          </cell>
          <cell r="F9">
            <v>0</v>
          </cell>
          <cell r="H9">
            <v>0</v>
          </cell>
          <cell r="J9">
            <v>10</v>
          </cell>
          <cell r="K9" t="str">
            <v>NM</v>
          </cell>
          <cell r="L9">
            <v>200</v>
          </cell>
          <cell r="M9" t="str">
            <v>NM</v>
          </cell>
          <cell r="N9">
            <v>565</v>
          </cell>
          <cell r="O9">
            <v>1.8250000000000002</v>
          </cell>
          <cell r="P9">
            <v>1000</v>
          </cell>
          <cell r="Q9">
            <v>0.76991150442477885</v>
          </cell>
          <cell r="R9">
            <v>1850</v>
          </cell>
          <cell r="S9">
            <v>0.85000000000000009</v>
          </cell>
          <cell r="T9">
            <v>2500</v>
          </cell>
          <cell r="U9">
            <v>0.35135135135135132</v>
          </cell>
          <cell r="V9">
            <v>2900</v>
          </cell>
          <cell r="W9">
            <v>0.15999999999999992</v>
          </cell>
        </row>
        <row r="10">
          <cell r="B10" t="str">
            <v xml:space="preserve">Avastin - Transfer to Roche </v>
          </cell>
          <cell r="J10">
            <v>2.16</v>
          </cell>
          <cell r="K10" t="str">
            <v>NM</v>
          </cell>
          <cell r="L10">
            <v>84.031999999999996</v>
          </cell>
          <cell r="M10" t="str">
            <v>NM</v>
          </cell>
          <cell r="N10">
            <v>117.35999999999999</v>
          </cell>
          <cell r="O10">
            <v>0.3966108149276466</v>
          </cell>
          <cell r="P10">
            <v>108</v>
          </cell>
          <cell r="Q10">
            <v>-7.9754601226993738E-2</v>
          </cell>
          <cell r="R10">
            <v>79.92</v>
          </cell>
          <cell r="S10">
            <v>-0.26</v>
          </cell>
          <cell r="T10">
            <v>54</v>
          </cell>
          <cell r="U10">
            <v>-0.32432432432432434</v>
          </cell>
          <cell r="V10">
            <v>31.32</v>
          </cell>
          <cell r="W10">
            <v>-0.42000000000000004</v>
          </cell>
        </row>
        <row r="11">
          <cell r="B11" t="str">
            <v>Avastin -  US &amp; Sales to Roche</v>
          </cell>
          <cell r="F11">
            <v>0</v>
          </cell>
          <cell r="H11">
            <v>0</v>
          </cell>
          <cell r="I11" t="str">
            <v>NM</v>
          </cell>
          <cell r="J11">
            <v>554.5</v>
          </cell>
          <cell r="K11" t="str">
            <v>NM</v>
          </cell>
          <cell r="L11">
            <v>1216.7529999999999</v>
          </cell>
          <cell r="M11" t="str">
            <v>NM</v>
          </cell>
          <cell r="N11">
            <v>1993.36</v>
          </cell>
          <cell r="O11">
            <v>0.63826183292747163</v>
          </cell>
          <cell r="P11">
            <v>2925.9611602894643</v>
          </cell>
          <cell r="Q11">
            <v>0.46785385494314347</v>
          </cell>
          <cell r="R11">
            <v>3882.0494573955039</v>
          </cell>
          <cell r="S11">
            <v>0.32676041981755288</v>
          </cell>
          <cell r="T11">
            <v>4678.6783247655285</v>
          </cell>
          <cell r="U11">
            <v>0.20520832516762644</v>
          </cell>
          <cell r="V11">
            <v>5338.497057058793</v>
          </cell>
          <cell r="W11">
            <v>0.14102673586270353</v>
          </cell>
        </row>
        <row r="12">
          <cell r="B12" t="str">
            <v>Herceptin - US</v>
          </cell>
          <cell r="C12">
            <v>183.7</v>
          </cell>
          <cell r="D12">
            <v>249.7</v>
          </cell>
          <cell r="E12">
            <v>315.39999999999998</v>
          </cell>
          <cell r="F12">
            <v>344.9</v>
          </cell>
          <cell r="H12">
            <v>406</v>
          </cell>
          <cell r="I12">
            <v>0.17715279791243854</v>
          </cell>
          <cell r="J12">
            <v>466.4</v>
          </cell>
          <cell r="K12">
            <v>0.14876847290640383</v>
          </cell>
          <cell r="L12">
            <v>747.24699999999996</v>
          </cell>
          <cell r="M12">
            <v>0.60215909090909081</v>
          </cell>
          <cell r="N12">
            <v>1375</v>
          </cell>
          <cell r="O12">
            <v>0.84008768185084737</v>
          </cell>
          <cell r="P12">
            <v>1566.9607618585742</v>
          </cell>
          <cell r="Q12">
            <v>0.13960782680623574</v>
          </cell>
          <cell r="R12">
            <v>1676.8953104490511</v>
          </cell>
          <cell r="S12">
            <v>7.0157818412812878E-2</v>
          </cell>
          <cell r="T12">
            <v>1772.633441089682</v>
          </cell>
          <cell r="U12">
            <v>5.7092491131717438E-2</v>
          </cell>
          <cell r="V12">
            <v>1873.880898727371</v>
          </cell>
          <cell r="W12">
            <v>5.7116973701821561E-2</v>
          </cell>
        </row>
        <row r="13">
          <cell r="B13" t="str">
            <v>Herceptin - Ex-US</v>
          </cell>
          <cell r="F13">
            <v>315.84000000000003</v>
          </cell>
          <cell r="H13">
            <v>445.79999999999995</v>
          </cell>
          <cell r="I13">
            <v>0.41147416413373827</v>
          </cell>
          <cell r="J13">
            <v>590.14</v>
          </cell>
          <cell r="K13">
            <v>0.32377747868999562</v>
          </cell>
          <cell r="L13">
            <v>948</v>
          </cell>
          <cell r="M13">
            <v>0.60639848171620292</v>
          </cell>
          <cell r="N13">
            <v>1175</v>
          </cell>
          <cell r="O13">
            <v>0.2</v>
          </cell>
          <cell r="P13">
            <v>1468.75</v>
          </cell>
          <cell r="Q13">
            <v>0.25</v>
          </cell>
          <cell r="R13">
            <v>1586.25</v>
          </cell>
          <cell r="S13">
            <v>0.08</v>
          </cell>
          <cell r="T13">
            <v>1665.5625</v>
          </cell>
          <cell r="U13">
            <v>0.05</v>
          </cell>
          <cell r="V13">
            <v>1732.1849999999999</v>
          </cell>
          <cell r="W13">
            <v>0.04</v>
          </cell>
        </row>
        <row r="14">
          <cell r="B14" t="str">
            <v xml:space="preserve">Herceptin - Transfer to Roche </v>
          </cell>
          <cell r="C14">
            <v>4.7</v>
          </cell>
          <cell r="D14">
            <v>26.3</v>
          </cell>
          <cell r="E14">
            <v>31.3</v>
          </cell>
          <cell r="F14">
            <v>40.299999999999997</v>
          </cell>
          <cell r="H14">
            <v>18.8</v>
          </cell>
          <cell r="I14">
            <v>-0.53349875930521085</v>
          </cell>
          <cell r="J14">
            <v>15.875</v>
          </cell>
          <cell r="K14">
            <v>-0.15558510638297873</v>
          </cell>
          <cell r="L14">
            <v>16.621000000000002</v>
          </cell>
          <cell r="M14">
            <v>4.6992125984252064E-2</v>
          </cell>
          <cell r="N14">
            <v>5</v>
          </cell>
          <cell r="P14">
            <v>14.6875</v>
          </cell>
          <cell r="R14">
            <v>0</v>
          </cell>
          <cell r="T14">
            <v>0</v>
          </cell>
          <cell r="V14">
            <v>0</v>
          </cell>
        </row>
        <row r="15">
          <cell r="B15" t="str">
            <v>Herceptin- US &amp; Sales to Roche</v>
          </cell>
          <cell r="C15">
            <v>188.39999999999998</v>
          </cell>
          <cell r="D15">
            <v>276</v>
          </cell>
          <cell r="E15">
            <v>346.7</v>
          </cell>
          <cell r="F15">
            <v>385.2</v>
          </cell>
          <cell r="H15">
            <v>424.8</v>
          </cell>
          <cell r="I15">
            <v>0.10280373831775713</v>
          </cell>
          <cell r="J15">
            <v>482.27499999999998</v>
          </cell>
          <cell r="K15">
            <v>0.13529896421845566</v>
          </cell>
          <cell r="L15">
            <v>763.86799999999994</v>
          </cell>
          <cell r="M15">
            <v>0.58388471307863776</v>
          </cell>
          <cell r="N15">
            <v>1380</v>
          </cell>
          <cell r="O15">
            <v>0.8065948567029908</v>
          </cell>
          <cell r="P15">
            <v>1581.6482618585742</v>
          </cell>
          <cell r="Q15">
            <v>0.14612192888302467</v>
          </cell>
          <cell r="R15">
            <v>1676.8953104490511</v>
          </cell>
          <cell r="S15">
            <v>6.0220120293088097E-2</v>
          </cell>
          <cell r="T15">
            <v>1772.633441089682</v>
          </cell>
          <cell r="U15">
            <v>5.7092491131717438E-2</v>
          </cell>
          <cell r="V15">
            <v>1873.880898727371</v>
          </cell>
          <cell r="W15">
            <v>5.7116973701821561E-2</v>
          </cell>
        </row>
        <row r="16">
          <cell r="B16" t="str">
            <v>Xolair - US &amp; Sales to Novartis</v>
          </cell>
          <cell r="E16">
            <v>0</v>
          </cell>
          <cell r="F16">
            <v>0</v>
          </cell>
          <cell r="H16">
            <v>25.3</v>
          </cell>
          <cell r="I16" t="str">
            <v>NM</v>
          </cell>
          <cell r="J16">
            <v>188.5</v>
          </cell>
          <cell r="K16" t="str">
            <v>NM</v>
          </cell>
          <cell r="L16">
            <v>323.79700000000003</v>
          </cell>
          <cell r="M16">
            <v>0.71775596816976139</v>
          </cell>
          <cell r="N16">
            <v>423</v>
          </cell>
          <cell r="O16">
            <v>0.30637405534949358</v>
          </cell>
          <cell r="P16">
            <v>496.67639851943272</v>
          </cell>
          <cell r="Q16">
            <v>0.17417588302466358</v>
          </cell>
          <cell r="R16">
            <v>549.18117450569844</v>
          </cell>
          <cell r="S16">
            <v>0.10571224270527013</v>
          </cell>
          <cell r="T16">
            <v>609.0179751523707</v>
          </cell>
          <cell r="U16">
            <v>0.10895639440031712</v>
          </cell>
          <cell r="V16">
            <v>656.42413544863268</v>
          </cell>
          <cell r="W16">
            <v>7.7840330220797505E-2</v>
          </cell>
        </row>
        <row r="17">
          <cell r="B17" t="str">
            <v>Raptiva -US &amp; Sales to Serono</v>
          </cell>
          <cell r="E17">
            <v>0</v>
          </cell>
          <cell r="F17">
            <v>0</v>
          </cell>
          <cell r="H17">
            <v>1.4</v>
          </cell>
          <cell r="I17" t="str">
            <v>NM</v>
          </cell>
          <cell r="J17">
            <v>56.300000000000004</v>
          </cell>
          <cell r="K17" t="str">
            <v>NM</v>
          </cell>
          <cell r="L17">
            <v>86.754999999999995</v>
          </cell>
          <cell r="M17">
            <v>0.54094138543516856</v>
          </cell>
          <cell r="N17">
            <v>93</v>
          </cell>
          <cell r="O17">
            <v>7.1984323670105432E-2</v>
          </cell>
          <cell r="P17">
            <v>114.74883545485645</v>
          </cell>
          <cell r="Q17">
            <v>0.23385844575114456</v>
          </cell>
          <cell r="R17">
            <v>111.02507700089812</v>
          </cell>
          <cell r="S17">
            <v>-3.2451383399209277E-2</v>
          </cell>
          <cell r="T17">
            <v>116.64294589714356</v>
          </cell>
          <cell r="U17">
            <v>5.0599999999999978E-2</v>
          </cell>
          <cell r="V17">
            <v>122.54507895953904</v>
          </cell>
          <cell r="W17">
            <v>5.06000000000002E-2</v>
          </cell>
        </row>
        <row r="18">
          <cell r="B18" t="str">
            <v>Tarceva -US</v>
          </cell>
          <cell r="E18">
            <v>0</v>
          </cell>
          <cell r="F18">
            <v>0</v>
          </cell>
          <cell r="H18">
            <v>0</v>
          </cell>
          <cell r="I18" t="str">
            <v>NM</v>
          </cell>
          <cell r="J18">
            <v>13.3</v>
          </cell>
          <cell r="K18" t="str">
            <v>NM</v>
          </cell>
          <cell r="L18">
            <v>274.89600000000002</v>
          </cell>
          <cell r="M18" t="str">
            <v>NM</v>
          </cell>
          <cell r="N18">
            <v>424</v>
          </cell>
          <cell r="O18">
            <v>0.54240149001804316</v>
          </cell>
          <cell r="P18">
            <v>557.72266843795683</v>
          </cell>
          <cell r="Q18">
            <v>0.31538365197631335</v>
          </cell>
          <cell r="R18">
            <v>627.16500409829609</v>
          </cell>
          <cell r="S18">
            <v>0.12451051318181139</v>
          </cell>
          <cell r="T18">
            <v>709.46249058838214</v>
          </cell>
          <cell r="U18">
            <v>0.13122142650227886</v>
          </cell>
          <cell r="V18">
            <v>774.76330842001289</v>
          </cell>
          <cell r="W18">
            <v>9.2042664267528052E-2</v>
          </cell>
        </row>
        <row r="19">
          <cell r="B19" t="str">
            <v>Lucentis - US</v>
          </cell>
          <cell r="E19">
            <v>0</v>
          </cell>
          <cell r="F19">
            <v>0</v>
          </cell>
          <cell r="H19">
            <v>0</v>
          </cell>
          <cell r="I19" t="str">
            <v>NM</v>
          </cell>
          <cell r="J19">
            <v>0</v>
          </cell>
          <cell r="K19" t="str">
            <v>NM</v>
          </cell>
          <cell r="L19">
            <v>0</v>
          </cell>
          <cell r="M19" t="str">
            <v>NM</v>
          </cell>
          <cell r="N19">
            <v>135</v>
          </cell>
          <cell r="O19" t="str">
            <v>NM</v>
          </cell>
          <cell r="P19">
            <v>450</v>
          </cell>
          <cell r="Q19">
            <v>2.3333333333333335</v>
          </cell>
          <cell r="R19">
            <v>550</v>
          </cell>
          <cell r="S19">
            <v>0.22222222222222232</v>
          </cell>
          <cell r="T19">
            <v>600</v>
          </cell>
          <cell r="U19">
            <v>9.0909090909090828E-2</v>
          </cell>
          <cell r="V19">
            <v>650</v>
          </cell>
          <cell r="W19">
            <v>8.3333333333333259E-2</v>
          </cell>
        </row>
        <row r="20">
          <cell r="B20" t="str">
            <v>Lucentis - Ex-US</v>
          </cell>
          <cell r="F20">
            <v>0</v>
          </cell>
          <cell r="H20">
            <v>0</v>
          </cell>
          <cell r="I20" t="str">
            <v>NM</v>
          </cell>
          <cell r="J20">
            <v>0</v>
          </cell>
          <cell r="K20" t="str">
            <v>NM</v>
          </cell>
          <cell r="L20">
            <v>0</v>
          </cell>
          <cell r="M20" t="str">
            <v>NM</v>
          </cell>
          <cell r="N20">
            <v>0</v>
          </cell>
          <cell r="O20" t="str">
            <v>NM</v>
          </cell>
          <cell r="P20">
            <v>100</v>
          </cell>
          <cell r="Q20" t="str">
            <v>NM</v>
          </cell>
          <cell r="R20">
            <v>300</v>
          </cell>
          <cell r="S20">
            <v>2</v>
          </cell>
          <cell r="T20">
            <v>450</v>
          </cell>
          <cell r="U20">
            <v>0.5</v>
          </cell>
          <cell r="V20">
            <v>550</v>
          </cell>
          <cell r="W20">
            <v>0.22222222222222232</v>
          </cell>
        </row>
        <row r="21">
          <cell r="B21" t="str">
            <v>Growth Hormone Products</v>
          </cell>
          <cell r="C21">
            <v>221.20000000099998</v>
          </cell>
          <cell r="D21">
            <v>226.6</v>
          </cell>
          <cell r="E21">
            <v>250.229999999</v>
          </cell>
          <cell r="F21">
            <v>297.2</v>
          </cell>
          <cell r="H21">
            <v>321.89999999999998</v>
          </cell>
          <cell r="I21">
            <v>8.3109017496635129E-2</v>
          </cell>
          <cell r="J21">
            <v>353.6</v>
          </cell>
          <cell r="K21">
            <v>9.8477788132960598E-2</v>
          </cell>
          <cell r="L21">
            <v>372.68</v>
          </cell>
          <cell r="M21">
            <v>0.05</v>
          </cell>
          <cell r="N21">
            <v>378</v>
          </cell>
          <cell r="O21">
            <v>0.03</v>
          </cell>
          <cell r="P21">
            <v>378</v>
          </cell>
          <cell r="Q21">
            <v>0</v>
          </cell>
          <cell r="R21">
            <v>366.65999999999997</v>
          </cell>
          <cell r="S21">
            <v>-0.03</v>
          </cell>
          <cell r="T21">
            <v>348.32699999999994</v>
          </cell>
          <cell r="U21">
            <v>-0.05</v>
          </cell>
          <cell r="V21">
            <v>330.91064999999992</v>
          </cell>
          <cell r="W21">
            <v>-0.05</v>
          </cell>
        </row>
        <row r="22">
          <cell r="B22" t="str">
            <v>Thrombolytics</v>
          </cell>
          <cell r="C22">
            <v>236.00000000099999</v>
          </cell>
          <cell r="D22">
            <v>206.2</v>
          </cell>
          <cell r="E22">
            <v>197.10559324899998</v>
          </cell>
          <cell r="F22">
            <v>180.2</v>
          </cell>
          <cell r="H22">
            <v>185.2</v>
          </cell>
          <cell r="I22">
            <v>2.7746947835738167E-2</v>
          </cell>
          <cell r="J22">
            <v>200</v>
          </cell>
          <cell r="K22">
            <v>7.9913606911447221E-2</v>
          </cell>
          <cell r="L22">
            <v>221.46200000000002</v>
          </cell>
          <cell r="M22">
            <v>0.01</v>
          </cell>
          <cell r="N22">
            <v>239</v>
          </cell>
          <cell r="O22">
            <v>0.01</v>
          </cell>
          <cell r="P22">
            <v>241.39000000000001</v>
          </cell>
          <cell r="Q22">
            <v>0.01</v>
          </cell>
          <cell r="R22">
            <v>243.80390000000003</v>
          </cell>
          <cell r="S22">
            <v>0.01</v>
          </cell>
          <cell r="T22">
            <v>246.24193900000003</v>
          </cell>
          <cell r="U22">
            <v>0.01</v>
          </cell>
          <cell r="V22">
            <v>248.70435839000004</v>
          </cell>
          <cell r="W22">
            <v>0.01</v>
          </cell>
        </row>
        <row r="23">
          <cell r="B23" t="str">
            <v>Pulmozyme</v>
          </cell>
          <cell r="C23">
            <v>111.399999998</v>
          </cell>
          <cell r="D23">
            <v>121.80000000099999</v>
          </cell>
          <cell r="E23">
            <v>122.87749999900001</v>
          </cell>
          <cell r="F23">
            <v>138.1</v>
          </cell>
          <cell r="H23">
            <v>167.2</v>
          </cell>
          <cell r="I23">
            <v>0.21071687183200583</v>
          </cell>
          <cell r="J23">
            <v>177.70000000000002</v>
          </cell>
          <cell r="K23">
            <v>6.2799043062201187E-2</v>
          </cell>
          <cell r="L23">
            <v>194.24699999999999</v>
          </cell>
          <cell r="M23">
            <v>0.05</v>
          </cell>
          <cell r="N23">
            <v>205</v>
          </cell>
          <cell r="O23">
            <v>0.04</v>
          </cell>
          <cell r="P23">
            <v>211.15</v>
          </cell>
          <cell r="Q23">
            <v>0.03</v>
          </cell>
          <cell r="R23">
            <v>215.37300000000002</v>
          </cell>
          <cell r="S23">
            <v>0.02</v>
          </cell>
          <cell r="T23">
            <v>219.68046000000001</v>
          </cell>
          <cell r="U23">
            <v>0.02</v>
          </cell>
          <cell r="V23">
            <v>224.07406920000003</v>
          </cell>
          <cell r="W23">
            <v>0.02</v>
          </cell>
        </row>
        <row r="24">
          <cell r="B24" t="str">
            <v>Actimmune</v>
          </cell>
          <cell r="C24">
            <v>2.7</v>
          </cell>
          <cell r="D24">
            <v>3.7</v>
          </cell>
          <cell r="E24">
            <v>6.9</v>
          </cell>
          <cell r="F24">
            <v>0</v>
          </cell>
          <cell r="H24">
            <v>0</v>
          </cell>
          <cell r="I24" t="str">
            <v>NM</v>
          </cell>
          <cell r="J24">
            <v>0</v>
          </cell>
          <cell r="K24" t="str">
            <v>NM</v>
          </cell>
          <cell r="L24">
            <v>0</v>
          </cell>
          <cell r="N24">
            <v>0</v>
          </cell>
          <cell r="P24">
            <v>0</v>
          </cell>
          <cell r="R24">
            <v>0</v>
          </cell>
          <cell r="T24">
            <v>0</v>
          </cell>
          <cell r="V24">
            <v>0</v>
          </cell>
        </row>
        <row r="25">
          <cell r="B25" t="str">
            <v>Other</v>
          </cell>
          <cell r="E25">
            <v>0</v>
          </cell>
          <cell r="F25">
            <v>0</v>
          </cell>
          <cell r="H25">
            <v>6.622000000000094</v>
          </cell>
          <cell r="J25">
            <v>10.6</v>
          </cell>
          <cell r="K25" t="str">
            <v>NM</v>
          </cell>
          <cell r="L25">
            <v>44.195999999999998</v>
          </cell>
          <cell r="M25">
            <v>0</v>
          </cell>
          <cell r="N25">
            <v>20</v>
          </cell>
          <cell r="O25">
            <v>0</v>
          </cell>
          <cell r="P25">
            <v>20</v>
          </cell>
          <cell r="Q25">
            <v>0</v>
          </cell>
          <cell r="R25">
            <v>0</v>
          </cell>
          <cell r="S25">
            <v>0</v>
          </cell>
          <cell r="T25">
            <v>50</v>
          </cell>
          <cell r="U25">
            <v>0</v>
          </cell>
          <cell r="V25">
            <v>100</v>
          </cell>
          <cell r="W25">
            <v>0</v>
          </cell>
        </row>
        <row r="26">
          <cell r="B26" t="str">
            <v>Total Product Sales</v>
          </cell>
          <cell r="C26">
            <v>1039.1000000000001</v>
          </cell>
          <cell r="D26">
            <v>1278.4000000009999</v>
          </cell>
          <cell r="E26">
            <v>1742.8969999999999</v>
          </cell>
          <cell r="F26">
            <v>2163.6285596696475</v>
          </cell>
          <cell r="H26">
            <v>2621.5219999999999</v>
          </cell>
          <cell r="I26">
            <v>0.21163218533234085</v>
          </cell>
          <cell r="J26">
            <v>3748.9</v>
          </cell>
          <cell r="K26">
            <v>0.43004712529591593</v>
          </cell>
          <cell r="L26">
            <v>5488.0850000000009</v>
          </cell>
          <cell r="M26">
            <v>0.46391874949985357</v>
          </cell>
          <cell r="N26">
            <v>7647.36</v>
          </cell>
          <cell r="O26">
            <v>0.39344780556423564</v>
          </cell>
          <cell r="P26">
            <v>9688.378081043611</v>
          </cell>
          <cell r="Q26">
            <v>0.26689185301118434</v>
          </cell>
          <cell r="R26">
            <v>11155.849523955847</v>
          </cell>
          <cell r="S26">
            <v>0.15146719405836429</v>
          </cell>
          <cell r="T26">
            <v>12460.719557889535</v>
          </cell>
          <cell r="U26">
            <v>0.11696733907459378</v>
          </cell>
          <cell r="V26">
            <v>13619.757356204351</v>
          </cell>
          <cell r="W26">
            <v>9.3015318491857624E-2</v>
          </cell>
        </row>
        <row r="27">
          <cell r="B27" t="str">
            <v>Royalties</v>
          </cell>
          <cell r="C27">
            <v>189.27</v>
          </cell>
          <cell r="D27">
            <v>207.24100000000001</v>
          </cell>
          <cell r="E27">
            <v>264.47500000000002</v>
          </cell>
          <cell r="F27">
            <v>365.55</v>
          </cell>
          <cell r="H27">
            <v>500.86800000000005</v>
          </cell>
          <cell r="I27">
            <v>0.37017644645055414</v>
          </cell>
          <cell r="J27">
            <v>641.1</v>
          </cell>
          <cell r="K27">
            <v>0.27997795826445282</v>
          </cell>
          <cell r="L27">
            <v>935.09699999999998</v>
          </cell>
          <cell r="M27">
            <v>0.45858212447356106</v>
          </cell>
          <cell r="N27">
            <v>1258</v>
          </cell>
          <cell r="O27">
            <v>0.34531497801832334</v>
          </cell>
          <cell r="P27">
            <v>1354.247040639616</v>
          </cell>
          <cell r="Q27">
            <v>7.6507981430537386E-2</v>
          </cell>
          <cell r="R27">
            <v>1688.1867871459806</v>
          </cell>
          <cell r="S27">
            <v>0.24658702325732507</v>
          </cell>
          <cell r="T27">
            <v>1891.1844200255673</v>
          </cell>
          <cell r="U27">
            <v>0.12024595526113013</v>
          </cell>
          <cell r="V27">
            <v>1947.6307931733611</v>
          </cell>
          <cell r="W27">
            <v>2.9847101398514431E-2</v>
          </cell>
        </row>
        <row r="28">
          <cell r="B28" t="str">
            <v>Contract and Other</v>
          </cell>
          <cell r="C28">
            <v>83.242000000000004</v>
          </cell>
          <cell r="D28">
            <v>151.72999999999999</v>
          </cell>
          <cell r="E28">
            <v>36.659999999999997</v>
          </cell>
          <cell r="F28">
            <v>54.442999999999998</v>
          </cell>
          <cell r="H28">
            <v>177.87299999999999</v>
          </cell>
          <cell r="I28">
            <v>2.2671417813125654</v>
          </cell>
          <cell r="J28">
            <v>231.2</v>
          </cell>
          <cell r="K28">
            <v>0.29980379259359213</v>
          </cell>
          <cell r="L28">
            <v>210.24099999999999</v>
          </cell>
          <cell r="M28">
            <v>-9.0653114186851236E-2</v>
          </cell>
          <cell r="N28">
            <v>215</v>
          </cell>
          <cell r="O28">
            <v>0.12</v>
          </cell>
          <cell r="P28">
            <v>236.50000000000003</v>
          </cell>
          <cell r="Q28">
            <v>0.1</v>
          </cell>
          <cell r="R28">
            <v>260.15000000000003</v>
          </cell>
          <cell r="S28">
            <v>0.1</v>
          </cell>
          <cell r="T28">
            <v>234.13500000000005</v>
          </cell>
          <cell r="U28">
            <v>-0.1</v>
          </cell>
          <cell r="V28">
            <v>210.72150000000005</v>
          </cell>
          <cell r="W28">
            <v>-0.1</v>
          </cell>
        </row>
        <row r="29">
          <cell r="B29" t="str">
            <v>Total Revenues</v>
          </cell>
          <cell r="C29">
            <v>1311.6120000000001</v>
          </cell>
          <cell r="D29">
            <v>1637.3710000009999</v>
          </cell>
          <cell r="E29">
            <v>2044.0319999999999</v>
          </cell>
          <cell r="F29">
            <v>2583.6215596696479</v>
          </cell>
          <cell r="H29">
            <v>3300.2629999999999</v>
          </cell>
          <cell r="I29">
            <v>0.27737864225826647</v>
          </cell>
          <cell r="J29">
            <v>4621.2</v>
          </cell>
          <cell r="K29">
            <v>0.40025204051919494</v>
          </cell>
          <cell r="L29">
            <v>6633.4230000000007</v>
          </cell>
          <cell r="M29">
            <v>0.43543300441443811</v>
          </cell>
          <cell r="N29">
            <v>9120.36</v>
          </cell>
          <cell r="O29">
            <v>0.37491005774846564</v>
          </cell>
          <cell r="P29">
            <v>11279.125121683228</v>
          </cell>
          <cell r="Q29">
            <v>0.23669735862216257</v>
          </cell>
          <cell r="R29">
            <v>13104.186311101828</v>
          </cell>
          <cell r="S29">
            <v>0.16180875464445954</v>
          </cell>
          <cell r="T29">
            <v>14586.038977915103</v>
          </cell>
          <cell r="U29">
            <v>0.11308238692835526</v>
          </cell>
          <cell r="V29">
            <v>15778.109649377711</v>
          </cell>
          <cell r="W29">
            <v>8.1726826129255414E-2</v>
          </cell>
          <cell r="AB29" t="str">
            <v>mstag:revenueNet</v>
          </cell>
          <cell r="AC29">
            <v>6</v>
          </cell>
          <cell r="AD29" t="str">
            <v>ISO4217:USD</v>
          </cell>
          <cell r="AE29" t="b">
            <v>0</v>
          </cell>
          <cell r="AF29" t="b">
            <v>0</v>
          </cell>
        </row>
        <row r="30">
          <cell r="B30" t="str">
            <v>Operating Expenses:</v>
          </cell>
        </row>
        <row r="31">
          <cell r="B31" t="str">
            <v xml:space="preserve">   Cost of Sales</v>
          </cell>
          <cell r="C31">
            <v>192.191</v>
          </cell>
          <cell r="D31">
            <v>272.06799999999998</v>
          </cell>
          <cell r="E31">
            <v>354.44200000000001</v>
          </cell>
          <cell r="F31">
            <v>441.63</v>
          </cell>
          <cell r="H31">
            <v>480.15100000000001</v>
          </cell>
          <cell r="I31">
            <v>8.7224599778094714E-2</v>
          </cell>
          <cell r="J31">
            <v>672.5</v>
          </cell>
          <cell r="K31">
            <v>0.40060106091625336</v>
          </cell>
          <cell r="L31">
            <v>1011.0629999999999</v>
          </cell>
          <cell r="M31">
            <v>0.50343940520446084</v>
          </cell>
          <cell r="N31">
            <v>1222.5376000000001</v>
          </cell>
          <cell r="O31">
            <v>0.20916065566636322</v>
          </cell>
          <cell r="P31">
            <v>1506.7599287814626</v>
          </cell>
          <cell r="Q31">
            <v>0.23248555200385046</v>
          </cell>
          <cell r="R31">
            <v>1619.0699996815897</v>
          </cell>
          <cell r="S31">
            <v>7.453746861383137E-2</v>
          </cell>
          <cell r="T31">
            <v>1702.8029601920346</v>
          </cell>
          <cell r="U31">
            <v>5.1716701888684158E-2</v>
          </cell>
          <cell r="V31">
            <v>1774.5598005138277</v>
          </cell>
          <cell r="W31">
            <v>4.2140424934251186E-2</v>
          </cell>
          <cell r="AB31" t="str">
            <v>mstag:costOfSalesWithDepreciation</v>
          </cell>
          <cell r="AC31">
            <v>6</v>
          </cell>
          <cell r="AD31" t="str">
            <v>ISO4217:USD</v>
          </cell>
          <cell r="AE31" t="b">
            <v>0</v>
          </cell>
          <cell r="AF31" t="b">
            <v>0</v>
          </cell>
        </row>
        <row r="32">
          <cell r="B32" t="str">
            <v xml:space="preserve">   % of Total Product Sales</v>
          </cell>
          <cell r="C32">
            <v>0.18544094944037054</v>
          </cell>
          <cell r="D32">
            <v>0.21343688711052525</v>
          </cell>
          <cell r="E32">
            <v>0.20422894035150643</v>
          </cell>
          <cell r="F32">
            <v>0.20411813643926785</v>
          </cell>
          <cell r="H32">
            <v>0.18315734142227302</v>
          </cell>
          <cell r="J32">
            <v>0.17938595321294246</v>
          </cell>
          <cell r="L32">
            <v>0.18422874281283902</v>
          </cell>
          <cell r="N32">
            <v>0.15986400535609677</v>
          </cell>
          <cell r="P32">
            <v>0.15552241212898224</v>
          </cell>
          <cell r="R32">
            <v>0.1575</v>
          </cell>
          <cell r="T32">
            <v>0.158</v>
          </cell>
          <cell r="V32">
            <v>0.16</v>
          </cell>
        </row>
        <row r="33">
          <cell r="B33" t="str">
            <v xml:space="preserve">   R&amp;D</v>
          </cell>
          <cell r="C33">
            <v>367.29099999999994</v>
          </cell>
          <cell r="D33">
            <v>489.87900000000002</v>
          </cell>
          <cell r="E33">
            <v>526.23</v>
          </cell>
          <cell r="F33">
            <v>623.48199999999997</v>
          </cell>
          <cell r="H33">
            <v>721.96299999999997</v>
          </cell>
          <cell r="I33">
            <v>0.15795323682159235</v>
          </cell>
          <cell r="J33">
            <v>947.5</v>
          </cell>
          <cell r="K33">
            <v>0.3123941254607232</v>
          </cell>
          <cell r="L33">
            <v>1261.8240000000001</v>
          </cell>
          <cell r="M33">
            <v>0.33174036939314</v>
          </cell>
          <cell r="N33">
            <v>1677.1420800000001</v>
          </cell>
          <cell r="O33">
            <v>0.3291410529519172</v>
          </cell>
          <cell r="P33">
            <v>2058.4403347071889</v>
          </cell>
          <cell r="Q33">
            <v>0.22735000168094799</v>
          </cell>
          <cell r="R33">
            <v>2384.9619086205325</v>
          </cell>
          <cell r="S33">
            <v>0.15862571696050209</v>
          </cell>
          <cell r="T33">
            <v>2654.6590939805487</v>
          </cell>
          <cell r="U33">
            <v>0.11308238692835548</v>
          </cell>
          <cell r="V33">
            <v>2871.6159561867435</v>
          </cell>
          <cell r="W33">
            <v>8.1726826129255414E-2</v>
          </cell>
          <cell r="AB33" t="str">
            <v>mstag:researchAndDevelopment</v>
          </cell>
          <cell r="AC33">
            <v>6</v>
          </cell>
          <cell r="AD33" t="str">
            <v>ISO4217:USD</v>
          </cell>
          <cell r="AE33" t="b">
            <v>0</v>
          </cell>
          <cell r="AF33" t="b">
            <v>0</v>
          </cell>
        </row>
        <row r="34">
          <cell r="B34" t="str">
            <v xml:space="preserve">   % of Revenue</v>
          </cell>
          <cell r="C34">
            <v>0.28003022235234193</v>
          </cell>
          <cell r="D34">
            <v>0.29918631757842351</v>
          </cell>
          <cell r="E34">
            <v>0.25744704583881273</v>
          </cell>
          <cell r="F34">
            <v>0.24132094643138094</v>
          </cell>
          <cell r="H34">
            <v>0.21875923221876559</v>
          </cell>
          <cell r="J34">
            <v>0.20503332467757293</v>
          </cell>
          <cell r="L34">
            <v>0.19022215227341902</v>
          </cell>
          <cell r="N34">
            <v>0.18388989908293094</v>
          </cell>
          <cell r="P34">
            <v>0.1825</v>
          </cell>
          <cell r="R34">
            <v>0.182</v>
          </cell>
          <cell r="T34">
            <v>0.182</v>
          </cell>
          <cell r="V34">
            <v>0.182</v>
          </cell>
        </row>
        <row r="35">
          <cell r="B35" t="str">
            <v xml:space="preserve">   SG&amp;A</v>
          </cell>
          <cell r="C35">
            <v>467.94299999999998</v>
          </cell>
          <cell r="D35">
            <v>497.03599999999994</v>
          </cell>
          <cell r="E35">
            <v>446.90600000000001</v>
          </cell>
          <cell r="F35">
            <v>546.27599999999995</v>
          </cell>
          <cell r="H35">
            <v>794.88499999999999</v>
          </cell>
          <cell r="I35">
            <v>0.45509778939583656</v>
          </cell>
          <cell r="J35">
            <v>1088.2</v>
          </cell>
          <cell r="K35">
            <v>0.36900306333620603</v>
          </cell>
          <cell r="L35">
            <v>1435.0319999999999</v>
          </cell>
          <cell r="M35">
            <v>0.31872082337805541</v>
          </cell>
          <cell r="N35">
            <v>1928.0563000000002</v>
          </cell>
          <cell r="O35">
            <v>0.34356327942512799</v>
          </cell>
          <cell r="P35">
            <v>2114.835960315605</v>
          </cell>
          <cell r="Q35">
            <v>9.6874588317573895E-2</v>
          </cell>
          <cell r="R35">
            <v>2293.2326044428196</v>
          </cell>
          <cell r="S35">
            <v>8.4354837668162208E-2</v>
          </cell>
          <cell r="T35">
            <v>2406.696431355992</v>
          </cell>
          <cell r="U35">
            <v>4.9477679103878014E-2</v>
          </cell>
          <cell r="V35">
            <v>2406.1617215301007</v>
          </cell>
          <cell r="W35">
            <v>-2.2217585023387443E-4</v>
          </cell>
          <cell r="AB35" t="str">
            <v>mstag:sellingGeneralAndAdministrativeExpenses</v>
          </cell>
          <cell r="AC35">
            <v>6</v>
          </cell>
          <cell r="AD35" t="str">
            <v>ISO4217:USD</v>
          </cell>
          <cell r="AE35" t="b">
            <v>0</v>
          </cell>
          <cell r="AF35" t="b">
            <v>0</v>
          </cell>
        </row>
        <row r="36">
          <cell r="B36" t="str">
            <v xml:space="preserve">   % of Sales</v>
          </cell>
          <cell r="C36">
            <v>0.35676937996907621</v>
          </cell>
          <cell r="D36">
            <v>0.30355734894516662</v>
          </cell>
          <cell r="E36">
            <v>0.21863943421629409</v>
          </cell>
          <cell r="F36">
            <v>0.21143808695800206</v>
          </cell>
          <cell r="H36">
            <v>0.24085504700685975</v>
          </cell>
          <cell r="J36">
            <v>0.23547996191465423</v>
          </cell>
          <cell r="L36">
            <v>0.2163335581041643</v>
          </cell>
          <cell r="N36">
            <v>0.21140133722791646</v>
          </cell>
          <cell r="P36">
            <v>0.1875</v>
          </cell>
          <cell r="R36">
            <v>0.17499999999999999</v>
          </cell>
          <cell r="T36">
            <v>0.16500000000000001</v>
          </cell>
          <cell r="V36">
            <v>0.1525</v>
          </cell>
        </row>
        <row r="37">
          <cell r="B37" t="str">
            <v xml:space="preserve">  Collaborative payments</v>
          </cell>
          <cell r="C37">
            <v>0</v>
          </cell>
          <cell r="D37">
            <v>0</v>
          </cell>
          <cell r="E37">
            <v>246.65700000000001</v>
          </cell>
          <cell r="F37">
            <v>350.72500000000002</v>
          </cell>
          <cell r="H37">
            <v>457.53399999999999</v>
          </cell>
          <cell r="I37">
            <v>0.30453774324613292</v>
          </cell>
          <cell r="J37">
            <v>593.6</v>
          </cell>
          <cell r="K37">
            <v>0.29738992074905912</v>
          </cell>
          <cell r="L37">
            <v>823.08299999999997</v>
          </cell>
          <cell r="M37">
            <v>0.38659535040431248</v>
          </cell>
          <cell r="N37">
            <v>1041</v>
          </cell>
          <cell r="O37">
            <v>0.26475701721454592</v>
          </cell>
          <cell r="P37">
            <v>1191.2653338930295</v>
          </cell>
          <cell r="Q37">
            <v>0.14434710268302542</v>
          </cell>
          <cell r="R37">
            <v>1349.1657134442321</v>
          </cell>
          <cell r="S37">
            <v>0.1325484550408158</v>
          </cell>
          <cell r="T37">
            <v>1488.0617722997738</v>
          </cell>
          <cell r="U37">
            <v>0.1029495913448315</v>
          </cell>
          <cell r="V37">
            <v>1622.2236210060237</v>
          </cell>
          <cell r="W37">
            <v>9.0158789912938353E-2</v>
          </cell>
          <cell r="AB37" t="str">
            <v>mstag:otherOperatingExpense</v>
          </cell>
          <cell r="AC37">
            <v>6</v>
          </cell>
          <cell r="AD37" t="str">
            <v>ISO4217:USD</v>
          </cell>
          <cell r="AE37" t="b">
            <v>0</v>
          </cell>
          <cell r="AF37" t="b">
            <v>0</v>
          </cell>
        </row>
        <row r="38">
          <cell r="B38" t="str">
            <v>Total Operating Expenses</v>
          </cell>
          <cell r="C38">
            <v>1027.425</v>
          </cell>
          <cell r="D38">
            <v>1258.9829999999999</v>
          </cell>
          <cell r="E38">
            <v>1574.2349999999999</v>
          </cell>
          <cell r="F38">
            <v>1962.1129999999998</v>
          </cell>
          <cell r="H38">
            <v>2454.7161573414223</v>
          </cell>
          <cell r="I38">
            <v>0.25105748615977896</v>
          </cell>
          <cell r="J38">
            <v>3301.8</v>
          </cell>
          <cell r="K38">
            <v>0.34508423310987246</v>
          </cell>
          <cell r="L38">
            <v>4531.0019999999995</v>
          </cell>
          <cell r="M38">
            <v>0.37228239142286013</v>
          </cell>
          <cell r="N38">
            <v>5868.7359800000004</v>
          </cell>
          <cell r="O38">
            <v>0.29524020956071118</v>
          </cell>
          <cell r="P38">
            <v>6871.3015576972857</v>
          </cell>
          <cell r="Q38">
            <v>0.17083160345156401</v>
          </cell>
          <cell r="R38">
            <v>7646.4302261891735</v>
          </cell>
          <cell r="S38">
            <v>0.11280667308562276</v>
          </cell>
          <cell r="T38">
            <v>8252.2202578283486</v>
          </cell>
          <cell r="U38">
            <v>7.9225208851619655E-2</v>
          </cell>
          <cell r="V38">
            <v>8674.5610992366965</v>
          </cell>
          <cell r="W38">
            <v>5.117905584351079E-2</v>
          </cell>
        </row>
        <row r="39">
          <cell r="B39" t="str">
            <v xml:space="preserve">Operating Income (Loss) </v>
          </cell>
          <cell r="C39">
            <v>284.18700000000013</v>
          </cell>
          <cell r="D39">
            <v>378.38800000099991</v>
          </cell>
          <cell r="E39">
            <v>469.79700000000003</v>
          </cell>
          <cell r="F39">
            <v>621.50855966964809</v>
          </cell>
          <cell r="H39">
            <v>845.54684265857759</v>
          </cell>
          <cell r="I39">
            <v>0.36047497577187526</v>
          </cell>
          <cell r="J39">
            <v>1319.3999999999996</v>
          </cell>
          <cell r="K39">
            <v>0.56041029714158452</v>
          </cell>
          <cell r="L39">
            <v>2102.4210000000012</v>
          </cell>
          <cell r="M39">
            <v>0.59346748522055615</v>
          </cell>
          <cell r="N39">
            <v>3251.6240200000002</v>
          </cell>
          <cell r="O39">
            <v>0.54660937081583483</v>
          </cell>
          <cell r="P39">
            <v>4407.8235639859422</v>
          </cell>
          <cell r="Q39">
            <v>0.35557602504915131</v>
          </cell>
          <cell r="R39">
            <v>5457.7560849126548</v>
          </cell>
          <cell r="S39">
            <v>0.23819749263676759</v>
          </cell>
          <cell r="T39">
            <v>6333.8187200867542</v>
          </cell>
          <cell r="U39">
            <v>0.16051700031004956</v>
          </cell>
          <cell r="V39">
            <v>7103.5485501410149</v>
          </cell>
          <cell r="W39">
            <v>0.12152697512689747</v>
          </cell>
        </row>
        <row r="40">
          <cell r="B40" t="str">
            <v xml:space="preserve">        Operating Margin</v>
          </cell>
          <cell r="D40">
            <v>0.23109484655632037</v>
          </cell>
          <cell r="E40">
            <v>0.22983837826413678</v>
          </cell>
          <cell r="F40">
            <v>0.24055711926676934</v>
          </cell>
          <cell r="H40">
            <v>0.25620589712352548</v>
          </cell>
          <cell r="J40">
            <v>0.28551025707608407</v>
          </cell>
          <cell r="L40">
            <v>0.31694360513418202</v>
          </cell>
          <cell r="N40">
            <v>0.35652364818932586</v>
          </cell>
          <cell r="P40">
            <v>0.39079481045141073</v>
          </cell>
          <cell r="R40">
            <v>0.41648950612743196</v>
          </cell>
          <cell r="T40">
            <v>0.43423843372946319</v>
          </cell>
          <cell r="V40">
            <v>0.45021543822400667</v>
          </cell>
        </row>
        <row r="41">
          <cell r="B41" t="str">
            <v xml:space="preserve">   Interest, Other Income</v>
          </cell>
          <cell r="C41">
            <v>89.433999999999997</v>
          </cell>
          <cell r="D41">
            <v>90.4</v>
          </cell>
          <cell r="E41">
            <v>135.005</v>
          </cell>
          <cell r="F41">
            <v>107.822</v>
          </cell>
          <cell r="H41">
            <v>92.807000000000002</v>
          </cell>
          <cell r="J41">
            <v>82.597000000000008</v>
          </cell>
          <cell r="L41">
            <v>140.9</v>
          </cell>
          <cell r="N41">
            <v>228</v>
          </cell>
          <cell r="P41">
            <v>158.27981570681379</v>
          </cell>
          <cell r="R41">
            <v>214.14721389467866</v>
          </cell>
          <cell r="T41">
            <v>298.9218808473185</v>
          </cell>
          <cell r="V41">
            <v>424.04459975088002</v>
          </cell>
          <cell r="AB41" t="str">
            <v>mstag:interestAndDividendIncome</v>
          </cell>
          <cell r="AC41">
            <v>6</v>
          </cell>
          <cell r="AD41" t="str">
            <v>ISO4217:USD</v>
          </cell>
          <cell r="AE41" t="b">
            <v>0</v>
          </cell>
          <cell r="AF41" t="b">
            <v>0</v>
          </cell>
        </row>
        <row r="42">
          <cell r="B42" t="str">
            <v xml:space="preserve">   Interest, Other Expense</v>
          </cell>
          <cell r="C42">
            <v>-5.36</v>
          </cell>
          <cell r="D42">
            <v>-5.2780000000000005</v>
          </cell>
          <cell r="E42">
            <v>0</v>
          </cell>
          <cell r="F42">
            <v>0</v>
          </cell>
          <cell r="H42">
            <v>0</v>
          </cell>
          <cell r="J42">
            <v>0</v>
          </cell>
          <cell r="L42">
            <v>-49.9</v>
          </cell>
          <cell r="N42">
            <v>-91</v>
          </cell>
          <cell r="P42">
            <v>-99.403055999999992</v>
          </cell>
          <cell r="R42">
            <v>-99.403055999999992</v>
          </cell>
          <cell r="T42">
            <v>-99.403055999999992</v>
          </cell>
          <cell r="V42">
            <v>-77.403055999999992</v>
          </cell>
          <cell r="AB42" t="str">
            <v>mstag:interestAndDividendIncome</v>
          </cell>
          <cell r="AC42">
            <v>6</v>
          </cell>
          <cell r="AD42" t="str">
            <v>ISO4217:USD</v>
          </cell>
          <cell r="AE42" t="b">
            <v>0</v>
          </cell>
          <cell r="AF42" t="b">
            <v>0</v>
          </cell>
        </row>
        <row r="43">
          <cell r="B43" t="str">
            <v xml:space="preserve">Pretax Income (Loss) </v>
          </cell>
          <cell r="C43">
            <v>368.26100000000008</v>
          </cell>
          <cell r="D43">
            <v>463.51000000099987</v>
          </cell>
          <cell r="E43">
            <v>604.80200000000002</v>
          </cell>
          <cell r="F43">
            <v>729.3305596696481</v>
          </cell>
          <cell r="H43">
            <v>938.35384265857761</v>
          </cell>
          <cell r="I43">
            <v>0.28659608488585353</v>
          </cell>
          <cell r="J43">
            <v>1401.9969999999996</v>
          </cell>
          <cell r="K43">
            <v>0.4941026894799212</v>
          </cell>
          <cell r="L43">
            <v>2193.4210000000012</v>
          </cell>
          <cell r="M43">
            <v>0.56449764157840687</v>
          </cell>
          <cell r="N43">
            <v>3388.6240200000002</v>
          </cell>
          <cell r="O43">
            <v>0.54490360947579064</v>
          </cell>
          <cell r="P43">
            <v>4466.7003236927558</v>
          </cell>
          <cell r="Q43">
            <v>0.31814574214484725</v>
          </cell>
          <cell r="R43">
            <v>5572.5002428073331</v>
          </cell>
          <cell r="S43">
            <v>0.24756528062764227</v>
          </cell>
          <cell r="T43">
            <v>6533.3375449340729</v>
          </cell>
          <cell r="U43">
            <v>0.17242481117285435</v>
          </cell>
          <cell r="V43">
            <v>7450.1900938918943</v>
          </cell>
          <cell r="W43">
            <v>0.1403344833558684</v>
          </cell>
        </row>
        <row r="44">
          <cell r="B44" t="str">
            <v xml:space="preserve">   Provision For Income Taxes</v>
          </cell>
          <cell r="C44">
            <v>121.56800000000001</v>
          </cell>
          <cell r="D44">
            <v>143.67400000000001</v>
          </cell>
          <cell r="E44">
            <v>127.11199999999999</v>
          </cell>
          <cell r="F44">
            <v>245.797</v>
          </cell>
          <cell r="H44">
            <v>303.69799999999998</v>
          </cell>
          <cell r="J44">
            <v>507.63099999999997</v>
          </cell>
          <cell r="L44">
            <v>806.09699999999998</v>
          </cell>
          <cell r="N44">
            <v>1263.7185114200001</v>
          </cell>
          <cell r="P44">
            <v>1666.0792207373979</v>
          </cell>
          <cell r="R44">
            <v>2078.542590567135</v>
          </cell>
          <cell r="T44">
            <v>2436.934904260409</v>
          </cell>
          <cell r="V44">
            <v>2778.9209050216764</v>
          </cell>
          <cell r="AB44" t="str">
            <v>mstag:taxExpenseIncome</v>
          </cell>
          <cell r="AC44">
            <v>6</v>
          </cell>
          <cell r="AD44" t="str">
            <v>ISO4217:USD</v>
          </cell>
          <cell r="AE44" t="b">
            <v>0</v>
          </cell>
          <cell r="AF44" t="b">
            <v>0</v>
          </cell>
        </row>
        <row r="45">
          <cell r="B45" t="str">
            <v xml:space="preserve">   Effective Tax Rate</v>
          </cell>
          <cell r="C45">
            <v>0.21840079909742235</v>
          </cell>
          <cell r="D45">
            <v>0.17967483708416138</v>
          </cell>
          <cell r="E45">
            <v>0.17543014456747877</v>
          </cell>
          <cell r="F45">
            <v>0.33702605798725771</v>
          </cell>
          <cell r="H45">
            <v>0.32364976429312847</v>
          </cell>
          <cell r="J45">
            <v>0.36207709431617907</v>
          </cell>
          <cell r="L45">
            <v>0.36750724212165659</v>
          </cell>
          <cell r="N45">
            <v>0.3729296918045219</v>
          </cell>
          <cell r="P45">
            <v>0.373</v>
          </cell>
          <cell r="R45">
            <v>0.373</v>
          </cell>
          <cell r="T45">
            <v>0.373</v>
          </cell>
          <cell r="V45">
            <v>0.373</v>
          </cell>
        </row>
        <row r="46">
          <cell r="B46" t="str">
            <v>Net Income (Loss)</v>
          </cell>
          <cell r="C46">
            <v>246.69300000000007</v>
          </cell>
          <cell r="D46">
            <v>319.83600000099989</v>
          </cell>
          <cell r="E46">
            <v>477.69000000000005</v>
          </cell>
          <cell r="F46">
            <v>483.53355966964807</v>
          </cell>
          <cell r="H46">
            <v>634.65584265857763</v>
          </cell>
          <cell r="I46">
            <v>0.31253732024758918</v>
          </cell>
          <cell r="J46">
            <v>894.36599999999964</v>
          </cell>
          <cell r="K46">
            <v>0.4092141596829777</v>
          </cell>
          <cell r="L46">
            <v>1387.3240000000012</v>
          </cell>
          <cell r="M46">
            <v>0.55118150734710603</v>
          </cell>
          <cell r="N46">
            <v>2124.9055085800001</v>
          </cell>
          <cell r="O46">
            <v>0.53165771555887331</v>
          </cell>
          <cell r="P46">
            <v>2800.6211029553579</v>
          </cell>
          <cell r="Q46">
            <v>0.31799794938971893</v>
          </cell>
          <cell r="R46">
            <v>3493.9576522401981</v>
          </cell>
          <cell r="S46">
            <v>0.24756528062764227</v>
          </cell>
          <cell r="T46">
            <v>4096.4026406736639</v>
          </cell>
          <cell r="U46">
            <v>0.17242481117285435</v>
          </cell>
          <cell r="V46">
            <v>4671.2691888702175</v>
          </cell>
          <cell r="W46">
            <v>0.1403344833558684</v>
          </cell>
        </row>
        <row r="48">
          <cell r="B48" t="str">
            <v>EPS, basic</v>
          </cell>
          <cell r="C48">
            <v>0.240507155948992</v>
          </cell>
          <cell r="D48">
            <v>0.30625130463021294</v>
          </cell>
          <cell r="E48">
            <v>0.84741827980205642</v>
          </cell>
          <cell r="F48">
            <v>0.46558555820163972</v>
          </cell>
          <cell r="H48">
            <v>0.61351622099003444</v>
          </cell>
          <cell r="I48">
            <v>0.31773035091506774</v>
          </cell>
          <cell r="J48">
            <v>0.84760772011960184</v>
          </cell>
          <cell r="K48">
            <v>0.38155714734292223</v>
          </cell>
          <cell r="L48">
            <v>1.3150588841956803</v>
          </cell>
          <cell r="M48">
            <v>0.55149469852648192</v>
          </cell>
          <cell r="N48">
            <v>2.0160393819544593</v>
          </cell>
          <cell r="O48">
            <v>0.53304114833421656</v>
          </cell>
          <cell r="P48">
            <v>2.6578594958545239</v>
          </cell>
          <cell r="Q48">
            <v>0.31835693272908627</v>
          </cell>
          <cell r="R48">
            <v>3.3158532278145931</v>
          </cell>
          <cell r="S48">
            <v>0.24756528062764227</v>
          </cell>
          <cell r="T48">
            <v>3.8875885944974238</v>
          </cell>
          <cell r="U48">
            <v>0.17242481117285435</v>
          </cell>
          <cell r="V48">
            <v>4.4331513314063864</v>
          </cell>
          <cell r="W48">
            <v>0.1403344833558684</v>
          </cell>
          <cell r="Y48" t="str">
            <v>Growth</v>
          </cell>
          <cell r="Z48" t="str">
            <v>3 year</v>
          </cell>
          <cell r="AA48" t="str">
            <v>4 year</v>
          </cell>
        </row>
        <row r="49">
          <cell r="B49" t="str">
            <v>EPS, diluted</v>
          </cell>
          <cell r="C49">
            <v>0.23296000755465324</v>
          </cell>
          <cell r="D49">
            <v>0.29831162314462278</v>
          </cell>
          <cell r="E49">
            <v>0.83443278873473636</v>
          </cell>
          <cell r="F49">
            <v>0.46096594929398294</v>
          </cell>
          <cell r="H49">
            <v>0.60195636879300407</v>
          </cell>
          <cell r="I49">
            <v>0.30585864252004424</v>
          </cell>
          <cell r="J49">
            <v>0.82872362999196592</v>
          </cell>
          <cell r="K49">
            <v>0.37671710601493902</v>
          </cell>
          <cell r="L49">
            <v>1.2834315032439099</v>
          </cell>
          <cell r="M49">
            <v>0.54868457564840067</v>
          </cell>
          <cell r="N49">
            <v>1.9766562870511628</v>
          </cell>
          <cell r="O49">
            <v>0.54013383811688231</v>
          </cell>
          <cell r="P49">
            <v>2.6131703146035923</v>
          </cell>
          <cell r="Q49">
            <v>0.32201553285826989</v>
          </cell>
          <cell r="R49">
            <v>3.2657035401917991</v>
          </cell>
          <cell r="S49">
            <v>0.24970941309931183</v>
          </cell>
          <cell r="T49">
            <v>3.8441841959191563</v>
          </cell>
          <cell r="U49">
            <v>0.17713814147789497</v>
          </cell>
          <cell r="V49">
            <v>4.4101388095141756</v>
          </cell>
          <cell r="W49">
            <v>0.14722359407122476</v>
          </cell>
          <cell r="Z49">
            <v>0.36521595109433186</v>
          </cell>
          <cell r="AA49">
            <v>0.28001751631721422</v>
          </cell>
          <cell r="AB49" t="str">
            <v>mstag:adjEpsForConsensus</v>
          </cell>
          <cell r="AC49">
            <v>0</v>
          </cell>
          <cell r="AD49" t="str">
            <v>ISO4217:USD</v>
          </cell>
          <cell r="AE49" t="b">
            <v>0</v>
          </cell>
          <cell r="AF49" t="b">
            <v>0</v>
          </cell>
        </row>
        <row r="51">
          <cell r="B51" t="str">
            <v xml:space="preserve">  Options expense</v>
          </cell>
          <cell r="N51">
            <v>329.18547890000002</v>
          </cell>
          <cell r="P51">
            <v>377.92158567335071</v>
          </cell>
          <cell r="R51">
            <v>420.55366244040454</v>
          </cell>
          <cell r="T51">
            <v>453.87211418055915</v>
          </cell>
          <cell r="V51">
            <v>477.1008604580183</v>
          </cell>
          <cell r="AB51" t="str">
            <v>mstag:stockCompensation</v>
          </cell>
          <cell r="AC51">
            <v>6</v>
          </cell>
          <cell r="AD51" t="str">
            <v>ISO4217:USD</v>
          </cell>
          <cell r="AE51" t="b">
            <v>0</v>
          </cell>
          <cell r="AF51" t="b">
            <v>0</v>
          </cell>
        </row>
        <row r="52">
          <cell r="B52" t="str">
            <v>Net Income (incl options exp)</v>
          </cell>
          <cell r="N52">
            <v>1795.7200296800002</v>
          </cell>
          <cell r="P52">
            <v>2422.699517282007</v>
          </cell>
          <cell r="R52">
            <v>3073.4039897997936</v>
          </cell>
          <cell r="T52">
            <v>3642.5305264931048</v>
          </cell>
          <cell r="V52">
            <v>4194.1683284121991</v>
          </cell>
        </row>
        <row r="54">
          <cell r="B54" t="str">
            <v>EPS, diluted (incl option exp)</v>
          </cell>
          <cell r="N54">
            <v>1.670437236911628</v>
          </cell>
          <cell r="P54">
            <v>2.2605437247777207</v>
          </cell>
          <cell r="R54">
            <v>2.8726239093062675</v>
          </cell>
          <cell r="T54">
            <v>3.4182573129078739</v>
          </cell>
          <cell r="V54">
            <v>3.9597085440583326</v>
          </cell>
          <cell r="AA54">
            <v>22.250639386189256</v>
          </cell>
        </row>
        <row r="55">
          <cell r="B55" t="str">
            <v>EPS, GAAP, Diluted (incl option exp)</v>
          </cell>
          <cell r="N55">
            <v>1.6109656090046514</v>
          </cell>
          <cell r="P55">
            <v>2.1891696107162537</v>
          </cell>
          <cell r="R55">
            <v>2.8134339509056185</v>
          </cell>
          <cell r="T55">
            <v>3.3588294016576903</v>
          </cell>
          <cell r="V55">
            <v>3.8999216105509422</v>
          </cell>
          <cell r="AA55">
            <v>19.727270219320825</v>
          </cell>
        </row>
        <row r="56">
          <cell r="B56" t="str">
            <v xml:space="preserve">Basic Shares Outstanding </v>
          </cell>
          <cell r="C56">
            <v>1025.72</v>
          </cell>
          <cell r="D56">
            <v>1044.3579999999999</v>
          </cell>
          <cell r="E56">
            <v>1054.038</v>
          </cell>
          <cell r="F56">
            <v>1038.5084999999999</v>
          </cell>
          <cell r="H56">
            <v>1034.4565</v>
          </cell>
          <cell r="I56">
            <v>-3.901749480143768E-3</v>
          </cell>
          <cell r="J56">
            <v>1055.165</v>
          </cell>
          <cell r="K56">
            <v>2.0018724808631427E-2</v>
          </cell>
          <cell r="L56">
            <v>1054.952</v>
          </cell>
          <cell r="M56">
            <v>-2.0186416342460323E-4</v>
          </cell>
          <cell r="N56">
            <v>1054</v>
          </cell>
          <cell r="O56">
            <v>-9.0241072579599901E-4</v>
          </cell>
          <cell r="P56">
            <v>1053.713</v>
          </cell>
          <cell r="Q56">
            <v>-2.7229601518030666E-4</v>
          </cell>
          <cell r="R56">
            <v>1053.713</v>
          </cell>
          <cell r="S56">
            <v>0</v>
          </cell>
          <cell r="T56">
            <v>1053.713</v>
          </cell>
          <cell r="U56">
            <v>0</v>
          </cell>
          <cell r="V56">
            <v>1053.713</v>
          </cell>
          <cell r="W56">
            <v>0</v>
          </cell>
          <cell r="AB56" t="str">
            <v>mstag:averageBasicSharesOutstanding</v>
          </cell>
          <cell r="AC56">
            <v>6</v>
          </cell>
          <cell r="AD56" t="str">
            <v>ms_eqr_gcim_Decimal:ms_eqr_gcim_decimal</v>
          </cell>
          <cell r="AE56" t="b">
            <v>0</v>
          </cell>
          <cell r="AF56" t="b">
            <v>0</v>
          </cell>
        </row>
        <row r="57">
          <cell r="B57" t="str">
            <v>Diluted Shares Outstanding</v>
          </cell>
          <cell r="C57">
            <v>1058.95</v>
          </cell>
          <cell r="D57">
            <v>1072.154</v>
          </cell>
          <cell r="E57">
            <v>1070.441</v>
          </cell>
          <cell r="F57">
            <v>1048.9160000000002</v>
          </cell>
          <cell r="H57">
            <v>1054.3219999999999</v>
          </cell>
          <cell r="I57">
            <v>5.1538922087179806E-3</v>
          </cell>
          <cell r="J57">
            <v>1079.2090000000001</v>
          </cell>
          <cell r="K57">
            <v>2.3604743142986884E-2</v>
          </cell>
          <cell r="L57">
            <v>1080.9490000000001</v>
          </cell>
          <cell r="M57">
            <v>1.6122919656897938E-3</v>
          </cell>
          <cell r="N57">
            <v>1075</v>
          </cell>
          <cell r="O57">
            <v>-5.5034973897936101E-3</v>
          </cell>
          <cell r="P57">
            <v>1071.7330926745205</v>
          </cell>
          <cell r="Q57">
            <v>-3.0389835585855618E-3</v>
          </cell>
          <cell r="R57">
            <v>1069.8943150347914</v>
          </cell>
          <cell r="S57">
            <v>-1.7157048264139219E-3</v>
          </cell>
          <cell r="T57">
            <v>1065.6103953141094</v>
          </cell>
          <cell r="U57">
            <v>-4.0040587752283585E-3</v>
          </cell>
          <cell r="V57">
            <v>1059.2113742072459</v>
          </cell>
          <cell r="W57">
            <v>-6.0050287938279157E-3</v>
          </cell>
          <cell r="AB57" t="str">
            <v>mstag:averageDilutedSharesOutstanding</v>
          </cell>
          <cell r="AC57">
            <v>6</v>
          </cell>
          <cell r="AD57" t="str">
            <v>ms_eqr_gcim_Decimal:ms_eqr_gcim_decimal</v>
          </cell>
          <cell r="AE57" t="b">
            <v>0</v>
          </cell>
          <cell r="AF57" t="b">
            <v>0</v>
          </cell>
        </row>
        <row r="59">
          <cell r="H59" t="str">
            <v>2003-FY</v>
          </cell>
          <cell r="J59" t="str">
            <v>2004-FY</v>
          </cell>
          <cell r="L59" t="str">
            <v>2005-FY</v>
          </cell>
          <cell r="N59" t="str">
            <v>2006-FY</v>
          </cell>
          <cell r="P59" t="str">
            <v>2007-FY</v>
          </cell>
          <cell r="R59" t="str">
            <v>2008-FY</v>
          </cell>
          <cell r="T59" t="str">
            <v>2009-FY</v>
          </cell>
          <cell r="V59" t="str">
            <v>2010-FY</v>
          </cell>
        </row>
        <row r="60">
          <cell r="B60" t="str">
            <v>Reconciliation to GAAP earnings/loss</v>
          </cell>
          <cell r="E60">
            <v>-3.0000000001564331E-3</v>
          </cell>
        </row>
        <row r="61">
          <cell r="B61" t="str">
            <v>Adjustments:</v>
          </cell>
        </row>
        <row r="62">
          <cell r="B62" t="str">
            <v xml:space="preserve">   Contract revenue</v>
          </cell>
          <cell r="C62">
            <v>-19.399999999999999</v>
          </cell>
          <cell r="D62">
            <v>-125.1</v>
          </cell>
          <cell r="E62">
            <v>0</v>
          </cell>
          <cell r="AB62" t="str">
            <v>mstag:otherProvisionsOneTimeGrossOfTax</v>
          </cell>
          <cell r="AC62">
            <v>6</v>
          </cell>
          <cell r="AD62" t="str">
            <v>ISO4217:USD</v>
          </cell>
          <cell r="AE62" t="b">
            <v>0</v>
          </cell>
          <cell r="AF62" t="b">
            <v>0</v>
          </cell>
        </row>
        <row r="63">
          <cell r="B63" t="str">
            <v xml:space="preserve">   Cost of sales</v>
          </cell>
          <cell r="C63">
            <v>93.4</v>
          </cell>
          <cell r="D63">
            <v>92.9</v>
          </cell>
          <cell r="AB63" t="str">
            <v>mstag:otherProvisionsOneTimeGrossOfTax</v>
          </cell>
          <cell r="AC63">
            <v>6</v>
          </cell>
          <cell r="AD63" t="str">
            <v>ISO4217:USD</v>
          </cell>
          <cell r="AE63" t="b">
            <v>0</v>
          </cell>
          <cell r="AF63" t="b">
            <v>0</v>
          </cell>
        </row>
        <row r="64">
          <cell r="B64" t="str">
            <v>Recurring charges related to redemption</v>
          </cell>
          <cell r="C64">
            <v>197.7</v>
          </cell>
          <cell r="D64">
            <v>375.3</v>
          </cell>
          <cell r="E64">
            <v>321.81599999999997</v>
          </cell>
          <cell r="F64">
            <v>155.71299999999999</v>
          </cell>
          <cell r="H64">
            <v>154.30000000000001</v>
          </cell>
          <cell r="J64">
            <v>145.48500000000001</v>
          </cell>
          <cell r="L64">
            <v>122.7</v>
          </cell>
          <cell r="N64">
            <v>95</v>
          </cell>
          <cell r="P64">
            <v>70</v>
          </cell>
          <cell r="R64">
            <v>49</v>
          </cell>
          <cell r="T64">
            <v>49</v>
          </cell>
          <cell r="V64">
            <v>49</v>
          </cell>
          <cell r="AB64" t="str">
            <v>mstag:amortizationOfIntangiblesAssumedToHaveIndefiniteLifeIncomeStatement</v>
          </cell>
          <cell r="AC64">
            <v>6</v>
          </cell>
          <cell r="AD64" t="str">
            <v>ISO4217:USD</v>
          </cell>
          <cell r="AE64" t="b">
            <v>0</v>
          </cell>
          <cell r="AF64" t="b">
            <v>0</v>
          </cell>
        </row>
        <row r="65">
          <cell r="B65" t="str">
            <v>Litagation and other charges</v>
          </cell>
          <cell r="C65">
            <v>1437.7</v>
          </cell>
          <cell r="D65">
            <v>0</v>
          </cell>
          <cell r="E65">
            <v>0</v>
          </cell>
          <cell r="F65">
            <v>543.90499999999997</v>
          </cell>
          <cell r="J65">
            <v>37.1</v>
          </cell>
          <cell r="L65">
            <v>57.8</v>
          </cell>
          <cell r="N65">
            <v>52</v>
          </cell>
          <cell r="P65">
            <v>52</v>
          </cell>
          <cell r="R65">
            <v>52</v>
          </cell>
          <cell r="T65">
            <v>52</v>
          </cell>
          <cell r="V65">
            <v>52</v>
          </cell>
          <cell r="AB65" t="str">
            <v>mstag:restructuringCostsOneTime</v>
          </cell>
          <cell r="AC65">
            <v>6</v>
          </cell>
          <cell r="AD65" t="str">
            <v>ISO4217:USD</v>
          </cell>
          <cell r="AE65" t="b">
            <v>0</v>
          </cell>
          <cell r="AF65" t="b">
            <v>0</v>
          </cell>
        </row>
        <row r="66">
          <cell r="B66" t="str">
            <v xml:space="preserve">   Other</v>
          </cell>
          <cell r="C66">
            <v>32.299999999999997</v>
          </cell>
          <cell r="D66">
            <v>4.9000000000000004</v>
          </cell>
          <cell r="E66">
            <v>0</v>
          </cell>
          <cell r="H66">
            <v>115.8</v>
          </cell>
          <cell r="AB66" t="str">
            <v>mstag:otherProvisionsOneTimeGrossOfTax</v>
          </cell>
          <cell r="AC66">
            <v>6</v>
          </cell>
          <cell r="AD66" t="str">
            <v>ISO4217:USD</v>
          </cell>
          <cell r="AE66" t="b">
            <v>1</v>
          </cell>
          <cell r="AF66" t="b">
            <v>0</v>
          </cell>
        </row>
        <row r="67">
          <cell r="B67" t="str">
            <v xml:space="preserve">   Other income, net (adjustment)</v>
          </cell>
          <cell r="C67">
            <v>-12.933999999999997</v>
          </cell>
          <cell r="D67">
            <v>125.69999999999999</v>
          </cell>
          <cell r="E67">
            <v>0</v>
          </cell>
          <cell r="H67">
            <v>0</v>
          </cell>
          <cell r="J67">
            <v>0</v>
          </cell>
          <cell r="L67">
            <v>0</v>
          </cell>
          <cell r="N67">
            <v>0</v>
          </cell>
          <cell r="P67">
            <v>0</v>
          </cell>
          <cell r="R67">
            <v>0</v>
          </cell>
          <cell r="T67">
            <v>0</v>
          </cell>
          <cell r="V67">
            <v>0</v>
          </cell>
          <cell r="AB67" t="str">
            <v>mstag:otherOperatingExpense</v>
          </cell>
          <cell r="AC67">
            <v>6</v>
          </cell>
          <cell r="AD67" t="str">
            <v>ISO4217:USD</v>
          </cell>
          <cell r="AE67" t="b">
            <v>1</v>
          </cell>
          <cell r="AF67" t="b">
            <v>0</v>
          </cell>
        </row>
        <row r="68">
          <cell r="B68" t="str">
            <v xml:space="preserve">   Income tax (benefit) provision adjustment</v>
          </cell>
          <cell r="C68">
            <v>324.60000000000002</v>
          </cell>
          <cell r="D68">
            <v>126.7</v>
          </cell>
          <cell r="E68">
            <v>0</v>
          </cell>
          <cell r="H68">
            <v>13.3</v>
          </cell>
          <cell r="J68">
            <v>73.031000000000006</v>
          </cell>
          <cell r="L68">
            <v>72.2</v>
          </cell>
          <cell r="N68">
            <v>83.067999999999998</v>
          </cell>
          <cell r="P68">
            <v>45.506</v>
          </cell>
          <cell r="R68">
            <v>37.673000000000002</v>
          </cell>
          <cell r="T68">
            <v>37.673000000000002</v>
          </cell>
          <cell r="V68">
            <v>37.673000000000002</v>
          </cell>
          <cell r="AB68" t="str">
            <v>mstag:taxOnOtherProvisionsOneTime</v>
          </cell>
          <cell r="AC68">
            <v>6</v>
          </cell>
          <cell r="AD68" t="str">
            <v>ISO4217:USD</v>
          </cell>
          <cell r="AE68" t="b">
            <v>0</v>
          </cell>
          <cell r="AF68" t="b">
            <v>0</v>
          </cell>
        </row>
        <row r="69">
          <cell r="B69" t="str">
            <v xml:space="preserve">   Effect of accounting change</v>
          </cell>
          <cell r="C69">
            <v>0</v>
          </cell>
          <cell r="D69">
            <v>-57.8</v>
          </cell>
          <cell r="E69">
            <v>-5.6</v>
          </cell>
          <cell r="H69">
            <v>-47</v>
          </cell>
          <cell r="AB69" t="str">
            <v>mstag:cumulativeEffectOfChangeInAccountingPrincipleNetOfTax</v>
          </cell>
          <cell r="AC69">
            <v>6</v>
          </cell>
          <cell r="AD69" t="str">
            <v>ISO4217:USD</v>
          </cell>
          <cell r="AE69" t="b">
            <v>0</v>
          </cell>
          <cell r="AF69" t="b">
            <v>0</v>
          </cell>
        </row>
        <row r="70">
          <cell r="B70" t="str">
            <v xml:space="preserve">  GAAP Net income (loss)</v>
          </cell>
          <cell r="C70">
            <v>-1157.5410000000002</v>
          </cell>
          <cell r="D70">
            <v>-73.963999999000151</v>
          </cell>
          <cell r="E70">
            <v>150.27400000000009</v>
          </cell>
          <cell r="F70">
            <v>-216.08444033035187</v>
          </cell>
          <cell r="H70">
            <v>562.45584265857758</v>
          </cell>
          <cell r="J70">
            <v>784.81199999999967</v>
          </cell>
          <cell r="L70">
            <v>1279.0240000000013</v>
          </cell>
          <cell r="N70">
            <v>1731.7880296800001</v>
          </cell>
          <cell r="P70">
            <v>2346.2055172820069</v>
          </cell>
          <cell r="R70">
            <v>3010.0769897997934</v>
          </cell>
          <cell r="T70">
            <v>3579.2035264931046</v>
          </cell>
          <cell r="V70">
            <v>4130.8413284121989</v>
          </cell>
        </row>
        <row r="71">
          <cell r="B71" t="str">
            <v>EARNINGS (LOSS) PER SHARE</v>
          </cell>
          <cell r="F71">
            <v>699.61799999999994</v>
          </cell>
          <cell r="H71">
            <v>457.53399999999999</v>
          </cell>
          <cell r="L71">
            <v>1139.4573944602898</v>
          </cell>
        </row>
        <row r="72">
          <cell r="B72" t="str">
            <v xml:space="preserve">   Basic</v>
          </cell>
          <cell r="C72">
            <v>-1.128515579300394</v>
          </cell>
          <cell r="D72">
            <v>-7.0822457432221667E-2</v>
          </cell>
          <cell r="E72">
            <v>0.14256981247355416</v>
          </cell>
          <cell r="F72">
            <v>-0.20807190343685381</v>
          </cell>
          <cell r="H72">
            <v>0.54372111602428674</v>
          </cell>
          <cell r="J72">
            <v>0.7437813043457655</v>
          </cell>
          <cell r="L72">
            <v>1.2124001850321164</v>
          </cell>
          <cell r="N72">
            <v>1.6430626467552183</v>
          </cell>
          <cell r="P72">
            <v>2.2266077359603678</v>
          </cell>
          <cell r="R72">
            <v>2.8566383728774283</v>
          </cell>
          <cell r="T72">
            <v>3.3967536952596245</v>
          </cell>
          <cell r="V72">
            <v>3.92027177078787</v>
          </cell>
        </row>
        <row r="73">
          <cell r="B73" t="str">
            <v xml:space="preserve">   Diluted</v>
          </cell>
          <cell r="C73">
            <v>-1.0931026016336938</v>
          </cell>
          <cell r="D73">
            <v>-6.898635830207242E-2</v>
          </cell>
          <cell r="E73">
            <v>0.14038513098806948</v>
          </cell>
          <cell r="F73">
            <v>-0.20600738317496523</v>
          </cell>
          <cell r="H73">
            <v>0.53347634086984586</v>
          </cell>
          <cell r="J73">
            <v>0.72721039205566262</v>
          </cell>
          <cell r="L73">
            <v>1.1832417625623421</v>
          </cell>
          <cell r="N73">
            <v>1.6109656090046514</v>
          </cell>
          <cell r="P73">
            <v>2.1891696107162537</v>
          </cell>
          <cell r="R73">
            <v>2.8134339509056185</v>
          </cell>
          <cell r="T73">
            <v>3.3588294016576903</v>
          </cell>
          <cell r="V73">
            <v>3.8999216105509422</v>
          </cell>
        </row>
        <row r="74">
          <cell r="B74" t="str">
            <v>Period End Basic Shares</v>
          </cell>
          <cell r="D74">
            <v>0</v>
          </cell>
          <cell r="E74">
            <v>527.79422299999999</v>
          </cell>
          <cell r="F74">
            <v>1025.155974</v>
          </cell>
          <cell r="H74">
            <v>1047.3900000000001</v>
          </cell>
          <cell r="J74">
            <v>1047.127</v>
          </cell>
          <cell r="L74">
            <v>1053.713</v>
          </cell>
          <cell r="N74">
            <v>1053.713</v>
          </cell>
          <cell r="P74">
            <v>1053.713</v>
          </cell>
          <cell r="R74">
            <v>1053.713</v>
          </cell>
          <cell r="T74">
            <v>1053.713</v>
          </cell>
          <cell r="V74">
            <v>0</v>
          </cell>
        </row>
        <row r="75">
          <cell r="B75" t="str">
            <v>Federal tax rate</v>
          </cell>
          <cell r="C75">
            <v>0.35</v>
          </cell>
          <cell r="D75">
            <v>0.35</v>
          </cell>
          <cell r="E75">
            <v>0.35</v>
          </cell>
          <cell r="F75">
            <v>0.35</v>
          </cell>
          <cell r="H75">
            <v>0.35</v>
          </cell>
          <cell r="J75">
            <v>0.35</v>
          </cell>
          <cell r="L75">
            <v>0.35</v>
          </cell>
          <cell r="N75">
            <v>0.35</v>
          </cell>
          <cell r="P75">
            <v>0.35</v>
          </cell>
          <cell r="R75">
            <v>0.35</v>
          </cell>
          <cell r="T75">
            <v>0.35</v>
          </cell>
          <cell r="V75">
            <v>0.35</v>
          </cell>
        </row>
        <row r="76">
          <cell r="B76" t="str">
            <v xml:space="preserve">     Federal taxes</v>
          </cell>
          <cell r="C76">
            <v>-527.51800000000003</v>
          </cell>
          <cell r="D76">
            <v>1.391</v>
          </cell>
          <cell r="E76">
            <v>99.045000000000002</v>
          </cell>
          <cell r="F76">
            <v>10.412000000000001</v>
          </cell>
        </row>
        <row r="77">
          <cell r="B77" t="str">
            <v>Statutory tax rate</v>
          </cell>
          <cell r="C77">
            <v>0.36520971796223067</v>
          </cell>
          <cell r="D77">
            <v>0.5913012221423436</v>
          </cell>
          <cell r="E77">
            <v>0.40731384724115299</v>
          </cell>
          <cell r="F77">
            <v>0.37813580484056852</v>
          </cell>
          <cell r="H77">
            <v>0.32364976429312847</v>
          </cell>
          <cell r="J77">
            <v>0.36207709431617907</v>
          </cell>
          <cell r="L77">
            <v>0.36750724212165659</v>
          </cell>
          <cell r="N77">
            <v>0.3729296918045219</v>
          </cell>
          <cell r="P77">
            <v>0.373</v>
          </cell>
          <cell r="R77">
            <v>0.373</v>
          </cell>
          <cell r="T77">
            <v>0.373</v>
          </cell>
          <cell r="V77">
            <v>0.373</v>
          </cell>
          <cell r="AB77" t="str">
            <v>mstag:statutoryTaxRate</v>
          </cell>
          <cell r="AC77">
            <v>0</v>
          </cell>
          <cell r="AD77" t="str">
            <v>ms_eqr_gcim_Decimal:ms_eqr_gcim_decimal</v>
          </cell>
          <cell r="AE77" t="b">
            <v>0</v>
          </cell>
          <cell r="AF77" t="b">
            <v>0</v>
          </cell>
        </row>
        <row r="78">
          <cell r="B78" t="str">
            <v xml:space="preserve">     State taxes</v>
          </cell>
          <cell r="C78">
            <v>-22.923999999999999</v>
          </cell>
          <cell r="D78">
            <v>0.95899999999999996</v>
          </cell>
          <cell r="E78">
            <v>16.219000000000001</v>
          </cell>
          <cell r="F78">
            <v>0.83699999999999997</v>
          </cell>
        </row>
        <row r="79">
          <cell r="B79" t="str">
            <v>Unrecorded Goodwill</v>
          </cell>
          <cell r="D79">
            <v>0</v>
          </cell>
          <cell r="E79">
            <v>0</v>
          </cell>
          <cell r="F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AB79" t="str">
            <v>mstag:unrecordedGoodwillFromPoolingAndAmortizedOrWrittenOffGoodwill</v>
          </cell>
          <cell r="AC79">
            <v>6</v>
          </cell>
          <cell r="AD79" t="str">
            <v>ISO4217:USD</v>
          </cell>
          <cell r="AE79" t="b">
            <v>0</v>
          </cell>
          <cell r="AF79" t="b">
            <v>0</v>
          </cell>
        </row>
        <row r="80">
          <cell r="B80" t="str">
            <v>Common Dividends</v>
          </cell>
          <cell r="D80">
            <v>0</v>
          </cell>
          <cell r="E80">
            <v>0</v>
          </cell>
          <cell r="F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AB80" t="str">
            <v>mstag:commonDividends</v>
          </cell>
          <cell r="AC80">
            <v>6</v>
          </cell>
          <cell r="AD80" t="str">
            <v>ISO4217:USD</v>
          </cell>
          <cell r="AE80" t="b">
            <v>0</v>
          </cell>
          <cell r="AF80" t="b">
            <v>0</v>
          </cell>
        </row>
        <row r="82">
          <cell r="B82" t="str">
            <v>ROYALTIES</v>
          </cell>
        </row>
        <row r="83">
          <cell r="B83" t="str">
            <v>Rituxan Ex-US Royalty ($M)</v>
          </cell>
          <cell r="N83">
            <v>186.5</v>
          </cell>
          <cell r="P83">
            <v>214.47500000000002</v>
          </cell>
          <cell r="R83">
            <v>231.63300000000001</v>
          </cell>
          <cell r="T83">
            <v>247.84731000000002</v>
          </cell>
          <cell r="V83">
            <v>315.26177832000002</v>
          </cell>
        </row>
        <row r="84">
          <cell r="B84" t="str">
            <v>Rituxan Royalty Rate (%)</v>
          </cell>
          <cell r="N84">
            <v>0.1</v>
          </cell>
          <cell r="P84">
            <v>0.1</v>
          </cell>
          <cell r="R84">
            <v>0.1</v>
          </cell>
          <cell r="T84">
            <v>0.1</v>
          </cell>
          <cell r="V84">
            <v>0.12</v>
          </cell>
        </row>
        <row r="85">
          <cell r="B85" t="str">
            <v>Avastin Ex-US Royalty ($M)</v>
          </cell>
          <cell r="N85">
            <v>84.75</v>
          </cell>
          <cell r="P85">
            <v>150</v>
          </cell>
          <cell r="R85">
            <v>277.5</v>
          </cell>
          <cell r="T85">
            <v>375</v>
          </cell>
          <cell r="V85">
            <v>435</v>
          </cell>
        </row>
        <row r="86">
          <cell r="B86" t="str">
            <v>Avastin Royalty Rate (%)</v>
          </cell>
          <cell r="N86">
            <v>0.15</v>
          </cell>
          <cell r="P86">
            <v>0.15</v>
          </cell>
          <cell r="R86">
            <v>0.15</v>
          </cell>
          <cell r="T86">
            <v>0.15</v>
          </cell>
          <cell r="V86">
            <v>0.15</v>
          </cell>
        </row>
        <row r="87">
          <cell r="B87" t="str">
            <v>Herceptin Ex-US Royalty ($M)</v>
          </cell>
          <cell r="N87">
            <v>341.875</v>
          </cell>
          <cell r="P87">
            <v>407.96875</v>
          </cell>
          <cell r="R87">
            <v>434.40625</v>
          </cell>
          <cell r="T87">
            <v>452.25156250000003</v>
          </cell>
          <cell r="V87">
            <v>467.241625</v>
          </cell>
        </row>
        <row r="88">
          <cell r="B88" t="str">
            <v>Herceptin Ex-US Sales ($M)</v>
          </cell>
          <cell r="N88">
            <v>1175</v>
          </cell>
          <cell r="P88">
            <v>1468.75</v>
          </cell>
          <cell r="R88">
            <v>1586.25</v>
          </cell>
          <cell r="T88">
            <v>1665.5625</v>
          </cell>
          <cell r="V88">
            <v>1732.1849999999999</v>
          </cell>
        </row>
        <row r="89">
          <cell r="B89" t="str">
            <v>Royalty - $500M</v>
          </cell>
          <cell r="N89">
            <v>100</v>
          </cell>
          <cell r="P89">
            <v>100</v>
          </cell>
          <cell r="R89">
            <v>100</v>
          </cell>
          <cell r="T89">
            <v>100</v>
          </cell>
          <cell r="V89">
            <v>100</v>
          </cell>
        </row>
        <row r="90">
          <cell r="B90" t="str">
            <v>Royalty rate (%)</v>
          </cell>
          <cell r="N90">
            <v>0.2</v>
          </cell>
          <cell r="P90">
            <v>0.2</v>
          </cell>
          <cell r="R90">
            <v>0.2</v>
          </cell>
          <cell r="T90">
            <v>0.2</v>
          </cell>
          <cell r="V90">
            <v>0.2</v>
          </cell>
        </row>
        <row r="91">
          <cell r="B91" t="str">
            <v>Royalty - After $500M</v>
          </cell>
          <cell r="N91">
            <v>241.875</v>
          </cell>
          <cell r="P91">
            <v>307.96875</v>
          </cell>
          <cell r="R91">
            <v>334.40625</v>
          </cell>
          <cell r="T91">
            <v>352.25156250000003</v>
          </cell>
          <cell r="V91">
            <v>367.241625</v>
          </cell>
        </row>
        <row r="92">
          <cell r="B92" t="str">
            <v>Royalty rate (%)</v>
          </cell>
          <cell r="N92">
            <v>0.22500000000000001</v>
          </cell>
          <cell r="P92">
            <v>0.22500000000000001</v>
          </cell>
          <cell r="R92">
            <v>0.22500000000000001</v>
          </cell>
          <cell r="T92">
            <v>0.22500000000000001</v>
          </cell>
          <cell r="V92">
            <v>0.22500000000000001</v>
          </cell>
        </row>
        <row r="93">
          <cell r="B93" t="str">
            <v>Lucentis Ex-US Royalty ($M)</v>
          </cell>
          <cell r="N93">
            <v>0</v>
          </cell>
          <cell r="P93">
            <v>25</v>
          </cell>
          <cell r="R93">
            <v>75</v>
          </cell>
          <cell r="T93">
            <v>112.5</v>
          </cell>
          <cell r="V93">
            <v>137.5</v>
          </cell>
        </row>
        <row r="94">
          <cell r="B94" t="str">
            <v>Lucentis COGS (%)</v>
          </cell>
          <cell r="N94">
            <v>0.25</v>
          </cell>
          <cell r="P94">
            <v>0.25</v>
          </cell>
          <cell r="R94">
            <v>0.25</v>
          </cell>
          <cell r="T94">
            <v>0.25</v>
          </cell>
          <cell r="V94">
            <v>0.25</v>
          </cell>
        </row>
        <row r="95">
          <cell r="B95" t="str">
            <v>Raptiva Ex-US Royalty ($M)</v>
          </cell>
          <cell r="N95">
            <v>6.4756240620749992</v>
          </cell>
          <cell r="P95">
            <v>6.8032906396159953</v>
          </cell>
          <cell r="R95">
            <v>7.1475371459805652</v>
          </cell>
          <cell r="T95">
            <v>7.5092025255671828</v>
          </cell>
          <cell r="V95">
            <v>7.8891681733608801</v>
          </cell>
        </row>
        <row r="96">
          <cell r="B96" t="str">
            <v>Cabilly Royalty ($M)</v>
          </cell>
          <cell r="L96">
            <v>70</v>
          </cell>
          <cell r="N96">
            <v>80.5</v>
          </cell>
          <cell r="O96">
            <v>0.15</v>
          </cell>
          <cell r="P96">
            <v>92.574999999999989</v>
          </cell>
          <cell r="Q96">
            <v>0.15</v>
          </cell>
          <cell r="R96">
            <v>109.23849999999999</v>
          </cell>
          <cell r="S96">
            <v>0.18</v>
          </cell>
          <cell r="T96">
            <v>131.08619999999999</v>
          </cell>
          <cell r="U96">
            <v>0.2</v>
          </cell>
          <cell r="V96">
            <v>163.85774999999998</v>
          </cell>
          <cell r="W96">
            <v>0.25</v>
          </cell>
        </row>
        <row r="97">
          <cell r="B97" t="str">
            <v>Other Royalties ($M)</v>
          </cell>
          <cell r="N97">
            <v>440</v>
          </cell>
          <cell r="P97">
            <v>484.00000000000006</v>
          </cell>
          <cell r="Q97">
            <v>0.1</v>
          </cell>
          <cell r="R97">
            <v>532.40000000000009</v>
          </cell>
          <cell r="S97">
            <v>0.1</v>
          </cell>
          <cell r="T97">
            <v>585.6400000000001</v>
          </cell>
          <cell r="U97">
            <v>0.1</v>
          </cell>
          <cell r="V97">
            <v>644.20400000000018</v>
          </cell>
          <cell r="W97">
            <v>0.1</v>
          </cell>
        </row>
        <row r="98">
          <cell r="B98" t="str">
            <v>TOTAL ROYALTIES</v>
          </cell>
          <cell r="N98">
            <v>1140.100624062075</v>
          </cell>
          <cell r="P98">
            <v>1380.8220406396158</v>
          </cell>
          <cell r="R98">
            <v>1667.3252871459806</v>
          </cell>
          <cell r="T98">
            <v>1911.8342750255674</v>
          </cell>
          <cell r="V98">
            <v>2170.954321493361</v>
          </cell>
        </row>
        <row r="100">
          <cell r="B100" t="str">
            <v>COGS</v>
          </cell>
        </row>
        <row r="101">
          <cell r="B101" t="str">
            <v>Rituxan US COGS ($M)</v>
          </cell>
          <cell r="P101">
            <v>297.70939266920749</v>
          </cell>
          <cell r="R101">
            <v>330.13953356203393</v>
          </cell>
          <cell r="T101">
            <v>361.38962422106277</v>
          </cell>
          <cell r="V101">
            <v>394.45</v>
          </cell>
        </row>
        <row r="102">
          <cell r="B102" t="str">
            <v>Rituxan US COGS (%)</v>
          </cell>
          <cell r="P102">
            <v>0.1225</v>
          </cell>
          <cell r="R102">
            <v>0.1225</v>
          </cell>
          <cell r="T102">
            <v>0.1225</v>
          </cell>
          <cell r="V102">
            <v>0.1225</v>
          </cell>
        </row>
        <row r="103">
          <cell r="B103" t="str">
            <v>Avastin US COGS ($M)</v>
          </cell>
          <cell r="P103">
            <v>338.15533923473572</v>
          </cell>
          <cell r="R103">
            <v>456.25553488746044</v>
          </cell>
          <cell r="T103">
            <v>554.96139897186345</v>
          </cell>
          <cell r="V103">
            <v>636.86124684705521</v>
          </cell>
        </row>
        <row r="104">
          <cell r="B104" t="str">
            <v>Avastin US COGS (%)</v>
          </cell>
          <cell r="P104">
            <v>0.12</v>
          </cell>
          <cell r="R104">
            <v>0.12</v>
          </cell>
          <cell r="T104">
            <v>0.12</v>
          </cell>
          <cell r="V104">
            <v>0.12</v>
          </cell>
        </row>
        <row r="105">
          <cell r="B105" t="str">
            <v>Herceptin US COGS ($M)</v>
          </cell>
          <cell r="P105">
            <v>188.03529142302889</v>
          </cell>
          <cell r="R105">
            <v>201.22743725388611</v>
          </cell>
          <cell r="T105">
            <v>212.71601293076185</v>
          </cell>
          <cell r="V105">
            <v>224.86570784728451</v>
          </cell>
        </row>
        <row r="106">
          <cell r="B106" t="str">
            <v>Herceptin US COGS (%)</v>
          </cell>
          <cell r="P106">
            <v>0.12</v>
          </cell>
          <cell r="R106">
            <v>0.12</v>
          </cell>
          <cell r="T106">
            <v>0.12</v>
          </cell>
          <cell r="V106">
            <v>0.12</v>
          </cell>
        </row>
        <row r="107">
          <cell r="B107" t="str">
            <v>Lucentis COGS ($M)</v>
          </cell>
          <cell r="P107">
            <v>36</v>
          </cell>
          <cell r="R107">
            <v>44</v>
          </cell>
          <cell r="T107">
            <v>48</v>
          </cell>
          <cell r="V107">
            <v>52</v>
          </cell>
        </row>
        <row r="108">
          <cell r="B108" t="str">
            <v>Lucentis COGS (%)</v>
          </cell>
          <cell r="P108">
            <v>0.08</v>
          </cell>
          <cell r="R108">
            <v>0.08</v>
          </cell>
          <cell r="T108">
            <v>0.08</v>
          </cell>
          <cell r="V108">
            <v>0.08</v>
          </cell>
        </row>
        <row r="109">
          <cell r="B109" t="str">
            <v>Tarceva COGS ($M)</v>
          </cell>
          <cell r="P109">
            <v>27.886133421897846</v>
          </cell>
          <cell r="R109">
            <v>31.358250204914803</v>
          </cell>
          <cell r="T109">
            <v>35.47312452941911</v>
          </cell>
          <cell r="V109">
            <v>38.738165421000645</v>
          </cell>
        </row>
        <row r="110">
          <cell r="B110" t="str">
            <v>Xolair COGS ($M)</v>
          </cell>
          <cell r="P110">
            <v>162.55170346477431</v>
          </cell>
          <cell r="R110">
            <v>171.61265728377725</v>
          </cell>
          <cell r="T110">
            <v>183.38112754984081</v>
          </cell>
          <cell r="V110">
            <v>196.51930021468087</v>
          </cell>
        </row>
        <row r="111">
          <cell r="B111" t="str">
            <v>Xolair US COGS ($M))</v>
          </cell>
          <cell r="P111">
            <v>142.32963792903627</v>
          </cell>
          <cell r="R111">
            <v>145.82952372571125</v>
          </cell>
          <cell r="T111">
            <v>148.31606591087103</v>
          </cell>
          <cell r="V111">
            <v>151.8113466249944</v>
          </cell>
        </row>
        <row r="112">
          <cell r="B112" t="str">
            <v>Xolair EU COGS ($M))</v>
          </cell>
          <cell r="P112">
            <v>20.222065535738043</v>
          </cell>
          <cell r="R112">
            <v>25.783133558066002</v>
          </cell>
          <cell r="T112">
            <v>35.065061638969773</v>
          </cell>
          <cell r="V112">
            <v>44.707953589686461</v>
          </cell>
        </row>
        <row r="113">
          <cell r="B113" t="str">
            <v>Raptiva COGS ($M)</v>
          </cell>
          <cell r="P113">
            <v>31.567268567818218</v>
          </cell>
          <cell r="R113">
            <v>30.496158489517082</v>
          </cell>
          <cell r="T113">
            <v>32.039264109086645</v>
          </cell>
          <cell r="V113">
            <v>33.660450873006425</v>
          </cell>
        </row>
        <row r="114">
          <cell r="B114" t="str">
            <v>Raptiva US COGS ($M))</v>
          </cell>
          <cell r="P114">
            <v>17.960687288586225</v>
          </cell>
          <cell r="R114">
            <v>16.20108419755595</v>
          </cell>
          <cell r="T114">
            <v>17.020859057952279</v>
          </cell>
          <cell r="V114">
            <v>17.882114526284667</v>
          </cell>
        </row>
        <row r="115">
          <cell r="B115" t="str">
            <v>Raptiva EU COGS ($M))</v>
          </cell>
          <cell r="P115">
            <v>13.606581279231992</v>
          </cell>
          <cell r="R115">
            <v>14.295074291961132</v>
          </cell>
          <cell r="T115">
            <v>15.018405051134366</v>
          </cell>
          <cell r="V115">
            <v>15.778336346721762</v>
          </cell>
        </row>
        <row r="116">
          <cell r="B116" t="str">
            <v>Other Products COGS ($M)</v>
          </cell>
          <cell r="P116">
            <v>102.06479999999999</v>
          </cell>
          <cell r="R116">
            <v>99.100427999999994</v>
          </cell>
          <cell r="T116">
            <v>103.70992788</v>
          </cell>
          <cell r="V116">
            <v>108.44268931079999</v>
          </cell>
        </row>
        <row r="117">
          <cell r="B117" t="str">
            <v>Other Products COGS (%)</v>
          </cell>
          <cell r="P117">
            <v>0.12</v>
          </cell>
          <cell r="R117">
            <v>0.12</v>
          </cell>
          <cell r="T117">
            <v>0.12</v>
          </cell>
          <cell r="V117">
            <v>0.12</v>
          </cell>
        </row>
        <row r="118">
          <cell r="B118" t="str">
            <v>COGS on Roche Transfer ($M)</v>
          </cell>
          <cell r="P118">
            <v>322.79000000000002</v>
          </cell>
          <cell r="R118">
            <v>254.88000000000002</v>
          </cell>
          <cell r="T118">
            <v>171.13247999999999</v>
          </cell>
          <cell r="V118">
            <v>89.022239999999996</v>
          </cell>
        </row>
        <row r="119">
          <cell r="B119" t="str">
            <v>Roche Transfer COGS (%)</v>
          </cell>
          <cell r="P119">
            <v>0.8</v>
          </cell>
          <cell r="R119">
            <v>0.8</v>
          </cell>
          <cell r="T119">
            <v>0.8</v>
          </cell>
          <cell r="V119">
            <v>0.8</v>
          </cell>
        </row>
        <row r="120">
          <cell r="B120" t="str">
            <v>TOTAL COGS</v>
          </cell>
          <cell r="P120">
            <v>1506.7599287814626</v>
          </cell>
          <cell r="R120">
            <v>1619.0699996815897</v>
          </cell>
          <cell r="T120">
            <v>1702.8029601920346</v>
          </cell>
          <cell r="V120">
            <v>1774.5598005138277</v>
          </cell>
        </row>
        <row r="122">
          <cell r="B122" t="str">
            <v>COLLABORATIVE</v>
          </cell>
        </row>
        <row r="123">
          <cell r="B123" t="str">
            <v>Rituxan Payment ($M)</v>
          </cell>
          <cell r="P123">
            <v>777.68984207466451</v>
          </cell>
          <cell r="R123">
            <v>862.40531216204784</v>
          </cell>
          <cell r="T123">
            <v>944.03820204685792</v>
          </cell>
          <cell r="V123">
            <v>1030.4000000000001</v>
          </cell>
        </row>
        <row r="124">
          <cell r="B124" t="str">
            <v>Rituxan payment (%)</v>
          </cell>
          <cell r="P124">
            <v>0.32</v>
          </cell>
          <cell r="R124">
            <v>0.32</v>
          </cell>
          <cell r="T124">
            <v>0.32</v>
          </cell>
          <cell r="V124">
            <v>0.32</v>
          </cell>
        </row>
        <row r="125">
          <cell r="B125" t="str">
            <v>Tarceva Payment ($M)</v>
          </cell>
          <cell r="P125">
            <v>266.36815092992731</v>
          </cell>
          <cell r="R125">
            <v>327.82412715160547</v>
          </cell>
          <cell r="T125">
            <v>371.21780755890063</v>
          </cell>
          <cell r="V125">
            <v>409.91598848300674</v>
          </cell>
        </row>
        <row r="126">
          <cell r="B126" t="str">
            <v>Xolair Payment ($M)</v>
          </cell>
          <cell r="P126">
            <v>138.81661576624447</v>
          </cell>
          <cell r="R126">
            <v>148.69147088800673</v>
          </cell>
          <cell r="T126">
            <v>162.04257240736885</v>
          </cell>
          <cell r="V126">
            <v>170.5998248078663</v>
          </cell>
        </row>
        <row r="127">
          <cell r="B127" t="str">
            <v>Payment to Genentech ($M)</v>
          </cell>
          <cell r="P127">
            <v>147.07395919333749</v>
          </cell>
          <cell r="R127">
            <v>169.2664114673434</v>
          </cell>
          <cell r="T127">
            <v>193.95177849883135</v>
          </cell>
          <cell r="V127">
            <v>212.53588527499218</v>
          </cell>
        </row>
        <row r="128">
          <cell r="B128" t="str">
            <v>DNA Ex-US Profit ($M)</v>
          </cell>
          <cell r="P128">
            <v>-8.2573434270930335</v>
          </cell>
          <cell r="R128">
            <v>-20.574940579336669</v>
          </cell>
          <cell r="T128">
            <v>-31.909206091462487</v>
          </cell>
          <cell r="V128">
            <v>-41.936060467125898</v>
          </cell>
        </row>
        <row r="129">
          <cell r="B129" t="str">
            <v>Raptiva Payment ($M)</v>
          </cell>
          <cell r="P129">
            <v>8.3907251221930608</v>
          </cell>
          <cell r="R129">
            <v>10.244803242572145</v>
          </cell>
          <cell r="T129">
            <v>10.763190286646296</v>
          </cell>
          <cell r="V129">
            <v>11.307807715150599</v>
          </cell>
        </row>
        <row r="130">
          <cell r="B130" t="str">
            <v>TOTAL PAYMENTS</v>
          </cell>
          <cell r="P130">
            <v>1191.2653338930295</v>
          </cell>
          <cell r="R130">
            <v>1349.1657134442321</v>
          </cell>
          <cell r="T130">
            <v>1488.0617722997738</v>
          </cell>
          <cell r="V130">
            <v>1622.2236210060237</v>
          </cell>
        </row>
        <row r="132">
          <cell r="B132" t="str">
            <v>Current Basic Shares Outstanding</v>
          </cell>
          <cell r="H132">
            <v>1060.6189999999999</v>
          </cell>
          <cell r="AB132" t="str">
            <v>mstag:currentBasicSharesOutstanding</v>
          </cell>
          <cell r="AC132">
            <v>6</v>
          </cell>
          <cell r="AD132" t="str">
            <v>ms_eqr_gcim_Decimal:ms_eqr_gcim_decimal</v>
          </cell>
          <cell r="AE132" t="b">
            <v>0</v>
          </cell>
          <cell r="AF132" t="b">
            <v>0</v>
          </cell>
        </row>
        <row r="133">
          <cell r="B133" t="str">
            <v>Current Diluted Shares Outstanding</v>
          </cell>
          <cell r="H133">
            <v>1087.087</v>
          </cell>
          <cell r="AB133" t="str">
            <v>mstag:currentDilutedSharesOutstanding</v>
          </cell>
          <cell r="AC133">
            <v>6</v>
          </cell>
          <cell r="AD133" t="str">
            <v>ms_eqr_gcim_Decimal:ms_eqr_gcim_decimal</v>
          </cell>
          <cell r="AE133" t="b">
            <v>0</v>
          </cell>
          <cell r="AF133" t="b">
            <v>0</v>
          </cell>
        </row>
        <row r="134">
          <cell r="B134" t="str">
            <v>INTEREST CALCULATIONS</v>
          </cell>
        </row>
        <row r="135">
          <cell r="B135" t="str">
            <v>Cash and Equivalents</v>
          </cell>
          <cell r="E135">
            <v>2662.1325000000002</v>
          </cell>
          <cell r="F135">
            <v>2233.3744999999999</v>
          </cell>
          <cell r="H135">
            <v>2268.1279213292892</v>
          </cell>
          <cell r="J135">
            <v>2857.4149213292885</v>
          </cell>
          <cell r="L135">
            <v>3297.1620000000003</v>
          </cell>
          <cell r="N135">
            <v>3702.1018822259666</v>
          </cell>
          <cell r="P135">
            <v>3956.9953926703447</v>
          </cell>
          <cell r="R135">
            <v>5353.6803473669661</v>
          </cell>
          <cell r="T135">
            <v>7971.2501559284938</v>
          </cell>
          <cell r="V135">
            <v>11307.855993356801</v>
          </cell>
        </row>
        <row r="136">
          <cell r="B136" t="str">
            <v>Return on assets</v>
          </cell>
          <cell r="E136">
            <v>5.071310312315408E-2</v>
          </cell>
          <cell r="F136">
            <v>4.8277617569288091E-2</v>
          </cell>
          <cell r="H136">
            <v>4.0917886124169002E-2</v>
          </cell>
          <cell r="J136">
            <v>2.8906197480614865E-2</v>
          </cell>
          <cell r="L136">
            <v>4.2733720696768916E-2</v>
          </cell>
          <cell r="N136">
            <v>3.5000000000000003E-2</v>
          </cell>
          <cell r="P136">
            <v>0.04</v>
          </cell>
          <cell r="R136">
            <v>0.04</v>
          </cell>
          <cell r="T136">
            <v>3.7499999999999999E-2</v>
          </cell>
          <cell r="V136">
            <v>3.7499999999999999E-2</v>
          </cell>
        </row>
        <row r="137">
          <cell r="B137" t="str">
            <v>Interest Income</v>
          </cell>
          <cell r="E137">
            <v>135.005</v>
          </cell>
          <cell r="F137">
            <v>107.822</v>
          </cell>
          <cell r="H137">
            <v>92.807000000000002</v>
          </cell>
          <cell r="J137">
            <v>82.597000000000008</v>
          </cell>
          <cell r="L137">
            <v>140.9</v>
          </cell>
          <cell r="N137">
            <v>129.57356587790883</v>
          </cell>
          <cell r="P137">
            <v>158.27981570681379</v>
          </cell>
          <cell r="R137">
            <v>214.14721389467866</v>
          </cell>
          <cell r="T137">
            <v>298.9218808473185</v>
          </cell>
          <cell r="V137">
            <v>424.04459975088002</v>
          </cell>
        </row>
        <row r="138">
          <cell r="B138" t="str">
            <v>Test</v>
          </cell>
          <cell r="J138">
            <v>82.597000000000008</v>
          </cell>
          <cell r="L138">
            <v>140.9</v>
          </cell>
          <cell r="N138">
            <v>228</v>
          </cell>
          <cell r="P138">
            <v>158.27981570681379</v>
          </cell>
          <cell r="R138">
            <v>214.14721389467866</v>
          </cell>
          <cell r="T138">
            <v>298.9218808473185</v>
          </cell>
          <cell r="V138">
            <v>424.04459975088002</v>
          </cell>
        </row>
        <row r="140">
          <cell r="B140" t="str">
            <v>Interest Bearing Obligations</v>
          </cell>
          <cell r="F140">
            <v>0</v>
          </cell>
          <cell r="H140">
            <v>412.25</v>
          </cell>
          <cell r="J140">
            <v>412.25</v>
          </cell>
          <cell r="L140">
            <v>2083.0239999999999</v>
          </cell>
          <cell r="N140">
            <v>2083.0239999999999</v>
          </cell>
          <cell r="P140">
            <v>2083.0239999999999</v>
          </cell>
          <cell r="R140">
            <v>2083.0239999999999</v>
          </cell>
          <cell r="T140">
            <v>2083.0239999999999</v>
          </cell>
          <cell r="V140">
            <v>1583.0239999999999</v>
          </cell>
        </row>
        <row r="141">
          <cell r="B141" t="str">
            <v>Interest Rate</v>
          </cell>
          <cell r="F141">
            <v>9.3300000000000005E-5</v>
          </cell>
          <cell r="L141">
            <v>-4.7720552427624449E-2</v>
          </cell>
          <cell r="N141">
            <v>-4.7720552427624449E-2</v>
          </cell>
          <cell r="P141">
            <v>-4.7720552427624449E-2</v>
          </cell>
          <cell r="R141">
            <v>-4.7720552427624449E-2</v>
          </cell>
          <cell r="T141">
            <v>-4.7720552427624449E-2</v>
          </cell>
          <cell r="V141">
            <v>-4.8895693305976408E-2</v>
          </cell>
        </row>
        <row r="142">
          <cell r="B142" t="str">
            <v>Interest Expense</v>
          </cell>
          <cell r="F142">
            <v>0</v>
          </cell>
          <cell r="L142">
            <v>-99.403055999999992</v>
          </cell>
          <cell r="N142">
            <v>-99.403055999999992</v>
          </cell>
          <cell r="P142">
            <v>-99.403055999999992</v>
          </cell>
          <cell r="R142">
            <v>-99.403055999999992</v>
          </cell>
          <cell r="T142">
            <v>-99.403055999999992</v>
          </cell>
          <cell r="V142">
            <v>-77.403055999999992</v>
          </cell>
        </row>
        <row r="143">
          <cell r="B143" t="str">
            <v>Debt #1</v>
          </cell>
          <cell r="F143">
            <v>554.72799999999995</v>
          </cell>
          <cell r="H143">
            <v>623.29</v>
          </cell>
          <cell r="J143">
            <v>703.12</v>
          </cell>
          <cell r="L143">
            <v>583.02399999999989</v>
          </cell>
          <cell r="N143">
            <v>583.02399999999989</v>
          </cell>
          <cell r="P143">
            <v>583.02399999999989</v>
          </cell>
          <cell r="R143">
            <v>583.02399999999989</v>
          </cell>
          <cell r="T143">
            <v>583.02399999999989</v>
          </cell>
          <cell r="V143">
            <v>83.023999999999887</v>
          </cell>
        </row>
        <row r="144">
          <cell r="B144" t="str">
            <v>Interest Rate</v>
          </cell>
          <cell r="F144">
            <v>9.3300000000000005E-5</v>
          </cell>
          <cell r="H144">
            <v>9.3300000000000005E-5</v>
          </cell>
          <cell r="J144">
            <v>9.3300000000000005E-5</v>
          </cell>
          <cell r="L144">
            <v>4.3999999999999997E-2</v>
          </cell>
          <cell r="N144">
            <v>4.3999999999999997E-2</v>
          </cell>
          <cell r="P144">
            <v>4.3999999999999997E-2</v>
          </cell>
          <cell r="R144">
            <v>4.3999999999999997E-2</v>
          </cell>
          <cell r="T144">
            <v>4.3999999999999997E-2</v>
          </cell>
          <cell r="V144">
            <v>4.3999999999999997E-2</v>
          </cell>
        </row>
        <row r="145">
          <cell r="B145" t="str">
            <v>Interest Expense</v>
          </cell>
          <cell r="F145">
            <v>5.17561224E-2</v>
          </cell>
          <cell r="H145">
            <v>5.8152956999999998E-2</v>
          </cell>
          <cell r="J145">
            <v>6.5601095999999998E-2</v>
          </cell>
          <cell r="L145">
            <v>25.653055999999992</v>
          </cell>
          <cell r="N145">
            <v>25.653055999999992</v>
          </cell>
          <cell r="P145">
            <v>25.653055999999992</v>
          </cell>
          <cell r="R145">
            <v>25.653055999999992</v>
          </cell>
          <cell r="T145">
            <v>25.653055999999992</v>
          </cell>
          <cell r="V145">
            <v>3.653055999999995</v>
          </cell>
        </row>
        <row r="146">
          <cell r="B146" t="str">
            <v>Debt #2</v>
          </cell>
          <cell r="F146">
            <v>0</v>
          </cell>
          <cell r="H146">
            <v>0</v>
          </cell>
          <cell r="J146">
            <v>0</v>
          </cell>
          <cell r="L146">
            <v>1000</v>
          </cell>
          <cell r="N146">
            <v>1000</v>
          </cell>
          <cell r="P146">
            <v>1000</v>
          </cell>
          <cell r="R146">
            <v>1000</v>
          </cell>
          <cell r="T146">
            <v>1000</v>
          </cell>
          <cell r="V146">
            <v>1000</v>
          </cell>
        </row>
        <row r="147">
          <cell r="B147" t="str">
            <v>Interest Rate</v>
          </cell>
          <cell r="F147">
            <v>9.3300000000000005E-5</v>
          </cell>
          <cell r="H147">
            <v>0</v>
          </cell>
          <cell r="J147">
            <v>0</v>
          </cell>
          <cell r="L147">
            <v>4.7500000000000001E-2</v>
          </cell>
          <cell r="N147">
            <v>4.7500000000000001E-2</v>
          </cell>
          <cell r="P147">
            <v>4.7500000000000001E-2</v>
          </cell>
          <cell r="R147">
            <v>4.7500000000000001E-2</v>
          </cell>
          <cell r="T147">
            <v>4.7500000000000001E-2</v>
          </cell>
          <cell r="V147">
            <v>4.7500000000000001E-2</v>
          </cell>
        </row>
        <row r="148">
          <cell r="B148" t="str">
            <v>Interest Expense</v>
          </cell>
          <cell r="F148">
            <v>0</v>
          </cell>
          <cell r="H148">
            <v>0</v>
          </cell>
          <cell r="J148">
            <v>0</v>
          </cell>
          <cell r="L148">
            <v>47.5</v>
          </cell>
          <cell r="N148">
            <v>47.5</v>
          </cell>
          <cell r="P148">
            <v>47.5</v>
          </cell>
          <cell r="R148">
            <v>47.5</v>
          </cell>
          <cell r="T148">
            <v>47.5</v>
          </cell>
          <cell r="V148">
            <v>47.5</v>
          </cell>
        </row>
        <row r="149">
          <cell r="B149" t="str">
            <v>Debt #3</v>
          </cell>
          <cell r="F149">
            <v>-1590.366</v>
          </cell>
          <cell r="H149">
            <v>0</v>
          </cell>
          <cell r="J149">
            <v>0</v>
          </cell>
          <cell r="L149">
            <v>500</v>
          </cell>
          <cell r="N149">
            <v>500</v>
          </cell>
          <cell r="P149">
            <v>500</v>
          </cell>
          <cell r="R149">
            <v>500</v>
          </cell>
          <cell r="T149">
            <v>500</v>
          </cell>
          <cell r="V149">
            <v>500</v>
          </cell>
        </row>
        <row r="150">
          <cell r="B150" t="str">
            <v>Interest Rate</v>
          </cell>
          <cell r="F150">
            <v>9.3300000000000005E-5</v>
          </cell>
          <cell r="H150">
            <v>0</v>
          </cell>
          <cell r="J150">
            <v>0</v>
          </cell>
          <cell r="L150">
            <v>5.2499999999999998E-2</v>
          </cell>
          <cell r="N150">
            <v>5.2499999999999998E-2</v>
          </cell>
          <cell r="P150">
            <v>5.2499999999999998E-2</v>
          </cell>
          <cell r="R150">
            <v>5.2499999999999998E-2</v>
          </cell>
          <cell r="T150">
            <v>5.2499999999999998E-2</v>
          </cell>
          <cell r="V150">
            <v>5.2499999999999998E-2</v>
          </cell>
        </row>
        <row r="151">
          <cell r="B151" t="str">
            <v>Interest Expense</v>
          </cell>
          <cell r="F151">
            <v>-0.1483811478</v>
          </cell>
          <cell r="H151">
            <v>0</v>
          </cell>
          <cell r="J151">
            <v>0</v>
          </cell>
          <cell r="L151">
            <v>26.25</v>
          </cell>
          <cell r="N151">
            <v>26.25</v>
          </cell>
          <cell r="P151">
            <v>26.25</v>
          </cell>
          <cell r="R151">
            <v>26.25</v>
          </cell>
          <cell r="T151">
            <v>26.25</v>
          </cell>
          <cell r="V151">
            <v>26.25</v>
          </cell>
        </row>
        <row r="152">
          <cell r="D152" t="str">
            <v>2000A</v>
          </cell>
          <cell r="E152" t="str">
            <v>2001A</v>
          </cell>
          <cell r="F152" t="str">
            <v>2002A</v>
          </cell>
          <cell r="H152" t="str">
            <v>2003A</v>
          </cell>
          <cell r="I152" t="str">
            <v>2004E</v>
          </cell>
          <cell r="J152" t="str">
            <v>2005E</v>
          </cell>
          <cell r="K152" t="str">
            <v>2006E</v>
          </cell>
          <cell r="L152" t="str">
            <v>2007E</v>
          </cell>
          <cell r="M152" t="str">
            <v>2008E</v>
          </cell>
          <cell r="N152" t="str">
            <v>2009E</v>
          </cell>
          <cell r="O152" t="str">
            <v>2010E</v>
          </cell>
        </row>
        <row r="153">
          <cell r="B153" t="str">
            <v>RNOA</v>
          </cell>
        </row>
        <row r="154">
          <cell r="B154" t="str">
            <v>ROE</v>
          </cell>
        </row>
        <row r="155">
          <cell r="B155" t="str">
            <v>Operating Margin</v>
          </cell>
          <cell r="D155">
            <v>0.23109484655632037</v>
          </cell>
          <cell r="E155">
            <v>0.22983837826413678</v>
          </cell>
          <cell r="F155">
            <v>0.24055711926676934</v>
          </cell>
          <cell r="H155">
            <v>0.25620589712352548</v>
          </cell>
          <cell r="I155">
            <v>0.28551025707608407</v>
          </cell>
          <cell r="J155">
            <v>0.31694360513418202</v>
          </cell>
          <cell r="K155">
            <v>0.35652364818932586</v>
          </cell>
          <cell r="L155">
            <v>0.39079481045141073</v>
          </cell>
          <cell r="M155">
            <v>0.41648950612743196</v>
          </cell>
          <cell r="N155">
            <v>0.43423843372946319</v>
          </cell>
          <cell r="O155">
            <v>0.45021543822400667</v>
          </cell>
        </row>
        <row r="193">
          <cell r="N193">
            <v>44.013721844271316</v>
          </cell>
          <cell r="P193">
            <v>33.29289312441832</v>
          </cell>
          <cell r="R193">
            <v>26.640507605564949</v>
          </cell>
          <cell r="T193">
            <v>22.631589842223477</v>
          </cell>
          <cell r="V193">
            <v>19.727270219320825</v>
          </cell>
        </row>
      </sheetData>
      <sheetData sheetId="8" refreshError="1">
        <row r="1">
          <cell r="B1" t="str">
            <v>Genentech Balance Sheet</v>
          </cell>
          <cell r="Y1" t="str">
            <v>ElementName</v>
          </cell>
          <cell r="Z1" t="str">
            <v>ScaleOverride</v>
          </cell>
          <cell r="AA1" t="str">
            <v>UnitOverride</v>
          </cell>
          <cell r="AB1" t="str">
            <v>ReverseSign</v>
          </cell>
          <cell r="AC1" t="str">
            <v>IsDrivingAssumption</v>
          </cell>
          <cell r="AD1" t="str">
            <v>SegmentID</v>
          </cell>
        </row>
        <row r="2">
          <cell r="B2" t="str">
            <v>(Dollars in millions)</v>
          </cell>
        </row>
        <row r="4">
          <cell r="C4" t="str">
            <v>1999A</v>
          </cell>
          <cell r="D4" t="str">
            <v>2000A</v>
          </cell>
          <cell r="E4" t="str">
            <v>2001A</v>
          </cell>
          <cell r="F4" t="str">
            <v>2002A</v>
          </cell>
          <cell r="H4" t="str">
            <v>2003A</v>
          </cell>
          <cell r="J4" t="str">
            <v>2004A</v>
          </cell>
          <cell r="L4" t="str">
            <v>2005A</v>
          </cell>
          <cell r="N4" t="str">
            <v>2006E</v>
          </cell>
          <cell r="P4" t="str">
            <v>2007E</v>
          </cell>
          <cell r="R4" t="str">
            <v>2008E</v>
          </cell>
          <cell r="T4" t="str">
            <v>2009E</v>
          </cell>
          <cell r="V4" t="str">
            <v>2010E</v>
          </cell>
        </row>
        <row r="6">
          <cell r="B6" t="str">
            <v>Cash and Equivalents</v>
          </cell>
          <cell r="D6">
            <v>551.38400000000001</v>
          </cell>
          <cell r="E6">
            <v>395.20299999999997</v>
          </cell>
          <cell r="F6">
            <v>208.13</v>
          </cell>
          <cell r="H6">
            <v>371.87784265857772</v>
          </cell>
          <cell r="J6">
            <v>270.12299999999999</v>
          </cell>
          <cell r="L6">
            <v>1225.511</v>
          </cell>
          <cell r="N6">
            <v>1001.9307644519329</v>
          </cell>
          <cell r="P6">
            <v>1235.2980208887568</v>
          </cell>
          <cell r="R6">
            <v>2295.300673845175</v>
          </cell>
          <cell r="T6">
            <v>3470.4376380118142</v>
          </cell>
          <cell r="V6">
            <v>4968.5123487017881</v>
          </cell>
          <cell r="Y6" t="str">
            <v>mstag:cashAndCashEquivalents</v>
          </cell>
          <cell r="Z6">
            <v>6</v>
          </cell>
          <cell r="AA6" t="str">
            <v>ISO4217:USD</v>
          </cell>
          <cell r="AB6" t="b">
            <v>0</v>
          </cell>
          <cell r="AC6" t="b">
            <v>0</v>
          </cell>
        </row>
        <row r="7">
          <cell r="B7" t="str">
            <v>Short-term investments</v>
          </cell>
          <cell r="D7">
            <v>642.47500000000002</v>
          </cell>
          <cell r="E7">
            <v>952.875</v>
          </cell>
          <cell r="F7">
            <v>826.44200000000001</v>
          </cell>
          <cell r="H7">
            <v>1139.6199999999999</v>
          </cell>
          <cell r="J7">
            <v>1394.982</v>
          </cell>
          <cell r="L7">
            <v>1139.6500000000001</v>
          </cell>
          <cell r="N7">
            <v>1139.6500000000001</v>
          </cell>
          <cell r="P7">
            <v>1264.6500000000001</v>
          </cell>
          <cell r="R7">
            <v>1514.65</v>
          </cell>
          <cell r="T7">
            <v>2014.65</v>
          </cell>
          <cell r="V7">
            <v>2514.65</v>
          </cell>
          <cell r="Y7" t="str">
            <v>mstag:shortTermInvestments</v>
          </cell>
          <cell r="Z7">
            <v>6</v>
          </cell>
          <cell r="AA7" t="str">
            <v>ISO4217:USD</v>
          </cell>
          <cell r="AB7" t="b">
            <v>0</v>
          </cell>
          <cell r="AC7" t="b">
            <v>0</v>
          </cell>
        </row>
        <row r="8">
          <cell r="B8" t="str">
            <v>Receivables, trade</v>
          </cell>
          <cell r="D8">
            <v>162.12100000000001</v>
          </cell>
          <cell r="E8">
            <v>193.203</v>
          </cell>
          <cell r="F8">
            <v>224.34299999999999</v>
          </cell>
          <cell r="H8">
            <v>299.10000000000002</v>
          </cell>
          <cell r="J8">
            <v>599.05200000000002</v>
          </cell>
          <cell r="L8">
            <v>554.45500000000004</v>
          </cell>
          <cell r="N8">
            <v>760.03000000000009</v>
          </cell>
          <cell r="P8">
            <v>939.92709347360233</v>
          </cell>
          <cell r="R8">
            <v>1092.0155259251524</v>
          </cell>
          <cell r="T8">
            <v>1122.0029983011618</v>
          </cell>
          <cell r="V8">
            <v>1051.8739766251808</v>
          </cell>
          <cell r="Y8" t="str">
            <v>mstag:tradeReceivables</v>
          </cell>
          <cell r="Z8">
            <v>6</v>
          </cell>
          <cell r="AA8" t="str">
            <v>ISO4217:USD</v>
          </cell>
          <cell r="AB8" t="b">
            <v>0</v>
          </cell>
          <cell r="AC8" t="b">
            <v>0</v>
          </cell>
        </row>
        <row r="9">
          <cell r="B9" t="str">
            <v>Receivables, other</v>
          </cell>
          <cell r="D9">
            <v>63.262</v>
          </cell>
          <cell r="E9">
            <v>77.837000000000003</v>
          </cell>
          <cell r="F9">
            <v>87.244</v>
          </cell>
          <cell r="H9">
            <v>73.400000000000006</v>
          </cell>
          <cell r="J9">
            <v>140.83799999999999</v>
          </cell>
          <cell r="L9">
            <v>232.297</v>
          </cell>
          <cell r="N9">
            <v>228.00900000000001</v>
          </cell>
          <cell r="P9">
            <v>281.9781280420807</v>
          </cell>
          <cell r="R9">
            <v>327.6046577775457</v>
          </cell>
          <cell r="T9">
            <v>336.60089949034852</v>
          </cell>
          <cell r="V9">
            <v>315.56219298755423</v>
          </cell>
          <cell r="Y9" t="str">
            <v>mstag:tradeReceivables</v>
          </cell>
          <cell r="Z9">
            <v>6</v>
          </cell>
          <cell r="AA9" t="str">
            <v>ISO4217:USD</v>
          </cell>
          <cell r="AB9" t="b">
            <v>0</v>
          </cell>
          <cell r="AC9" t="b">
            <v>0</v>
          </cell>
        </row>
        <row r="10">
          <cell r="B10" t="str">
            <v>Receivables, related party</v>
          </cell>
          <cell r="D10">
            <v>36.298999999999999</v>
          </cell>
          <cell r="E10">
            <v>66.867000000000004</v>
          </cell>
          <cell r="F10">
            <v>106.89400000000001</v>
          </cell>
          <cell r="H10">
            <v>201.6</v>
          </cell>
          <cell r="J10">
            <v>217.482</v>
          </cell>
          <cell r="L10">
            <v>296.66399999999999</v>
          </cell>
          <cell r="N10">
            <v>532.02100000000007</v>
          </cell>
          <cell r="P10">
            <v>657.94896543152163</v>
          </cell>
          <cell r="R10">
            <v>764.41086814760661</v>
          </cell>
          <cell r="T10">
            <v>785.40209881081319</v>
          </cell>
          <cell r="V10">
            <v>736.31178363762649</v>
          </cell>
          <cell r="Y10" t="str">
            <v>mstag:tradeReceivables</v>
          </cell>
          <cell r="Z10">
            <v>6</v>
          </cell>
          <cell r="AA10" t="str">
            <v>ISO4217:USD</v>
          </cell>
          <cell r="AB10" t="b">
            <v>0</v>
          </cell>
          <cell r="AC10" t="b">
            <v>0</v>
          </cell>
        </row>
        <row r="11">
          <cell r="B11" t="str">
            <v>Inventories</v>
          </cell>
          <cell r="D11">
            <v>265.83</v>
          </cell>
          <cell r="E11">
            <v>356.94600000000003</v>
          </cell>
          <cell r="F11">
            <v>393.54199999999997</v>
          </cell>
          <cell r="H11">
            <v>469.64</v>
          </cell>
          <cell r="J11">
            <v>590.34299999999996</v>
          </cell>
          <cell r="L11">
            <v>702.51499999999999</v>
          </cell>
          <cell r="N11">
            <v>905.58340740740744</v>
          </cell>
          <cell r="P11">
            <v>1076.257091986759</v>
          </cell>
          <cell r="R11">
            <v>1156.4785712011355</v>
          </cell>
          <cell r="T11">
            <v>1216.2878287085962</v>
          </cell>
          <cell r="V11">
            <v>1267.542714652734</v>
          </cell>
          <cell r="Y11" t="str">
            <v>mstag:inventories</v>
          </cell>
          <cell r="Z11">
            <v>6</v>
          </cell>
          <cell r="AA11" t="str">
            <v>ISO4217:USD</v>
          </cell>
          <cell r="AB11" t="b">
            <v>0</v>
          </cell>
          <cell r="AC11" t="b">
            <v>0</v>
          </cell>
        </row>
        <row r="12">
          <cell r="B12" t="str">
            <v>Deferred Tax assets, Net</v>
          </cell>
          <cell r="D12">
            <v>40.619</v>
          </cell>
          <cell r="E12">
            <v>139.56700000000001</v>
          </cell>
          <cell r="F12">
            <v>82.299000000000007</v>
          </cell>
          <cell r="H12">
            <v>121.88500000000001</v>
          </cell>
          <cell r="J12">
            <v>148.37</v>
          </cell>
          <cell r="L12">
            <v>166.56100000000001</v>
          </cell>
          <cell r="N12">
            <v>166.56100000000001</v>
          </cell>
          <cell r="P12">
            <v>166.56100000000001</v>
          </cell>
          <cell r="R12">
            <v>166.56100000000001</v>
          </cell>
          <cell r="T12">
            <v>166.56100000000001</v>
          </cell>
          <cell r="V12">
            <v>166.56100000000001</v>
          </cell>
          <cell r="Y12" t="str">
            <v>mstag:deferredTaxAssets</v>
          </cell>
          <cell r="Z12">
            <v>6</v>
          </cell>
          <cell r="AA12" t="str">
            <v>ISO4217:USD</v>
          </cell>
          <cell r="AB12" t="b">
            <v>0</v>
          </cell>
          <cell r="AC12" t="b">
            <v>0</v>
          </cell>
        </row>
        <row r="13">
          <cell r="B13" t="str">
            <v>Prepaid expenses and other current assets</v>
          </cell>
          <cell r="D13">
            <v>31.431999999999999</v>
          </cell>
          <cell r="E13">
            <v>38.896000000000001</v>
          </cell>
          <cell r="F13">
            <v>153.88999999999999</v>
          </cell>
          <cell r="H13">
            <v>79.44</v>
          </cell>
          <cell r="J13">
            <v>61.567</v>
          </cell>
          <cell r="L13">
            <v>101.126</v>
          </cell>
          <cell r="N13">
            <v>146.7183995</v>
          </cell>
          <cell r="P13">
            <v>206.13904673091855</v>
          </cell>
          <cell r="R13">
            <v>229.39290678567519</v>
          </cell>
          <cell r="T13">
            <v>247.56660773485044</v>
          </cell>
          <cell r="V13">
            <v>260.2368329771009</v>
          </cell>
          <cell r="Y13" t="str">
            <v>mstag:prepaidExpenses</v>
          </cell>
          <cell r="Z13">
            <v>6</v>
          </cell>
          <cell r="AA13" t="str">
            <v>ISO4217:USD</v>
          </cell>
          <cell r="AB13" t="b">
            <v>0</v>
          </cell>
          <cell r="AC13" t="b">
            <v>0</v>
          </cell>
        </row>
        <row r="14">
          <cell r="B14" t="str">
            <v>Total current assets</v>
          </cell>
          <cell r="D14">
            <v>1793.4219999999998</v>
          </cell>
          <cell r="E14">
            <v>2221.3940000000002</v>
          </cell>
          <cell r="F14">
            <v>2082.7840000000001</v>
          </cell>
          <cell r="H14">
            <v>2756.5628426585777</v>
          </cell>
          <cell r="J14">
            <v>3422.7570000000001</v>
          </cell>
          <cell r="L14">
            <v>4418.7790000000005</v>
          </cell>
          <cell r="N14">
            <v>4880.5035713593397</v>
          </cell>
          <cell r="P14">
            <v>5828.7593465536384</v>
          </cell>
          <cell r="R14">
            <v>7546.4142036822905</v>
          </cell>
          <cell r="T14">
            <v>9359.5090710575842</v>
          </cell>
          <cell r="V14">
            <v>11281.250849581984</v>
          </cell>
        </row>
        <row r="16">
          <cell r="B16" t="str">
            <v>Long-term marketable securities</v>
          </cell>
          <cell r="D16">
            <v>1265.5150000000001</v>
          </cell>
          <cell r="E16">
            <v>1516.8130000000001</v>
          </cell>
          <cell r="F16">
            <v>567.28599999999994</v>
          </cell>
          <cell r="H16">
            <v>1422.9</v>
          </cell>
          <cell r="J16">
            <v>1115.327</v>
          </cell>
          <cell r="L16">
            <v>1448.731</v>
          </cell>
          <cell r="N16">
            <v>1448.731</v>
          </cell>
          <cell r="P16">
            <v>1823.731</v>
          </cell>
          <cell r="R16">
            <v>2573.7309999999998</v>
          </cell>
          <cell r="T16">
            <v>4073.7309999999998</v>
          </cell>
          <cell r="V16">
            <v>5573.7309999999998</v>
          </cell>
          <cell r="Y16" t="str">
            <v>mstag:longTermInvestmentsNonOperating</v>
          </cell>
          <cell r="Z16">
            <v>6</v>
          </cell>
          <cell r="AA16" t="str">
            <v>ISO4217:USD</v>
          </cell>
          <cell r="AB16" t="b">
            <v>0</v>
          </cell>
          <cell r="AC16" t="b">
            <v>0</v>
          </cell>
        </row>
        <row r="17">
          <cell r="B17" t="str">
            <v>Property, Plant &amp; Equipment, Net</v>
          </cell>
          <cell r="D17">
            <v>752.89200000000005</v>
          </cell>
          <cell r="E17">
            <v>865.66800000000001</v>
          </cell>
          <cell r="F17">
            <v>1068.7339999999999</v>
          </cell>
          <cell r="H17">
            <v>1617.9</v>
          </cell>
          <cell r="J17">
            <v>2091.404</v>
          </cell>
          <cell r="L17">
            <v>3349.3519999999999</v>
          </cell>
          <cell r="N17">
            <v>4554.0653750000001</v>
          </cell>
          <cell r="P17">
            <v>5783.2955411838693</v>
          </cell>
          <cell r="R17">
            <v>6559.6626049312927</v>
          </cell>
          <cell r="T17">
            <v>6993.2829589207122</v>
          </cell>
          <cell r="V17">
            <v>7343.3774458479393</v>
          </cell>
          <cell r="Y17" t="str">
            <v>mstag:propertyPlantAndEquipmentNet</v>
          </cell>
          <cell r="Z17">
            <v>6</v>
          </cell>
          <cell r="AA17" t="str">
            <v>ISO4217:USD</v>
          </cell>
          <cell r="AB17" t="b">
            <v>0</v>
          </cell>
          <cell r="AC17" t="b">
            <v>0</v>
          </cell>
        </row>
        <row r="18">
          <cell r="B18" t="str">
            <v>Goodwill</v>
          </cell>
          <cell r="D18">
            <v>1280.3589999999999</v>
          </cell>
          <cell r="E18">
            <v>1302.4929999999999</v>
          </cell>
          <cell r="F18">
            <v>1315.09</v>
          </cell>
          <cell r="H18">
            <v>1315.09</v>
          </cell>
          <cell r="J18">
            <v>1315.019</v>
          </cell>
          <cell r="L18">
            <v>1315.019</v>
          </cell>
          <cell r="N18">
            <v>1315.019</v>
          </cell>
          <cell r="P18">
            <v>1315.019</v>
          </cell>
          <cell r="R18">
            <v>1315.019</v>
          </cell>
          <cell r="T18">
            <v>1315.019</v>
          </cell>
          <cell r="V18">
            <v>1315.019</v>
          </cell>
          <cell r="Y18" t="str">
            <v>mstag:goodwill</v>
          </cell>
          <cell r="Z18">
            <v>6</v>
          </cell>
          <cell r="AA18" t="str">
            <v>ISO4217:USD</v>
          </cell>
          <cell r="AB18" t="b">
            <v>0</v>
          </cell>
          <cell r="AC18" t="b">
            <v>0</v>
          </cell>
        </row>
        <row r="19">
          <cell r="B19" t="str">
            <v>Intangible Assets, net</v>
          </cell>
          <cell r="D19">
            <v>1455.778</v>
          </cell>
          <cell r="E19">
            <v>1113.299</v>
          </cell>
          <cell r="F19">
            <v>927.5</v>
          </cell>
          <cell r="H19">
            <v>810.81</v>
          </cell>
          <cell r="J19">
            <v>668.39099999999996</v>
          </cell>
          <cell r="L19">
            <v>573.779</v>
          </cell>
          <cell r="N19">
            <v>452.07900000000001</v>
          </cell>
          <cell r="P19">
            <v>331.57900000000001</v>
          </cell>
          <cell r="R19">
            <v>213.07900000000001</v>
          </cell>
          <cell r="T19">
            <v>213.07900000000001</v>
          </cell>
          <cell r="V19">
            <v>213.07900000000001</v>
          </cell>
          <cell r="Y19" t="str">
            <v>mstag:otherIntangibleAssets</v>
          </cell>
          <cell r="Z19">
            <v>6</v>
          </cell>
          <cell r="AA19" t="str">
            <v>ISO4217:USD</v>
          </cell>
          <cell r="AB19" t="b">
            <v>0</v>
          </cell>
          <cell r="AC19" t="b">
            <v>0</v>
          </cell>
        </row>
        <row r="20">
          <cell r="B20" t="str">
            <v>Other assets</v>
          </cell>
          <cell r="D20">
            <v>168.458</v>
          </cell>
          <cell r="E20">
            <v>127.22200000000001</v>
          </cell>
          <cell r="F20">
            <v>796.65800000000002</v>
          </cell>
          <cell r="H20">
            <v>812.7</v>
          </cell>
          <cell r="J20">
            <v>790.49700000000007</v>
          </cell>
          <cell r="L20">
            <v>1041.2190000000001</v>
          </cell>
          <cell r="N20">
            <v>1041.2190000000001</v>
          </cell>
          <cell r="P20">
            <v>1041.2190000000001</v>
          </cell>
          <cell r="R20">
            <v>1041.2190000000001</v>
          </cell>
          <cell r="T20">
            <v>1041.2190000000001</v>
          </cell>
          <cell r="V20">
            <v>1041.2190000000001</v>
          </cell>
          <cell r="Y20" t="str">
            <v>mstag:otherAssetsNonOperating</v>
          </cell>
          <cell r="Z20">
            <v>6</v>
          </cell>
          <cell r="AA20" t="str">
            <v>ISO4217:USD</v>
          </cell>
          <cell r="AB20" t="b">
            <v>0</v>
          </cell>
          <cell r="AC20" t="b">
            <v>0</v>
          </cell>
        </row>
        <row r="21">
          <cell r="B21" t="str">
            <v>Total Non-current assets</v>
          </cell>
          <cell r="D21">
            <v>4923.0019999999995</v>
          </cell>
          <cell r="E21">
            <v>4925.4949999999999</v>
          </cell>
          <cell r="F21">
            <v>4675.268</v>
          </cell>
          <cell r="H21">
            <v>5979.4000000000005</v>
          </cell>
          <cell r="J21">
            <v>5980.6379999999999</v>
          </cell>
          <cell r="L21">
            <v>7728.0999999999995</v>
          </cell>
          <cell r="N21">
            <v>8811.1133750000008</v>
          </cell>
          <cell r="P21">
            <v>10294.843541183869</v>
          </cell>
          <cell r="R21">
            <v>11702.710604931293</v>
          </cell>
          <cell r="T21">
            <v>13636.330958920713</v>
          </cell>
          <cell r="V21">
            <v>15486.425445847937</v>
          </cell>
        </row>
        <row r="23">
          <cell r="B23" t="str">
            <v>Total assets</v>
          </cell>
          <cell r="D23">
            <v>6716.4239999999991</v>
          </cell>
          <cell r="E23">
            <v>7146.8890000000001</v>
          </cell>
          <cell r="F23">
            <v>6758.0519999999997</v>
          </cell>
          <cell r="H23">
            <v>8735.9628426585787</v>
          </cell>
          <cell r="J23">
            <v>9403.3950000000004</v>
          </cell>
          <cell r="L23">
            <v>12146.879000000001</v>
          </cell>
          <cell r="N23">
            <v>13691.61694635934</v>
          </cell>
          <cell r="P23">
            <v>16123.602887737507</v>
          </cell>
          <cell r="R23">
            <v>19249.124808613582</v>
          </cell>
          <cell r="T23">
            <v>22995.840029978295</v>
          </cell>
          <cell r="V23">
            <v>26767.676295429919</v>
          </cell>
        </row>
        <row r="25">
          <cell r="B25" t="str">
            <v>Accounts Payable</v>
          </cell>
          <cell r="D25">
            <v>39.113999999999997</v>
          </cell>
          <cell r="E25">
            <v>33.347999999999999</v>
          </cell>
          <cell r="F25">
            <v>51.38</v>
          </cell>
          <cell r="H25">
            <v>59.7</v>
          </cell>
          <cell r="J25">
            <v>104.83199999999999</v>
          </cell>
          <cell r="L25">
            <v>338.97800000000001</v>
          </cell>
          <cell r="N25">
            <v>407.51253333333335</v>
          </cell>
          <cell r="P25">
            <v>456.59391781256443</v>
          </cell>
          <cell r="R25">
            <v>490.62727263078477</v>
          </cell>
          <cell r="T25">
            <v>516.00089702788932</v>
          </cell>
          <cell r="V25">
            <v>537.7453940950993</v>
          </cell>
          <cell r="Y25" t="str">
            <v>mstag:tradeAndOtherPayables</v>
          </cell>
          <cell r="Z25">
            <v>6</v>
          </cell>
          <cell r="AA25" t="str">
            <v>ISO4217:USD</v>
          </cell>
          <cell r="AB25" t="b">
            <v>0</v>
          </cell>
          <cell r="AC25" t="b">
            <v>0</v>
          </cell>
        </row>
        <row r="26">
          <cell r="B26" t="str">
            <v>Accrued liabilities-related parties</v>
          </cell>
          <cell r="D26">
            <v>12.265000000000001</v>
          </cell>
          <cell r="E26">
            <v>45.259</v>
          </cell>
          <cell r="F26">
            <v>51.116</v>
          </cell>
          <cell r="H26">
            <v>58.1</v>
          </cell>
          <cell r="J26">
            <v>108.416</v>
          </cell>
          <cell r="L26">
            <v>131.774</v>
          </cell>
          <cell r="N26">
            <v>123.24345558</v>
          </cell>
          <cell r="P26">
            <v>137.42603115394573</v>
          </cell>
          <cell r="R26">
            <v>145.28217429759431</v>
          </cell>
          <cell r="T26">
            <v>148.53996464091026</v>
          </cell>
          <cell r="V26">
            <v>147.46753868702385</v>
          </cell>
          <cell r="Y26" t="str">
            <v>mstag:accruedExpenses</v>
          </cell>
          <cell r="Z26">
            <v>6</v>
          </cell>
          <cell r="AA26" t="str">
            <v>ISO4217:USD</v>
          </cell>
          <cell r="AB26" t="b">
            <v>0</v>
          </cell>
          <cell r="AC26" t="b">
            <v>0</v>
          </cell>
        </row>
        <row r="27">
          <cell r="B27" t="str">
            <v>Accrued Liabilities</v>
          </cell>
          <cell r="D27">
            <v>386.48</v>
          </cell>
          <cell r="E27">
            <v>415.95499999999998</v>
          </cell>
          <cell r="F27">
            <v>524.12</v>
          </cell>
          <cell r="H27">
            <v>707.75</v>
          </cell>
          <cell r="J27">
            <v>978.79300000000012</v>
          </cell>
          <cell r="L27">
            <v>1144.7530000000002</v>
          </cell>
          <cell r="N27">
            <v>1109.19110022</v>
          </cell>
          <cell r="P27">
            <v>1236.8342803855116</v>
          </cell>
          <cell r="R27">
            <v>1307.5395686783486</v>
          </cell>
          <cell r="T27">
            <v>1336.8596817681923</v>
          </cell>
          <cell r="V27">
            <v>1327.2078481832148</v>
          </cell>
          <cell r="Y27" t="str">
            <v>mstag:accruedExpenses</v>
          </cell>
          <cell r="Z27">
            <v>6</v>
          </cell>
          <cell r="AA27" t="str">
            <v>ISO4217:USD</v>
          </cell>
          <cell r="AB27" t="b">
            <v>0</v>
          </cell>
          <cell r="AC27" t="b">
            <v>0</v>
          </cell>
        </row>
        <row r="28">
          <cell r="B28" t="str">
            <v>Deferred Revenue</v>
          </cell>
          <cell r="D28">
            <v>15.433</v>
          </cell>
          <cell r="E28">
            <v>19.542999999999999</v>
          </cell>
          <cell r="F28">
            <v>20.044</v>
          </cell>
          <cell r="H28">
            <v>47.48</v>
          </cell>
          <cell r="J28">
            <v>45.988999999999997</v>
          </cell>
          <cell r="L28">
            <v>44.326999999999998</v>
          </cell>
          <cell r="N28">
            <v>68.402699999999996</v>
          </cell>
          <cell r="P28">
            <v>84.593438412624209</v>
          </cell>
          <cell r="R28">
            <v>98.281397333263726</v>
          </cell>
          <cell r="T28">
            <v>109.39529233436328</v>
          </cell>
          <cell r="V28">
            <v>118.33582237033283</v>
          </cell>
          <cell r="Y28" t="str">
            <v>mstag:deferredRevenue</v>
          </cell>
          <cell r="Z28">
            <v>6</v>
          </cell>
          <cell r="AA28" t="str">
            <v>ISO4217:USD</v>
          </cell>
          <cell r="AB28" t="b">
            <v>0</v>
          </cell>
          <cell r="AC28" t="b">
            <v>0</v>
          </cell>
        </row>
        <row r="29">
          <cell r="B29" t="str">
            <v>Total current liabilities</v>
          </cell>
          <cell r="D29">
            <v>453.29200000000003</v>
          </cell>
          <cell r="E29">
            <v>514.10500000000002</v>
          </cell>
          <cell r="F29">
            <v>646.66</v>
          </cell>
          <cell r="H29">
            <v>873.03</v>
          </cell>
          <cell r="J29">
            <v>1238.0300000000002</v>
          </cell>
          <cell r="L29">
            <v>1659.8320000000001</v>
          </cell>
          <cell r="N29">
            <v>1708.3497891333334</v>
          </cell>
          <cell r="P29">
            <v>1915.447667764646</v>
          </cell>
          <cell r="R29">
            <v>2041.7304129399913</v>
          </cell>
          <cell r="T29">
            <v>2110.7958357713551</v>
          </cell>
          <cell r="V29">
            <v>2130.7566033356707</v>
          </cell>
        </row>
        <row r="31">
          <cell r="B31" t="str">
            <v xml:space="preserve">Long-Term Debt </v>
          </cell>
          <cell r="D31">
            <v>149.69200000000001</v>
          </cell>
          <cell r="E31">
            <v>149.69200000000001</v>
          </cell>
          <cell r="F31">
            <v>0</v>
          </cell>
          <cell r="H31">
            <v>412.25</v>
          </cell>
          <cell r="J31">
            <v>412.25</v>
          </cell>
          <cell r="L31">
            <v>2083.0239999999999</v>
          </cell>
          <cell r="N31">
            <v>2083.0239999999999</v>
          </cell>
          <cell r="P31">
            <v>2083.0239999999999</v>
          </cell>
          <cell r="R31">
            <v>2083.0239999999999</v>
          </cell>
          <cell r="T31">
            <v>2083.0239999999999</v>
          </cell>
          <cell r="V31">
            <v>1583.0239999999999</v>
          </cell>
          <cell r="Y31" t="str">
            <v>mstag:longTermDebt</v>
          </cell>
          <cell r="Z31">
            <v>6</v>
          </cell>
          <cell r="AA31" t="str">
            <v>ISO4217:USD</v>
          </cell>
          <cell r="AB31" t="b">
            <v>0</v>
          </cell>
          <cell r="AC31" t="b">
            <v>0</v>
          </cell>
        </row>
        <row r="32">
          <cell r="B32" t="str">
            <v>Deferred Tax Liabilities</v>
          </cell>
          <cell r="D32">
            <v>349.84800000000001</v>
          </cell>
          <cell r="E32">
            <v>447.80900000000003</v>
          </cell>
          <cell r="F32">
            <v>148.24700000000001</v>
          </cell>
          <cell r="H32">
            <v>26.056000000000001</v>
          </cell>
          <cell r="J32">
            <v>0</v>
          </cell>
          <cell r="L32">
            <v>0</v>
          </cell>
          <cell r="N32">
            <v>0</v>
          </cell>
          <cell r="P32">
            <v>0</v>
          </cell>
          <cell r="R32">
            <v>0</v>
          </cell>
          <cell r="T32">
            <v>0</v>
          </cell>
          <cell r="V32">
            <v>0</v>
          </cell>
          <cell r="Y32" t="str">
            <v>mstag:deferredTaxLiabilities</v>
          </cell>
          <cell r="Z32">
            <v>6</v>
          </cell>
          <cell r="AA32" t="str">
            <v>ISO4217:USD</v>
          </cell>
          <cell r="AB32" t="b">
            <v>0</v>
          </cell>
          <cell r="AC32" t="b">
            <v>0</v>
          </cell>
        </row>
        <row r="33">
          <cell r="B33" t="str">
            <v>Deferred Revenue</v>
          </cell>
          <cell r="D33">
            <v>87.6</v>
          </cell>
          <cell r="E33">
            <v>68.033000000000001</v>
          </cell>
          <cell r="F33">
            <v>69.533000000000001</v>
          </cell>
          <cell r="H33">
            <v>281.2</v>
          </cell>
          <cell r="J33">
            <v>267.80500000000001</v>
          </cell>
          <cell r="L33">
            <v>220.09299999999999</v>
          </cell>
          <cell r="N33">
            <v>387.61529999999999</v>
          </cell>
          <cell r="P33">
            <v>479.36281767153719</v>
          </cell>
          <cell r="R33">
            <v>556.92791822182778</v>
          </cell>
          <cell r="T33">
            <v>619.90665656139197</v>
          </cell>
          <cell r="V33">
            <v>670.56966009855273</v>
          </cell>
          <cell r="Y33" t="str">
            <v>mstag:deferredRevenue</v>
          </cell>
          <cell r="Z33">
            <v>6</v>
          </cell>
          <cell r="AA33" t="str">
            <v>ISO4217:USD</v>
          </cell>
          <cell r="AB33" t="b">
            <v>0</v>
          </cell>
          <cell r="AC33" t="b">
            <v>0</v>
          </cell>
        </row>
        <row r="34">
          <cell r="B34" t="str">
            <v>Litigation related and other long-term liabilities</v>
          </cell>
          <cell r="D34">
            <v>1.7889999999999999</v>
          </cell>
          <cell r="E34">
            <v>47.430999999999997</v>
          </cell>
          <cell r="F34">
            <v>554.72799999999995</v>
          </cell>
          <cell r="H34">
            <v>623.29</v>
          </cell>
          <cell r="J34">
            <v>703.12</v>
          </cell>
          <cell r="L34">
            <v>714.346</v>
          </cell>
          <cell r="N34">
            <v>766.346</v>
          </cell>
          <cell r="P34">
            <v>818.346</v>
          </cell>
          <cell r="R34">
            <v>870.346</v>
          </cell>
          <cell r="T34">
            <v>922.346</v>
          </cell>
          <cell r="V34">
            <v>974.346</v>
          </cell>
          <cell r="Y34" t="str">
            <v>mstag:otherLiabilitiesNonOperating</v>
          </cell>
          <cell r="Z34">
            <v>6</v>
          </cell>
          <cell r="AA34" t="str">
            <v>ISO4217:USD</v>
          </cell>
          <cell r="AB34" t="b">
            <v>0</v>
          </cell>
          <cell r="AC34" t="b">
            <v>0</v>
          </cell>
        </row>
        <row r="35">
          <cell r="B35" t="str">
            <v>Total liabilities</v>
          </cell>
          <cell r="D35">
            <v>1042.221</v>
          </cell>
          <cell r="E35">
            <v>1227.07</v>
          </cell>
          <cell r="F35">
            <v>1419.1679999999999</v>
          </cell>
          <cell r="H35">
            <v>2215.826</v>
          </cell>
          <cell r="J35">
            <v>2621.2050000000004</v>
          </cell>
          <cell r="L35">
            <v>4677.2950000000001</v>
          </cell>
          <cell r="N35">
            <v>4945.3350891333339</v>
          </cell>
          <cell r="P35">
            <v>5296.1804854361835</v>
          </cell>
          <cell r="R35">
            <v>5552.0283311618186</v>
          </cell>
          <cell r="T35">
            <v>5736.0724923327471</v>
          </cell>
          <cell r="V35">
            <v>5358.6962634342235</v>
          </cell>
        </row>
        <row r="37">
          <cell r="B37" t="str">
            <v>Stockholders' equity:</v>
          </cell>
          <cell r="J37">
            <v>642.94200000000001</v>
          </cell>
        </row>
        <row r="38">
          <cell r="B38" t="str">
            <v xml:space="preserve">Common Stock </v>
          </cell>
          <cell r="D38">
            <v>10.51</v>
          </cell>
          <cell r="E38">
            <v>10.566000000000001</v>
          </cell>
          <cell r="F38">
            <v>10.256</v>
          </cell>
          <cell r="H38">
            <v>10.494999999999999</v>
          </cell>
          <cell r="J38">
            <v>20.943000000000001</v>
          </cell>
          <cell r="L38">
            <v>21.074000000000002</v>
          </cell>
          <cell r="N38">
            <v>21.074000000000002</v>
          </cell>
          <cell r="P38">
            <v>21.074000000000002</v>
          </cell>
          <cell r="R38">
            <v>21.074000000000002</v>
          </cell>
          <cell r="T38">
            <v>21.074000000000002</v>
          </cell>
          <cell r="V38">
            <v>21.074000000000002</v>
          </cell>
          <cell r="Y38" t="str">
            <v>mstag:commonStock</v>
          </cell>
          <cell r="Z38">
            <v>6</v>
          </cell>
          <cell r="AA38" t="str">
            <v>ISO4217:USD</v>
          </cell>
          <cell r="AB38" t="b">
            <v>0</v>
          </cell>
          <cell r="AC38" t="b">
            <v>0</v>
          </cell>
        </row>
        <row r="39">
          <cell r="B39" t="str">
            <v>APIC</v>
          </cell>
          <cell r="D39">
            <v>6651.4279999999999</v>
          </cell>
          <cell r="E39">
            <v>6794.8310000000001</v>
          </cell>
          <cell r="F39">
            <v>6650.3519999999999</v>
          </cell>
          <cell r="H39">
            <v>7370.26</v>
          </cell>
          <cell r="J39">
            <v>8002.7539999999999</v>
          </cell>
          <cell r="L39">
            <v>9262.6790000000001</v>
          </cell>
          <cell r="N39">
            <v>8807.5888275460075</v>
          </cell>
          <cell r="P39">
            <v>8542.5238553393174</v>
          </cell>
          <cell r="R39">
            <v>8402.1209406899634</v>
          </cell>
          <cell r="T39">
            <v>8385.5884743906445</v>
          </cell>
          <cell r="V39">
            <v>8403.9596403285959</v>
          </cell>
          <cell r="Y39" t="str">
            <v>mstag:additionalPaidInCapital</v>
          </cell>
          <cell r="Z39">
            <v>6</v>
          </cell>
          <cell r="AA39" t="str">
            <v>ISO4217:USD</v>
          </cell>
          <cell r="AB39" t="b">
            <v>0</v>
          </cell>
          <cell r="AC39" t="b">
            <v>0</v>
          </cell>
        </row>
        <row r="40">
          <cell r="B40" t="str">
            <v>(Accumulated Deficit) Retained Earnings</v>
          </cell>
          <cell r="D40">
            <v>-1319.3530000000001</v>
          </cell>
          <cell r="E40">
            <v>-1197.3</v>
          </cell>
          <cell r="F40">
            <v>-1590.366</v>
          </cell>
          <cell r="H40">
            <v>-1157.4680000000001</v>
          </cell>
          <cell r="J40">
            <v>-1532.4549999999999</v>
          </cell>
          <cell r="L40">
            <v>-2067.5909999999999</v>
          </cell>
          <cell r="N40">
            <v>-335.80297031999976</v>
          </cell>
          <cell r="P40">
            <v>2010.4025469620071</v>
          </cell>
          <cell r="R40">
            <v>5020.4795367618008</v>
          </cell>
          <cell r="T40">
            <v>8599.6830632549063</v>
          </cell>
          <cell r="V40">
            <v>12730.524391667106</v>
          </cell>
          <cell r="Y40" t="str">
            <v>mstag:retainedEarnings</v>
          </cell>
          <cell r="Z40">
            <v>6</v>
          </cell>
          <cell r="AA40" t="str">
            <v>ISO4217:USD</v>
          </cell>
          <cell r="AB40" t="b">
            <v>0</v>
          </cell>
          <cell r="AC40" t="b">
            <v>0</v>
          </cell>
        </row>
        <row r="41">
          <cell r="B41" t="str">
            <v>Accumulated Other Comprehensive Income</v>
          </cell>
          <cell r="D41">
            <v>331.61799999999999</v>
          </cell>
          <cell r="E41">
            <v>311.72199999999998</v>
          </cell>
          <cell r="F41">
            <v>268.642</v>
          </cell>
          <cell r="H41">
            <v>296.9026437</v>
          </cell>
          <cell r="J41">
            <v>290.94799999999998</v>
          </cell>
          <cell r="L41">
            <v>253.422</v>
          </cell>
          <cell r="N41">
            <v>253.422</v>
          </cell>
          <cell r="P41">
            <v>253.422</v>
          </cell>
          <cell r="R41">
            <v>253.422</v>
          </cell>
          <cell r="T41">
            <v>253.422</v>
          </cell>
          <cell r="V41">
            <v>253.422</v>
          </cell>
          <cell r="Y41" t="str">
            <v>mstag:accumulatedOtherComprehensiveIncomeLossAndReserves</v>
          </cell>
          <cell r="Z41">
            <v>6</v>
          </cell>
          <cell r="AA41" t="str">
            <v>ISO4217:USD</v>
          </cell>
          <cell r="AB41" t="b">
            <v>0</v>
          </cell>
          <cell r="AC41" t="b">
            <v>0</v>
          </cell>
        </row>
        <row r="42">
          <cell r="B42" t="str">
            <v>Total stockholders' equity</v>
          </cell>
          <cell r="D42">
            <v>5674.2030000000004</v>
          </cell>
          <cell r="E42">
            <v>5919.8189999999995</v>
          </cell>
          <cell r="F42">
            <v>5338.884</v>
          </cell>
          <cell r="H42">
            <v>6520.1896437000005</v>
          </cell>
          <cell r="J42">
            <v>6782.1900000000005</v>
          </cell>
          <cell r="L42">
            <v>7469.5839999999998</v>
          </cell>
          <cell r="N42">
            <v>8746.2818572260094</v>
          </cell>
          <cell r="P42">
            <v>10827.422402301325</v>
          </cell>
          <cell r="R42">
            <v>13697.096477451765</v>
          </cell>
          <cell r="T42">
            <v>17259.767537645552</v>
          </cell>
          <cell r="V42">
            <v>21408.980031995699</v>
          </cell>
        </row>
        <row r="44">
          <cell r="B44" t="str">
            <v>Total Liabilities and Equity</v>
          </cell>
          <cell r="D44">
            <v>6716.4240000000009</v>
          </cell>
          <cell r="E44">
            <v>7146.8889999999992</v>
          </cell>
          <cell r="F44">
            <v>6758.0519999999997</v>
          </cell>
          <cell r="H44">
            <v>8736.0156437000005</v>
          </cell>
          <cell r="J44">
            <v>9403.3950000000004</v>
          </cell>
          <cell r="L44">
            <v>12146.879000000001</v>
          </cell>
          <cell r="N44">
            <v>13691.616946359343</v>
          </cell>
          <cell r="P44">
            <v>16123.602887737508</v>
          </cell>
          <cell r="R44">
            <v>19249.124808613582</v>
          </cell>
          <cell r="T44">
            <v>22995.840029978299</v>
          </cell>
          <cell r="V44">
            <v>26767.676295429923</v>
          </cell>
        </row>
        <row r="45">
          <cell r="J45">
            <v>0</v>
          </cell>
          <cell r="L45">
            <v>0</v>
          </cell>
          <cell r="N45">
            <v>0</v>
          </cell>
          <cell r="P45">
            <v>0</v>
          </cell>
          <cell r="R45">
            <v>0</v>
          </cell>
          <cell r="T45">
            <v>0</v>
          </cell>
          <cell r="V45">
            <v>0</v>
          </cell>
        </row>
        <row r="46">
          <cell r="J46">
            <v>0</v>
          </cell>
          <cell r="L46">
            <v>0</v>
          </cell>
          <cell r="N46">
            <v>0</v>
          </cell>
          <cell r="P46">
            <v>0</v>
          </cell>
          <cell r="R46">
            <v>0</v>
          </cell>
          <cell r="T46">
            <v>0</v>
          </cell>
          <cell r="V46">
            <v>0</v>
          </cell>
        </row>
        <row r="48">
          <cell r="B48" t="str">
            <v>change in OCI</v>
          </cell>
          <cell r="E48">
            <v>-13.619999999999948</v>
          </cell>
          <cell r="F48">
            <v>-41.321999999999832</v>
          </cell>
          <cell r="H48">
            <v>28.549801041422199</v>
          </cell>
          <cell r="J48">
            <v>-6.5446836999998368</v>
          </cell>
          <cell r="L48">
            <v>-37.672239999998425</v>
          </cell>
          <cell r="N48">
            <v>0</v>
          </cell>
          <cell r="P48">
            <v>-5.6843418860808015E-13</v>
          </cell>
          <cell r="R48">
            <v>7.9580786405131221E-13</v>
          </cell>
          <cell r="T48">
            <v>-7.3896444519050419E-13</v>
          </cell>
          <cell r="V48">
            <v>-5.1159076974727213E-13</v>
          </cell>
        </row>
        <row r="49">
          <cell r="B49" t="str">
            <v>Related to Common Stock &amp; Apic</v>
          </cell>
          <cell r="H49">
            <v>129.84699999999998</v>
          </cell>
          <cell r="J49">
            <v>1159.2129600000001</v>
          </cell>
          <cell r="L49">
            <v>1813.9807600000015</v>
          </cell>
          <cell r="N49">
            <v>0</v>
          </cell>
          <cell r="P49">
            <v>-5.6843418860808015E-13</v>
          </cell>
          <cell r="R49">
            <v>7.9580786405131221E-13</v>
          </cell>
          <cell r="T49">
            <v>-7.3896444519050419E-13</v>
          </cell>
          <cell r="V49">
            <v>-5.1159076974727213E-13</v>
          </cell>
        </row>
        <row r="50">
          <cell r="B50" t="str">
            <v>Related to Retained Earnings</v>
          </cell>
          <cell r="H50">
            <v>-129.55784265857778</v>
          </cell>
          <cell r="J50">
            <v>-1159.8029999999999</v>
          </cell>
          <cell r="L50">
            <v>-1814.127</v>
          </cell>
          <cell r="N50">
            <v>0</v>
          </cell>
          <cell r="P50">
            <v>0</v>
          </cell>
          <cell r="R50">
            <v>0</v>
          </cell>
          <cell r="T50">
            <v>0</v>
          </cell>
          <cell r="V50">
            <v>0</v>
          </cell>
        </row>
        <row r="51">
          <cell r="B51" t="str">
            <v>Related to OCI</v>
          </cell>
          <cell r="H51">
            <v>28.260643700000003</v>
          </cell>
          <cell r="J51">
            <v>-5.9546437000000196</v>
          </cell>
          <cell r="L51">
            <v>-37.525999999999982</v>
          </cell>
          <cell r="N51">
            <v>0</v>
          </cell>
          <cell r="P51">
            <v>0</v>
          </cell>
          <cell r="R51">
            <v>0</v>
          </cell>
          <cell r="T51">
            <v>0</v>
          </cell>
          <cell r="V51">
            <v>0</v>
          </cell>
        </row>
        <row r="52">
          <cell r="E52" t="e">
            <v>#REF!</v>
          </cell>
        </row>
        <row r="53">
          <cell r="H53" t="str">
            <v>2003-FY</v>
          </cell>
          <cell r="J53" t="str">
            <v>2004-FY</v>
          </cell>
          <cell r="L53" t="str">
            <v>2005-FY</v>
          </cell>
          <cell r="N53" t="str">
            <v>2006-FY</v>
          </cell>
          <cell r="P53" t="str">
            <v>2007-FY</v>
          </cell>
          <cell r="R53" t="str">
            <v>2008-FY</v>
          </cell>
          <cell r="T53" t="str">
            <v>2009-FY</v>
          </cell>
          <cell r="V53" t="str">
            <v>2010-FY</v>
          </cell>
        </row>
        <row r="54">
          <cell r="B54" t="str">
            <v>CALCULATIONS</v>
          </cell>
          <cell r="D54">
            <v>5663.6930000000002</v>
          </cell>
          <cell r="E54">
            <v>5909.2529999999997</v>
          </cell>
          <cell r="F54">
            <v>5328.6279999999997</v>
          </cell>
        </row>
        <row r="55">
          <cell r="C55">
            <v>1999</v>
          </cell>
          <cell r="D55">
            <v>2000</v>
          </cell>
          <cell r="E55" t="str">
            <v>2001</v>
          </cell>
          <cell r="F55" t="str">
            <v>2002</v>
          </cell>
          <cell r="H55" t="str">
            <v>2003A</v>
          </cell>
          <cell r="J55" t="str">
            <v>2004A</v>
          </cell>
          <cell r="L55" t="str">
            <v>2005E</v>
          </cell>
          <cell r="N55" t="str">
            <v>2006E</v>
          </cell>
          <cell r="P55" t="str">
            <v>2007E</v>
          </cell>
          <cell r="R55" t="str">
            <v>2008E</v>
          </cell>
          <cell r="T55" t="str">
            <v>2009E</v>
          </cell>
          <cell r="V55" t="str">
            <v>2010E</v>
          </cell>
        </row>
        <row r="56">
          <cell r="B56" t="str">
            <v>Revenues</v>
          </cell>
          <cell r="D56">
            <v>1637.3710000009999</v>
          </cell>
          <cell r="E56">
            <v>2044.0319999999999</v>
          </cell>
          <cell r="F56">
            <v>2583.6215596696479</v>
          </cell>
          <cell r="H56">
            <v>3300.2629999999999</v>
          </cell>
          <cell r="J56">
            <v>4621.2</v>
          </cell>
          <cell r="L56">
            <v>6633.4230000000007</v>
          </cell>
          <cell r="N56">
            <v>9120.36</v>
          </cell>
          <cell r="P56">
            <v>11279.125121683228</v>
          </cell>
          <cell r="R56">
            <v>13104.186311101828</v>
          </cell>
          <cell r="T56">
            <v>14586.038977915103</v>
          </cell>
          <cell r="V56">
            <v>15778.109649377711</v>
          </cell>
        </row>
        <row r="57">
          <cell r="B57" t="str">
            <v>Operating expenses</v>
          </cell>
          <cell r="D57">
            <v>1258.9829999999999</v>
          </cell>
          <cell r="E57">
            <v>1574.2349999999999</v>
          </cell>
          <cell r="F57">
            <v>1962.1129999999998</v>
          </cell>
          <cell r="H57">
            <v>2454.7161573414223</v>
          </cell>
          <cell r="J57">
            <v>3301.8</v>
          </cell>
          <cell r="L57">
            <v>4531.0019999999995</v>
          </cell>
          <cell r="N57">
            <v>5868.7359800000004</v>
          </cell>
          <cell r="P57">
            <v>6871.3015576972857</v>
          </cell>
          <cell r="R57">
            <v>7646.4302261891735</v>
          </cell>
          <cell r="T57">
            <v>8252.2202578283486</v>
          </cell>
          <cell r="V57">
            <v>8674.5610992366965</v>
          </cell>
        </row>
        <row r="58">
          <cell r="B58" t="str">
            <v>COGS</v>
          </cell>
          <cell r="D58">
            <v>272.06799999999998</v>
          </cell>
          <cell r="E58">
            <v>354.44200000000001</v>
          </cell>
          <cell r="F58">
            <v>441.63</v>
          </cell>
          <cell r="H58">
            <v>480.15100000000001</v>
          </cell>
          <cell r="J58">
            <v>672.5</v>
          </cell>
          <cell r="L58">
            <v>1011.0629999999999</v>
          </cell>
          <cell r="N58">
            <v>1222.5376000000001</v>
          </cell>
          <cell r="P58">
            <v>1506.7599287814626</v>
          </cell>
          <cell r="R58">
            <v>1619.0699996815897</v>
          </cell>
          <cell r="T58">
            <v>1702.8029601920346</v>
          </cell>
          <cell r="V58">
            <v>1774.5598005138277</v>
          </cell>
        </row>
        <row r="59">
          <cell r="B59" t="str">
            <v>Interest and other income</v>
          </cell>
          <cell r="D59">
            <v>90.4</v>
          </cell>
          <cell r="E59">
            <v>135.005</v>
          </cell>
          <cell r="F59">
            <v>107.822</v>
          </cell>
          <cell r="H59">
            <v>92.807000000000002</v>
          </cell>
          <cell r="J59">
            <v>82.597000000000008</v>
          </cell>
          <cell r="L59">
            <v>140.9</v>
          </cell>
          <cell r="N59">
            <v>228</v>
          </cell>
          <cell r="P59">
            <v>158.27981570681379</v>
          </cell>
          <cell r="R59">
            <v>214.14721389467866</v>
          </cell>
          <cell r="T59">
            <v>298.9218808473185</v>
          </cell>
          <cell r="V59">
            <v>424.04459975088002</v>
          </cell>
        </row>
        <row r="61">
          <cell r="B61" t="str">
            <v>Depreciation and Amortization from</v>
          </cell>
        </row>
        <row r="62">
          <cell r="A62" t="str">
            <v xml:space="preserve">Existing PP&amp;E </v>
          </cell>
          <cell r="D62">
            <v>463.00400000000002</v>
          </cell>
          <cell r="E62">
            <v>428.09100000000001</v>
          </cell>
          <cell r="F62">
            <v>88.5</v>
          </cell>
          <cell r="H62">
            <v>88.5</v>
          </cell>
          <cell r="J62">
            <v>79.650000000000006</v>
          </cell>
          <cell r="L62">
            <v>71.685000000000002</v>
          </cell>
          <cell r="N62">
            <v>64.516500000000008</v>
          </cell>
          <cell r="P62">
            <v>58.064850000000007</v>
          </cell>
          <cell r="R62">
            <v>52.258365000000005</v>
          </cell>
          <cell r="T62">
            <v>47.032528500000005</v>
          </cell>
          <cell r="V62">
            <v>42.329275650000007</v>
          </cell>
        </row>
        <row r="63">
          <cell r="A63" t="str">
            <v>2002 capital expenditures</v>
          </cell>
          <cell r="F63">
            <v>16.1416</v>
          </cell>
          <cell r="H63">
            <v>16.1416</v>
          </cell>
          <cell r="J63">
            <v>16.1416</v>
          </cell>
          <cell r="L63">
            <v>16.1416</v>
          </cell>
          <cell r="N63">
            <v>16.1416</v>
          </cell>
          <cell r="P63">
            <v>16.1416</v>
          </cell>
          <cell r="R63">
            <v>16.1416</v>
          </cell>
          <cell r="T63">
            <v>16.1416</v>
          </cell>
          <cell r="V63">
            <v>16.1416</v>
          </cell>
          <cell r="X63">
            <v>20</v>
          </cell>
        </row>
        <row r="64">
          <cell r="A64" t="str">
            <v>2003 capital expenditures</v>
          </cell>
          <cell r="H64">
            <v>20.100000000000001</v>
          </cell>
          <cell r="J64">
            <v>20.100000000000001</v>
          </cell>
          <cell r="L64">
            <v>20.100000000000001</v>
          </cell>
          <cell r="N64">
            <v>20.100000000000001</v>
          </cell>
          <cell r="P64">
            <v>20.100000000000001</v>
          </cell>
          <cell r="R64">
            <v>20.100000000000001</v>
          </cell>
          <cell r="T64">
            <v>20.100000000000001</v>
          </cell>
          <cell r="V64">
            <v>20.100000000000001</v>
          </cell>
        </row>
        <row r="65">
          <cell r="A65" t="str">
            <v>2004 capital expenditures</v>
          </cell>
          <cell r="J65">
            <v>32.492899999999999</v>
          </cell>
          <cell r="L65">
            <v>32.492899999999999</v>
          </cell>
          <cell r="N65">
            <v>32.492899999999999</v>
          </cell>
          <cell r="P65">
            <v>32.492899999999999</v>
          </cell>
          <cell r="R65">
            <v>32.492899999999999</v>
          </cell>
          <cell r="T65">
            <v>32.492899999999999</v>
          </cell>
          <cell r="V65">
            <v>32.492899999999999</v>
          </cell>
        </row>
        <row r="66">
          <cell r="A66" t="str">
            <v>2005 capital expenditures</v>
          </cell>
          <cell r="L66">
            <v>69.991200000000006</v>
          </cell>
          <cell r="N66">
            <v>69.991200000000006</v>
          </cell>
          <cell r="P66">
            <v>69.991200000000006</v>
          </cell>
          <cell r="R66">
            <v>69.991200000000006</v>
          </cell>
          <cell r="T66">
            <v>69.991200000000006</v>
          </cell>
          <cell r="V66">
            <v>69.991200000000006</v>
          </cell>
        </row>
        <row r="67">
          <cell r="A67" t="str">
            <v>2006 capital expenditures</v>
          </cell>
          <cell r="N67">
            <v>74.102924999999999</v>
          </cell>
          <cell r="P67">
            <v>74.102924999999999</v>
          </cell>
          <cell r="R67">
            <v>74.102924999999999</v>
          </cell>
          <cell r="T67">
            <v>74.102924999999999</v>
          </cell>
          <cell r="V67">
            <v>74.102924999999999</v>
          </cell>
        </row>
        <row r="68">
          <cell r="A68" t="str">
            <v>2007 capital expenditures</v>
          </cell>
          <cell r="P68">
            <v>78.953875851782612</v>
          </cell>
          <cell r="R68">
            <v>78.953875851782612</v>
          </cell>
          <cell r="T68">
            <v>78.953875851782612</v>
          </cell>
          <cell r="V68">
            <v>78.953875851782612</v>
          </cell>
        </row>
        <row r="69">
          <cell r="A69" t="str">
            <v>2008 capital expenditures</v>
          </cell>
          <cell r="R69">
            <v>58.968838399958223</v>
          </cell>
          <cell r="T69">
            <v>58.968838399958223</v>
          </cell>
          <cell r="V69">
            <v>58.968838399958223</v>
          </cell>
        </row>
        <row r="70">
          <cell r="A70" t="str">
            <v>2009 capital expenditures</v>
          </cell>
          <cell r="T70">
            <v>43.758116933745306</v>
          </cell>
          <cell r="V70">
            <v>43.758116933745306</v>
          </cell>
        </row>
        <row r="71">
          <cell r="A71" t="str">
            <v>2010 capital expenditures</v>
          </cell>
          <cell r="V71">
            <v>41.417537829616492</v>
          </cell>
        </row>
        <row r="72">
          <cell r="A72" t="str">
            <v>Total depreciation</v>
          </cell>
          <cell r="F72">
            <v>104.55499999999998</v>
          </cell>
          <cell r="H72">
            <v>125</v>
          </cell>
          <cell r="J72">
            <v>171.221</v>
          </cell>
          <cell r="L72">
            <v>210.41070000000002</v>
          </cell>
          <cell r="N72">
            <v>277.34512500000005</v>
          </cell>
          <cell r="P72">
            <v>349.84735085178261</v>
          </cell>
          <cell r="R72">
            <v>403.00970425174086</v>
          </cell>
          <cell r="T72">
            <v>441.54198468548617</v>
          </cell>
          <cell r="V72">
            <v>478.25626966510265</v>
          </cell>
        </row>
        <row r="73">
          <cell r="A73" t="str">
            <v>Amortization of intangibles</v>
          </cell>
          <cell r="F73">
            <v>170.4</v>
          </cell>
          <cell r="H73">
            <v>170.4</v>
          </cell>
          <cell r="J73">
            <v>182</v>
          </cell>
          <cell r="L73">
            <v>159.75529999999998</v>
          </cell>
          <cell r="N73">
            <v>121.7</v>
          </cell>
          <cell r="P73">
            <v>120.5</v>
          </cell>
          <cell r="R73">
            <v>118.5</v>
          </cell>
          <cell r="T73">
            <v>0</v>
          </cell>
          <cell r="V73">
            <v>0</v>
          </cell>
        </row>
        <row r="74">
          <cell r="A74" t="str">
            <v>Total depreciation and amortization</v>
          </cell>
          <cell r="C74" t="e">
            <v>#REF!</v>
          </cell>
          <cell r="D74">
            <v>463.00400000000002</v>
          </cell>
          <cell r="E74">
            <v>428.09100000000001</v>
          </cell>
          <cell r="F74">
            <v>274.95499999999998</v>
          </cell>
          <cell r="H74">
            <v>295.39999999999998</v>
          </cell>
          <cell r="J74">
            <v>353.221</v>
          </cell>
          <cell r="L74">
            <v>370.166</v>
          </cell>
          <cell r="N74">
            <v>399.04512500000004</v>
          </cell>
          <cell r="P74">
            <v>470.34735085178261</v>
          </cell>
          <cell r="R74">
            <v>521.50970425174091</v>
          </cell>
          <cell r="T74">
            <v>441.54198468548617</v>
          </cell>
          <cell r="V74">
            <v>478.25626966510265</v>
          </cell>
        </row>
        <row r="75">
          <cell r="A75" t="str">
            <v xml:space="preserve">     Depreciation as % operating expenses</v>
          </cell>
          <cell r="F75">
            <v>5.3286941170054926E-2</v>
          </cell>
          <cell r="H75">
            <v>5.0922384498980573E-2</v>
          </cell>
          <cell r="J75">
            <v>5.1856865951905022E-2</v>
          </cell>
          <cell r="L75">
            <v>4.6438006427717324E-2</v>
          </cell>
          <cell r="N75">
            <v>4.7258068167517063E-2</v>
          </cell>
          <cell r="P75">
            <v>5.0914276998930558E-2</v>
          </cell>
          <cell r="R75">
            <v>5.27056014807308E-2</v>
          </cell>
          <cell r="T75">
            <v>5.3505840960391696E-2</v>
          </cell>
          <cell r="V75">
            <v>5.513319512006043E-2</v>
          </cell>
        </row>
        <row r="76">
          <cell r="A76" t="str">
            <v xml:space="preserve">    Amortization as % of operating expenses</v>
          </cell>
          <cell r="F76">
            <v>8.6845151120246392E-2</v>
          </cell>
          <cell r="H76">
            <v>6.9417394549010317E-2</v>
          </cell>
          <cell r="J76">
            <v>5.5121448906656975E-2</v>
          </cell>
          <cell r="L76">
            <v>3.5258271790654695E-2</v>
          </cell>
          <cell r="N76">
            <v>2.0737003745736744E-2</v>
          </cell>
          <cell r="P76">
            <v>1.7536706690599972E-2</v>
          </cell>
          <cell r="R76">
            <v>1.5497427753167115E-2</v>
          </cell>
          <cell r="T76">
            <v>0</v>
          </cell>
          <cell r="V76">
            <v>0</v>
          </cell>
        </row>
        <row r="78">
          <cell r="A78" t="str">
            <v>Working Capital</v>
          </cell>
        </row>
        <row r="79">
          <cell r="A79" t="str">
            <v>Receivables and other current assets</v>
          </cell>
          <cell r="D79">
            <v>333.73300000000006</v>
          </cell>
          <cell r="E79">
            <v>516.37</v>
          </cell>
          <cell r="F79">
            <v>418.48099999999999</v>
          </cell>
          <cell r="H79">
            <v>574.1</v>
          </cell>
          <cell r="J79">
            <v>957.37199999999996</v>
          </cell>
          <cell r="L79">
            <v>1083.4160000000002</v>
          </cell>
          <cell r="N79">
            <v>1520.0600000000002</v>
          </cell>
          <cell r="P79">
            <v>1879.8541869472047</v>
          </cell>
          <cell r="R79">
            <v>2184.0310518503047</v>
          </cell>
          <cell r="T79">
            <v>2244.0059966023236</v>
          </cell>
          <cell r="V79">
            <v>2103.7479532503617</v>
          </cell>
        </row>
        <row r="80">
          <cell r="A80" t="str">
            <v>% revenue</v>
          </cell>
          <cell r="D80">
            <v>0.20382246906766779</v>
          </cell>
          <cell r="E80">
            <v>0.25262324660279295</v>
          </cell>
          <cell r="F80">
            <v>0.16197457341759783</v>
          </cell>
          <cell r="H80">
            <v>0.17395583321692848</v>
          </cell>
          <cell r="J80">
            <v>0.20716956634640354</v>
          </cell>
          <cell r="L80">
            <v>0.16332683744124263</v>
          </cell>
          <cell r="N80">
            <v>0.16666666666666669</v>
          </cell>
          <cell r="P80">
            <v>0.16666666666666666</v>
          </cell>
          <cell r="R80">
            <v>0.16666666666666666</v>
          </cell>
          <cell r="T80">
            <v>0.15384615384615385</v>
          </cell>
          <cell r="V80">
            <v>0.13333333333333333</v>
          </cell>
        </row>
        <row r="81">
          <cell r="A81" t="str">
            <v>Days receivables outstanding (CHECK)</v>
          </cell>
          <cell r="D81">
            <v>74.39520120969874</v>
          </cell>
          <cell r="E81">
            <v>92.207485010019411</v>
          </cell>
          <cell r="F81">
            <v>59.120719297423214</v>
          </cell>
          <cell r="H81">
            <v>63.493879124178889</v>
          </cell>
          <cell r="J81">
            <v>75.61689171643728</v>
          </cell>
          <cell r="L81">
            <v>59.614295666053565</v>
          </cell>
          <cell r="N81">
            <v>60.833333333333336</v>
          </cell>
          <cell r="P81">
            <v>60.833333333333336</v>
          </cell>
          <cell r="R81">
            <v>60.833333333333336</v>
          </cell>
          <cell r="T81">
            <v>56.153846153846153</v>
          </cell>
          <cell r="V81">
            <v>48.666666666666671</v>
          </cell>
        </row>
        <row r="82">
          <cell r="A82" t="str">
            <v>Accounts receivable turnover</v>
          </cell>
          <cell r="D82">
            <v>4.906230429717767</v>
          </cell>
          <cell r="E82">
            <v>3.958463892170343</v>
          </cell>
          <cell r="F82">
            <v>6.1738085114250056</v>
          </cell>
          <cell r="H82">
            <v>5.748585612262672</v>
          </cell>
          <cell r="J82">
            <v>4.8269638134392903</v>
          </cell>
          <cell r="L82">
            <v>6.1226924837735455</v>
          </cell>
          <cell r="N82">
            <v>6</v>
          </cell>
          <cell r="P82">
            <v>6</v>
          </cell>
          <cell r="R82">
            <v>6</v>
          </cell>
          <cell r="T82">
            <v>6.5</v>
          </cell>
          <cell r="V82">
            <v>7.5</v>
          </cell>
        </row>
        <row r="83">
          <cell r="A83" t="str">
            <v>Prepaid Expenses and Other</v>
          </cell>
          <cell r="D83">
            <v>31.431999999999999</v>
          </cell>
          <cell r="E83">
            <v>38.896000000000001</v>
          </cell>
          <cell r="F83">
            <v>153.88999999999999</v>
          </cell>
          <cell r="H83">
            <v>79.44</v>
          </cell>
          <cell r="J83">
            <v>61.567</v>
          </cell>
          <cell r="L83">
            <v>101.126</v>
          </cell>
          <cell r="N83">
            <v>146.7183995</v>
          </cell>
          <cell r="P83">
            <v>206.13904673091855</v>
          </cell>
          <cell r="R83">
            <v>229.39290678567519</v>
          </cell>
          <cell r="T83">
            <v>247.56660773485044</v>
          </cell>
          <cell r="V83">
            <v>260.2368329771009</v>
          </cell>
        </row>
        <row r="84">
          <cell r="A84" t="str">
            <v>% operating expenses</v>
          </cell>
          <cell r="D84">
            <v>2.496618302232834E-2</v>
          </cell>
          <cell r="E84">
            <v>2.4707873983236303E-2</v>
          </cell>
          <cell r="F84">
            <v>7.8430752968865702E-2</v>
          </cell>
          <cell r="H84">
            <v>3.236219379679213E-2</v>
          </cell>
          <cell r="J84">
            <v>1.8646495850748075E-2</v>
          </cell>
          <cell r="L84">
            <v>2.2318683593606892E-2</v>
          </cell>
          <cell r="N84">
            <v>2.5000000000000001E-2</v>
          </cell>
          <cell r="P84">
            <v>0.03</v>
          </cell>
          <cell r="R84">
            <v>0.03</v>
          </cell>
          <cell r="T84">
            <v>0.03</v>
          </cell>
          <cell r="V84">
            <v>0.03</v>
          </cell>
        </row>
        <row r="85">
          <cell r="A85" t="str">
            <v>Inventories</v>
          </cell>
          <cell r="D85">
            <v>265.83</v>
          </cell>
          <cell r="E85">
            <v>356.94600000000003</v>
          </cell>
          <cell r="F85">
            <v>393.54199999999997</v>
          </cell>
          <cell r="H85">
            <v>469.64</v>
          </cell>
          <cell r="J85">
            <v>590.34299999999996</v>
          </cell>
          <cell r="L85">
            <v>702.51499999999999</v>
          </cell>
          <cell r="N85">
            <v>905.58340740740744</v>
          </cell>
          <cell r="P85">
            <v>1076.257091986759</v>
          </cell>
          <cell r="R85">
            <v>1156.4785712011355</v>
          </cell>
          <cell r="T85">
            <v>1216.2878287085962</v>
          </cell>
          <cell r="V85">
            <v>1267.542714652734</v>
          </cell>
        </row>
        <row r="86">
          <cell r="A86" t="str">
            <v>% revenue</v>
          </cell>
          <cell r="D86">
            <v>0.16235172114312374</v>
          </cell>
          <cell r="E86">
            <v>0.17462838155175656</v>
          </cell>
          <cell r="F86">
            <v>0.15232184393534778</v>
          </cell>
          <cell r="H86">
            <v>0.14230381033269165</v>
          </cell>
          <cell r="J86">
            <v>0.12774668917164372</v>
          </cell>
          <cell r="L86">
            <v>0.10590535233468451</v>
          </cell>
          <cell r="N86">
            <v>9.9292506809753933E-2</v>
          </cell>
          <cell r="P86">
            <v>9.5420263573257086E-2</v>
          </cell>
          <cell r="R86">
            <v>8.8252604453690514E-2</v>
          </cell>
          <cell r="T86">
            <v>8.3387123162785473E-2</v>
          </cell>
          <cell r="V86">
            <v>8.033552452227545E-2</v>
          </cell>
        </row>
        <row r="87">
          <cell r="A87" t="str">
            <v>Days inventory outstanding (CHECK)</v>
          </cell>
          <cell r="D87">
            <v>356.63124660011465</v>
          </cell>
          <cell r="E87">
            <v>367.57858831628306</v>
          </cell>
          <cell r="F87">
            <v>325.25605144578043</v>
          </cell>
          <cell r="H87">
            <v>357.00977400859313</v>
          </cell>
          <cell r="J87">
            <v>320.4092118959108</v>
          </cell>
          <cell r="L87">
            <v>253.61226253952526</v>
          </cell>
          <cell r="N87">
            <v>270.37037037037038</v>
          </cell>
          <cell r="P87">
            <v>260.71428571428567</v>
          </cell>
          <cell r="R87">
            <v>260.71428571428572</v>
          </cell>
          <cell r="T87">
            <v>260.71428571428572</v>
          </cell>
          <cell r="V87">
            <v>260.71428571428572</v>
          </cell>
        </row>
        <row r="88">
          <cell r="A88" t="str">
            <v>Inventory Turnover</v>
          </cell>
          <cell r="D88">
            <v>1.0234661249670842</v>
          </cell>
          <cell r="E88">
            <v>0.9929849332952323</v>
          </cell>
          <cell r="F88">
            <v>1.1221928028012258</v>
          </cell>
          <cell r="H88">
            <v>1.0223809726599098</v>
          </cell>
          <cell r="J88">
            <v>1.1391682462568371</v>
          </cell>
          <cell r="L88">
            <v>1.4392048568357969</v>
          </cell>
          <cell r="N88">
            <v>1.35</v>
          </cell>
          <cell r="P88">
            <v>1.4</v>
          </cell>
          <cell r="R88">
            <v>1.4</v>
          </cell>
          <cell r="T88">
            <v>1.4</v>
          </cell>
          <cell r="V88">
            <v>1.4</v>
          </cell>
        </row>
        <row r="89">
          <cell r="A89" t="str">
            <v>Accounts payable</v>
          </cell>
          <cell r="D89">
            <v>39.113999999999997</v>
          </cell>
          <cell r="E89">
            <v>33.347999999999999</v>
          </cell>
          <cell r="F89">
            <v>51.38</v>
          </cell>
          <cell r="H89">
            <v>59.7</v>
          </cell>
          <cell r="J89">
            <v>104.83199999999999</v>
          </cell>
          <cell r="L89">
            <v>338.97800000000001</v>
          </cell>
          <cell r="N89">
            <v>407.51253333333335</v>
          </cell>
          <cell r="P89">
            <v>456.59391781256443</v>
          </cell>
          <cell r="R89">
            <v>490.62727263078477</v>
          </cell>
          <cell r="T89">
            <v>516.00089702788932</v>
          </cell>
          <cell r="V89">
            <v>537.7453940950993</v>
          </cell>
        </row>
        <row r="90">
          <cell r="A90" t="str">
            <v>% operating expenses</v>
          </cell>
          <cell r="D90">
            <v>3.1067933403389879E-2</v>
          </cell>
          <cell r="E90">
            <v>2.1183622521415164E-2</v>
          </cell>
          <cell r="F90">
            <v>2.6186055543182277E-2</v>
          </cell>
          <cell r="H90">
            <v>2.4320530836713122E-2</v>
          </cell>
          <cell r="J90">
            <v>3.1749954570234412E-2</v>
          </cell>
          <cell r="L90">
            <v>7.4813032525697418E-2</v>
          </cell>
          <cell r="N90">
            <v>6.943787124213642E-2</v>
          </cell>
          <cell r="P90">
            <v>6.6449407580007072E-2</v>
          </cell>
          <cell r="R90">
            <v>6.4164225412059184E-2</v>
          </cell>
          <cell r="T90">
            <v>6.2528735407709535E-2</v>
          </cell>
          <cell r="V90">
            <v>6.1991078043408712E-2</v>
          </cell>
        </row>
        <row r="91">
          <cell r="A91" t="str">
            <v>Days payable outstanding (CHECK)</v>
          </cell>
          <cell r="D91">
            <v>52.47441816016584</v>
          </cell>
          <cell r="E91">
            <v>34.34135909401256</v>
          </cell>
          <cell r="F91">
            <v>42.46473292122365</v>
          </cell>
          <cell r="H91">
            <v>45.382598390922858</v>
          </cell>
          <cell r="J91">
            <v>56.897665427509295</v>
          </cell>
          <cell r="L91">
            <v>122.37315577763206</v>
          </cell>
          <cell r="N91">
            <v>121.66666666666667</v>
          </cell>
          <cell r="P91">
            <v>110.60606060606061</v>
          </cell>
          <cell r="R91">
            <v>110.60606060606061</v>
          </cell>
          <cell r="T91">
            <v>110.60606060606061</v>
          </cell>
          <cell r="V91">
            <v>110.60606060606061</v>
          </cell>
        </row>
        <row r="92">
          <cell r="A92" t="str">
            <v>Accounts payable turnover</v>
          </cell>
          <cell r="D92">
            <v>5.1847740201630499</v>
          </cell>
          <cell r="E92">
            <v>10.32114072799749</v>
          </cell>
          <cell r="F92">
            <v>10.399924116307714</v>
          </cell>
          <cell r="H92">
            <v>10.580068506964043</v>
          </cell>
          <cell r="J92">
            <v>11.819465613344038</v>
          </cell>
          <cell r="L92">
            <v>8.2621306411124422</v>
          </cell>
          <cell r="N92">
            <v>3</v>
          </cell>
          <cell r="P92">
            <v>3.3</v>
          </cell>
          <cell r="R92">
            <v>3.3</v>
          </cell>
          <cell r="S92">
            <v>3</v>
          </cell>
          <cell r="T92">
            <v>3.3</v>
          </cell>
          <cell r="V92">
            <v>3.3</v>
          </cell>
        </row>
        <row r="93">
          <cell r="A93" t="str">
            <v>Accrued Liabilites and Other</v>
          </cell>
          <cell r="D93">
            <v>398.745</v>
          </cell>
          <cell r="E93">
            <v>461.214</v>
          </cell>
          <cell r="F93">
            <v>575.23599999999999</v>
          </cell>
          <cell r="H93">
            <v>765.85</v>
          </cell>
          <cell r="J93">
            <v>1087.2090000000001</v>
          </cell>
          <cell r="L93">
            <v>1276.527</v>
          </cell>
          <cell r="N93">
            <v>1232.4345558</v>
          </cell>
          <cell r="P93">
            <v>1374.2603115394572</v>
          </cell>
          <cell r="R93">
            <v>1452.8217429759429</v>
          </cell>
          <cell r="T93">
            <v>1485.3996464091026</v>
          </cell>
          <cell r="V93">
            <v>1474.6753868702385</v>
          </cell>
        </row>
        <row r="94">
          <cell r="A94" t="str">
            <v>% operating expenses</v>
          </cell>
          <cell r="D94">
            <v>0.31671992393860759</v>
          </cell>
          <cell r="E94">
            <v>0.29297658862876258</v>
          </cell>
          <cell r="F94">
            <v>0.29317169806224208</v>
          </cell>
          <cell r="H94">
            <v>0.3119912653483542</v>
          </cell>
          <cell r="J94">
            <v>0.32927766672723968</v>
          </cell>
          <cell r="L94">
            <v>0.28173172291691778</v>
          </cell>
          <cell r="N94">
            <v>0.21</v>
          </cell>
          <cell r="P94">
            <v>0.2</v>
          </cell>
          <cell r="R94">
            <v>0.19</v>
          </cell>
          <cell r="T94">
            <v>0.18</v>
          </cell>
          <cell r="V94">
            <v>0.17</v>
          </cell>
        </row>
        <row r="95">
          <cell r="A95" t="str">
            <v>Deferred Revenues</v>
          </cell>
          <cell r="D95">
            <v>468.72500000000002</v>
          </cell>
          <cell r="E95">
            <v>87.575999999999993</v>
          </cell>
          <cell r="F95">
            <v>89.576999999999998</v>
          </cell>
          <cell r="H95">
            <v>328.68</v>
          </cell>
          <cell r="J95">
            <v>313.79399999999998</v>
          </cell>
          <cell r="L95">
            <v>264.41999999999996</v>
          </cell>
          <cell r="N95">
            <v>456.01800000000003</v>
          </cell>
          <cell r="P95">
            <v>563.9562560841614</v>
          </cell>
          <cell r="R95">
            <v>655.20931555509151</v>
          </cell>
          <cell r="T95">
            <v>729.30194889575523</v>
          </cell>
          <cell r="V95">
            <v>788.90548246888557</v>
          </cell>
        </row>
        <row r="96">
          <cell r="A96" t="str">
            <v>% operating expenses</v>
          </cell>
          <cell r="D96">
            <v>5.185011061946903</v>
          </cell>
          <cell r="E96">
            <v>4.2844730415179409E-2</v>
          </cell>
          <cell r="F96">
            <v>3.4671099435883972E-2</v>
          </cell>
          <cell r="H96">
            <v>9.959206281438783E-2</v>
          </cell>
          <cell r="J96">
            <v>6.7903142041028305E-2</v>
          </cell>
          <cell r="L96">
            <v>3.9861772722770722E-2</v>
          </cell>
          <cell r="N96">
            <v>0.05</v>
          </cell>
          <cell r="P96">
            <v>0.05</v>
          </cell>
          <cell r="R96">
            <v>0.05</v>
          </cell>
          <cell r="T96">
            <v>0.05</v>
          </cell>
          <cell r="V96">
            <v>0.05</v>
          </cell>
        </row>
        <row r="101">
          <cell r="A101" t="str">
            <v>Property and Equipment, Net</v>
          </cell>
        </row>
        <row r="102">
          <cell r="A102" t="str">
            <v>Beginning balance</v>
          </cell>
          <cell r="F102">
            <v>865.66800000000001</v>
          </cell>
          <cell r="H102">
            <v>1068.7339999999999</v>
          </cell>
          <cell r="J102">
            <v>1617.9</v>
          </cell>
          <cell r="L102">
            <v>2091.404</v>
          </cell>
          <cell r="N102">
            <v>3349.3519999999999</v>
          </cell>
          <cell r="P102">
            <v>4554.0653750000001</v>
          </cell>
          <cell r="R102">
            <v>5783.2955411838693</v>
          </cell>
          <cell r="T102">
            <v>6559.6626049312927</v>
          </cell>
          <cell r="V102">
            <v>6993.2829589207122</v>
          </cell>
        </row>
        <row r="103">
          <cell r="A103" t="str">
            <v>Capital expenditures</v>
          </cell>
          <cell r="D103">
            <v>112.681</v>
          </cell>
          <cell r="E103">
            <v>213.351</v>
          </cell>
          <cell r="F103">
            <v>322.83199999999999</v>
          </cell>
          <cell r="H103">
            <v>321.95</v>
          </cell>
          <cell r="J103">
            <v>649.85799999999995</v>
          </cell>
          <cell r="L103">
            <v>1399.8240000000001</v>
          </cell>
          <cell r="N103">
            <v>1482.0585000000001</v>
          </cell>
          <cell r="P103">
            <v>1579.0775170356521</v>
          </cell>
          <cell r="R103">
            <v>1179.3767679991645</v>
          </cell>
          <cell r="T103">
            <v>875.1623386749061</v>
          </cell>
          <cell r="V103">
            <v>828.35075659232984</v>
          </cell>
        </row>
        <row r="104">
          <cell r="A104" t="str">
            <v>% revenue</v>
          </cell>
          <cell r="D104">
            <v>6.8818245834286293E-2</v>
          </cell>
          <cell r="E104">
            <v>0.10437752442231825</v>
          </cell>
          <cell r="F104">
            <v>0.12495328458293194</v>
          </cell>
          <cell r="H104">
            <v>9.7552831395558467E-2</v>
          </cell>
          <cell r="J104">
            <v>0.14062537868951785</v>
          </cell>
          <cell r="L104">
            <v>0.22190900773092165</v>
          </cell>
          <cell r="N104">
            <v>0.16250000000000001</v>
          </cell>
          <cell r="P104">
            <v>0.14000000000000001</v>
          </cell>
          <cell r="R104">
            <v>0.09</v>
          </cell>
          <cell r="T104">
            <v>0.06</v>
          </cell>
          <cell r="V104">
            <v>5.2499999999999998E-2</v>
          </cell>
        </row>
        <row r="105">
          <cell r="A105" t="str">
            <v>Depreciation</v>
          </cell>
          <cell r="F105">
            <v>-104.55499999999998</v>
          </cell>
          <cell r="H105">
            <v>-125</v>
          </cell>
          <cell r="J105">
            <v>-171.221</v>
          </cell>
          <cell r="L105">
            <v>-210.41070000000002</v>
          </cell>
          <cell r="N105">
            <v>-277.34512500000005</v>
          </cell>
          <cell r="P105">
            <v>-349.84735085178261</v>
          </cell>
          <cell r="R105">
            <v>-403.00970425174086</v>
          </cell>
          <cell r="T105">
            <v>-441.54198468548617</v>
          </cell>
          <cell r="V105">
            <v>-478.25626966510265</v>
          </cell>
        </row>
        <row r="106">
          <cell r="A106" t="str">
            <v>Ending balance</v>
          </cell>
          <cell r="E106">
            <v>865.66800000000001</v>
          </cell>
          <cell r="F106">
            <v>1068.7339999999999</v>
          </cell>
          <cell r="H106">
            <v>1617.9</v>
          </cell>
          <cell r="J106">
            <v>2091.404</v>
          </cell>
          <cell r="L106">
            <v>3349.3519999999999</v>
          </cell>
          <cell r="N106">
            <v>4554.0653750000001</v>
          </cell>
          <cell r="P106">
            <v>5783.2955411838693</v>
          </cell>
          <cell r="R106">
            <v>6559.6626049312927</v>
          </cell>
          <cell r="T106">
            <v>6993.2829589207122</v>
          </cell>
          <cell r="V106">
            <v>7343.3774458479393</v>
          </cell>
        </row>
        <row r="108">
          <cell r="A108" t="str">
            <v>Fixed Asset Turnover (CHECK)</v>
          </cell>
          <cell r="E108">
            <v>2.361219312715729</v>
          </cell>
          <cell r="F108">
            <v>2.6712354098782445</v>
          </cell>
          <cell r="H108">
            <v>2.4568013357978793</v>
          </cell>
          <cell r="J108">
            <v>2.4916803799311138</v>
          </cell>
          <cell r="L108">
            <v>2.4384195872779451</v>
          </cell>
          <cell r="N108">
            <v>2.3079535262428172</v>
          </cell>
          <cell r="P108">
            <v>2.1822059253101944</v>
          </cell>
          <cell r="R108">
            <v>2.2658683475164985</v>
          </cell>
          <cell r="T108">
            <v>2.2235959158859635</v>
          </cell>
          <cell r="V108">
            <v>2.2561806439207457</v>
          </cell>
        </row>
        <row r="109">
          <cell r="A109" t="str">
            <v>Employee Stock Option Analysis</v>
          </cell>
        </row>
        <row r="110">
          <cell r="C110">
            <v>1999</v>
          </cell>
          <cell r="D110">
            <v>2000</v>
          </cell>
          <cell r="E110" t="str">
            <v>2001</v>
          </cell>
          <cell r="F110" t="str">
            <v>2002</v>
          </cell>
          <cell r="H110" t="str">
            <v>2003E</v>
          </cell>
          <cell r="J110" t="str">
            <v>2004A</v>
          </cell>
          <cell r="L110" t="str">
            <v>2005A</v>
          </cell>
          <cell r="N110" t="str">
            <v>2006E</v>
          </cell>
          <cell r="P110" t="str">
            <v>2007E</v>
          </cell>
          <cell r="R110" t="str">
            <v>2008E</v>
          </cell>
          <cell r="T110" t="str">
            <v>2009E</v>
          </cell>
          <cell r="V110" t="str">
            <v>2010E</v>
          </cell>
        </row>
        <row r="111">
          <cell r="A111" t="str">
            <v xml:space="preserve">Stock Price (average) </v>
          </cell>
          <cell r="E111">
            <v>81.5</v>
          </cell>
          <cell r="F111">
            <v>33.159999999999997</v>
          </cell>
          <cell r="H111">
            <v>38</v>
          </cell>
          <cell r="J111">
            <v>52.85</v>
          </cell>
          <cell r="L111">
            <v>76.13</v>
          </cell>
          <cell r="N111">
            <v>85</v>
          </cell>
          <cell r="P111">
            <v>92.31</v>
          </cell>
          <cell r="R111">
            <v>100.24866000000002</v>
          </cell>
          <cell r="T111">
            <v>108.87004476000003</v>
          </cell>
          <cell r="V111">
            <v>118.23286860936004</v>
          </cell>
          <cell r="X111">
            <v>8.5999999999999993E-2</v>
          </cell>
        </row>
        <row r="112">
          <cell r="A112" t="str">
            <v>Option Balance (Beginning Year)</v>
          </cell>
          <cell r="E112">
            <v>40.945</v>
          </cell>
          <cell r="F112">
            <v>93.28</v>
          </cell>
          <cell r="H112">
            <v>98.182999999999993</v>
          </cell>
          <cell r="J112">
            <v>96.126000000000005</v>
          </cell>
          <cell r="L112">
            <v>93.766000000000005</v>
          </cell>
          <cell r="N112">
            <v>82.804000000000002</v>
          </cell>
          <cell r="P112">
            <v>74.523600000000002</v>
          </cell>
          <cell r="R112">
            <v>70.052184000000011</v>
          </cell>
          <cell r="T112">
            <v>67.950618480000003</v>
          </cell>
          <cell r="V112">
            <v>67.950618480000003</v>
          </cell>
        </row>
        <row r="113">
          <cell r="A113" t="str">
            <v xml:space="preserve"> Average Options "in the money"</v>
          </cell>
          <cell r="H113">
            <v>38.799999999999997</v>
          </cell>
          <cell r="J113">
            <v>46.338999999999999</v>
          </cell>
          <cell r="L113">
            <v>37.451000000000001</v>
          </cell>
          <cell r="N113">
            <v>39.331900000000005</v>
          </cell>
          <cell r="P113">
            <v>36.143946</v>
          </cell>
          <cell r="R113">
            <v>34.500700620000003</v>
          </cell>
          <cell r="T113">
            <v>27.180247392000002</v>
          </cell>
          <cell r="V113">
            <v>13.590123696000001</v>
          </cell>
        </row>
        <row r="114">
          <cell r="A114" t="str">
            <v xml:space="preserve">   % "in the money"</v>
          </cell>
          <cell r="F114">
            <v>0</v>
          </cell>
          <cell r="H114">
            <v>0.39936389976789544</v>
          </cell>
          <cell r="J114">
            <v>0.48206520608368181</v>
          </cell>
          <cell r="L114">
            <v>0.39940916750207961</v>
          </cell>
          <cell r="N114">
            <v>0.5</v>
          </cell>
          <cell r="P114">
            <v>0.5</v>
          </cell>
          <cell r="R114">
            <v>0.5</v>
          </cell>
          <cell r="T114">
            <v>0.4</v>
          </cell>
          <cell r="V114">
            <v>0.4</v>
          </cell>
        </row>
        <row r="115">
          <cell r="A115" t="str">
            <v>Weighted Average Exercise Price</v>
          </cell>
          <cell r="H115">
            <v>21.418882283745745</v>
          </cell>
          <cell r="J115">
            <v>25</v>
          </cell>
          <cell r="L115">
            <v>35</v>
          </cell>
          <cell r="N115">
            <v>40.25</v>
          </cell>
          <cell r="P115">
            <v>46.287499999999994</v>
          </cell>
          <cell r="R115">
            <v>53.230624999999989</v>
          </cell>
          <cell r="T115">
            <v>61.215218749999984</v>
          </cell>
          <cell r="V115">
            <v>70.397501562499983</v>
          </cell>
          <cell r="X115">
            <v>0.15</v>
          </cell>
        </row>
        <row r="116">
          <cell r="A116" t="str">
            <v>Options Cancelled</v>
          </cell>
          <cell r="E116">
            <v>2.15</v>
          </cell>
          <cell r="F116">
            <v>4.4059999999999997</v>
          </cell>
          <cell r="H116">
            <v>4.4139999999999997</v>
          </cell>
          <cell r="J116">
            <v>1.843</v>
          </cell>
          <cell r="L116">
            <v>1.8140000000000001</v>
          </cell>
          <cell r="N116">
            <v>3.31216</v>
          </cell>
          <cell r="P116">
            <v>2.980944</v>
          </cell>
          <cell r="R116">
            <v>2.8020873600000007</v>
          </cell>
          <cell r="T116">
            <v>2.7180247392000001</v>
          </cell>
          <cell r="V116">
            <v>2.7180247392000001</v>
          </cell>
        </row>
        <row r="117">
          <cell r="A117" t="str">
            <v xml:space="preserve">   % Cancelled </v>
          </cell>
          <cell r="E117">
            <v>5.2509463915007937E-2</v>
          </cell>
          <cell r="F117">
            <v>4.7234133790737563E-2</v>
          </cell>
          <cell r="H117">
            <v>4.4956866259943169E-2</v>
          </cell>
          <cell r="J117">
            <v>0.04</v>
          </cell>
          <cell r="L117">
            <v>0.04</v>
          </cell>
          <cell r="N117">
            <v>0.04</v>
          </cell>
          <cell r="P117">
            <v>0.04</v>
          </cell>
          <cell r="R117">
            <v>0.04</v>
          </cell>
          <cell r="T117">
            <v>0.04</v>
          </cell>
          <cell r="V117">
            <v>0.04</v>
          </cell>
        </row>
        <row r="118">
          <cell r="A118" t="str">
            <v>Options Exercised</v>
          </cell>
          <cell r="E118">
            <v>2.899</v>
          </cell>
          <cell r="F118">
            <v>3.3460000000000001</v>
          </cell>
          <cell r="H118">
            <v>32.078000000000003</v>
          </cell>
          <cell r="J118">
            <v>21.484000000000002</v>
          </cell>
          <cell r="L118">
            <v>28.823</v>
          </cell>
          <cell r="N118">
            <v>23.185120000000001</v>
          </cell>
          <cell r="P118">
            <v>18.6309</v>
          </cell>
          <cell r="R118">
            <v>16.112002320000002</v>
          </cell>
          <cell r="T118">
            <v>13.590123696000001</v>
          </cell>
          <cell r="V118">
            <v>13.590123696000001</v>
          </cell>
        </row>
        <row r="119">
          <cell r="A119" t="str">
            <v xml:space="preserve">     % of Outstanding Options</v>
          </cell>
          <cell r="E119">
            <v>7.080229576260838E-2</v>
          </cell>
          <cell r="F119">
            <v>3.5870497427101203E-2</v>
          </cell>
          <cell r="H119">
            <v>0.32671643767250957</v>
          </cell>
          <cell r="J119">
            <v>0.35</v>
          </cell>
          <cell r="L119">
            <v>0.3</v>
          </cell>
          <cell r="N119">
            <v>0.28000000000000003</v>
          </cell>
          <cell r="P119">
            <v>0.25</v>
          </cell>
          <cell r="R119">
            <v>0.23</v>
          </cell>
          <cell r="T119">
            <v>0.2</v>
          </cell>
          <cell r="V119">
            <v>0.2</v>
          </cell>
        </row>
        <row r="120">
          <cell r="A120" t="str">
            <v>Weighted Average Exercise Price of exercised</v>
          </cell>
          <cell r="E120">
            <v>24.69</v>
          </cell>
          <cell r="F120">
            <v>11.715</v>
          </cell>
          <cell r="H120">
            <v>34.134999999999998</v>
          </cell>
          <cell r="J120">
            <v>20.81</v>
          </cell>
          <cell r="L120">
            <v>25.88</v>
          </cell>
          <cell r="N120">
            <v>31.055999999999997</v>
          </cell>
          <cell r="P120">
            <v>37.267199999999995</v>
          </cell>
          <cell r="R120">
            <v>44.720639999999996</v>
          </cell>
          <cell r="T120">
            <v>53.664767999999995</v>
          </cell>
          <cell r="V120">
            <v>64.397721599999997</v>
          </cell>
          <cell r="X120">
            <v>0.2</v>
          </cell>
        </row>
        <row r="121">
          <cell r="A121" t="str">
            <v xml:space="preserve">     Tax rate</v>
          </cell>
          <cell r="E121">
            <v>0.17543014456747877</v>
          </cell>
          <cell r="F121">
            <v>0.33702605798725771</v>
          </cell>
          <cell r="H121">
            <v>0.32364976429312847</v>
          </cell>
          <cell r="J121">
            <v>0.36207709431617907</v>
          </cell>
          <cell r="L121">
            <v>0.36750724212165659</v>
          </cell>
          <cell r="N121">
            <v>0.3729296918045219</v>
          </cell>
          <cell r="P121">
            <v>0.373</v>
          </cell>
          <cell r="R121">
            <v>0.373</v>
          </cell>
          <cell r="T121">
            <v>0.373</v>
          </cell>
          <cell r="V121">
            <v>0.373</v>
          </cell>
        </row>
        <row r="122">
          <cell r="A122" t="str">
            <v>Proceeds from option</v>
          </cell>
          <cell r="H122">
            <v>1094.98253</v>
          </cell>
          <cell r="J122">
            <v>447.08204000000001</v>
          </cell>
          <cell r="L122">
            <v>745.93923999999993</v>
          </cell>
          <cell r="N122">
            <v>720.03708671999993</v>
          </cell>
          <cell r="P122">
            <v>694.32147647999989</v>
          </cell>
          <cell r="R122">
            <v>720.53905543188478</v>
          </cell>
          <cell r="T122">
            <v>729.31083523714256</v>
          </cell>
          <cell r="V122">
            <v>875.173002284571</v>
          </cell>
        </row>
        <row r="123">
          <cell r="A123" t="str">
            <v>Tax Benefit from Options</v>
          </cell>
          <cell r="H123">
            <v>40.126573542215603</v>
          </cell>
          <cell r="J123">
            <v>329.47</v>
          </cell>
          <cell r="L123">
            <v>641.34799999999996</v>
          </cell>
          <cell r="N123">
            <v>466.42246192600749</v>
          </cell>
          <cell r="P123">
            <v>382.51034463996001</v>
          </cell>
          <cell r="R123">
            <v>333.71100997524758</v>
          </cell>
          <cell r="T123">
            <v>279.84195936043733</v>
          </cell>
          <cell r="V123">
            <v>272.89661252948122</v>
          </cell>
        </row>
        <row r="124">
          <cell r="A124" t="str">
            <v>Options Granted</v>
          </cell>
          <cell r="E124">
            <v>10.74</v>
          </cell>
          <cell r="F124">
            <v>12.654999999999999</v>
          </cell>
          <cell r="H124">
            <v>10.89</v>
          </cell>
          <cell r="J124">
            <v>20.966999999999999</v>
          </cell>
          <cell r="L124">
            <v>19.675000000000001</v>
          </cell>
          <cell r="N124">
            <v>18.21688</v>
          </cell>
          <cell r="P124">
            <v>17.140428</v>
          </cell>
          <cell r="R124">
            <v>16.812524160000002</v>
          </cell>
          <cell r="T124">
            <v>16.3081484352</v>
          </cell>
          <cell r="V124">
            <v>16.3081484352</v>
          </cell>
        </row>
        <row r="125">
          <cell r="A125" t="str">
            <v xml:space="preserve">     % of Outstanding Options</v>
          </cell>
          <cell r="E125">
            <v>0.26230308951031872</v>
          </cell>
          <cell r="F125">
            <v>0.13566680960548885</v>
          </cell>
          <cell r="H125">
            <v>0.11091533157471255</v>
          </cell>
          <cell r="J125">
            <v>0.21811996754260032</v>
          </cell>
          <cell r="L125">
            <v>0.20983085553398886</v>
          </cell>
          <cell r="N125">
            <v>0.22</v>
          </cell>
          <cell r="P125">
            <v>0.23</v>
          </cell>
          <cell r="R125">
            <v>0.24</v>
          </cell>
          <cell r="T125">
            <v>0.24</v>
          </cell>
          <cell r="V125">
            <v>0.24</v>
          </cell>
        </row>
        <row r="126">
          <cell r="A126" t="str">
            <v>Shares Issued</v>
          </cell>
          <cell r="D126">
            <v>0</v>
          </cell>
          <cell r="E126">
            <v>0.83799999999999997</v>
          </cell>
          <cell r="F126">
            <v>2.1320000000000001</v>
          </cell>
          <cell r="H126">
            <v>2.8</v>
          </cell>
          <cell r="J126">
            <v>2.5</v>
          </cell>
          <cell r="L126">
            <v>0.9812163404702483</v>
          </cell>
          <cell r="N126">
            <v>0</v>
          </cell>
          <cell r="P126">
            <v>0</v>
          </cell>
          <cell r="R126">
            <v>0</v>
          </cell>
          <cell r="T126">
            <v>0</v>
          </cell>
          <cell r="V126">
            <v>0</v>
          </cell>
        </row>
        <row r="127">
          <cell r="A127" t="str">
            <v>Proceeds from share issuance</v>
          </cell>
          <cell r="D127">
            <v>0</v>
          </cell>
          <cell r="E127">
            <v>0</v>
          </cell>
          <cell r="F127">
            <v>0</v>
          </cell>
          <cell r="H127">
            <v>0</v>
          </cell>
          <cell r="J127">
            <v>58.86</v>
          </cell>
          <cell r="L127">
            <v>74.7</v>
          </cell>
          <cell r="N127">
            <v>0</v>
          </cell>
          <cell r="P127">
            <v>0</v>
          </cell>
          <cell r="R127">
            <v>0</v>
          </cell>
          <cell r="T127">
            <v>0</v>
          </cell>
          <cell r="V127">
            <v>0</v>
          </cell>
        </row>
        <row r="128">
          <cell r="A128" t="str">
            <v>Shares Repurchased (mm)</v>
          </cell>
          <cell r="E128">
            <v>0.9</v>
          </cell>
          <cell r="F128">
            <v>36.4</v>
          </cell>
          <cell r="H128">
            <v>11</v>
          </cell>
          <cell r="J128">
            <v>25.6</v>
          </cell>
          <cell r="L128">
            <v>26.479863391567058</v>
          </cell>
          <cell r="N128">
            <v>23.185120000000001</v>
          </cell>
          <cell r="P128">
            <v>18.6309</v>
          </cell>
          <cell r="R128">
            <v>16.112002320000002</v>
          </cell>
          <cell r="T128">
            <v>13.590123696000001</v>
          </cell>
          <cell r="V128">
            <v>13.590123696000001</v>
          </cell>
        </row>
        <row r="129">
          <cell r="A129" t="str">
            <v>Share Repurchase Cost</v>
          </cell>
          <cell r="E129">
            <v>39.700000000000003</v>
          </cell>
          <cell r="F129">
            <v>692.8</v>
          </cell>
          <cell r="H129">
            <v>201.34</v>
          </cell>
          <cell r="J129">
            <v>1351.683</v>
          </cell>
          <cell r="L129">
            <v>2015.912</v>
          </cell>
          <cell r="N129">
            <v>1970.7352000000001</v>
          </cell>
          <cell r="P129">
            <v>1719.818379</v>
          </cell>
          <cell r="R129">
            <v>1615.2066424968916</v>
          </cell>
          <cell r="T129">
            <v>1479.5573750774572</v>
          </cell>
          <cell r="V129">
            <v>1606.7993093341186</v>
          </cell>
        </row>
        <row r="130">
          <cell r="B130" t="str">
            <v>Allocated to APIC</v>
          </cell>
          <cell r="F130">
            <v>235.5</v>
          </cell>
          <cell r="H130">
            <v>71.584000000000003</v>
          </cell>
          <cell r="J130">
            <v>191.042</v>
          </cell>
          <cell r="L130">
            <v>806.36480000000006</v>
          </cell>
          <cell r="N130">
            <v>788.29408000000012</v>
          </cell>
          <cell r="P130">
            <v>687.92735160000007</v>
          </cell>
          <cell r="R130">
            <v>646.08265699875665</v>
          </cell>
          <cell r="T130">
            <v>591.82295003098295</v>
          </cell>
          <cell r="V130">
            <v>642.71972373364747</v>
          </cell>
        </row>
        <row r="131">
          <cell r="B131" t="str">
            <v>Allocated to Retained Earnings</v>
          </cell>
          <cell r="F131">
            <v>457.29999999999995</v>
          </cell>
          <cell r="H131">
            <v>129.756</v>
          </cell>
          <cell r="J131">
            <v>1160.6410000000001</v>
          </cell>
          <cell r="L131">
            <v>1209.5472</v>
          </cell>
          <cell r="N131">
            <v>1182.44112</v>
          </cell>
          <cell r="P131">
            <v>1031.8910274</v>
          </cell>
          <cell r="R131">
            <v>969.12398549813497</v>
          </cell>
          <cell r="T131">
            <v>887.73442504647426</v>
          </cell>
          <cell r="V131">
            <v>964.07958560047109</v>
          </cell>
        </row>
        <row r="132">
          <cell r="A132" t="str">
            <v>Stock options expense</v>
          </cell>
          <cell r="N132">
            <v>329.18547890000002</v>
          </cell>
          <cell r="P132">
            <v>377.92158567335071</v>
          </cell>
          <cell r="R132">
            <v>420.55366244040454</v>
          </cell>
          <cell r="T132">
            <v>453.87211418055915</v>
          </cell>
          <cell r="V132">
            <v>477.1008604580183</v>
          </cell>
        </row>
        <row r="133">
          <cell r="A133" t="str">
            <v>Total Change in APIC</v>
          </cell>
          <cell r="D133">
            <v>0</v>
          </cell>
          <cell r="E133">
            <v>109</v>
          </cell>
          <cell r="F133">
            <v>-603.4</v>
          </cell>
          <cell r="H133">
            <v>590.29999999999995</v>
          </cell>
          <cell r="J133">
            <v>-516.27096000000006</v>
          </cell>
          <cell r="L133">
            <v>-553.92476000000011</v>
          </cell>
          <cell r="N133">
            <v>-455.09017245399264</v>
          </cell>
          <cell r="P133">
            <v>-265.0649722066895</v>
          </cell>
          <cell r="R133">
            <v>-140.40291464935478</v>
          </cell>
          <cell r="T133">
            <v>-16.532466299318173</v>
          </cell>
          <cell r="V133">
            <v>18.371165937951957</v>
          </cell>
          <cell r="Y133" t="str">
            <v>mstag:netIssuanceRepurchaseOfCommonStock</v>
          </cell>
          <cell r="Z133">
            <v>6</v>
          </cell>
          <cell r="AA133" t="str">
            <v>ISO4217:USD</v>
          </cell>
          <cell r="AB133" t="b">
            <v>0</v>
          </cell>
          <cell r="AC133" t="b">
            <v>0</v>
          </cell>
        </row>
        <row r="134">
          <cell r="A134" t="str">
            <v>Beginning Period Shares</v>
          </cell>
          <cell r="H134">
            <v>1025.155974</v>
          </cell>
          <cell r="J134">
            <v>1049.5</v>
          </cell>
          <cell r="L134">
            <v>1047.127</v>
          </cell>
          <cell r="N134">
            <v>1053.713</v>
          </cell>
          <cell r="P134">
            <v>1053.713</v>
          </cell>
          <cell r="R134">
            <v>1053.713</v>
          </cell>
          <cell r="T134">
            <v>1053.713</v>
          </cell>
          <cell r="V134">
            <v>1053.713</v>
          </cell>
        </row>
        <row r="135">
          <cell r="A135" t="str">
            <v>End of Period Shares</v>
          </cell>
          <cell r="D135">
            <v>0</v>
          </cell>
          <cell r="E135">
            <v>527.79422299999999</v>
          </cell>
          <cell r="F135">
            <v>1025.155974</v>
          </cell>
          <cell r="H135">
            <v>1047.3900000000001</v>
          </cell>
          <cell r="J135">
            <v>1047.127</v>
          </cell>
          <cell r="L135">
            <v>1053.713</v>
          </cell>
          <cell r="N135">
            <v>1053.713</v>
          </cell>
          <cell r="P135">
            <v>1053.713</v>
          </cell>
          <cell r="R135">
            <v>1053.713</v>
          </cell>
          <cell r="T135">
            <v>1053.713</v>
          </cell>
          <cell r="V135">
            <v>1053.713</v>
          </cell>
          <cell r="Y135" t="str">
            <v>mstag:periodEndBasicSharesOutstanding</v>
          </cell>
          <cell r="Z135">
            <v>6</v>
          </cell>
          <cell r="AA135" t="str">
            <v>ms_eqr_gcim_Decimal:ms_eqr_gcim_decimal</v>
          </cell>
          <cell r="AB135" t="b">
            <v>0</v>
          </cell>
          <cell r="AC135" t="b">
            <v>0</v>
          </cell>
        </row>
        <row r="136">
          <cell r="A136" t="str">
            <v xml:space="preserve">Average Shares Outstanding-basic </v>
          </cell>
          <cell r="D136">
            <v>0</v>
          </cell>
          <cell r="E136">
            <v>1054.038</v>
          </cell>
          <cell r="F136">
            <v>1038.5084999999999</v>
          </cell>
          <cell r="H136">
            <v>1034.4565</v>
          </cell>
          <cell r="J136">
            <v>1055.165</v>
          </cell>
          <cell r="L136">
            <v>1054.952</v>
          </cell>
          <cell r="N136">
            <v>1053.713</v>
          </cell>
          <cell r="P136">
            <v>1053.713</v>
          </cell>
          <cell r="R136">
            <v>1053.713</v>
          </cell>
          <cell r="T136">
            <v>1053.713</v>
          </cell>
          <cell r="V136">
            <v>1053.713</v>
          </cell>
        </row>
        <row r="137">
          <cell r="A137" t="str">
            <v>Average Shares Outstanding-diluted</v>
          </cell>
          <cell r="D137">
            <v>0</v>
          </cell>
          <cell r="E137">
            <v>1070.441</v>
          </cell>
          <cell r="F137">
            <v>1048.9160000000002</v>
          </cell>
          <cell r="H137">
            <v>1054.3219999999999</v>
          </cell>
          <cell r="J137">
            <v>1079.2090000000001</v>
          </cell>
          <cell r="L137">
            <v>1080.9490000000001</v>
          </cell>
          <cell r="N137">
            <v>1074.4200885294117</v>
          </cell>
          <cell r="P137">
            <v>1071.7330926745205</v>
          </cell>
          <cell r="R137">
            <v>1069.8943150347914</v>
          </cell>
          <cell r="T137">
            <v>1065.6103953141094</v>
          </cell>
          <cell r="V137">
            <v>1059.2113742072459</v>
          </cell>
        </row>
        <row r="139">
          <cell r="A139" t="str">
            <v>Option Expense (cash repurchase)</v>
          </cell>
          <cell r="H139">
            <v>-83.854896457784662</v>
          </cell>
          <cell r="J139">
            <v>-688.34736000000021</v>
          </cell>
          <cell r="L139">
            <v>-1448.3557499999999</v>
          </cell>
          <cell r="N139">
            <v>-1250.6981132800001</v>
          </cell>
          <cell r="P139">
            <v>-1025.4969025200003</v>
          </cell>
          <cell r="R139">
            <v>-894.66758706500684</v>
          </cell>
          <cell r="T139">
            <v>-750.24653984031465</v>
          </cell>
          <cell r="V139">
            <v>-731.62630704954756</v>
          </cell>
        </row>
      </sheetData>
      <sheetData sheetId="9" refreshError="1">
        <row r="1">
          <cell r="B1" t="str">
            <v>Genentech Cash Flow Statements</v>
          </cell>
          <cell r="X1" t="str">
            <v>ElementName</v>
          </cell>
          <cell r="Y1" t="str">
            <v>ScaleOverride</v>
          </cell>
          <cell r="Z1" t="str">
            <v>UnitOverride</v>
          </cell>
          <cell r="AA1" t="str">
            <v>ReverseSign</v>
          </cell>
          <cell r="AB1" t="str">
            <v>IsDrivingAssumption</v>
          </cell>
          <cell r="AC1" t="str">
            <v>SegmentID</v>
          </cell>
        </row>
        <row r="2">
          <cell r="B2" t="str">
            <v>(Dollars in thousands)</v>
          </cell>
        </row>
        <row r="3">
          <cell r="C3" t="str">
            <v>2000A</v>
          </cell>
          <cell r="D3" t="str">
            <v>2001A</v>
          </cell>
          <cell r="E3" t="str">
            <v>2002A</v>
          </cell>
          <cell r="G3" t="str">
            <v>2003A</v>
          </cell>
          <cell r="I3" t="str">
            <v>2004A</v>
          </cell>
          <cell r="K3" t="str">
            <v>2005A</v>
          </cell>
          <cell r="M3" t="str">
            <v>2006E</v>
          </cell>
          <cell r="O3" t="str">
            <v>2007E</v>
          </cell>
          <cell r="Q3" t="str">
            <v>2008E</v>
          </cell>
          <cell r="S3" t="str">
            <v>2009E</v>
          </cell>
          <cell r="U3" t="str">
            <v>2010E</v>
          </cell>
        </row>
        <row r="4">
          <cell r="B4" t="str">
            <v>CASH FLOWS FROM OPERATING ACTIVITIES</v>
          </cell>
        </row>
        <row r="5">
          <cell r="B5" t="str">
            <v>Net Income (Loss)</v>
          </cell>
          <cell r="C5">
            <v>-74.241</v>
          </cell>
          <cell r="D5">
            <v>150.23599999999999</v>
          </cell>
          <cell r="E5">
            <v>63.786999999999999</v>
          </cell>
          <cell r="G5">
            <v>562.45584265857758</v>
          </cell>
          <cell r="I5">
            <v>784.81600000000003</v>
          </cell>
          <cell r="K5">
            <v>1278.991</v>
          </cell>
          <cell r="M5">
            <v>1731.7880296800001</v>
          </cell>
          <cell r="O5">
            <v>2346.2055172820069</v>
          </cell>
          <cell r="Q5">
            <v>3010.0769897997934</v>
          </cell>
          <cell r="S5">
            <v>3579.2035264931046</v>
          </cell>
          <cell r="U5">
            <v>4130.8413284121989</v>
          </cell>
          <cell r="X5" t="str">
            <v>mstag:netIncomeReported</v>
          </cell>
          <cell r="Y5">
            <v>6</v>
          </cell>
          <cell r="Z5" t="str">
            <v>ISO4217:USD</v>
          </cell>
          <cell r="AA5" t="b">
            <v>0</v>
          </cell>
          <cell r="AB5" t="b">
            <v>0</v>
          </cell>
        </row>
        <row r="6">
          <cell r="B6" t="str">
            <v>Effect of Acconting Change</v>
          </cell>
          <cell r="C6">
            <v>0</v>
          </cell>
          <cell r="D6">
            <v>5.6</v>
          </cell>
          <cell r="E6">
            <v>0</v>
          </cell>
          <cell r="G6">
            <v>47.655000000000001</v>
          </cell>
          <cell r="I6">
            <v>0</v>
          </cell>
          <cell r="K6">
            <v>0</v>
          </cell>
          <cell r="M6">
            <v>0</v>
          </cell>
          <cell r="O6">
            <v>0</v>
          </cell>
          <cell r="Q6">
            <v>0</v>
          </cell>
          <cell r="S6">
            <v>0</v>
          </cell>
          <cell r="U6">
            <v>0</v>
          </cell>
          <cell r="X6" t="str">
            <v>mstag:otherCashFlow</v>
          </cell>
          <cell r="Y6">
            <v>6</v>
          </cell>
          <cell r="Z6" t="str">
            <v>ISO4217:USD</v>
          </cell>
          <cell r="AA6" t="b">
            <v>0</v>
          </cell>
          <cell r="AB6" t="b">
            <v>0</v>
          </cell>
        </row>
        <row r="7">
          <cell r="B7" t="str">
            <v>Depreciation &amp; Amort.</v>
          </cell>
          <cell r="C7">
            <v>463.00400000000002</v>
          </cell>
          <cell r="D7">
            <v>428.09100000000001</v>
          </cell>
          <cell r="E7">
            <v>274.95499999999998</v>
          </cell>
          <cell r="G7">
            <v>295.39999999999998</v>
          </cell>
          <cell r="I7">
            <v>353.221</v>
          </cell>
          <cell r="K7">
            <v>370.166</v>
          </cell>
          <cell r="M7">
            <v>399.04512500000004</v>
          </cell>
          <cell r="O7">
            <v>470.34735085178261</v>
          </cell>
          <cell r="Q7">
            <v>521.50970425174091</v>
          </cell>
          <cell r="S7">
            <v>441.54198468548617</v>
          </cell>
          <cell r="U7">
            <v>478.25626966510265</v>
          </cell>
        </row>
        <row r="8">
          <cell r="B8" t="str">
            <v xml:space="preserve">     Depreciation</v>
          </cell>
          <cell r="C8">
            <v>0</v>
          </cell>
          <cell r="D8">
            <v>428.09100000000001</v>
          </cell>
          <cell r="E8">
            <v>104.55499999999998</v>
          </cell>
          <cell r="G8">
            <v>125</v>
          </cell>
          <cell r="I8">
            <v>171.221</v>
          </cell>
          <cell r="K8">
            <v>210.41070000000002</v>
          </cell>
          <cell r="M8">
            <v>277.34512500000005</v>
          </cell>
          <cell r="O8">
            <v>349.84735085178261</v>
          </cell>
          <cell r="Q8">
            <v>403.00970425174086</v>
          </cell>
          <cell r="S8">
            <v>441.54198468548617</v>
          </cell>
          <cell r="U8">
            <v>478.25626966510265</v>
          </cell>
          <cell r="X8" t="str">
            <v>mstag:depreciation</v>
          </cell>
          <cell r="Y8">
            <v>6</v>
          </cell>
          <cell r="Z8" t="str">
            <v>ISO4217:USD</v>
          </cell>
          <cell r="AA8" t="b">
            <v>0</v>
          </cell>
          <cell r="AB8" t="b">
            <v>0</v>
          </cell>
        </row>
        <row r="9">
          <cell r="B9" t="str">
            <v xml:space="preserve">     Amortization</v>
          </cell>
          <cell r="C9">
            <v>0</v>
          </cell>
          <cell r="D9">
            <v>0</v>
          </cell>
          <cell r="E9">
            <v>170.4</v>
          </cell>
          <cell r="G9">
            <v>170.4</v>
          </cell>
          <cell r="I9">
            <v>182</v>
          </cell>
          <cell r="K9">
            <v>159.75529999999998</v>
          </cell>
          <cell r="M9">
            <v>121.7</v>
          </cell>
          <cell r="O9">
            <v>120.5</v>
          </cell>
          <cell r="Q9">
            <v>118.5</v>
          </cell>
          <cell r="S9">
            <v>0</v>
          </cell>
          <cell r="U9">
            <v>0</v>
          </cell>
          <cell r="X9" t="str">
            <v>mstag:amortizationOfIntangiblesAssumedToHaveIndefiniteLife</v>
          </cell>
          <cell r="Y9">
            <v>6</v>
          </cell>
          <cell r="Z9" t="str">
            <v>ISO4217:USD</v>
          </cell>
          <cell r="AA9" t="b">
            <v>0</v>
          </cell>
          <cell r="AB9" t="b">
            <v>0</v>
          </cell>
        </row>
        <row r="10">
          <cell r="B10" t="str">
            <v>Tax Benefits Related to Employee Stock Options</v>
          </cell>
          <cell r="C10">
            <v>0</v>
          </cell>
          <cell r="D10">
            <v>0</v>
          </cell>
          <cell r="E10">
            <v>0</v>
          </cell>
          <cell r="G10">
            <v>0</v>
          </cell>
          <cell r="I10">
            <v>329.47</v>
          </cell>
          <cell r="K10">
            <v>632.29999999999995</v>
          </cell>
          <cell r="M10">
            <v>0</v>
          </cell>
          <cell r="O10">
            <v>0</v>
          </cell>
          <cell r="Q10">
            <v>0</v>
          </cell>
          <cell r="S10">
            <v>0</v>
          </cell>
          <cell r="U10">
            <v>0</v>
          </cell>
          <cell r="X10" t="str">
            <v>mstag:taxBenefitFromExerciseOfEsosCashFlowStatement</v>
          </cell>
          <cell r="Y10">
            <v>6</v>
          </cell>
          <cell r="Z10" t="str">
            <v>ISO4217:USD</v>
          </cell>
          <cell r="AA10" t="b">
            <v>0</v>
          </cell>
          <cell r="AB10" t="b">
            <v>0</v>
          </cell>
        </row>
        <row r="11">
          <cell r="B11" t="str">
            <v>Stock Options Expense (add back)</v>
          </cell>
          <cell r="M11">
            <v>329.18547890000002</v>
          </cell>
          <cell r="O11">
            <v>377.92158567335071</v>
          </cell>
          <cell r="Q11">
            <v>420.55366244040454</v>
          </cell>
          <cell r="S11">
            <v>453.87211418055915</v>
          </cell>
          <cell r="U11">
            <v>477.1008604580183</v>
          </cell>
          <cell r="X11" t="str">
            <v>mstag:otherCashFlow</v>
          </cell>
          <cell r="Y11">
            <v>6</v>
          </cell>
          <cell r="Z11" t="str">
            <v>ISO4217:USD</v>
          </cell>
          <cell r="AA11" t="b">
            <v>0</v>
          </cell>
          <cell r="AB11" t="b">
            <v>0</v>
          </cell>
        </row>
        <row r="12">
          <cell r="B12" t="str">
            <v>Write-Off Of In-Process Research and Development</v>
          </cell>
          <cell r="C12">
            <v>0</v>
          </cell>
          <cell r="D12">
            <v>0</v>
          </cell>
          <cell r="E12">
            <v>0</v>
          </cell>
          <cell r="G12">
            <v>0</v>
          </cell>
          <cell r="I12">
            <v>0</v>
          </cell>
          <cell r="K12">
            <v>0</v>
          </cell>
          <cell r="M12">
            <v>0</v>
          </cell>
          <cell r="O12">
            <v>0</v>
          </cell>
          <cell r="Q12">
            <v>0</v>
          </cell>
          <cell r="S12">
            <v>0</v>
          </cell>
          <cell r="U12">
            <v>0</v>
          </cell>
          <cell r="X12" t="str">
            <v>mstag:acquiredInProcessRAndD</v>
          </cell>
          <cell r="Y12">
            <v>6</v>
          </cell>
          <cell r="Z12" t="str">
            <v>ISO4217:USD</v>
          </cell>
          <cell r="AA12" t="b">
            <v>0</v>
          </cell>
          <cell r="AB12" t="b">
            <v>0</v>
          </cell>
        </row>
        <row r="13">
          <cell r="B13" t="str">
            <v>Deferred Income Taxes</v>
          </cell>
          <cell r="C13">
            <v>-235.315</v>
          </cell>
          <cell r="D13">
            <v>29.356999999999999</v>
          </cell>
          <cell r="E13">
            <v>-196.64400000000001</v>
          </cell>
          <cell r="G13">
            <v>-149</v>
          </cell>
          <cell r="I13">
            <v>-73.584999999999994</v>
          </cell>
          <cell r="K13">
            <v>-109.69499999999999</v>
          </cell>
          <cell r="M13">
            <v>0</v>
          </cell>
          <cell r="O13">
            <v>0</v>
          </cell>
          <cell r="Q13">
            <v>0</v>
          </cell>
          <cell r="S13">
            <v>0</v>
          </cell>
          <cell r="U13">
            <v>0</v>
          </cell>
          <cell r="X13" t="str">
            <v>mstag:deferredTax</v>
          </cell>
          <cell r="Y13">
            <v>6</v>
          </cell>
          <cell r="Z13" t="str">
            <v>ISO4217:USD</v>
          </cell>
          <cell r="AA13" t="b">
            <v>0</v>
          </cell>
          <cell r="AB13" t="b">
            <v>0</v>
          </cell>
        </row>
        <row r="14">
          <cell r="B14" t="str">
            <v xml:space="preserve">        Gain on sales of securities available for-sale</v>
          </cell>
          <cell r="C14">
            <v>-132.30699999999999</v>
          </cell>
          <cell r="D14">
            <v>-39.4</v>
          </cell>
          <cell r="E14">
            <v>-53.71</v>
          </cell>
          <cell r="G14">
            <v>-23.1</v>
          </cell>
          <cell r="I14">
            <v>-13.577</v>
          </cell>
          <cell r="K14">
            <v>-11.606</v>
          </cell>
          <cell r="M14">
            <v>0</v>
          </cell>
          <cell r="O14">
            <v>0</v>
          </cell>
          <cell r="Q14">
            <v>0</v>
          </cell>
          <cell r="S14">
            <v>0</v>
          </cell>
          <cell r="U14">
            <v>0</v>
          </cell>
          <cell r="X14" t="str">
            <v>mstag:gainsLossesFromSaleOfOperatingAssetsOneTime</v>
          </cell>
          <cell r="Y14">
            <v>6</v>
          </cell>
          <cell r="Z14" t="str">
            <v>ISO4217:USD</v>
          </cell>
          <cell r="AA14" t="b">
            <v>1</v>
          </cell>
          <cell r="AB14" t="b">
            <v>0</v>
          </cell>
        </row>
        <row r="15">
          <cell r="B15" t="str">
            <v xml:space="preserve">        Loss on sales of securities available for-sale</v>
          </cell>
          <cell r="C15">
            <v>3.9569999999999999</v>
          </cell>
          <cell r="D15">
            <v>2.0110000000000001</v>
          </cell>
          <cell r="E15">
            <v>5.8680000000000003</v>
          </cell>
          <cell r="G15">
            <v>3.1</v>
          </cell>
          <cell r="I15">
            <v>1.839</v>
          </cell>
          <cell r="K15">
            <v>3.1640000000000001</v>
          </cell>
          <cell r="M15">
            <v>0</v>
          </cell>
          <cell r="O15">
            <v>0</v>
          </cell>
          <cell r="Q15">
            <v>0</v>
          </cell>
          <cell r="S15">
            <v>0</v>
          </cell>
          <cell r="U15">
            <v>0</v>
          </cell>
          <cell r="X15" t="str">
            <v>mstag:gainsLossesFromSaleOfOperatingAssetsOneTime</v>
          </cell>
          <cell r="Y15">
            <v>6</v>
          </cell>
          <cell r="Z15" t="str">
            <v>ISO4217:USD</v>
          </cell>
          <cell r="AA15" t="b">
            <v>1</v>
          </cell>
          <cell r="AB15" t="b">
            <v>0</v>
          </cell>
        </row>
        <row r="16">
          <cell r="B16" t="str">
            <v xml:space="preserve">        Write-down of securities available for-sale</v>
          </cell>
          <cell r="C16">
            <v>4.8</v>
          </cell>
          <cell r="D16">
            <v>27.504000000000001</v>
          </cell>
          <cell r="E16">
            <v>40.759</v>
          </cell>
          <cell r="G16">
            <v>3.8</v>
          </cell>
          <cell r="I16">
            <v>12.34</v>
          </cell>
          <cell r="K16">
            <v>10.044</v>
          </cell>
          <cell r="M16">
            <v>0</v>
          </cell>
          <cell r="O16">
            <v>0</v>
          </cell>
          <cell r="Q16">
            <v>0</v>
          </cell>
          <cell r="S16">
            <v>0</v>
          </cell>
          <cell r="U16">
            <v>0</v>
          </cell>
          <cell r="X16" t="str">
            <v>mstag:assetImpairmentNonGoodwillOneTime</v>
          </cell>
          <cell r="Y16">
            <v>6</v>
          </cell>
          <cell r="Z16" t="str">
            <v>ISO4217:USD</v>
          </cell>
          <cell r="AA16" t="b">
            <v>0</v>
          </cell>
          <cell r="AB16" t="b">
            <v>0</v>
          </cell>
        </row>
        <row r="17">
          <cell r="B17" t="str">
            <v xml:space="preserve">        Write-down of nonmarketable securities</v>
          </cell>
          <cell r="C17">
            <v>0</v>
          </cell>
          <cell r="D17">
            <v>0</v>
          </cell>
          <cell r="E17">
            <v>0</v>
          </cell>
          <cell r="G17">
            <v>0</v>
          </cell>
          <cell r="I17">
            <v>0</v>
          </cell>
          <cell r="K17">
            <v>0</v>
          </cell>
          <cell r="M17">
            <v>0</v>
          </cell>
          <cell r="O17">
            <v>0</v>
          </cell>
          <cell r="Q17">
            <v>0</v>
          </cell>
          <cell r="S17">
            <v>0</v>
          </cell>
          <cell r="U17">
            <v>0</v>
          </cell>
          <cell r="X17" t="str">
            <v>mstag:assetImpairmentNonGoodwillOneTime</v>
          </cell>
          <cell r="Y17">
            <v>6</v>
          </cell>
          <cell r="Z17" t="str">
            <v>ISO4217:USD</v>
          </cell>
          <cell r="AA17" t="b">
            <v>0</v>
          </cell>
          <cell r="AB17" t="b">
            <v>0</v>
          </cell>
        </row>
        <row r="18">
          <cell r="B18" t="str">
            <v xml:space="preserve">        Loss (gain) on fixed asset dispositions</v>
          </cell>
          <cell r="C18">
            <v>1.123</v>
          </cell>
          <cell r="D18">
            <v>4.2110000000000003</v>
          </cell>
          <cell r="E18">
            <v>15.882999999999999</v>
          </cell>
          <cell r="G18">
            <v>10.76</v>
          </cell>
          <cell r="I18">
            <v>5.1150000000000002</v>
          </cell>
          <cell r="K18">
            <v>9.65</v>
          </cell>
          <cell r="M18">
            <v>0</v>
          </cell>
          <cell r="O18">
            <v>0</v>
          </cell>
          <cell r="Q18">
            <v>0</v>
          </cell>
          <cell r="S18">
            <v>0</v>
          </cell>
          <cell r="U18">
            <v>0</v>
          </cell>
          <cell r="X18" t="str">
            <v>mstag:gainsLossesFromSaleOfOperatingAssetsRecurring</v>
          </cell>
          <cell r="Y18">
            <v>6</v>
          </cell>
          <cell r="Z18" t="str">
            <v>ISO4217:USD</v>
          </cell>
          <cell r="AA18" t="b">
            <v>1</v>
          </cell>
          <cell r="AB18" t="b">
            <v>0</v>
          </cell>
        </row>
        <row r="19">
          <cell r="B19" t="str">
            <v>Changes in operating assets and liabilities</v>
          </cell>
        </row>
        <row r="20">
          <cell r="B20" t="str">
            <v xml:space="preserve">           Litigation related liability</v>
          </cell>
          <cell r="C20">
            <v>0</v>
          </cell>
          <cell r="D20">
            <v>0</v>
          </cell>
          <cell r="E20">
            <v>552.18499999999995</v>
          </cell>
          <cell r="G20">
            <v>56.1</v>
          </cell>
          <cell r="I20">
            <v>34.722000000000001</v>
          </cell>
          <cell r="K20">
            <v>51.423999999999999</v>
          </cell>
          <cell r="M20">
            <v>52</v>
          </cell>
          <cell r="O20">
            <v>52</v>
          </cell>
          <cell r="Q20">
            <v>52</v>
          </cell>
          <cell r="S20">
            <v>52</v>
          </cell>
          <cell r="U20">
            <v>52</v>
          </cell>
          <cell r="X20" t="str">
            <v>mstag:netIncreaseInOtherLiabilitiesNonOperating</v>
          </cell>
          <cell r="Y20">
            <v>6</v>
          </cell>
          <cell r="Z20" t="str">
            <v>ISO4217:USD</v>
          </cell>
          <cell r="AA20" t="b">
            <v>0</v>
          </cell>
          <cell r="AB20" t="b">
            <v>0</v>
          </cell>
        </row>
        <row r="21">
          <cell r="B21" t="str">
            <v xml:space="preserve">            Receivables and other current assets</v>
          </cell>
          <cell r="C21">
            <v>-65.33</v>
          </cell>
          <cell r="D21">
            <v>-59.5</v>
          </cell>
          <cell r="E21">
            <v>-107.483</v>
          </cell>
          <cell r="G21">
            <v>-146.1</v>
          </cell>
          <cell r="I21">
            <v>-363.80500000000001</v>
          </cell>
          <cell r="K21">
            <v>-129.11799999999999</v>
          </cell>
          <cell r="M21">
            <v>-482.23639950000012</v>
          </cell>
          <cell r="O21">
            <v>-419.21483417812306</v>
          </cell>
          <cell r="Q21">
            <v>-327.43072495785668</v>
          </cell>
          <cell r="S21">
            <v>-78.148645701194113</v>
          </cell>
          <cell r="U21">
            <v>127.58781810971152</v>
          </cell>
          <cell r="X21" t="str">
            <v>mstag:netDecreaseInTradeReceivables</v>
          </cell>
          <cell r="Y21">
            <v>6</v>
          </cell>
          <cell r="Z21" t="str">
            <v>ISO4217:USD</v>
          </cell>
          <cell r="AA21" t="b">
            <v>0</v>
          </cell>
          <cell r="AB21" t="b">
            <v>0</v>
          </cell>
        </row>
        <row r="22">
          <cell r="B22" t="str">
            <v xml:space="preserve">            Inventories, including write-up effects</v>
          </cell>
          <cell r="C22">
            <v>9.4149999999999991</v>
          </cell>
          <cell r="D22">
            <v>-91.116</v>
          </cell>
          <cell r="E22">
            <v>-36.595999999999997</v>
          </cell>
          <cell r="G22">
            <v>-93.26</v>
          </cell>
          <cell r="I22">
            <v>-120.703</v>
          </cell>
          <cell r="K22">
            <v>-112.172</v>
          </cell>
          <cell r="M22">
            <v>-203.06840740740745</v>
          </cell>
          <cell r="O22">
            <v>-170.67368457935152</v>
          </cell>
          <cell r="Q22">
            <v>-80.221479214376586</v>
          </cell>
          <cell r="S22">
            <v>-59.809257507460643</v>
          </cell>
          <cell r="U22">
            <v>-51.254885944137868</v>
          </cell>
          <cell r="X22" t="str">
            <v>mstag:netDecreaseInInventories</v>
          </cell>
          <cell r="Y22">
            <v>6</v>
          </cell>
          <cell r="Z22" t="str">
            <v>ISO4217:USD</v>
          </cell>
          <cell r="AA22" t="b">
            <v>0</v>
          </cell>
          <cell r="AB22" t="b">
            <v>0</v>
          </cell>
        </row>
        <row r="23">
          <cell r="B23" t="str">
            <v xml:space="preserve">            Deferred Revenue</v>
          </cell>
          <cell r="C23">
            <v>0</v>
          </cell>
          <cell r="D23">
            <v>-15.497</v>
          </cell>
          <cell r="E23">
            <v>2</v>
          </cell>
          <cell r="G23">
            <v>239.14500000000001</v>
          </cell>
          <cell r="I23">
            <v>-14.927</v>
          </cell>
          <cell r="K23">
            <v>-49.375</v>
          </cell>
          <cell r="M23">
            <v>191.59800000000001</v>
          </cell>
          <cell r="O23">
            <v>107.93825608416142</v>
          </cell>
          <cell r="Q23">
            <v>91.253059470930111</v>
          </cell>
          <cell r="S23">
            <v>74.092633340663724</v>
          </cell>
          <cell r="U23">
            <v>59.603533573130335</v>
          </cell>
          <cell r="X23" t="str">
            <v>mstag:netIncreaseInDeferredRevenue</v>
          </cell>
          <cell r="Y23">
            <v>6</v>
          </cell>
          <cell r="Z23" t="str">
            <v>ISO4217:USD</v>
          </cell>
          <cell r="AA23" t="b">
            <v>0</v>
          </cell>
          <cell r="AB23" t="b">
            <v>0</v>
          </cell>
        </row>
        <row r="24">
          <cell r="B24" t="str">
            <v xml:space="preserve">            Accounts payable, and other liabilities </v>
          </cell>
          <cell r="C24">
            <v>239.38800000000001</v>
          </cell>
          <cell r="D24">
            <v>124.77</v>
          </cell>
          <cell r="E24">
            <v>148.68199999999999</v>
          </cell>
          <cell r="G24">
            <v>463.6</v>
          </cell>
          <cell r="I24">
            <v>335.54199999999997</v>
          </cell>
          <cell r="K24">
            <v>437.54899999999998</v>
          </cell>
          <cell r="M24">
            <v>24.442089133333141</v>
          </cell>
          <cell r="O24">
            <v>190.90714021868848</v>
          </cell>
          <cell r="Q24">
            <v>112.59478625470587</v>
          </cell>
          <cell r="S24">
            <v>57.95152783026424</v>
          </cell>
          <cell r="U24">
            <v>11.020237528346001</v>
          </cell>
          <cell r="X24" t="str">
            <v>mstag:netIncreaseInTradeAndOtherPayables</v>
          </cell>
          <cell r="Y24">
            <v>6</v>
          </cell>
          <cell r="Z24" t="str">
            <v>ISO4217:USD</v>
          </cell>
          <cell r="AA24" t="b">
            <v>0</v>
          </cell>
          <cell r="AB24" t="b">
            <v>0</v>
          </cell>
        </row>
        <row r="25">
          <cell r="B25" t="str">
            <v>Net cash provided by (used in) operating activities</v>
          </cell>
          <cell r="C25">
            <v>214.49400000000006</v>
          </cell>
          <cell r="D25">
            <v>566.26700000000005</v>
          </cell>
          <cell r="E25">
            <v>709.68599999999981</v>
          </cell>
          <cell r="G25">
            <v>1270.5558426585776</v>
          </cell>
          <cell r="I25">
            <v>1270.4680000000001</v>
          </cell>
          <cell r="K25">
            <v>2381.3220000000001</v>
          </cell>
          <cell r="M25">
            <v>2042.7539158059255</v>
          </cell>
          <cell r="O25">
            <v>2955.4313313525158</v>
          </cell>
          <cell r="Q25">
            <v>3800.3359980453415</v>
          </cell>
          <cell r="S25">
            <v>4520.7038833214228</v>
          </cell>
          <cell r="U25">
            <v>5285.1551618023705</v>
          </cell>
        </row>
        <row r="26">
          <cell r="B26" t="str">
            <v>CASH FLOWS FROM INVESTING ACTIVITIES</v>
          </cell>
        </row>
        <row r="27">
          <cell r="B27" t="str">
            <v xml:space="preserve">       Investment in marketable securities, net of sales</v>
          </cell>
          <cell r="C27">
            <v>-12.960000000000036</v>
          </cell>
          <cell r="D27">
            <v>-566.21399999999994</v>
          </cell>
          <cell r="E27">
            <v>811.46400000000017</v>
          </cell>
          <cell r="G27">
            <v>-1054.1300000000001</v>
          </cell>
          <cell r="I27">
            <v>177.0250000000002</v>
          </cell>
          <cell r="K27">
            <v>-297.928</v>
          </cell>
          <cell r="M27">
            <v>0</v>
          </cell>
          <cell r="O27">
            <v>-500</v>
          </cell>
          <cell r="Q27">
            <v>-1000</v>
          </cell>
          <cell r="S27">
            <v>-2000</v>
          </cell>
          <cell r="U27">
            <v>-2000</v>
          </cell>
          <cell r="X27" t="str">
            <v>mstag:netDecreaseInOtherAssets</v>
          </cell>
          <cell r="Y27">
            <v>6</v>
          </cell>
          <cell r="Z27" t="str">
            <v>ISO4217:USD</v>
          </cell>
          <cell r="AA27" t="b">
            <v>0</v>
          </cell>
          <cell r="AB27" t="b">
            <v>0</v>
          </cell>
        </row>
        <row r="28">
          <cell r="B28" t="str">
            <v xml:space="preserve">        Capital expenditures</v>
          </cell>
          <cell r="C28">
            <v>-112.681</v>
          </cell>
          <cell r="D28">
            <v>-213.351</v>
          </cell>
          <cell r="E28">
            <v>-322.83199999999999</v>
          </cell>
          <cell r="G28">
            <v>-321.95</v>
          </cell>
          <cell r="I28">
            <v>-649.85799999999995</v>
          </cell>
          <cell r="K28">
            <v>-1399.8240000000001</v>
          </cell>
          <cell r="M28">
            <v>-1482.0585000000001</v>
          </cell>
          <cell r="O28">
            <v>-1579.0775170356521</v>
          </cell>
          <cell r="Q28">
            <v>-1179.3767679991645</v>
          </cell>
          <cell r="S28">
            <v>-875.1623386749061</v>
          </cell>
          <cell r="U28">
            <v>-828.35075659232984</v>
          </cell>
          <cell r="X28" t="str">
            <v>mstag:capitalExpenditures</v>
          </cell>
          <cell r="Y28">
            <v>6</v>
          </cell>
          <cell r="Z28" t="str">
            <v>ISO4217:USD</v>
          </cell>
          <cell r="AA28" t="b">
            <v>1</v>
          </cell>
          <cell r="AB28" t="b">
            <v>0</v>
          </cell>
        </row>
        <row r="29">
          <cell r="B29" t="str">
            <v xml:space="preserve">        Change in other assets</v>
          </cell>
          <cell r="C29">
            <v>-55.603999999999999</v>
          </cell>
          <cell r="D29">
            <v>-10.105</v>
          </cell>
          <cell r="E29">
            <v>12.875</v>
          </cell>
          <cell r="G29">
            <v>-56.1</v>
          </cell>
          <cell r="I29">
            <v>-57.954999999999998</v>
          </cell>
          <cell r="K29">
            <v>-42.716000000000001</v>
          </cell>
          <cell r="M29">
            <v>0</v>
          </cell>
          <cell r="O29">
            <v>0</v>
          </cell>
          <cell r="Q29">
            <v>0</v>
          </cell>
          <cell r="S29">
            <v>0</v>
          </cell>
          <cell r="U29">
            <v>0</v>
          </cell>
          <cell r="X29" t="str">
            <v>mstag:netDecreaseInOtherAssets</v>
          </cell>
          <cell r="Y29">
            <v>6</v>
          </cell>
          <cell r="Z29" t="str">
            <v>ISO4217:USD</v>
          </cell>
          <cell r="AA29" t="b">
            <v>0</v>
          </cell>
          <cell r="AB29" t="b">
            <v>0</v>
          </cell>
        </row>
        <row r="30">
          <cell r="B30" t="str">
            <v xml:space="preserve">        Transfer of restricted cash included in other long-term assets</v>
          </cell>
          <cell r="C30">
            <v>0</v>
          </cell>
          <cell r="D30">
            <v>0</v>
          </cell>
          <cell r="E30">
            <v>-630</v>
          </cell>
          <cell r="G30">
            <v>0</v>
          </cell>
          <cell r="I30">
            <v>4.5999999999999996</v>
          </cell>
          <cell r="K30">
            <v>-53</v>
          </cell>
          <cell r="M30">
            <v>0</v>
          </cell>
          <cell r="O30">
            <v>0</v>
          </cell>
          <cell r="Q30">
            <v>0</v>
          </cell>
          <cell r="S30">
            <v>0</v>
          </cell>
          <cell r="U30">
            <v>0</v>
          </cell>
          <cell r="X30" t="str">
            <v>mstag:netDecreaseInOtherAssets</v>
          </cell>
          <cell r="Y30">
            <v>6</v>
          </cell>
          <cell r="Z30" t="str">
            <v>ISO4217:USD</v>
          </cell>
          <cell r="AA30" t="b">
            <v>0</v>
          </cell>
          <cell r="AB30" t="b">
            <v>0</v>
          </cell>
        </row>
        <row r="31">
          <cell r="B31" t="str">
            <v>Net cash used in investing activities</v>
          </cell>
          <cell r="C31">
            <v>-181.24500000000003</v>
          </cell>
          <cell r="D31">
            <v>-789.67</v>
          </cell>
          <cell r="E31">
            <v>-128.49299999999982</v>
          </cell>
          <cell r="G31">
            <v>-1432.18</v>
          </cell>
          <cell r="I31">
            <v>-526.18799999999976</v>
          </cell>
          <cell r="K31">
            <v>-1793.4679999999998</v>
          </cell>
          <cell r="M31">
            <v>-1482.0585000000001</v>
          </cell>
          <cell r="O31">
            <v>-2079.0775170356519</v>
          </cell>
          <cell r="Q31">
            <v>-2179.3767679991643</v>
          </cell>
          <cell r="S31">
            <v>-2875.1623386749061</v>
          </cell>
          <cell r="U31">
            <v>-2828.3507565923301</v>
          </cell>
        </row>
        <row r="32">
          <cell r="B32" t="str">
            <v>CASH FLOWS FROM FINANCING ACTIVITIES</v>
          </cell>
        </row>
        <row r="33">
          <cell r="B33" t="str">
            <v xml:space="preserve">        Stock issuances</v>
          </cell>
          <cell r="C33">
            <v>180.37899999999999</v>
          </cell>
          <cell r="D33">
            <v>106.866</v>
          </cell>
          <cell r="E33">
            <v>74.164000000000001</v>
          </cell>
          <cell r="G33">
            <v>526.86</v>
          </cell>
          <cell r="I33">
            <v>505.37400000000002</v>
          </cell>
          <cell r="K33">
            <v>820.49300000000005</v>
          </cell>
          <cell r="M33">
            <v>720.03708671999993</v>
          </cell>
          <cell r="O33">
            <v>694.32147647999989</v>
          </cell>
          <cell r="Q33">
            <v>720.53905543188478</v>
          </cell>
          <cell r="S33">
            <v>729.31083523714256</v>
          </cell>
          <cell r="U33">
            <v>875.173002284571</v>
          </cell>
          <cell r="X33" t="str">
            <v>mstag:proceedsFromIssuanceFundsUsedToRepurchaseCommonStock</v>
          </cell>
          <cell r="Y33">
            <v>6</v>
          </cell>
          <cell r="Z33" t="str">
            <v>ISO4217:USD</v>
          </cell>
          <cell r="AA33" t="b">
            <v>0</v>
          </cell>
          <cell r="AB33" t="b">
            <v>0</v>
          </cell>
        </row>
        <row r="34">
          <cell r="B34" t="str">
            <v xml:space="preserve">        Stock repurchases</v>
          </cell>
          <cell r="C34">
            <v>0</v>
          </cell>
          <cell r="D34">
            <v>-39.704000000000001</v>
          </cell>
          <cell r="E34">
            <v>-692.75199999999995</v>
          </cell>
          <cell r="G34">
            <v>-201.34</v>
          </cell>
          <cell r="I34">
            <v>-1351.683</v>
          </cell>
          <cell r="K34">
            <v>-2015.912</v>
          </cell>
          <cell r="M34">
            <v>-1970.7352000000001</v>
          </cell>
          <cell r="O34">
            <v>-1719.818379</v>
          </cell>
          <cell r="Q34">
            <v>-1615.2066424968916</v>
          </cell>
          <cell r="S34">
            <v>-1479.5573750774572</v>
          </cell>
          <cell r="U34">
            <v>-1606.7993093341186</v>
          </cell>
          <cell r="X34" t="str">
            <v>mstag:proceedsFromIssuanceFundsUsedToRepurchaseCommonStock</v>
          </cell>
          <cell r="Y34">
            <v>6</v>
          </cell>
          <cell r="Z34" t="str">
            <v>ISO4217:USD</v>
          </cell>
          <cell r="AA34" t="b">
            <v>0</v>
          </cell>
          <cell r="AB34" t="b">
            <v>0</v>
          </cell>
        </row>
        <row r="35">
          <cell r="B35" t="str">
            <v xml:space="preserve">        Tax benefits from stock options</v>
          </cell>
          <cell r="C35">
            <v>0</v>
          </cell>
          <cell r="D35">
            <v>0</v>
          </cell>
          <cell r="E35">
            <v>0</v>
          </cell>
          <cell r="M35">
            <v>466.42246192600749</v>
          </cell>
          <cell r="O35">
            <v>382.51034463996001</v>
          </cell>
          <cell r="Q35">
            <v>333.71100997524758</v>
          </cell>
          <cell r="S35">
            <v>279.84195936043733</v>
          </cell>
          <cell r="U35">
            <v>272.89661252948122</v>
          </cell>
          <cell r="X35" t="str">
            <v>mstag:taxBenefitFromExerciseOfEsosCashFlowStatement</v>
          </cell>
          <cell r="Y35">
            <v>6</v>
          </cell>
          <cell r="Z35" t="str">
            <v>ISO4217:USD</v>
          </cell>
          <cell r="AA35" t="b">
            <v>0</v>
          </cell>
          <cell r="AB35" t="b">
            <v>0</v>
          </cell>
        </row>
        <row r="36">
          <cell r="B36" t="str">
            <v xml:space="preserve">        Debt issuance</v>
          </cell>
          <cell r="C36">
            <v>0</v>
          </cell>
          <cell r="D36">
            <v>0</v>
          </cell>
          <cell r="E36">
            <v>-149.69200000000001</v>
          </cell>
          <cell r="G36">
            <v>0</v>
          </cell>
          <cell r="I36">
            <v>0</v>
          </cell>
          <cell r="K36">
            <v>1562.953</v>
          </cell>
          <cell r="M36">
            <v>0</v>
          </cell>
          <cell r="O36">
            <v>0</v>
          </cell>
          <cell r="Q36">
            <v>0</v>
          </cell>
          <cell r="S36">
            <v>0</v>
          </cell>
          <cell r="U36">
            <v>-500</v>
          </cell>
          <cell r="X36" t="str">
            <v>mstag:proceedsFromIssuanceAndCashUsedToRepayShortTermBorrowings</v>
          </cell>
          <cell r="Y36">
            <v>6</v>
          </cell>
          <cell r="Z36" t="str">
            <v>ISO4217:USD</v>
          </cell>
          <cell r="AA36" t="b">
            <v>0</v>
          </cell>
          <cell r="AB36" t="b">
            <v>0</v>
          </cell>
        </row>
        <row r="37">
          <cell r="B37" t="str">
            <v>Net cash provided by financing activities</v>
          </cell>
          <cell r="C37">
            <v>180.37899999999999</v>
          </cell>
          <cell r="D37">
            <v>67.162000000000006</v>
          </cell>
          <cell r="E37">
            <v>-768.28</v>
          </cell>
          <cell r="G37">
            <v>325.52</v>
          </cell>
          <cell r="I37">
            <v>-846.30899999999997</v>
          </cell>
          <cell r="K37">
            <v>367.53400000000011</v>
          </cell>
          <cell r="M37">
            <v>-784.27565135399266</v>
          </cell>
          <cell r="O37">
            <v>-642.98655788004021</v>
          </cell>
          <cell r="Q37">
            <v>-560.95657708975932</v>
          </cell>
          <cell r="S37">
            <v>-470.40458047987732</v>
          </cell>
          <cell r="U37">
            <v>-958.72969452006635</v>
          </cell>
        </row>
        <row r="38">
          <cell r="B38" t="str">
            <v xml:space="preserve">Change in cash </v>
          </cell>
          <cell r="C38">
            <v>213.62800000000001</v>
          </cell>
          <cell r="D38">
            <v>-156.24099999999987</v>
          </cell>
          <cell r="E38">
            <v>-187.08699999999999</v>
          </cell>
          <cell r="G38">
            <v>163.89584265857752</v>
          </cell>
          <cell r="I38">
            <v>-102.02899999999977</v>
          </cell>
          <cell r="K38">
            <v>955.38800000000037</v>
          </cell>
          <cell r="M38">
            <v>-223.58023554806709</v>
          </cell>
          <cell r="O38">
            <v>233.36725643682394</v>
          </cell>
          <cell r="Q38">
            <v>1060.0026529564179</v>
          </cell>
          <cell r="S38">
            <v>1175.1369641666392</v>
          </cell>
          <cell r="U38">
            <v>1498.0747106899739</v>
          </cell>
        </row>
        <row r="39">
          <cell r="B39" t="str">
            <v>Cash at beginning of year</v>
          </cell>
          <cell r="C39">
            <v>337.68200000000002</v>
          </cell>
          <cell r="D39">
            <v>551.31000000000006</v>
          </cell>
          <cell r="E39">
            <v>395.06900000000019</v>
          </cell>
          <cell r="G39">
            <v>207.9820000000002</v>
          </cell>
          <cell r="I39">
            <v>371.87784265857772</v>
          </cell>
          <cell r="K39">
            <v>270.12299999999999</v>
          </cell>
          <cell r="M39">
            <v>1225.5110000000004</v>
          </cell>
          <cell r="O39">
            <v>1001.9307644519333</v>
          </cell>
          <cell r="Q39">
            <v>1235.2980208887573</v>
          </cell>
          <cell r="S39">
            <v>2295.300673845175</v>
          </cell>
          <cell r="U39">
            <v>3470.4376380118142</v>
          </cell>
        </row>
        <row r="40">
          <cell r="B40" t="str">
            <v>Cash at end of year</v>
          </cell>
          <cell r="C40">
            <v>551.31000000000006</v>
          </cell>
          <cell r="D40">
            <v>395.06900000000019</v>
          </cell>
          <cell r="E40">
            <v>207.9820000000002</v>
          </cell>
          <cell r="G40">
            <v>371.87784265857772</v>
          </cell>
          <cell r="I40">
            <v>270.12299999999999</v>
          </cell>
          <cell r="K40">
            <v>1225.5110000000004</v>
          </cell>
          <cell r="M40">
            <v>1001.9307644519333</v>
          </cell>
          <cell r="O40">
            <v>1235.2980208887573</v>
          </cell>
          <cell r="Q40">
            <v>2295.300673845175</v>
          </cell>
          <cell r="S40">
            <v>3470.4376380118142</v>
          </cell>
          <cell r="U40">
            <v>4968.5123487017881</v>
          </cell>
        </row>
        <row r="41">
          <cell r="B41" t="str">
            <v>Cash and Marketable Securities at end of year</v>
          </cell>
          <cell r="G41">
            <v>2934.3978426585777</v>
          </cell>
          <cell r="I41">
            <v>2780.4319999999998</v>
          </cell>
          <cell r="K41">
            <v>3813.8920000000007</v>
          </cell>
          <cell r="M41">
            <v>3590.3117644519334</v>
          </cell>
          <cell r="O41">
            <v>4323.6790208887569</v>
          </cell>
          <cell r="Q41">
            <v>6383.6816738451744</v>
          </cell>
          <cell r="S41">
            <v>9558.8186380118132</v>
          </cell>
          <cell r="U41">
            <v>13056.893348701788</v>
          </cell>
        </row>
        <row r="45">
          <cell r="G45" t="str">
            <v>2003-FY</v>
          </cell>
          <cell r="I45" t="str">
            <v>2004-FY</v>
          </cell>
          <cell r="K45" t="str">
            <v>2005-FY</v>
          </cell>
          <cell r="M45" t="str">
            <v>2006-FY</v>
          </cell>
          <cell r="O45" t="str">
            <v>2007-FY</v>
          </cell>
          <cell r="Q45" t="str">
            <v>2008-FY</v>
          </cell>
          <cell r="S45" t="str">
            <v>2009-FY</v>
          </cell>
          <cell r="U45" t="str">
            <v>2010-FY</v>
          </cell>
        </row>
        <row r="47">
          <cell r="B47" t="str">
            <v>Free Cash Flow</v>
          </cell>
          <cell r="G47">
            <v>948.60584265857756</v>
          </cell>
          <cell r="I47">
            <v>620.61000000000013</v>
          </cell>
          <cell r="K47">
            <v>981.49800000000005</v>
          </cell>
          <cell r="M47">
            <v>1027.1178777319328</v>
          </cell>
          <cell r="O47">
            <v>1758.8641589568238</v>
          </cell>
          <cell r="Q47">
            <v>2954.6702400214249</v>
          </cell>
          <cell r="S47">
            <v>3925.3835040069539</v>
          </cell>
          <cell r="U47">
            <v>4729.7010177395214</v>
          </cell>
        </row>
      </sheetData>
      <sheetData sheetId="10" refreshError="1"/>
      <sheetData sheetId="11" refreshError="1"/>
      <sheetData sheetId="12" refreshError="1"/>
      <sheetData sheetId="13" refreshError="1"/>
      <sheetData sheetId="14" refreshError="1"/>
      <sheetData sheetId="15" refreshError="1">
        <row r="2">
          <cell r="C2" t="str">
            <v>Patient Growth Rate</v>
          </cell>
          <cell r="D2">
            <v>1.65E-3</v>
          </cell>
        </row>
        <row r="4">
          <cell r="B4" t="str">
            <v>Front - Line</v>
          </cell>
          <cell r="C4">
            <v>38047</v>
          </cell>
          <cell r="D4">
            <v>38078</v>
          </cell>
          <cell r="E4">
            <v>38108</v>
          </cell>
          <cell r="F4">
            <v>38139</v>
          </cell>
          <cell r="G4">
            <v>38169</v>
          </cell>
          <cell r="H4">
            <v>38200</v>
          </cell>
          <cell r="I4">
            <v>38231</v>
          </cell>
          <cell r="J4">
            <v>38261</v>
          </cell>
          <cell r="K4">
            <v>38292</v>
          </cell>
          <cell r="L4">
            <v>38322</v>
          </cell>
          <cell r="M4">
            <v>2004</v>
          </cell>
          <cell r="P4" t="str">
            <v>Front - Line</v>
          </cell>
          <cell r="Q4">
            <v>38353</v>
          </cell>
          <cell r="R4">
            <v>38384</v>
          </cell>
          <cell r="S4">
            <v>38412</v>
          </cell>
          <cell r="T4">
            <v>38443</v>
          </cell>
          <cell r="U4">
            <v>38473</v>
          </cell>
          <cell r="V4">
            <v>38504</v>
          </cell>
          <cell r="W4">
            <v>38534</v>
          </cell>
          <cell r="X4">
            <v>38565</v>
          </cell>
          <cell r="Y4">
            <v>38596</v>
          </cell>
          <cell r="Z4">
            <v>38626</v>
          </cell>
          <cell r="AA4">
            <v>38657</v>
          </cell>
          <cell r="AB4">
            <v>38687</v>
          </cell>
          <cell r="AC4">
            <v>2005</v>
          </cell>
        </row>
        <row r="5">
          <cell r="B5" t="str">
            <v>Previously Diagnosed Patients</v>
          </cell>
          <cell r="C5">
            <v>8000</v>
          </cell>
        </row>
        <row r="6">
          <cell r="B6" t="str">
            <v>New Stage III/IV Diagnoses Per Month</v>
          </cell>
          <cell r="C6">
            <v>3022</v>
          </cell>
          <cell r="D6">
            <v>3026.9862999999996</v>
          </cell>
          <cell r="E6">
            <v>3031.9808273949993</v>
          </cell>
          <cell r="F6">
            <v>3036.9835957602008</v>
          </cell>
          <cell r="G6">
            <v>3041.9946186932048</v>
          </cell>
          <cell r="H6">
            <v>3047.0139098140485</v>
          </cell>
          <cell r="I6">
            <v>3052.0414827652417</v>
          </cell>
          <cell r="J6">
            <v>3057.0773512118039</v>
          </cell>
          <cell r="K6">
            <v>3062.1215288413032</v>
          </cell>
          <cell r="L6">
            <v>3067.1740293638909</v>
          </cell>
          <cell r="M6">
            <v>30445.373643844694</v>
          </cell>
          <cell r="P6" t="str">
            <v>New Stage III/IV Diagnoses Per Month</v>
          </cell>
          <cell r="Q6">
            <v>3072.2348665123409</v>
          </cell>
          <cell r="R6">
            <v>3077.3040540420861</v>
          </cell>
          <cell r="S6">
            <v>3082.3816057312551</v>
          </cell>
          <cell r="T6">
            <v>3087.4675353807115</v>
          </cell>
          <cell r="U6">
            <v>3092.5618568140894</v>
          </cell>
          <cell r="V6">
            <v>3097.6645838778322</v>
          </cell>
          <cell r="W6">
            <v>3102.7757304412303</v>
          </cell>
          <cell r="X6">
            <v>3107.8953103964582</v>
          </cell>
          <cell r="Y6">
            <v>3113.023337658612</v>
          </cell>
          <cell r="Z6">
            <v>3118.1598261657487</v>
          </cell>
          <cell r="AA6">
            <v>3123.3047898789218</v>
          </cell>
          <cell r="AB6">
            <v>3128.458242782222</v>
          </cell>
          <cell r="AC6">
            <v>37203.231739681505</v>
          </cell>
        </row>
        <row r="7">
          <cell r="C7">
            <v>0.40827436037016873</v>
          </cell>
          <cell r="D7">
            <v>0.22</v>
          </cell>
          <cell r="E7">
            <v>0.21</v>
          </cell>
          <cell r="F7">
            <v>0.22</v>
          </cell>
          <cell r="G7">
            <v>0.4</v>
          </cell>
          <cell r="H7">
            <v>0.4</v>
          </cell>
          <cell r="I7">
            <v>0.4</v>
          </cell>
          <cell r="J7">
            <v>0.45</v>
          </cell>
          <cell r="K7">
            <v>0.46</v>
          </cell>
          <cell r="L7">
            <v>0.48</v>
          </cell>
          <cell r="M7">
            <v>0.47244332649680609</v>
          </cell>
          <cell r="Q7">
            <v>0.53</v>
          </cell>
          <cell r="R7">
            <v>0.55000000000000004</v>
          </cell>
          <cell r="S7">
            <v>0.61</v>
          </cell>
          <cell r="T7">
            <v>0.62</v>
          </cell>
          <cell r="U7">
            <v>0.63</v>
          </cell>
          <cell r="V7">
            <v>0.64</v>
          </cell>
          <cell r="W7">
            <v>0.64</v>
          </cell>
          <cell r="X7">
            <v>0.65</v>
          </cell>
          <cell r="Y7">
            <v>0.66</v>
          </cell>
          <cell r="Z7">
            <v>0.67</v>
          </cell>
          <cell r="AA7">
            <v>0.67</v>
          </cell>
          <cell r="AB7">
            <v>0.67</v>
          </cell>
          <cell r="AC7">
            <v>0.62855979730513767</v>
          </cell>
        </row>
        <row r="8">
          <cell r="B8" t="str">
            <v>New Patients Starting Therapy</v>
          </cell>
          <cell r="C8">
            <v>4500</v>
          </cell>
          <cell r="D8">
            <v>665.93698599999993</v>
          </cell>
          <cell r="E8">
            <v>636.71597375294982</v>
          </cell>
          <cell r="F8">
            <v>668.13639106724418</v>
          </cell>
          <cell r="G8">
            <v>1216.7978474772819</v>
          </cell>
          <cell r="H8">
            <v>1218.8055639256195</v>
          </cell>
          <cell r="I8">
            <v>1220.8165931060967</v>
          </cell>
          <cell r="J8">
            <v>1375.6848080453119</v>
          </cell>
          <cell r="K8">
            <v>1408.5759032669996</v>
          </cell>
          <cell r="L8">
            <v>1472.2435340946677</v>
          </cell>
          <cell r="M8">
            <v>14383.713600736173</v>
          </cell>
          <cell r="P8" t="str">
            <v>New Patients Starting Therapy</v>
          </cell>
          <cell r="Q8">
            <v>1628.2844792515407</v>
          </cell>
          <cell r="R8">
            <v>1692.5172297231475</v>
          </cell>
          <cell r="S8">
            <v>1880.2527794960656</v>
          </cell>
          <cell r="T8">
            <v>1914.229871936041</v>
          </cell>
          <cell r="U8">
            <v>1948.3139697928764</v>
          </cell>
          <cell r="V8">
            <v>1982.5053336818128</v>
          </cell>
          <cell r="W8">
            <v>1985.7764674823875</v>
          </cell>
          <cell r="X8">
            <v>2020.1319517576978</v>
          </cell>
          <cell r="Y8">
            <v>2054.5954028546839</v>
          </cell>
          <cell r="Z8">
            <v>2089.1670835310515</v>
          </cell>
          <cell r="AA8">
            <v>2092.6142092188779</v>
          </cell>
          <cell r="AB8">
            <v>2096.0670226640887</v>
          </cell>
          <cell r="AC8">
            <v>23384.455801390272</v>
          </cell>
        </row>
        <row r="9">
          <cell r="B9" t="str">
            <v>Failures</v>
          </cell>
          <cell r="P9" t="str">
            <v>Failures</v>
          </cell>
          <cell r="AE9" t="str">
            <v>Distribution of Failure Timing</v>
          </cell>
        </row>
        <row r="10">
          <cell r="B10" t="str">
            <v>1 Month</v>
          </cell>
          <cell r="C10">
            <v>52.05655526992286</v>
          </cell>
          <cell r="D10">
            <v>7.7036412262210767</v>
          </cell>
          <cell r="E10">
            <v>7.3656089508695972</v>
          </cell>
          <cell r="F10">
            <v>7.7290842154308423</v>
          </cell>
          <cell r="G10">
            <v>14.076067644338734</v>
          </cell>
          <cell r="H10">
            <v>14.099293155951893</v>
          </cell>
          <cell r="I10">
            <v>14.122556989659211</v>
          </cell>
          <cell r="J10">
            <v>15.914091609778668</v>
          </cell>
          <cell r="K10">
            <v>16.294579857844464</v>
          </cell>
          <cell r="L10">
            <v>17.031094867419029</v>
          </cell>
          <cell r="P10" t="str">
            <v>1 Month</v>
          </cell>
          <cell r="Q10">
            <v>18.836195775403421</v>
          </cell>
          <cell r="R10">
            <v>19.579248158751057</v>
          </cell>
          <cell r="S10">
            <v>21.750996163836227</v>
          </cell>
          <cell r="T10">
            <v>22.144047361727974</v>
          </cell>
          <cell r="U10">
            <v>22.538336411485709</v>
          </cell>
          <cell r="V10">
            <v>22.933866327938702</v>
          </cell>
          <cell r="W10">
            <v>22.971707207379797</v>
          </cell>
          <cell r="X10">
            <v>23.369135688713722</v>
          </cell>
          <cell r="Y10">
            <v>23.767813143563174</v>
          </cell>
          <cell r="Z10">
            <v>24.167742611541719</v>
          </cell>
          <cell r="AA10">
            <v>24.207619386850766</v>
          </cell>
          <cell r="AB10">
            <v>24.247561958839064</v>
          </cell>
          <cell r="AE10">
            <v>1</v>
          </cell>
          <cell r="AF10">
            <v>0.9</v>
          </cell>
          <cell r="AG10">
            <v>1.1568123393316192E-2</v>
          </cell>
        </row>
        <row r="11">
          <cell r="B11" t="str">
            <v>2 Months</v>
          </cell>
          <cell r="D11">
            <v>69.408740359897152</v>
          </cell>
          <cell r="E11">
            <v>10.271521634961434</v>
          </cell>
          <cell r="F11">
            <v>9.8208119344927951</v>
          </cell>
          <cell r="G11">
            <v>10.305445620574456</v>
          </cell>
          <cell r="H11">
            <v>18.768090192451641</v>
          </cell>
          <cell r="I11">
            <v>18.799057541269189</v>
          </cell>
          <cell r="J11">
            <v>18.830075986212282</v>
          </cell>
          <cell r="K11">
            <v>21.218788813038223</v>
          </cell>
          <cell r="L11">
            <v>21.726106477125949</v>
          </cell>
          <cell r="P11" t="str">
            <v>2 Months</v>
          </cell>
          <cell r="Q11">
            <v>22.708126489892038</v>
          </cell>
          <cell r="R11">
            <v>25.114927700537894</v>
          </cell>
          <cell r="S11">
            <v>26.105664211668074</v>
          </cell>
          <cell r="T11">
            <v>29.001328218448304</v>
          </cell>
          <cell r="U11">
            <v>29.525396482303965</v>
          </cell>
          <cell r="V11">
            <v>30.05111521531428</v>
          </cell>
          <cell r="W11">
            <v>30.5784884372516</v>
          </cell>
          <cell r="X11">
            <v>30.628942943173062</v>
          </cell>
          <cell r="Y11">
            <v>31.158847584951626</v>
          </cell>
          <cell r="Z11">
            <v>31.690417524750899</v>
          </cell>
          <cell r="AA11">
            <v>32.223656815388956</v>
          </cell>
          <cell r="AB11">
            <v>32.276825849134354</v>
          </cell>
          <cell r="AE11">
            <v>2</v>
          </cell>
          <cell r="AF11">
            <v>1.2</v>
          </cell>
          <cell r="AG11">
            <v>1.5424164524421588E-2</v>
          </cell>
        </row>
        <row r="12">
          <cell r="B12" t="str">
            <v>3 Months</v>
          </cell>
          <cell r="E12">
            <v>86.760925449871436</v>
          </cell>
          <cell r="F12">
            <v>12.839402043701794</v>
          </cell>
          <cell r="G12">
            <v>12.276014918115994</v>
          </cell>
          <cell r="H12">
            <v>12.88180702571807</v>
          </cell>
          <cell r="I12">
            <v>23.460112740564554</v>
          </cell>
          <cell r="J12">
            <v>23.498821926586483</v>
          </cell>
          <cell r="K12">
            <v>23.537594982765352</v>
          </cell>
          <cell r="L12">
            <v>26.523486016297777</v>
          </cell>
          <cell r="P12" t="str">
            <v>3 Months</v>
          </cell>
          <cell r="Q12">
            <v>27.157633096407437</v>
          </cell>
          <cell r="R12">
            <v>28.385158112365048</v>
          </cell>
          <cell r="S12">
            <v>31.393659625672367</v>
          </cell>
          <cell r="T12">
            <v>32.632080264585092</v>
          </cell>
          <cell r="U12">
            <v>36.251660273060381</v>
          </cell>
          <cell r="V12">
            <v>36.906745602879951</v>
          </cell>
          <cell r="W12">
            <v>37.563894019142843</v>
          </cell>
          <cell r="X12">
            <v>38.223110546564499</v>
          </cell>
          <cell r="Y12">
            <v>38.286178678966323</v>
          </cell>
          <cell r="Z12">
            <v>38.948559481189534</v>
          </cell>
          <cell r="AA12">
            <v>39.613021905938623</v>
          </cell>
          <cell r="AB12">
            <v>40.279571019236194</v>
          </cell>
          <cell r="AE12">
            <v>3</v>
          </cell>
          <cell r="AF12">
            <v>1.5</v>
          </cell>
          <cell r="AG12">
            <v>1.9280205655526985E-2</v>
          </cell>
        </row>
        <row r="13">
          <cell r="B13" t="str">
            <v>4 Months</v>
          </cell>
          <cell r="F13">
            <v>115.68123393316191</v>
          </cell>
          <cell r="G13">
            <v>17.119202724935725</v>
          </cell>
          <cell r="H13">
            <v>16.368019890821326</v>
          </cell>
          <cell r="I13">
            <v>17.175742700957429</v>
          </cell>
          <cell r="J13">
            <v>31.280150320752739</v>
          </cell>
          <cell r="K13">
            <v>31.331762568781979</v>
          </cell>
          <cell r="L13">
            <v>31.383459977020468</v>
          </cell>
          <cell r="P13" t="str">
            <v>4 Months</v>
          </cell>
          <cell r="Q13">
            <v>35.364648021730368</v>
          </cell>
          <cell r="R13">
            <v>36.210177461876583</v>
          </cell>
          <cell r="S13">
            <v>37.846877483153399</v>
          </cell>
          <cell r="T13">
            <v>41.858212834229825</v>
          </cell>
          <cell r="U13">
            <v>43.509440352780125</v>
          </cell>
          <cell r="V13">
            <v>48.335547030747172</v>
          </cell>
          <cell r="W13">
            <v>49.208994137173271</v>
          </cell>
          <cell r="X13">
            <v>50.085192025523796</v>
          </cell>
          <cell r="Y13">
            <v>50.964147395419332</v>
          </cell>
          <cell r="Z13">
            <v>51.048238238621764</v>
          </cell>
          <cell r="AA13">
            <v>51.931412641586043</v>
          </cell>
          <cell r="AB13">
            <v>52.817362541251498</v>
          </cell>
          <cell r="AE13">
            <v>4</v>
          </cell>
          <cell r="AF13">
            <v>2</v>
          </cell>
          <cell r="AG13">
            <v>2.570694087403598E-2</v>
          </cell>
        </row>
        <row r="14">
          <cell r="B14" t="str">
            <v>5 Months</v>
          </cell>
          <cell r="G14">
            <v>173.52185089974287</v>
          </cell>
          <cell r="H14">
            <v>25.678804087403588</v>
          </cell>
          <cell r="I14">
            <v>24.552029836231988</v>
          </cell>
          <cell r="J14">
            <v>25.763614051436139</v>
          </cell>
          <cell r="K14">
            <v>46.920225481129108</v>
          </cell>
          <cell r="L14">
            <v>46.997643853172967</v>
          </cell>
          <cell r="P14" t="str">
            <v>5 Months</v>
          </cell>
          <cell r="Q14">
            <v>47.075189965530704</v>
          </cell>
          <cell r="R14">
            <v>53.046972032595555</v>
          </cell>
          <cell r="S14">
            <v>54.315266192814875</v>
          </cell>
          <cell r="T14">
            <v>56.770316224730095</v>
          </cell>
          <cell r="U14">
            <v>62.787319251344734</v>
          </cell>
          <cell r="V14">
            <v>65.264160529170184</v>
          </cell>
          <cell r="W14">
            <v>72.503320546120761</v>
          </cell>
          <cell r="X14">
            <v>73.813491205759902</v>
          </cell>
          <cell r="Y14">
            <v>75.127788038285686</v>
          </cell>
          <cell r="Z14">
            <v>76.446221093128997</v>
          </cell>
          <cell r="AA14">
            <v>76.572357357932646</v>
          </cell>
          <cell r="AB14">
            <v>77.897118962379068</v>
          </cell>
          <cell r="AE14">
            <v>5</v>
          </cell>
          <cell r="AF14">
            <v>3</v>
          </cell>
          <cell r="AG14">
            <v>3.856041131105397E-2</v>
          </cell>
        </row>
        <row r="15">
          <cell r="B15" t="str">
            <v>6 Months</v>
          </cell>
          <cell r="H15">
            <v>231.36246786632381</v>
          </cell>
          <cell r="I15">
            <v>34.238405449871451</v>
          </cell>
          <cell r="J15">
            <v>32.736039781642653</v>
          </cell>
          <cell r="K15">
            <v>34.351485401914857</v>
          </cell>
          <cell r="L15">
            <v>62.560300641505478</v>
          </cell>
          <cell r="P15" t="str">
            <v>6 Months</v>
          </cell>
          <cell r="Q15">
            <v>62.663525137563958</v>
          </cell>
          <cell r="R15">
            <v>62.766919954040937</v>
          </cell>
          <cell r="S15">
            <v>70.729296043460735</v>
          </cell>
          <cell r="T15">
            <v>72.420354923753166</v>
          </cell>
          <cell r="U15">
            <v>75.693754966306798</v>
          </cell>
          <cell r="V15">
            <v>83.71642566845965</v>
          </cell>
          <cell r="W15">
            <v>87.01888070556025</v>
          </cell>
          <cell r="X15">
            <v>96.671094061494344</v>
          </cell>
          <cell r="Y15">
            <v>98.417988274346541</v>
          </cell>
          <cell r="Z15">
            <v>100.17038405104759</v>
          </cell>
          <cell r="AA15">
            <v>101.92829479083866</v>
          </cell>
          <cell r="AB15">
            <v>102.09647647724353</v>
          </cell>
          <cell r="AE15">
            <v>6</v>
          </cell>
          <cell r="AF15">
            <v>4</v>
          </cell>
          <cell r="AG15">
            <v>5.141388174807196E-2</v>
          </cell>
        </row>
        <row r="16">
          <cell r="B16" t="str">
            <v>7 Months</v>
          </cell>
          <cell r="I16">
            <v>318.12339331619529</v>
          </cell>
          <cell r="J16">
            <v>47.077807493573246</v>
          </cell>
          <cell r="K16">
            <v>45.01205469975865</v>
          </cell>
          <cell r="L16">
            <v>47.233292427632925</v>
          </cell>
          <cell r="P16" t="str">
            <v>7 Months</v>
          </cell>
          <cell r="Q16">
            <v>86.020413382070032</v>
          </cell>
          <cell r="R16">
            <v>86.162347064150453</v>
          </cell>
          <cell r="S16">
            <v>86.304514936806285</v>
          </cell>
          <cell r="T16">
            <v>97.252782059758516</v>
          </cell>
          <cell r="U16">
            <v>99.577988020160603</v>
          </cell>
          <cell r="V16">
            <v>104.07891307867185</v>
          </cell>
          <cell r="W16">
            <v>115.11008529413202</v>
          </cell>
          <cell r="X16">
            <v>119.65096097014535</v>
          </cell>
          <cell r="Y16">
            <v>132.92275433455472</v>
          </cell>
          <cell r="Z16">
            <v>135.32473387722652</v>
          </cell>
          <cell r="AA16">
            <v>137.73427807019044</v>
          </cell>
          <cell r="AB16">
            <v>140.15140533740316</v>
          </cell>
          <cell r="AE16">
            <v>7</v>
          </cell>
          <cell r="AF16">
            <v>5.5</v>
          </cell>
          <cell r="AG16">
            <v>7.0694087403598949E-2</v>
          </cell>
        </row>
        <row r="17">
          <cell r="B17" t="str">
            <v>8 Months</v>
          </cell>
          <cell r="J17">
            <v>381.74807197943426</v>
          </cell>
          <cell r="K17">
            <v>56.493368992287891</v>
          </cell>
          <cell r="L17">
            <v>54.014465639710373</v>
          </cell>
          <cell r="P17" t="str">
            <v>8 Months</v>
          </cell>
          <cell r="Q17">
            <v>56.679950913159509</v>
          </cell>
          <cell r="R17">
            <v>103.22449605848404</v>
          </cell>
          <cell r="S17">
            <v>103.39481647698052</v>
          </cell>
          <cell r="T17">
            <v>103.56541792416753</v>
          </cell>
          <cell r="U17">
            <v>116.70333847171021</v>
          </cell>
          <cell r="V17">
            <v>119.49358562419272</v>
          </cell>
          <cell r="W17">
            <v>124.8946956944062</v>
          </cell>
          <cell r="X17">
            <v>138.13210235295841</v>
          </cell>
          <cell r="Y17">
            <v>143.5811531641744</v>
          </cell>
          <cell r="Z17">
            <v>159.50730520146564</v>
          </cell>
          <cell r="AA17">
            <v>162.38968065267179</v>
          </cell>
          <cell r="AB17">
            <v>165.28113368422851</v>
          </cell>
          <cell r="AE17">
            <v>8</v>
          </cell>
          <cell r="AF17">
            <v>6.6</v>
          </cell>
          <cell r="AG17">
            <v>8.483290488431873E-2</v>
          </cell>
        </row>
        <row r="18">
          <cell r="B18" t="str">
            <v>9 Months</v>
          </cell>
          <cell r="K18">
            <v>404.88431876606671</v>
          </cell>
          <cell r="L18">
            <v>59.917209537275042</v>
          </cell>
          <cell r="P18" t="str">
            <v>9 Months</v>
          </cell>
          <cell r="Q18">
            <v>57.288069617874648</v>
          </cell>
          <cell r="R18">
            <v>60.115099453351</v>
          </cell>
          <cell r="S18">
            <v>109.48052612263459</v>
          </cell>
          <cell r="T18">
            <v>109.66116899073694</v>
          </cell>
          <cell r="U18">
            <v>109.84210991957164</v>
          </cell>
          <cell r="V18">
            <v>123.77626807605631</v>
          </cell>
          <cell r="W18">
            <v>126.73562111656805</v>
          </cell>
          <cell r="X18">
            <v>132.46407119103691</v>
          </cell>
          <cell r="Y18">
            <v>146.50374491980438</v>
          </cell>
          <cell r="Z18">
            <v>152.28304123473043</v>
          </cell>
          <cell r="AA18">
            <v>169.17441460761512</v>
          </cell>
          <cell r="AB18">
            <v>172.23147948010646</v>
          </cell>
          <cell r="AE18">
            <v>9</v>
          </cell>
          <cell r="AF18">
            <v>7</v>
          </cell>
          <cell r="AG18">
            <v>8.9974293059125937E-2</v>
          </cell>
        </row>
        <row r="19">
          <cell r="B19" t="str">
            <v>10 Months</v>
          </cell>
          <cell r="L19">
            <v>416.45244215938288</v>
          </cell>
          <cell r="P19" t="str">
            <v>10 Months</v>
          </cell>
          <cell r="Q19">
            <v>61.629129809768614</v>
          </cell>
          <cell r="R19">
            <v>58.924871606956778</v>
          </cell>
          <cell r="S19">
            <v>61.832673723446739</v>
          </cell>
          <cell r="T19">
            <v>112.60854115470987</v>
          </cell>
          <cell r="U19">
            <v>112.79434524761514</v>
          </cell>
          <cell r="V19">
            <v>112.98045591727369</v>
          </cell>
          <cell r="W19">
            <v>127.31273287822934</v>
          </cell>
          <cell r="X19">
            <v>130.35663886275572</v>
          </cell>
          <cell r="Y19">
            <v>136.24875893935223</v>
          </cell>
          <cell r="Z19">
            <v>150.68956620322737</v>
          </cell>
          <cell r="AA19">
            <v>156.63398527000845</v>
          </cell>
          <cell r="AB19">
            <v>174.00796931068982</v>
          </cell>
          <cell r="AE19">
            <v>10</v>
          </cell>
          <cell r="AF19">
            <v>7.2</v>
          </cell>
          <cell r="AG19">
            <v>9.2544987146529534E-2</v>
          </cell>
          <cell r="AH19">
            <v>77.800000000000026</v>
          </cell>
        </row>
        <row r="20">
          <cell r="B20" t="str">
            <v>11 Months</v>
          </cell>
          <cell r="P20" t="str">
            <v>11 Months</v>
          </cell>
          <cell r="Q20">
            <v>416.45244215938288</v>
          </cell>
          <cell r="R20">
            <v>61.629129809768614</v>
          </cell>
          <cell r="S20">
            <v>58.924871606956778</v>
          </cell>
          <cell r="T20">
            <v>61.832673723446739</v>
          </cell>
          <cell r="U20">
            <v>112.60854115470987</v>
          </cell>
          <cell r="V20">
            <v>112.79434524761514</v>
          </cell>
          <cell r="W20">
            <v>112.98045591727369</v>
          </cell>
          <cell r="X20">
            <v>127.31273287822934</v>
          </cell>
          <cell r="Y20">
            <v>130.35663886275572</v>
          </cell>
          <cell r="Z20">
            <v>136.24875893935223</v>
          </cell>
          <cell r="AA20">
            <v>150.68956620322737</v>
          </cell>
          <cell r="AB20">
            <v>156.63398527000845</v>
          </cell>
          <cell r="AE20">
            <v>11</v>
          </cell>
          <cell r="AF20">
            <v>7.2</v>
          </cell>
          <cell r="AG20">
            <v>9.2544987146529534E-2</v>
          </cell>
        </row>
        <row r="21">
          <cell r="B21" t="str">
            <v>12 Months</v>
          </cell>
          <cell r="P21" t="str">
            <v>12 Months</v>
          </cell>
          <cell r="R21">
            <v>404.88431876606671</v>
          </cell>
          <cell r="S21">
            <v>59.917209537275042</v>
          </cell>
          <cell r="T21">
            <v>57.288069617874648</v>
          </cell>
          <cell r="U21">
            <v>60.115099453351</v>
          </cell>
          <cell r="V21">
            <v>109.48052612263459</v>
          </cell>
          <cell r="W21">
            <v>109.66116899073694</v>
          </cell>
          <cell r="X21">
            <v>109.84210991957164</v>
          </cell>
          <cell r="Y21">
            <v>123.77626807605631</v>
          </cell>
          <cell r="Z21">
            <v>126.73562111656805</v>
          </cell>
          <cell r="AA21">
            <v>132.46407119103691</v>
          </cell>
          <cell r="AB21">
            <v>146.50374491980438</v>
          </cell>
          <cell r="AE21">
            <v>12</v>
          </cell>
          <cell r="AF21">
            <v>7</v>
          </cell>
          <cell r="AG21">
            <v>8.9974293059125937E-2</v>
          </cell>
        </row>
        <row r="22">
          <cell r="B22" t="str">
            <v>13 Months</v>
          </cell>
          <cell r="P22" t="str">
            <v>13 Months</v>
          </cell>
          <cell r="S22">
            <v>381.74807197943426</v>
          </cell>
          <cell r="T22">
            <v>56.493368992287891</v>
          </cell>
          <cell r="U22">
            <v>54.014465639710373</v>
          </cell>
          <cell r="V22">
            <v>56.679950913159509</v>
          </cell>
          <cell r="W22">
            <v>103.22449605848404</v>
          </cell>
          <cell r="X22">
            <v>103.39481647698052</v>
          </cell>
          <cell r="Y22">
            <v>103.56541792416753</v>
          </cell>
          <cell r="Z22">
            <v>116.70333847171021</v>
          </cell>
          <cell r="AA22">
            <v>119.49358562419272</v>
          </cell>
          <cell r="AB22">
            <v>124.8946956944062</v>
          </cell>
          <cell r="AE22">
            <v>13</v>
          </cell>
          <cell r="AF22">
            <v>6.6</v>
          </cell>
          <cell r="AG22">
            <v>8.483290488431873E-2</v>
          </cell>
        </row>
        <row r="23">
          <cell r="B23" t="str">
            <v>14 Months</v>
          </cell>
          <cell r="P23" t="str">
            <v>14 Months</v>
          </cell>
          <cell r="T23">
            <v>318.12339331619529</v>
          </cell>
          <cell r="U23">
            <v>47.077807493573246</v>
          </cell>
          <cell r="V23">
            <v>45.01205469975865</v>
          </cell>
          <cell r="W23">
            <v>47.233292427632925</v>
          </cell>
          <cell r="X23">
            <v>86.020413382070032</v>
          </cell>
          <cell r="Y23">
            <v>86.162347064150453</v>
          </cell>
          <cell r="Z23">
            <v>86.304514936806285</v>
          </cell>
          <cell r="AA23">
            <v>97.252782059758516</v>
          </cell>
          <cell r="AB23">
            <v>99.577988020160603</v>
          </cell>
          <cell r="AE23">
            <v>14</v>
          </cell>
          <cell r="AF23">
            <v>5.5</v>
          </cell>
          <cell r="AG23">
            <v>7.0694087403598949E-2</v>
          </cell>
        </row>
        <row r="24">
          <cell r="B24" t="str">
            <v>15 Months</v>
          </cell>
          <cell r="P24" t="str">
            <v>15 Months</v>
          </cell>
          <cell r="U24">
            <v>231.36246786632381</v>
          </cell>
          <cell r="V24">
            <v>34.238405449871451</v>
          </cell>
          <cell r="W24">
            <v>32.736039781642653</v>
          </cell>
          <cell r="X24">
            <v>34.351485401914857</v>
          </cell>
          <cell r="Y24">
            <v>62.560300641505478</v>
          </cell>
          <cell r="Z24">
            <v>62.663525137563958</v>
          </cell>
          <cell r="AA24">
            <v>62.766919954040937</v>
          </cell>
          <cell r="AB24">
            <v>70.729296043460735</v>
          </cell>
          <cell r="AE24">
            <v>15</v>
          </cell>
          <cell r="AF24">
            <v>4</v>
          </cell>
          <cell r="AG24">
            <v>5.141388174807196E-2</v>
          </cell>
        </row>
        <row r="25">
          <cell r="B25" t="str">
            <v>16 Months</v>
          </cell>
          <cell r="P25" t="str">
            <v>16 Months</v>
          </cell>
          <cell r="V25">
            <v>173.52185089974287</v>
          </cell>
          <cell r="W25">
            <v>25.678804087403588</v>
          </cell>
          <cell r="X25">
            <v>24.552029836231988</v>
          </cell>
          <cell r="Y25">
            <v>25.763614051436139</v>
          </cell>
          <cell r="Z25">
            <v>46.920225481129108</v>
          </cell>
          <cell r="AA25">
            <v>46.997643853172967</v>
          </cell>
          <cell r="AB25">
            <v>47.075189965530704</v>
          </cell>
          <cell r="AE25">
            <v>16</v>
          </cell>
          <cell r="AF25">
            <v>3</v>
          </cell>
          <cell r="AG25">
            <v>3.856041131105397E-2</v>
          </cell>
        </row>
        <row r="26">
          <cell r="B26" t="str">
            <v>17 Months</v>
          </cell>
          <cell r="P26" t="str">
            <v>17 Months</v>
          </cell>
          <cell r="W26">
            <v>115.68123393316191</v>
          </cell>
          <cell r="X26">
            <v>17.119202724935725</v>
          </cell>
          <cell r="Y26">
            <v>16.368019890821326</v>
          </cell>
          <cell r="Z26">
            <v>17.175742700957429</v>
          </cell>
          <cell r="AA26">
            <v>31.280150320752739</v>
          </cell>
          <cell r="AB26">
            <v>31.331762568781979</v>
          </cell>
          <cell r="AE26">
            <v>17</v>
          </cell>
          <cell r="AF26">
            <v>2</v>
          </cell>
          <cell r="AG26">
            <v>2.570694087403598E-2</v>
          </cell>
        </row>
        <row r="27">
          <cell r="B27" t="str">
            <v>18 Months</v>
          </cell>
          <cell r="P27" t="str">
            <v>18 Months</v>
          </cell>
          <cell r="X27">
            <v>86.760925449871436</v>
          </cell>
          <cell r="Y27">
            <v>12.839402043701794</v>
          </cell>
          <cell r="Z27">
            <v>12.276014918115994</v>
          </cell>
          <cell r="AA27">
            <v>12.88180702571807</v>
          </cell>
          <cell r="AB27">
            <v>23.460112740564554</v>
          </cell>
          <cell r="AE27">
            <v>18</v>
          </cell>
          <cell r="AF27">
            <v>1.5</v>
          </cell>
          <cell r="AG27">
            <v>1.9280205655526985E-2</v>
          </cell>
        </row>
        <row r="28">
          <cell r="B28" t="str">
            <v>19 Months</v>
          </cell>
          <cell r="P28" t="str">
            <v>19 Months</v>
          </cell>
          <cell r="Y28">
            <v>69.408740359897152</v>
          </cell>
          <cell r="Z28">
            <v>10.271521634961434</v>
          </cell>
          <cell r="AA28">
            <v>9.8208119344927951</v>
          </cell>
          <cell r="AB28">
            <v>10.305445620574456</v>
          </cell>
          <cell r="AE28">
            <v>19</v>
          </cell>
          <cell r="AF28">
            <v>1.2</v>
          </cell>
          <cell r="AG28">
            <v>1.5424164524421588E-2</v>
          </cell>
        </row>
        <row r="29">
          <cell r="B29" t="str">
            <v>20 Months</v>
          </cell>
          <cell r="P29" t="str">
            <v>20 Months</v>
          </cell>
          <cell r="Z29">
            <v>52.05655526992286</v>
          </cell>
          <cell r="AA29">
            <v>7.7036412262210767</v>
          </cell>
          <cell r="AB29">
            <v>7.3656089508695972</v>
          </cell>
          <cell r="AE29">
            <v>20</v>
          </cell>
          <cell r="AF29">
            <v>0.9</v>
          </cell>
          <cell r="AG29">
            <v>1.1568123393316192E-2</v>
          </cell>
        </row>
        <row r="30">
          <cell r="B30" t="str">
            <v>Total Patient Drop-Outs</v>
          </cell>
          <cell r="C30">
            <v>52.05655526992286</v>
          </cell>
          <cell r="D30">
            <v>77.112381586118232</v>
          </cell>
          <cell r="E30">
            <v>104.39805603570247</v>
          </cell>
          <cell r="F30">
            <v>146.07053212678733</v>
          </cell>
          <cell r="G30">
            <v>227.29858180770779</v>
          </cell>
          <cell r="H30">
            <v>319.15848221867031</v>
          </cell>
          <cell r="I30">
            <v>450.47129857474908</v>
          </cell>
          <cell r="J30">
            <v>576.84867314941653</v>
          </cell>
          <cell r="K30">
            <v>680.04417956358725</v>
          </cell>
          <cell r="L30">
            <v>783.83950159654296</v>
          </cell>
          <cell r="P30" t="str">
            <v>Total Patient Drop-Outs</v>
          </cell>
          <cell r="Q30">
            <v>891.87532436878359</v>
          </cell>
          <cell r="R30">
            <v>1000.0436661789447</v>
          </cell>
          <cell r="S30">
            <v>1103.74444410414</v>
          </cell>
          <cell r="T30">
            <v>1171.6517556066519</v>
          </cell>
          <cell r="U30">
            <v>1214.4020710040077</v>
          </cell>
          <cell r="V30">
            <v>1279.2642164034869</v>
          </cell>
          <cell r="W30">
            <v>1341.0939112322997</v>
          </cell>
          <cell r="X30">
            <v>1422.7484559179313</v>
          </cell>
          <cell r="Y30">
            <v>1507.7799233879105</v>
          </cell>
          <cell r="Z30">
            <v>1587.6320281240182</v>
          </cell>
          <cell r="AA30">
            <v>1623.7597008916359</v>
          </cell>
          <cell r="AB30">
            <v>1699.1647344146727</v>
          </cell>
        </row>
        <row r="31">
          <cell r="B31" t="str">
            <v>Patients at Start of Period</v>
          </cell>
          <cell r="C31">
            <v>0</v>
          </cell>
          <cell r="D31">
            <v>4447.9434447300773</v>
          </cell>
          <cell r="E31">
            <v>5036.7680491439587</v>
          </cell>
          <cell r="F31">
            <v>5569.0859668612065</v>
          </cell>
          <cell r="G31">
            <v>6091.151825801664</v>
          </cell>
          <cell r="H31">
            <v>7080.651091471238</v>
          </cell>
          <cell r="I31">
            <v>7980.2981731781874</v>
          </cell>
          <cell r="J31">
            <v>8750.6434677095367</v>
          </cell>
          <cell r="K31">
            <v>9549.4796026054319</v>
          </cell>
          <cell r="L31">
            <v>10278.011326308844</v>
          </cell>
          <cell r="P31" t="str">
            <v>Patients at Start of Period</v>
          </cell>
          <cell r="Q31">
            <v>10966.415358806968</v>
          </cell>
          <cell r="R31">
            <v>11702.824513689724</v>
          </cell>
          <cell r="S31">
            <v>12395.298077233927</v>
          </cell>
          <cell r="T31">
            <v>13171.806412625852</v>
          </cell>
          <cell r="U31">
            <v>13914.384528955241</v>
          </cell>
          <cell r="V31">
            <v>14648.29642774411</v>
          </cell>
          <cell r="W31">
            <v>15351.537545022435</v>
          </cell>
          <cell r="X31">
            <v>15996.220101272524</v>
          </cell>
          <cell r="Y31">
            <v>16593.603597112291</v>
          </cell>
          <cell r="Z31">
            <v>17140.419076579063</v>
          </cell>
          <cell r="AA31">
            <v>17641.954131986095</v>
          </cell>
          <cell r="AB31">
            <v>18110.808640313338</v>
          </cell>
        </row>
        <row r="32">
          <cell r="B32" t="str">
            <v>Patients at End of Period</v>
          </cell>
          <cell r="C32">
            <v>4447.9434447300773</v>
          </cell>
          <cell r="D32">
            <v>5036.7680491439587</v>
          </cell>
          <cell r="E32">
            <v>5569.0859668612065</v>
          </cell>
          <cell r="F32">
            <v>6091.151825801664</v>
          </cell>
          <cell r="G32">
            <v>7080.651091471238</v>
          </cell>
          <cell r="H32">
            <v>7980.2981731781874</v>
          </cell>
          <cell r="I32">
            <v>8750.6434677095367</v>
          </cell>
          <cell r="J32">
            <v>9549.4796026054319</v>
          </cell>
          <cell r="K32">
            <v>10278.011326308844</v>
          </cell>
          <cell r="L32">
            <v>10966.415358806968</v>
          </cell>
          <cell r="P32" t="str">
            <v>Patients at End of Period</v>
          </cell>
          <cell r="Q32">
            <v>11702.824513689724</v>
          </cell>
          <cell r="R32">
            <v>12395.298077233927</v>
          </cell>
          <cell r="S32">
            <v>13171.806412625852</v>
          </cell>
          <cell r="T32">
            <v>13914.384528955241</v>
          </cell>
          <cell r="U32">
            <v>14648.29642774411</v>
          </cell>
          <cell r="V32">
            <v>15351.537545022435</v>
          </cell>
          <cell r="W32">
            <v>15996.220101272524</v>
          </cell>
          <cell r="X32">
            <v>16593.603597112291</v>
          </cell>
          <cell r="Y32">
            <v>17140.419076579063</v>
          </cell>
          <cell r="Z32">
            <v>17641.954131986095</v>
          </cell>
          <cell r="AA32">
            <v>18110.808640313338</v>
          </cell>
          <cell r="AB32">
            <v>18507.710928562756</v>
          </cell>
        </row>
        <row r="34">
          <cell r="B34" t="str">
            <v>Total Patient Days</v>
          </cell>
          <cell r="C34">
            <v>82509.350899742945</v>
          </cell>
          <cell r="D34">
            <v>131450.00183242085</v>
          </cell>
          <cell r="E34">
            <v>146351.83166713189</v>
          </cell>
          <cell r="F34">
            <v>160496.79843688456</v>
          </cell>
          <cell r="G34">
            <v>179945.42295666158</v>
          </cell>
          <cell r="H34">
            <v>205105.32511190866</v>
          </cell>
          <cell r="I34">
            <v>226644.72736962023</v>
          </cell>
          <cell r="J34">
            <v>246681.37251187017</v>
          </cell>
          <cell r="K34">
            <v>266585.24979247933</v>
          </cell>
          <cell r="L34">
            <v>284902.36485847033</v>
          </cell>
          <cell r="P34" t="str">
            <v>Total Patient Days</v>
          </cell>
          <cell r="Q34">
            <v>304256.21414927888</v>
          </cell>
          <cell r="R34">
            <v>322721.48581298249</v>
          </cell>
          <cell r="S34">
            <v>340512.77522210806</v>
          </cell>
          <cell r="T34">
            <v>360793.60723810934</v>
          </cell>
          <cell r="U34">
            <v>380830.17473145231</v>
          </cell>
          <cell r="V34">
            <v>400006.34598871687</v>
          </cell>
          <cell r="W34">
            <v>418008.22700002068</v>
          </cell>
          <cell r="X34">
            <v>434217.91484519071</v>
          </cell>
          <cell r="Y34">
            <v>449010.07333125081</v>
          </cell>
          <cell r="Z34">
            <v>462532.75108846836</v>
          </cell>
          <cell r="AA34">
            <v>475608.79808002932</v>
          </cell>
          <cell r="AB34">
            <v>486670.0973086626</v>
          </cell>
        </row>
        <row r="35">
          <cell r="B35" t="str">
            <v>Average Cost/Day</v>
          </cell>
          <cell r="C35">
            <v>146.66666666666666</v>
          </cell>
          <cell r="D35">
            <v>146.66666666666666</v>
          </cell>
          <cell r="E35">
            <v>146.66666666666666</v>
          </cell>
          <cell r="F35">
            <v>146.66666666666666</v>
          </cell>
          <cell r="G35">
            <v>146.66666666666666</v>
          </cell>
          <cell r="H35">
            <v>146.66666666666666</v>
          </cell>
          <cell r="I35">
            <v>146.66666666666666</v>
          </cell>
          <cell r="J35">
            <v>146.66666666666666</v>
          </cell>
          <cell r="K35">
            <v>146.66666666666666</v>
          </cell>
          <cell r="L35">
            <v>146.66666666666666</v>
          </cell>
          <cell r="P35" t="str">
            <v>Average Cost/Day</v>
          </cell>
          <cell r="Q35">
            <v>146.66666666666666</v>
          </cell>
          <cell r="R35">
            <v>146.66666666666666</v>
          </cell>
          <cell r="S35">
            <v>146.66666666666666</v>
          </cell>
          <cell r="T35">
            <v>146.66666666666666</v>
          </cell>
          <cell r="U35">
            <v>146.66666666666666</v>
          </cell>
          <cell r="V35">
            <v>146.66666666666666</v>
          </cell>
          <cell r="W35">
            <v>146.66666666666666</v>
          </cell>
          <cell r="X35">
            <v>146.66666666666666</v>
          </cell>
          <cell r="Y35">
            <v>146.66666666666666</v>
          </cell>
          <cell r="Z35">
            <v>146.66666666666666</v>
          </cell>
          <cell r="AA35">
            <v>146.66666666666666</v>
          </cell>
          <cell r="AB35">
            <v>146.66666666666666</v>
          </cell>
        </row>
        <row r="37">
          <cell r="B37" t="str">
            <v>Monthly Sales</v>
          </cell>
          <cell r="C37">
            <v>12101.371465295631</v>
          </cell>
          <cell r="D37">
            <v>19279.333602088391</v>
          </cell>
          <cell r="E37">
            <v>21464.935311179343</v>
          </cell>
          <cell r="F37">
            <v>23539.530437409736</v>
          </cell>
          <cell r="G37">
            <v>26391.995366977033</v>
          </cell>
          <cell r="H37">
            <v>30082.114349746604</v>
          </cell>
          <cell r="I37">
            <v>33241.226680877633</v>
          </cell>
          <cell r="J37">
            <v>36179.934635074285</v>
          </cell>
          <cell r="K37">
            <v>39099.169969563634</v>
          </cell>
          <cell r="L37">
            <v>41785.680179242314</v>
          </cell>
          <cell r="M37">
            <v>283165.29199745459</v>
          </cell>
          <cell r="P37" t="str">
            <v>Monthly Sales</v>
          </cell>
          <cell r="Q37">
            <v>44624.244741894232</v>
          </cell>
          <cell r="R37">
            <v>47332.484585904094</v>
          </cell>
          <cell r="S37">
            <v>49941.873699242511</v>
          </cell>
          <cell r="T37">
            <v>52916.39572825603</v>
          </cell>
          <cell r="U37">
            <v>55855.092293946334</v>
          </cell>
          <cell r="V37">
            <v>58667.597411678471</v>
          </cell>
          <cell r="W37">
            <v>61307.873293336364</v>
          </cell>
          <cell r="X37">
            <v>63685.294177294636</v>
          </cell>
          <cell r="Y37">
            <v>65854.810755250117</v>
          </cell>
          <cell r="Z37">
            <v>67838.136826308677</v>
          </cell>
          <cell r="AA37">
            <v>69755.957051737627</v>
          </cell>
          <cell r="AB37">
            <v>71378.280938603843</v>
          </cell>
          <cell r="AC37">
            <v>709158.04150345293</v>
          </cell>
        </row>
        <row r="38">
          <cell r="C38" t="str">
            <v>1Q04</v>
          </cell>
          <cell r="F38" t="str">
            <v>2Q04</v>
          </cell>
          <cell r="I38" t="str">
            <v>3Q04</v>
          </cell>
          <cell r="L38" t="str">
            <v>4Q04</v>
          </cell>
          <cell r="M38">
            <v>2004</v>
          </cell>
          <cell r="S38" t="str">
            <v>1Q05</v>
          </cell>
          <cell r="V38" t="str">
            <v>2Q05</v>
          </cell>
          <cell r="Y38" t="str">
            <v>3Q05</v>
          </cell>
          <cell r="AB38" t="str">
            <v>4Q05</v>
          </cell>
          <cell r="AC38">
            <v>2005</v>
          </cell>
        </row>
        <row r="39">
          <cell r="B39" t="str">
            <v>Front-line Sales</v>
          </cell>
          <cell r="C39">
            <v>12101.371465295631</v>
          </cell>
          <cell r="F39">
            <v>64283.799350677466</v>
          </cell>
          <cell r="I39">
            <v>89715.336397601262</v>
          </cell>
          <cell r="L39">
            <v>117064.78478388023</v>
          </cell>
          <cell r="M39">
            <v>283165.29199745459</v>
          </cell>
          <cell r="P39" t="str">
            <v>Total Sales</v>
          </cell>
          <cell r="S39">
            <v>141898.60302704084</v>
          </cell>
          <cell r="V39">
            <v>167439.08543388083</v>
          </cell>
          <cell r="Y39">
            <v>190847.97822588112</v>
          </cell>
          <cell r="AB39">
            <v>208972.37481665018</v>
          </cell>
          <cell r="AC39">
            <v>709158.04150345293</v>
          </cell>
        </row>
        <row r="41">
          <cell r="B41" t="str">
            <v>Relapsed / Refractory</v>
          </cell>
          <cell r="C41">
            <v>38047</v>
          </cell>
          <cell r="D41">
            <v>38078</v>
          </cell>
          <cell r="E41">
            <v>38108</v>
          </cell>
          <cell r="F41">
            <v>38139</v>
          </cell>
          <cell r="G41">
            <v>38169</v>
          </cell>
          <cell r="H41">
            <v>38200</v>
          </cell>
          <cell r="I41">
            <v>38231</v>
          </cell>
          <cell r="J41">
            <v>38261</v>
          </cell>
          <cell r="K41">
            <v>38292</v>
          </cell>
          <cell r="L41">
            <v>38322</v>
          </cell>
          <cell r="M41">
            <v>2004</v>
          </cell>
          <cell r="P41" t="str">
            <v>Relapsed / Refractory</v>
          </cell>
          <cell r="Q41">
            <v>38353</v>
          </cell>
          <cell r="R41">
            <v>38384</v>
          </cell>
          <cell r="S41">
            <v>38412</v>
          </cell>
          <cell r="T41">
            <v>38443</v>
          </cell>
          <cell r="U41">
            <v>38473</v>
          </cell>
          <cell r="V41">
            <v>38504</v>
          </cell>
          <cell r="W41">
            <v>38534</v>
          </cell>
          <cell r="X41">
            <v>38565</v>
          </cell>
          <cell r="Y41">
            <v>38596</v>
          </cell>
          <cell r="Z41">
            <v>38626</v>
          </cell>
          <cell r="AA41">
            <v>38657</v>
          </cell>
          <cell r="AB41">
            <v>38687</v>
          </cell>
          <cell r="AC41">
            <v>2005</v>
          </cell>
        </row>
        <row r="42">
          <cell r="B42" t="str">
            <v>Previously relapsed Pts Wainting for Therapy</v>
          </cell>
          <cell r="C42">
            <v>25000</v>
          </cell>
        </row>
        <row r="43">
          <cell r="B43" t="str">
            <v>New Relapsing Patients</v>
          </cell>
          <cell r="C43">
            <v>2593</v>
          </cell>
          <cell r="D43">
            <v>2597.2784499999998</v>
          </cell>
          <cell r="E43">
            <v>2601.5639594424997</v>
          </cell>
          <cell r="F43">
            <v>2605.8565399755798</v>
          </cell>
          <cell r="G43">
            <v>2610.1562032665393</v>
          </cell>
          <cell r="H43">
            <v>2614.4629610019288</v>
          </cell>
          <cell r="I43">
            <v>2618.7768248875818</v>
          </cell>
          <cell r="J43">
            <v>2623.0978066486459</v>
          </cell>
          <cell r="K43">
            <v>2627.4259180296158</v>
          </cell>
          <cell r="L43">
            <v>2631.7611707943643</v>
          </cell>
          <cell r="M43">
            <v>26123.379834046755</v>
          </cell>
          <cell r="P43" t="str">
            <v>New Relapsing Patients</v>
          </cell>
          <cell r="Q43">
            <v>2636.1035767261747</v>
          </cell>
          <cell r="R43">
            <v>2640.4531476277725</v>
          </cell>
          <cell r="S43">
            <v>2644.809895321358</v>
          </cell>
          <cell r="T43">
            <v>2649.173831648638</v>
          </cell>
          <cell r="U43">
            <v>2653.5449684708583</v>
          </cell>
          <cell r="V43">
            <v>2657.9233176688349</v>
          </cell>
          <cell r="W43">
            <v>2662.3088911429882</v>
          </cell>
          <cell r="X43">
            <v>2666.7017008133739</v>
          </cell>
          <cell r="Y43">
            <v>2671.1017586197158</v>
          </cell>
          <cell r="Z43">
            <v>2675.5090765214381</v>
          </cell>
          <cell r="AA43">
            <v>2679.9236664976984</v>
          </cell>
          <cell r="AB43">
            <v>2684.3455405474192</v>
          </cell>
          <cell r="AC43">
            <v>31921.899371606272</v>
          </cell>
        </row>
        <row r="44">
          <cell r="C44">
            <v>0.18</v>
          </cell>
          <cell r="D44">
            <v>0.34</v>
          </cell>
          <cell r="E44">
            <v>0.34</v>
          </cell>
          <cell r="F44">
            <v>0.34</v>
          </cell>
          <cell r="G44">
            <v>0.34</v>
          </cell>
          <cell r="H44">
            <v>0.34</v>
          </cell>
          <cell r="I44">
            <v>0.34</v>
          </cell>
          <cell r="J44">
            <v>0.36</v>
          </cell>
          <cell r="K44">
            <v>0.36</v>
          </cell>
          <cell r="L44">
            <v>0.36</v>
          </cell>
          <cell r="Q44">
            <v>0.4</v>
          </cell>
          <cell r="R44">
            <v>0.43</v>
          </cell>
          <cell r="S44">
            <v>0.47</v>
          </cell>
          <cell r="T44">
            <v>0.48</v>
          </cell>
          <cell r="U44">
            <v>0.49</v>
          </cell>
          <cell r="V44">
            <v>0.49</v>
          </cell>
          <cell r="W44">
            <v>0.5</v>
          </cell>
          <cell r="X44">
            <v>0.5</v>
          </cell>
          <cell r="Y44">
            <v>0.5</v>
          </cell>
          <cell r="Z44">
            <v>0.5</v>
          </cell>
          <cell r="AA44">
            <v>0.5</v>
          </cell>
          <cell r="AB44">
            <v>0.5</v>
          </cell>
          <cell r="AC44">
            <v>0.48014264355070313</v>
          </cell>
        </row>
        <row r="45">
          <cell r="B45" t="str">
            <v>New Patients Starting Therapy</v>
          </cell>
          <cell r="C45">
            <v>4600</v>
          </cell>
          <cell r="D45">
            <v>883.07467299999996</v>
          </cell>
          <cell r="E45">
            <v>884.53174621044991</v>
          </cell>
          <cell r="F45">
            <v>885.99122359169723</v>
          </cell>
          <cell r="G45">
            <v>887.45310911062336</v>
          </cell>
          <cell r="H45">
            <v>888.91740674065579</v>
          </cell>
          <cell r="I45">
            <v>890.38412046177791</v>
          </cell>
          <cell r="J45">
            <v>944.31521039351253</v>
          </cell>
          <cell r="K45">
            <v>945.8733304906616</v>
          </cell>
          <cell r="L45">
            <v>947.43402148597113</v>
          </cell>
          <cell r="M45">
            <v>12757.974841485349</v>
          </cell>
          <cell r="P45" t="str">
            <v>New Patients Starting Therapy</v>
          </cell>
          <cell r="Q45">
            <v>1054.4414306904698</v>
          </cell>
          <cell r="R45">
            <v>1135.3948534799422</v>
          </cell>
          <cell r="S45">
            <v>1243.0606508010383</v>
          </cell>
          <cell r="T45">
            <v>1271.6034391913463</v>
          </cell>
          <cell r="U45">
            <v>1300.2370345507206</v>
          </cell>
          <cell r="V45">
            <v>1302.3824256577291</v>
          </cell>
          <cell r="W45">
            <v>1331.1544455714941</v>
          </cell>
          <cell r="X45">
            <v>1333.350850406687</v>
          </cell>
          <cell r="Y45">
            <v>1335.5508793098579</v>
          </cell>
          <cell r="Z45">
            <v>1337.7545382607191</v>
          </cell>
          <cell r="AA45">
            <v>1339.9618332488492</v>
          </cell>
          <cell r="AB45">
            <v>1342.1727702737096</v>
          </cell>
          <cell r="AC45">
            <v>15327.065151442564</v>
          </cell>
        </row>
        <row r="46">
          <cell r="B46" t="str">
            <v>Failures</v>
          </cell>
          <cell r="P46" t="str">
            <v>Failures</v>
          </cell>
          <cell r="AE46" t="str">
            <v>Distribution of Failure Rates</v>
          </cell>
        </row>
        <row r="47">
          <cell r="B47" t="str">
            <v>1 Month</v>
          </cell>
          <cell r="C47">
            <v>8.9008176767992015</v>
          </cell>
          <cell r="D47">
            <v>1.708714491167842</v>
          </cell>
          <cell r="E47">
            <v>1.711533870078269</v>
          </cell>
          <cell r="F47">
            <v>1.7143579009638983</v>
          </cell>
          <cell r="G47">
            <v>1.7171865915004882</v>
          </cell>
          <cell r="H47">
            <v>1.7200199493764639</v>
          </cell>
          <cell r="I47">
            <v>1.7228579822929351</v>
          </cell>
          <cell r="J47">
            <v>1.8272125037262896</v>
          </cell>
          <cell r="K47">
            <v>1.8302274043574376</v>
          </cell>
          <cell r="L47">
            <v>1.8332472795746273</v>
          </cell>
          <cell r="P47" t="str">
            <v>1 Month</v>
          </cell>
          <cell r="Q47">
            <v>2.0403023750954725</v>
          </cell>
          <cell r="R47">
            <v>2.1969440395654583</v>
          </cell>
          <cell r="S47">
            <v>2.4052730899963914</v>
          </cell>
          <cell r="T47">
            <v>2.4605022542245636</v>
          </cell>
          <cell r="U47">
            <v>2.5159071263387016</v>
          </cell>
          <cell r="V47">
            <v>2.52005837309716</v>
          </cell>
          <cell r="W47">
            <v>2.5757310912375204</v>
          </cell>
          <cell r="X47">
            <v>2.579981047538062</v>
          </cell>
          <cell r="Y47">
            <v>2.5842380162664997</v>
          </cell>
          <cell r="Z47">
            <v>2.5885020089933395</v>
          </cell>
          <cell r="AA47">
            <v>2.5927730373081781</v>
          </cell>
          <cell r="AB47">
            <v>2.5970511128197362</v>
          </cell>
          <cell r="AE47">
            <v>1</v>
          </cell>
          <cell r="AF47">
            <v>0.62</v>
          </cell>
          <cell r="AG47">
            <v>1.9349603645215654E-3</v>
          </cell>
        </row>
        <row r="48">
          <cell r="B48" t="str">
            <v>2 Months</v>
          </cell>
          <cell r="D48">
            <v>34.454778103738839</v>
          </cell>
          <cell r="E48">
            <v>6.6143786754884211</v>
          </cell>
          <cell r="F48">
            <v>6.6252924003029765</v>
          </cell>
          <cell r="G48">
            <v>6.636224132763477</v>
          </cell>
          <cell r="H48">
            <v>6.6471739025825354</v>
          </cell>
          <cell r="I48">
            <v>6.6581417395217954</v>
          </cell>
          <cell r="J48">
            <v>6.6691276733920066</v>
          </cell>
          <cell r="K48">
            <v>7.0730806595856377</v>
          </cell>
          <cell r="L48">
            <v>7.0847512426739518</v>
          </cell>
          <cell r="P48" t="str">
            <v>2 Months</v>
          </cell>
          <cell r="Q48">
            <v>7.0964410822243638</v>
          </cell>
          <cell r="R48">
            <v>7.8979446777889253</v>
          </cell>
          <cell r="S48">
            <v>8.5042995079953219</v>
          </cell>
          <cell r="T48">
            <v>9.310734541921514</v>
          </cell>
          <cell r="U48">
            <v>9.5245248550628272</v>
          </cell>
          <cell r="V48">
            <v>9.7389953277627157</v>
          </cell>
          <cell r="W48">
            <v>9.7550646700535228</v>
          </cell>
          <cell r="X48">
            <v>9.9705719660807244</v>
          </cell>
          <cell r="Y48">
            <v>9.9870234098247561</v>
          </cell>
          <cell r="Z48">
            <v>10.003501998450966</v>
          </cell>
          <cell r="AA48">
            <v>10.020007776748411</v>
          </cell>
          <cell r="AB48">
            <v>10.036540789580044</v>
          </cell>
          <cell r="AE48">
            <v>2</v>
          </cell>
          <cell r="AF48">
            <v>2.4</v>
          </cell>
          <cell r="AG48">
            <v>7.4901691529867045E-3</v>
          </cell>
        </row>
        <row r="49">
          <cell r="B49" t="str">
            <v>3 Months</v>
          </cell>
          <cell r="E49">
            <v>117.72049185444104</v>
          </cell>
          <cell r="F49">
            <v>22.599127141252104</v>
          </cell>
          <cell r="G49">
            <v>22.636415701035169</v>
          </cell>
          <cell r="H49">
            <v>22.673765786941878</v>
          </cell>
          <cell r="I49">
            <v>22.711177500490326</v>
          </cell>
          <cell r="J49">
            <v>22.748650943366133</v>
          </cell>
          <cell r="K49">
            <v>22.786186217422689</v>
          </cell>
          <cell r="L49">
            <v>24.166358920250925</v>
          </cell>
          <cell r="P49" t="str">
            <v>3 Months</v>
          </cell>
          <cell r="Q49">
            <v>24.206233412469334</v>
          </cell>
          <cell r="R49">
            <v>24.246173697599907</v>
          </cell>
          <cell r="S49">
            <v>26.984644315778826</v>
          </cell>
          <cell r="T49">
            <v>29.056356652317348</v>
          </cell>
          <cell r="U49">
            <v>31.811676351565172</v>
          </cell>
          <cell r="V49">
            <v>32.542126588131325</v>
          </cell>
          <cell r="W49">
            <v>33.274900703189275</v>
          </cell>
          <cell r="X49">
            <v>33.329804289349532</v>
          </cell>
          <cell r="Y49">
            <v>34.066120884109139</v>
          </cell>
          <cell r="Z49">
            <v>34.122329983567916</v>
          </cell>
          <cell r="AA49">
            <v>34.1786318280408</v>
          </cell>
          <cell r="AB49">
            <v>34.235026570557068</v>
          </cell>
          <cell r="AE49">
            <v>3</v>
          </cell>
          <cell r="AF49">
            <v>8.1999999999999993</v>
          </cell>
          <cell r="AG49">
            <v>2.5591411272704572E-2</v>
          </cell>
        </row>
        <row r="50">
          <cell r="B50" t="str">
            <v>4 Months</v>
          </cell>
          <cell r="F50">
            <v>301.47930840771488</v>
          </cell>
          <cell r="G50">
            <v>57.875813410523683</v>
          </cell>
          <cell r="H50">
            <v>57.971308502651041</v>
          </cell>
          <cell r="I50">
            <v>58.066961161680425</v>
          </cell>
          <cell r="J50">
            <v>58.162771647597182</v>
          </cell>
          <cell r="K50">
            <v>58.258740220815717</v>
          </cell>
          <cell r="L50">
            <v>58.354867142180062</v>
          </cell>
          <cell r="P50" t="str">
            <v>4 Months</v>
          </cell>
          <cell r="Q50">
            <v>61.88945577137433</v>
          </cell>
          <cell r="R50">
            <v>61.991573373397081</v>
          </cell>
          <cell r="S50">
            <v>62.093859469463183</v>
          </cell>
          <cell r="T50">
            <v>69.107015930653091</v>
          </cell>
          <cell r="U50">
            <v>74.412620694959074</v>
          </cell>
          <cell r="V50">
            <v>81.468927241813248</v>
          </cell>
          <cell r="W50">
            <v>83.339592481799741</v>
          </cell>
          <cell r="X50">
            <v>85.216209117923768</v>
          </cell>
          <cell r="Y50">
            <v>85.356815862968318</v>
          </cell>
          <cell r="Z50">
            <v>87.242504703206336</v>
          </cell>
          <cell r="AA50">
            <v>87.386454835966617</v>
          </cell>
          <cell r="AB50">
            <v>87.53064248644597</v>
          </cell>
          <cell r="AE50">
            <v>4</v>
          </cell>
          <cell r="AF50">
            <v>21</v>
          </cell>
          <cell r="AG50">
            <v>6.5538980088633667E-2</v>
          </cell>
        </row>
        <row r="51">
          <cell r="B51" t="str">
            <v>5 Months</v>
          </cell>
          <cell r="G51">
            <v>674.73940453155228</v>
          </cell>
          <cell r="H51">
            <v>129.53158239498157</v>
          </cell>
          <cell r="I51">
            <v>129.74530950593328</v>
          </cell>
          <cell r="J51">
            <v>129.95938926661807</v>
          </cell>
          <cell r="K51">
            <v>130.17382225890796</v>
          </cell>
          <cell r="L51">
            <v>130.38860906563517</v>
          </cell>
          <cell r="P51" t="str">
            <v>5 Months</v>
          </cell>
          <cell r="Q51">
            <v>130.60375027059345</v>
          </cell>
          <cell r="R51">
            <v>138.51449625021871</v>
          </cell>
          <cell r="S51">
            <v>138.74304516903155</v>
          </cell>
          <cell r="T51">
            <v>138.97197119356045</v>
          </cell>
          <cell r="U51">
            <v>154.66808327336645</v>
          </cell>
          <cell r="V51">
            <v>166.54253203157504</v>
          </cell>
          <cell r="W51">
            <v>182.33521811262966</v>
          </cell>
          <cell r="X51">
            <v>186.52194507831368</v>
          </cell>
          <cell r="Y51">
            <v>190.72199183535318</v>
          </cell>
          <cell r="Z51">
            <v>191.03668312188145</v>
          </cell>
          <cell r="AA51">
            <v>195.25703433574751</v>
          </cell>
          <cell r="AB51">
            <v>195.57920844240147</v>
          </cell>
          <cell r="AE51">
            <v>5</v>
          </cell>
          <cell r="AF51">
            <v>47</v>
          </cell>
          <cell r="AG51">
            <v>0.14668247924598962</v>
          </cell>
        </row>
        <row r="52">
          <cell r="B52" t="str">
            <v>6 Months</v>
          </cell>
          <cell r="H52">
            <v>1162.8487610011857</v>
          </cell>
          <cell r="I52">
            <v>223.23528029773419</v>
          </cell>
          <cell r="J52">
            <v>223.60361851022543</v>
          </cell>
          <cell r="K52">
            <v>223.97256448076732</v>
          </cell>
          <cell r="L52">
            <v>224.34211921216055</v>
          </cell>
          <cell r="P52" t="str">
            <v>6 Months</v>
          </cell>
          <cell r="Q52">
            <v>224.71228370886058</v>
          </cell>
          <cell r="R52">
            <v>225.08305897698023</v>
          </cell>
          <cell r="S52">
            <v>238.71647226101524</v>
          </cell>
          <cell r="T52">
            <v>239.11035444024586</v>
          </cell>
          <cell r="U52">
            <v>239.50488652507227</v>
          </cell>
          <cell r="V52">
            <v>266.5556328753762</v>
          </cell>
          <cell r="W52">
            <v>287.02010839484211</v>
          </cell>
          <cell r="X52">
            <v>314.2372907898511</v>
          </cell>
          <cell r="Y52">
            <v>321.45271385837037</v>
          </cell>
          <cell r="Z52">
            <v>328.69109231199161</v>
          </cell>
          <cell r="AA52">
            <v>329.23343261430637</v>
          </cell>
          <cell r="AB52">
            <v>336.5068038552244</v>
          </cell>
          <cell r="AE52">
            <v>6</v>
          </cell>
          <cell r="AF52">
            <v>81</v>
          </cell>
          <cell r="AG52">
            <v>0.25279320891330126</v>
          </cell>
        </row>
        <row r="53">
          <cell r="B53" t="str">
            <v>7 Months</v>
          </cell>
          <cell r="I53">
            <v>1162.8487610011857</v>
          </cell>
          <cell r="J53">
            <v>223.23528029773419</v>
          </cell>
          <cell r="K53">
            <v>223.60361851022543</v>
          </cell>
          <cell r="L53">
            <v>223.97256448076732</v>
          </cell>
          <cell r="P53" t="str">
            <v>7 Months</v>
          </cell>
          <cell r="Q53">
            <v>224.34211921216055</v>
          </cell>
          <cell r="R53">
            <v>224.71228370886058</v>
          </cell>
          <cell r="S53">
            <v>225.08305897698023</v>
          </cell>
          <cell r="T53">
            <v>238.71647226101524</v>
          </cell>
          <cell r="U53">
            <v>239.11035444024586</v>
          </cell>
          <cell r="V53">
            <v>239.50488652507227</v>
          </cell>
          <cell r="W53">
            <v>266.5556328753762</v>
          </cell>
          <cell r="X53">
            <v>287.02010839484211</v>
          </cell>
          <cell r="Y53">
            <v>314.2372907898511</v>
          </cell>
          <cell r="Z53">
            <v>321.45271385837037</v>
          </cell>
          <cell r="AA53">
            <v>328.69109231199161</v>
          </cell>
          <cell r="AB53">
            <v>329.23343261430637</v>
          </cell>
          <cell r="AE53">
            <v>7</v>
          </cell>
          <cell r="AF53">
            <v>81</v>
          </cell>
          <cell r="AG53">
            <v>0.25279320891330126</v>
          </cell>
          <cell r="AH53">
            <v>320.42</v>
          </cell>
        </row>
        <row r="54">
          <cell r="B54" t="str">
            <v>8 Months</v>
          </cell>
          <cell r="J54">
            <v>674.73940453155228</v>
          </cell>
          <cell r="K54">
            <v>129.53158239498157</v>
          </cell>
          <cell r="L54">
            <v>129.74530950593328</v>
          </cell>
          <cell r="P54" t="str">
            <v>8 Months</v>
          </cell>
          <cell r="Q54">
            <v>129.95938926661807</v>
          </cell>
          <cell r="R54">
            <v>130.17382225890796</v>
          </cell>
          <cell r="S54">
            <v>130.38860906563517</v>
          </cell>
          <cell r="T54">
            <v>130.60375027059345</v>
          </cell>
          <cell r="U54">
            <v>138.51449625021871</v>
          </cell>
          <cell r="V54">
            <v>138.74304516903155</v>
          </cell>
          <cell r="W54">
            <v>138.97197119356045</v>
          </cell>
          <cell r="X54">
            <v>154.66808327336645</v>
          </cell>
          <cell r="Y54">
            <v>166.54253203157504</v>
          </cell>
          <cell r="Z54">
            <v>182.33521811262966</v>
          </cell>
          <cell r="AA54">
            <v>186.52194507831368</v>
          </cell>
          <cell r="AB54">
            <v>190.72199183535318</v>
          </cell>
          <cell r="AE54">
            <v>8</v>
          </cell>
          <cell r="AF54">
            <v>47</v>
          </cell>
          <cell r="AG54">
            <v>0.14668247924598962</v>
          </cell>
        </row>
        <row r="55">
          <cell r="B55" t="str">
            <v>9 Months</v>
          </cell>
          <cell r="K55">
            <v>301.47930840771488</v>
          </cell>
          <cell r="L55">
            <v>57.875813410523683</v>
          </cell>
          <cell r="P55" t="str">
            <v>9 Months</v>
          </cell>
          <cell r="Q55">
            <v>57.971308502651041</v>
          </cell>
          <cell r="R55">
            <v>58.066961161680425</v>
          </cell>
          <cell r="S55">
            <v>58.162771647597182</v>
          </cell>
          <cell r="T55">
            <v>58.258740220815717</v>
          </cell>
          <cell r="U55">
            <v>58.354867142180062</v>
          </cell>
          <cell r="V55">
            <v>61.88945577137433</v>
          </cell>
          <cell r="W55">
            <v>61.991573373397081</v>
          </cell>
          <cell r="X55">
            <v>62.093859469463183</v>
          </cell>
          <cell r="Y55">
            <v>69.107015930653091</v>
          </cell>
          <cell r="Z55">
            <v>74.412620694959074</v>
          </cell>
          <cell r="AA55">
            <v>81.468927241813248</v>
          </cell>
          <cell r="AB55">
            <v>83.339592481799741</v>
          </cell>
          <cell r="AE55">
            <v>9</v>
          </cell>
          <cell r="AF55">
            <v>21</v>
          </cell>
          <cell r="AG55">
            <v>6.5538980088633667E-2</v>
          </cell>
        </row>
        <row r="56">
          <cell r="B56" t="str">
            <v>10 Months</v>
          </cell>
          <cell r="L56">
            <v>117.72049185444104</v>
          </cell>
          <cell r="P56" t="str">
            <v>10 Months</v>
          </cell>
          <cell r="Q56">
            <v>22.599127141252104</v>
          </cell>
          <cell r="R56">
            <v>22.636415701035169</v>
          </cell>
          <cell r="S56">
            <v>22.673765786941878</v>
          </cell>
          <cell r="T56">
            <v>22.711177500490326</v>
          </cell>
          <cell r="U56">
            <v>22.748650943366133</v>
          </cell>
          <cell r="V56">
            <v>22.786186217422689</v>
          </cell>
          <cell r="W56">
            <v>24.166358920250925</v>
          </cell>
          <cell r="X56">
            <v>24.206233412469334</v>
          </cell>
          <cell r="Y56">
            <v>24.246173697599907</v>
          </cell>
          <cell r="Z56">
            <v>26.984644315778826</v>
          </cell>
          <cell r="AA56">
            <v>29.056356652317348</v>
          </cell>
          <cell r="AB56">
            <v>31.811676351565172</v>
          </cell>
          <cell r="AE56">
            <v>10</v>
          </cell>
          <cell r="AF56">
            <v>8.1999999999999993</v>
          </cell>
          <cell r="AG56">
            <v>2.5591411272704572E-2</v>
          </cell>
        </row>
        <row r="57">
          <cell r="P57" t="str">
            <v>11 Months</v>
          </cell>
          <cell r="Q57">
            <v>34.454778103738839</v>
          </cell>
          <cell r="R57">
            <v>6.6143786754884211</v>
          </cell>
          <cell r="S57">
            <v>6.6252924003029765</v>
          </cell>
          <cell r="T57">
            <v>6.636224132763477</v>
          </cell>
          <cell r="U57">
            <v>6.6471739025825354</v>
          </cell>
          <cell r="V57">
            <v>6.6581417395217954</v>
          </cell>
          <cell r="W57">
            <v>6.6691276733920066</v>
          </cell>
          <cell r="X57">
            <v>7.0730806595856377</v>
          </cell>
          <cell r="Y57">
            <v>7.0847512426739518</v>
          </cell>
          <cell r="Z57">
            <v>7.0964410822243638</v>
          </cell>
          <cell r="AA57">
            <v>7.8979446777889253</v>
          </cell>
          <cell r="AB57">
            <v>8.5042995079953219</v>
          </cell>
          <cell r="AE57">
            <v>11</v>
          </cell>
          <cell r="AF57">
            <v>2.4</v>
          </cell>
          <cell r="AG57">
            <v>7.4901691529867045E-3</v>
          </cell>
        </row>
        <row r="58">
          <cell r="P58" t="str">
            <v>12 Months</v>
          </cell>
          <cell r="R58">
            <v>8.6136945259347097</v>
          </cell>
          <cell r="S58">
            <v>1.6535946688721053</v>
          </cell>
          <cell r="T58">
            <v>1.6563231000757441</v>
          </cell>
          <cell r="U58">
            <v>1.6590560331908693</v>
          </cell>
          <cell r="V58">
            <v>1.6617934756456338</v>
          </cell>
          <cell r="W58">
            <v>1.6645354348804489</v>
          </cell>
          <cell r="X58">
            <v>1.6672819183480017</v>
          </cell>
          <cell r="Y58">
            <v>1.7682701648964094</v>
          </cell>
          <cell r="Z58">
            <v>1.771187810668488</v>
          </cell>
          <cell r="AA58">
            <v>1.7741102705560909</v>
          </cell>
          <cell r="AB58">
            <v>1.9744861694472313</v>
          </cell>
          <cell r="AE58">
            <v>12</v>
          </cell>
          <cell r="AF58">
            <v>0.6</v>
          </cell>
          <cell r="AG58">
            <v>1.8725422882466761E-3</v>
          </cell>
        </row>
        <row r="59">
          <cell r="B59" t="str">
            <v>Total Patient Drop-Outs</v>
          </cell>
          <cell r="C59">
            <v>8.9008176767992015</v>
          </cell>
          <cell r="D59">
            <v>36.163492594906678</v>
          </cell>
          <cell r="E59">
            <v>126.04640440000773</v>
          </cell>
          <cell r="F59">
            <v>332.41808585023387</v>
          </cell>
          <cell r="G59">
            <v>763.60504436737506</v>
          </cell>
          <cell r="H59">
            <v>1381.3926115377192</v>
          </cell>
          <cell r="I59">
            <v>1604.9884891888387</v>
          </cell>
          <cell r="J59">
            <v>1340.9454553742116</v>
          </cell>
          <cell r="K59">
            <v>1098.7091305547785</v>
          </cell>
          <cell r="L59">
            <v>975.48413211414072</v>
          </cell>
          <cell r="P59" t="str">
            <v>Total Patient Drop-Outs</v>
          </cell>
          <cell r="Q59">
            <v>919.8751888470382</v>
          </cell>
          <cell r="R59">
            <v>910.74774704745766</v>
          </cell>
          <cell r="S59">
            <v>922.03468635961008</v>
          </cell>
          <cell r="T59">
            <v>946.59962249867669</v>
          </cell>
          <cell r="U59">
            <v>979.4722975381485</v>
          </cell>
          <cell r="V59">
            <v>1030.6117813358239</v>
          </cell>
          <cell r="W59">
            <v>1098.3198149246091</v>
          </cell>
          <cell r="X59">
            <v>1168.5844494171315</v>
          </cell>
          <cell r="Y59">
            <v>1227.1549377241417</v>
          </cell>
          <cell r="Z59">
            <v>1267.7374400027222</v>
          </cell>
          <cell r="AA59">
            <v>1294.0787106608987</v>
          </cell>
          <cell r="AB59">
            <v>1312.0707522174955</v>
          </cell>
        </row>
        <row r="60">
          <cell r="B60" t="str">
            <v>Patients at Start of Period</v>
          </cell>
          <cell r="C60">
            <v>0</v>
          </cell>
          <cell r="D60">
            <v>4591.0991823232007</v>
          </cell>
          <cell r="E60">
            <v>5438.0103627282942</v>
          </cell>
          <cell r="F60">
            <v>6196.4957045387364</v>
          </cell>
          <cell r="G60">
            <v>6750.0688422801995</v>
          </cell>
          <cell r="H60">
            <v>6873.9169070234484</v>
          </cell>
          <cell r="I60">
            <v>6381.4417022263851</v>
          </cell>
          <cell r="J60">
            <v>5666.8373334993239</v>
          </cell>
          <cell r="K60">
            <v>5270.2070885186249</v>
          </cell>
          <cell r="L60">
            <v>5117.3712884545084</v>
          </cell>
          <cell r="P60" t="str">
            <v>Patients at Start of Period</v>
          </cell>
          <cell r="Q60">
            <v>5089.3211778263394</v>
          </cell>
          <cell r="R60">
            <v>5223.8874196697716</v>
          </cell>
          <cell r="S60">
            <v>5448.5345261022558</v>
          </cell>
          <cell r="T60">
            <v>5769.5604905436849</v>
          </cell>
          <cell r="U60">
            <v>6094.5643072363546</v>
          </cell>
          <cell r="V60">
            <v>6415.3290442489269</v>
          </cell>
          <cell r="W60">
            <v>6687.0996885708319</v>
          </cell>
          <cell r="X60">
            <v>6919.9343192177166</v>
          </cell>
          <cell r="Y60">
            <v>7084.7007202072718</v>
          </cell>
          <cell r="Z60">
            <v>7193.0966617929889</v>
          </cell>
          <cell r="AA60">
            <v>7263.1137600509865</v>
          </cell>
          <cell r="AB60">
            <v>7308.9968826389377</v>
          </cell>
        </row>
        <row r="61">
          <cell r="B61" t="str">
            <v>Patients at End of Period</v>
          </cell>
          <cell r="C61">
            <v>4591.0991823232007</v>
          </cell>
          <cell r="D61">
            <v>5438.0103627282942</v>
          </cell>
          <cell r="E61">
            <v>6196.4957045387364</v>
          </cell>
          <cell r="F61">
            <v>6750.0688422801995</v>
          </cell>
          <cell r="G61">
            <v>6873.9169070234484</v>
          </cell>
          <cell r="H61">
            <v>6381.4417022263851</v>
          </cell>
          <cell r="I61">
            <v>5666.8373334993239</v>
          </cell>
          <cell r="J61">
            <v>5270.2070885186249</v>
          </cell>
          <cell r="K61">
            <v>5117.3712884545084</v>
          </cell>
          <cell r="L61">
            <v>5089.3211778263394</v>
          </cell>
          <cell r="P61" t="str">
            <v>Patients at End of Period</v>
          </cell>
          <cell r="Q61">
            <v>5223.8874196697716</v>
          </cell>
          <cell r="R61">
            <v>5448.5345261022558</v>
          </cell>
          <cell r="S61">
            <v>5769.5604905436849</v>
          </cell>
          <cell r="T61">
            <v>6094.5643072363546</v>
          </cell>
          <cell r="U61">
            <v>6415.3290442489269</v>
          </cell>
          <cell r="V61">
            <v>6687.0996885708319</v>
          </cell>
          <cell r="W61">
            <v>6919.9343192177166</v>
          </cell>
          <cell r="X61">
            <v>7084.7007202072718</v>
          </cell>
          <cell r="Y61">
            <v>7193.0966617929889</v>
          </cell>
          <cell r="Z61">
            <v>7263.1137600509865</v>
          </cell>
          <cell r="AA61">
            <v>7308.9968826389377</v>
          </cell>
          <cell r="AB61">
            <v>7339.0989006951522</v>
          </cell>
        </row>
        <row r="63">
          <cell r="B63" t="str">
            <v>Total Patient Days</v>
          </cell>
          <cell r="C63">
            <v>85164.889832095359</v>
          </cell>
          <cell r="D63">
            <v>139344.90769040224</v>
          </cell>
          <cell r="E63">
            <v>160189.67694661734</v>
          </cell>
          <cell r="F63">
            <v>175667.75966879056</v>
          </cell>
          <cell r="G63">
            <v>179113.50410454167</v>
          </cell>
          <cell r="H63">
            <v>165302.16069089193</v>
          </cell>
          <cell r="I63">
            <v>145271.16432503134</v>
          </cell>
          <cell r="J63">
            <v>133353.85456209915</v>
          </cell>
          <cell r="K63">
            <v>129051.00245284176</v>
          </cell>
          <cell r="L63">
            <v>128242.11095577363</v>
          </cell>
          <cell r="P63" t="str">
            <v>Total Patient Days</v>
          </cell>
          <cell r="Q63">
            <v>130842.36961975202</v>
          </cell>
          <cell r="R63">
            <v>135948.1400244516</v>
          </cell>
          <cell r="S63">
            <v>142839.63094066753</v>
          </cell>
          <cell r="T63">
            <v>151510.16884278817</v>
          </cell>
          <cell r="U63">
            <v>160060.64586898161</v>
          </cell>
          <cell r="V63">
            <v>167637.93577383447</v>
          </cell>
          <cell r="W63">
            <v>173724.28653224508</v>
          </cell>
          <cell r="X63">
            <v>178304.68986718298</v>
          </cell>
          <cell r="Y63">
            <v>181306.6657965903</v>
          </cell>
          <cell r="Z63">
            <v>183233.9794806038</v>
          </cell>
          <cell r="AA63">
            <v>184485.48712349506</v>
          </cell>
          <cell r="AB63">
            <v>185295.06902684493</v>
          </cell>
        </row>
        <row r="64">
          <cell r="B64" t="str">
            <v>Average Cost/Day</v>
          </cell>
          <cell r="C64">
            <v>146.66666666666666</v>
          </cell>
          <cell r="D64">
            <v>146.66666666666666</v>
          </cell>
          <cell r="E64">
            <v>146.66666666666666</v>
          </cell>
          <cell r="F64">
            <v>146.66666666666666</v>
          </cell>
          <cell r="G64">
            <v>146.66666666666666</v>
          </cell>
          <cell r="H64">
            <v>146.66666666666666</v>
          </cell>
          <cell r="I64">
            <v>146.66666666666666</v>
          </cell>
          <cell r="J64">
            <v>146.66666666666666</v>
          </cell>
          <cell r="K64">
            <v>146.66666666666666</v>
          </cell>
          <cell r="L64">
            <v>146.66666666666666</v>
          </cell>
          <cell r="P64" t="str">
            <v>Average Cost/Day</v>
          </cell>
          <cell r="Q64">
            <v>146.66666666666666</v>
          </cell>
          <cell r="R64">
            <v>146.66666666666666</v>
          </cell>
          <cell r="S64">
            <v>146.66666666666666</v>
          </cell>
          <cell r="T64">
            <v>146.66666666666666</v>
          </cell>
          <cell r="U64">
            <v>146.66666666666666</v>
          </cell>
          <cell r="V64">
            <v>146.66666666666666</v>
          </cell>
          <cell r="W64">
            <v>146.66666666666666</v>
          </cell>
          <cell r="X64">
            <v>146.66666666666666</v>
          </cell>
          <cell r="Y64">
            <v>146.66666666666666</v>
          </cell>
          <cell r="Z64">
            <v>146.66666666666666</v>
          </cell>
          <cell r="AA64">
            <v>146.66666666666666</v>
          </cell>
          <cell r="AB64">
            <v>146.66666666666666</v>
          </cell>
        </row>
        <row r="66">
          <cell r="B66" t="str">
            <v>Monthly Sales</v>
          </cell>
          <cell r="C66">
            <v>12490.850508707319</v>
          </cell>
          <cell r="D66">
            <v>20437.253127925662</v>
          </cell>
          <cell r="E66">
            <v>23494.485952170544</v>
          </cell>
          <cell r="F66">
            <v>25764.604751422616</v>
          </cell>
          <cell r="G66">
            <v>26269.980601999443</v>
          </cell>
          <cell r="H66">
            <v>24244.316901330814</v>
          </cell>
          <cell r="I66">
            <v>21306.437434337928</v>
          </cell>
          <cell r="J66">
            <v>19558.56533577454</v>
          </cell>
          <cell r="K66">
            <v>18927.480359750123</v>
          </cell>
          <cell r="L66">
            <v>18808.84294018013</v>
          </cell>
          <cell r="M66">
            <v>211302.81791359911</v>
          </cell>
          <cell r="P66" t="str">
            <v>Monthly Sales</v>
          </cell>
          <cell r="Q66">
            <v>19190.21421089696</v>
          </cell>
          <cell r="R66">
            <v>19939.060536919569</v>
          </cell>
          <cell r="S66">
            <v>20949.812537964572</v>
          </cell>
          <cell r="T66">
            <v>22221.491430275597</v>
          </cell>
          <cell r="U66">
            <v>23475.5613941173</v>
          </cell>
          <cell r="V66">
            <v>24586.897246829056</v>
          </cell>
          <cell r="W66">
            <v>25479.562024729279</v>
          </cell>
          <cell r="X66">
            <v>26151.354513853501</v>
          </cell>
          <cell r="Y66">
            <v>26591.644316833244</v>
          </cell>
          <cell r="Z66">
            <v>26874.316990488554</v>
          </cell>
          <cell r="AA66">
            <v>27057.871444779274</v>
          </cell>
          <cell r="AB66">
            <v>27176.610123937255</v>
          </cell>
          <cell r="AC66">
            <v>289694.3967716241</v>
          </cell>
        </row>
        <row r="67">
          <cell r="C67" t="str">
            <v>1Q04</v>
          </cell>
          <cell r="F67" t="str">
            <v>2Q04</v>
          </cell>
          <cell r="I67" t="str">
            <v>3Q04</v>
          </cell>
          <cell r="L67" t="str">
            <v>4Q04</v>
          </cell>
          <cell r="M67">
            <v>2004</v>
          </cell>
          <cell r="S67" t="str">
            <v>1Q05</v>
          </cell>
          <cell r="V67" t="str">
            <v>2Q05</v>
          </cell>
          <cell r="Y67" t="str">
            <v>3Q05</v>
          </cell>
          <cell r="AB67" t="str">
            <v>4Q05</v>
          </cell>
          <cell r="AC67">
            <v>2005</v>
          </cell>
        </row>
        <row r="68">
          <cell r="B68" t="str">
            <v>Relapsed/Refractory Sales</v>
          </cell>
          <cell r="C68">
            <v>12490.850508707319</v>
          </cell>
          <cell r="F68">
            <v>69696.34383151881</v>
          </cell>
          <cell r="I68">
            <v>71820.734937668181</v>
          </cell>
          <cell r="L68">
            <v>57294.888635704789</v>
          </cell>
          <cell r="M68">
            <v>211302.81791359911</v>
          </cell>
          <cell r="P68" t="str">
            <v>Total Sales</v>
          </cell>
          <cell r="S68">
            <v>60079.087285781097</v>
          </cell>
          <cell r="V68">
            <v>70283.95007122196</v>
          </cell>
          <cell r="Y68">
            <v>78222.560855416028</v>
          </cell>
          <cell r="AB68">
            <v>81108.798559205083</v>
          </cell>
          <cell r="AC68">
            <v>289694.39677162416</v>
          </cell>
        </row>
        <row r="70">
          <cell r="C70" t="str">
            <v>1Q04</v>
          </cell>
          <cell r="F70" t="str">
            <v>2Q04</v>
          </cell>
          <cell r="I70" t="str">
            <v>3Q04</v>
          </cell>
          <cell r="L70" t="str">
            <v>4Q04</v>
          </cell>
          <cell r="M70">
            <v>2004</v>
          </cell>
          <cell r="S70" t="str">
            <v>1Q05</v>
          </cell>
          <cell r="V70" t="str">
            <v>2Q05</v>
          </cell>
          <cell r="Y70" t="str">
            <v>3Q05</v>
          </cell>
          <cell r="AB70" t="str">
            <v>4Q05</v>
          </cell>
          <cell r="AC70">
            <v>2005</v>
          </cell>
        </row>
        <row r="71">
          <cell r="B71" t="str">
            <v>Total Sales</v>
          </cell>
          <cell r="C71">
            <v>24592.22197400295</v>
          </cell>
          <cell r="F71">
            <v>133980.14318219628</v>
          </cell>
          <cell r="I71">
            <v>161536.07133526943</v>
          </cell>
          <cell r="L71">
            <v>174359.67341958501</v>
          </cell>
          <cell r="M71">
            <v>494468.10991105367</v>
          </cell>
          <cell r="P71" t="str">
            <v>Total Sales</v>
          </cell>
          <cell r="S71">
            <v>201977.69031282194</v>
          </cell>
          <cell r="V71">
            <v>237723.03550510277</v>
          </cell>
          <cell r="Y71">
            <v>269070.53908129712</v>
          </cell>
          <cell r="AB71">
            <v>290081.17337585526</v>
          </cell>
          <cell r="AC71">
            <v>998852.43827507715</v>
          </cell>
        </row>
        <row r="74">
          <cell r="B74" t="str">
            <v>New Diagnoses</v>
          </cell>
          <cell r="C74">
            <v>0.25</v>
          </cell>
          <cell r="D74">
            <v>0.3</v>
          </cell>
          <cell r="E74">
            <v>0.35</v>
          </cell>
          <cell r="F74">
            <v>0.4</v>
          </cell>
        </row>
        <row r="75">
          <cell r="B75" t="str">
            <v>Total Q3 Sales</v>
          </cell>
          <cell r="C75">
            <v>153979.96593385277</v>
          </cell>
          <cell r="D75">
            <v>156638.59668507241</v>
          </cell>
          <cell r="E75">
            <v>159297.22743629201</v>
          </cell>
          <cell r="F75">
            <v>161955.85818751174</v>
          </cell>
        </row>
        <row r="76">
          <cell r="B76" t="str">
            <v>Total Q4 Sales</v>
          </cell>
          <cell r="C76">
            <v>159919.35890491318</v>
          </cell>
          <cell r="D76">
            <v>167772.72580992253</v>
          </cell>
          <cell r="E76">
            <v>175626.09271493187</v>
          </cell>
          <cell r="F76">
            <v>183479.45961994119</v>
          </cell>
        </row>
        <row r="77">
          <cell r="B77" t="str">
            <v>FY2004</v>
          </cell>
          <cell r="C77">
            <v>471721.72845186933</v>
          </cell>
          <cell r="D77">
            <v>482233.7261080984</v>
          </cell>
          <cell r="E77">
            <v>492745.72376432741</v>
          </cell>
          <cell r="F77">
            <v>503257.72142055631</v>
          </cell>
        </row>
        <row r="79">
          <cell r="B79" t="str">
            <v>Relapsing</v>
          </cell>
          <cell r="C79">
            <v>0.25</v>
          </cell>
          <cell r="D79">
            <v>0.3</v>
          </cell>
          <cell r="E79">
            <v>0.35</v>
          </cell>
          <cell r="F79">
            <v>0.4</v>
          </cell>
        </row>
        <row r="80">
          <cell r="B80" t="str">
            <v>Total Q3 Sales</v>
          </cell>
          <cell r="C80">
            <v>149404.15650281997</v>
          </cell>
          <cell r="D80">
            <v>151725.76358521846</v>
          </cell>
          <cell r="E80">
            <v>154047.37066761701</v>
          </cell>
          <cell r="F80">
            <v>156368.9777500155</v>
          </cell>
        </row>
        <row r="81">
          <cell r="B81" t="str">
            <v>Total Q4 Sales</v>
          </cell>
          <cell r="C81">
            <v>153623.49900867679</v>
          </cell>
          <cell r="D81">
            <v>160172.05022159428</v>
          </cell>
          <cell r="E81">
            <v>166720.60143451183</v>
          </cell>
          <cell r="F81">
            <v>173269.15264742935</v>
          </cell>
        </row>
        <row r="82">
          <cell r="B82" t="str">
            <v>FY2004</v>
          </cell>
          <cell r="C82">
            <v>460850.0591246002</v>
          </cell>
          <cell r="D82">
            <v>469720.21741991618</v>
          </cell>
          <cell r="E82">
            <v>478590.37571523222</v>
          </cell>
          <cell r="F82">
            <v>487460.53401054826</v>
          </cell>
        </row>
        <row r="85">
          <cell r="B85" t="str">
            <v xml:space="preserve">Front-Line </v>
          </cell>
        </row>
        <row r="86">
          <cell r="C86" t="str">
            <v>Patients Start of Period</v>
          </cell>
          <cell r="D86" t="str">
            <v>New Patient Additions</v>
          </cell>
          <cell r="E86" t="str">
            <v>Drop-Outs</v>
          </cell>
          <cell r="F86" t="str">
            <v>Patients End of Period</v>
          </cell>
          <cell r="G86" t="str">
            <v>Total Patient Days</v>
          </cell>
          <cell r="H86" t="str">
            <v>Sales</v>
          </cell>
        </row>
        <row r="87">
          <cell r="B87" t="str">
            <v>March</v>
          </cell>
          <cell r="C87">
            <v>0</v>
          </cell>
          <cell r="D87">
            <v>4500</v>
          </cell>
          <cell r="E87">
            <v>52.05655526992286</v>
          </cell>
          <cell r="F87">
            <v>4447.9434447300773</v>
          </cell>
          <cell r="G87">
            <v>82509.350899742945</v>
          </cell>
          <cell r="H87">
            <v>12101.371465295631</v>
          </cell>
        </row>
        <row r="88">
          <cell r="B88" t="str">
            <v>April</v>
          </cell>
          <cell r="C88">
            <v>4447.9434447300773</v>
          </cell>
          <cell r="D88">
            <v>665.93698599999993</v>
          </cell>
          <cell r="E88">
            <v>77.112381586118232</v>
          </cell>
          <cell r="F88">
            <v>5036.7680491439587</v>
          </cell>
          <cell r="G88">
            <v>131450.00183242085</v>
          </cell>
          <cell r="H88">
            <v>19279.333602088391</v>
          </cell>
        </row>
        <row r="89">
          <cell r="B89" t="str">
            <v>May</v>
          </cell>
          <cell r="C89">
            <v>5036.7680491439587</v>
          </cell>
          <cell r="D89">
            <v>636.71597375294982</v>
          </cell>
          <cell r="E89">
            <v>104.39805603570247</v>
          </cell>
          <cell r="F89">
            <v>5569.0859668612065</v>
          </cell>
          <cell r="G89">
            <v>146351.83166713189</v>
          </cell>
          <cell r="H89">
            <v>21464.935311179343</v>
          </cell>
        </row>
        <row r="90">
          <cell r="B90" t="str">
            <v>June</v>
          </cell>
          <cell r="C90">
            <v>5569.0859668612065</v>
          </cell>
          <cell r="D90">
            <v>668.13639106724418</v>
          </cell>
          <cell r="E90">
            <v>146.07053212678733</v>
          </cell>
          <cell r="F90">
            <v>6091.151825801664</v>
          </cell>
          <cell r="G90">
            <v>160496.79843688456</v>
          </cell>
          <cell r="H90">
            <v>23539.530437409736</v>
          </cell>
        </row>
        <row r="91">
          <cell r="B91" t="str">
            <v xml:space="preserve">July </v>
          </cell>
          <cell r="C91">
            <v>6091.151825801664</v>
          </cell>
          <cell r="D91">
            <v>1216.7978474772819</v>
          </cell>
          <cell r="E91">
            <v>227.29858180770779</v>
          </cell>
          <cell r="F91">
            <v>7080.651091471238</v>
          </cell>
          <cell r="G91">
            <v>179945.42295666158</v>
          </cell>
          <cell r="H91">
            <v>26391.995366977033</v>
          </cell>
        </row>
        <row r="92">
          <cell r="B92" t="str">
            <v>August</v>
          </cell>
          <cell r="C92">
            <v>7080.651091471238</v>
          </cell>
          <cell r="D92">
            <v>1218.8055639256195</v>
          </cell>
          <cell r="E92">
            <v>319.15848221867031</v>
          </cell>
          <cell r="F92">
            <v>7980.2981731781874</v>
          </cell>
          <cell r="G92">
            <v>205105.32511190866</v>
          </cell>
          <cell r="H92">
            <v>30082.114349746604</v>
          </cell>
        </row>
        <row r="93">
          <cell r="B93" t="str">
            <v>September</v>
          </cell>
          <cell r="C93">
            <v>7980.2981731781874</v>
          </cell>
          <cell r="D93">
            <v>1220.8165931060967</v>
          </cell>
          <cell r="E93">
            <v>450.47129857474908</v>
          </cell>
          <cell r="F93">
            <v>8750.6434677095367</v>
          </cell>
          <cell r="G93">
            <v>226644.72736962023</v>
          </cell>
          <cell r="H93">
            <v>33241.226680877633</v>
          </cell>
        </row>
        <row r="94">
          <cell r="B94" t="str">
            <v>October</v>
          </cell>
          <cell r="C94">
            <v>8750.6434677095367</v>
          </cell>
          <cell r="D94">
            <v>1375.6848080453119</v>
          </cell>
          <cell r="E94">
            <v>576.84867314941653</v>
          </cell>
          <cell r="F94">
            <v>9549.4796026054319</v>
          </cell>
          <cell r="G94">
            <v>246681.37251187017</v>
          </cell>
          <cell r="H94">
            <v>36179.934635074285</v>
          </cell>
        </row>
        <row r="95">
          <cell r="B95" t="str">
            <v>November</v>
          </cell>
          <cell r="C95">
            <v>9549.4796026054319</v>
          </cell>
          <cell r="D95">
            <v>1408.5759032669996</v>
          </cell>
          <cell r="E95">
            <v>680.04417956358725</v>
          </cell>
          <cell r="F95">
            <v>10278.011326308844</v>
          </cell>
          <cell r="G95">
            <v>266585.24979247933</v>
          </cell>
          <cell r="H95">
            <v>39099.169969563634</v>
          </cell>
        </row>
        <row r="96">
          <cell r="B96" t="str">
            <v>December</v>
          </cell>
          <cell r="C96">
            <v>10278.011326308844</v>
          </cell>
          <cell r="D96">
            <v>1472.2435340946677</v>
          </cell>
          <cell r="E96">
            <v>783.83950159654296</v>
          </cell>
          <cell r="F96">
            <v>10966.415358806968</v>
          </cell>
          <cell r="G96">
            <v>284902.36485847033</v>
          </cell>
          <cell r="H96">
            <v>41785.680179242314</v>
          </cell>
        </row>
        <row r="97">
          <cell r="B97" t="str">
            <v>Relapsed/ Refractory</v>
          </cell>
        </row>
        <row r="98">
          <cell r="C98" t="str">
            <v>Patients Start of Period</v>
          </cell>
          <cell r="D98" t="str">
            <v>New Patient Additions</v>
          </cell>
          <cell r="E98" t="str">
            <v>Drop-Outs</v>
          </cell>
          <cell r="F98" t="str">
            <v>Patients End of Period</v>
          </cell>
          <cell r="G98" t="str">
            <v>Total Patient Days</v>
          </cell>
          <cell r="H98" t="str">
            <v>Sales</v>
          </cell>
        </row>
        <row r="99">
          <cell r="B99" t="str">
            <v>March</v>
          </cell>
          <cell r="C99">
            <v>0</v>
          </cell>
          <cell r="D99">
            <v>4600</v>
          </cell>
          <cell r="E99">
            <v>8.9008176767992015</v>
          </cell>
          <cell r="F99">
            <v>4591.0991823232007</v>
          </cell>
          <cell r="G99">
            <v>85164.889832095359</v>
          </cell>
          <cell r="H99">
            <v>12490.850508707319</v>
          </cell>
        </row>
        <row r="100">
          <cell r="B100" t="str">
            <v>April</v>
          </cell>
          <cell r="C100">
            <v>4591.0991823232007</v>
          </cell>
          <cell r="D100">
            <v>883.07467299999996</v>
          </cell>
          <cell r="E100">
            <v>36.163492594906678</v>
          </cell>
          <cell r="F100">
            <v>5438.0103627282942</v>
          </cell>
          <cell r="G100">
            <v>139344.90769040224</v>
          </cell>
          <cell r="H100">
            <v>20437.253127925662</v>
          </cell>
        </row>
        <row r="101">
          <cell r="B101" t="str">
            <v>May</v>
          </cell>
          <cell r="C101">
            <v>5438.0103627282942</v>
          </cell>
          <cell r="D101">
            <v>884.53174621044991</v>
          </cell>
          <cell r="E101">
            <v>126.04640440000773</v>
          </cell>
          <cell r="F101">
            <v>6196.4957045387364</v>
          </cell>
          <cell r="G101">
            <v>160189.67694661734</v>
          </cell>
          <cell r="H101">
            <v>23494.485952170544</v>
          </cell>
        </row>
        <row r="102">
          <cell r="B102" t="str">
            <v>June</v>
          </cell>
          <cell r="C102">
            <v>6196.4957045387364</v>
          </cell>
          <cell r="D102">
            <v>885.99122359169723</v>
          </cell>
          <cell r="E102">
            <v>332.41808585023387</v>
          </cell>
          <cell r="F102">
            <v>6750.0688422801995</v>
          </cell>
          <cell r="G102">
            <v>175667.75966879056</v>
          </cell>
          <cell r="H102">
            <v>25764.604751422616</v>
          </cell>
        </row>
        <row r="103">
          <cell r="B103" t="str">
            <v xml:space="preserve">July </v>
          </cell>
          <cell r="C103">
            <v>6750.0688422801995</v>
          </cell>
          <cell r="D103">
            <v>887.45310911062336</v>
          </cell>
          <cell r="E103">
            <v>763.60504436737506</v>
          </cell>
          <cell r="F103">
            <v>6873.9169070234484</v>
          </cell>
          <cell r="G103">
            <v>179113.50410454167</v>
          </cell>
          <cell r="H103">
            <v>26269.980601999443</v>
          </cell>
        </row>
        <row r="104">
          <cell r="B104" t="str">
            <v>August</v>
          </cell>
          <cell r="C104">
            <v>6873.9169070234484</v>
          </cell>
          <cell r="D104">
            <v>888.91740674065579</v>
          </cell>
          <cell r="E104">
            <v>1381.3926115377192</v>
          </cell>
          <cell r="F104">
            <v>6381.4417022263851</v>
          </cell>
          <cell r="G104">
            <v>165302.16069089193</v>
          </cell>
          <cell r="H104">
            <v>24244.316901330814</v>
          </cell>
        </row>
        <row r="105">
          <cell r="B105" t="str">
            <v>September</v>
          </cell>
          <cell r="C105">
            <v>6381.4417022263851</v>
          </cell>
          <cell r="D105">
            <v>890.38412046177791</v>
          </cell>
          <cell r="E105">
            <v>1604.9884891888387</v>
          </cell>
          <cell r="F105">
            <v>5666.8373334993239</v>
          </cell>
          <cell r="G105">
            <v>145271.16432503134</v>
          </cell>
          <cell r="H105">
            <v>21306.437434337928</v>
          </cell>
        </row>
        <row r="106">
          <cell r="B106" t="str">
            <v>October</v>
          </cell>
          <cell r="C106">
            <v>5666.8373334993239</v>
          </cell>
          <cell r="D106">
            <v>944.31521039351253</v>
          </cell>
          <cell r="E106">
            <v>1340.9454553742116</v>
          </cell>
          <cell r="F106">
            <v>5270.2070885186249</v>
          </cell>
          <cell r="G106">
            <v>133353.85456209915</v>
          </cell>
          <cell r="H106">
            <v>19558.56533577454</v>
          </cell>
        </row>
        <row r="107">
          <cell r="B107" t="str">
            <v>November</v>
          </cell>
          <cell r="C107">
            <v>5270.2070885186249</v>
          </cell>
          <cell r="D107">
            <v>945.8733304906616</v>
          </cell>
          <cell r="E107">
            <v>1098.7091305547785</v>
          </cell>
          <cell r="F107">
            <v>5117.3712884545084</v>
          </cell>
          <cell r="G107">
            <v>129051.00245284176</v>
          </cell>
          <cell r="H107">
            <v>18927.480359750123</v>
          </cell>
        </row>
        <row r="108">
          <cell r="B108" t="str">
            <v>December</v>
          </cell>
          <cell r="C108">
            <v>5117.3712884545084</v>
          </cell>
          <cell r="D108">
            <v>947.43402148597113</v>
          </cell>
          <cell r="E108">
            <v>975.48413211414072</v>
          </cell>
          <cell r="F108">
            <v>5089.3211778263394</v>
          </cell>
          <cell r="G108">
            <v>128242.11095577363</v>
          </cell>
          <cell r="H108">
            <v>18808.84294018013</v>
          </cell>
        </row>
        <row r="109">
          <cell r="B109" t="str">
            <v>Total Sales</v>
          </cell>
        </row>
        <row r="110">
          <cell r="B110" t="str">
            <v>2Q04</v>
          </cell>
          <cell r="C110">
            <v>133980.14318219628</v>
          </cell>
        </row>
        <row r="111">
          <cell r="B111" t="str">
            <v>3Q04</v>
          </cell>
          <cell r="C111">
            <v>161536.07133526943</v>
          </cell>
        </row>
        <row r="112">
          <cell r="B112" t="str">
            <v>4Q04</v>
          </cell>
          <cell r="C112">
            <v>174359.67341958501</v>
          </cell>
        </row>
        <row r="113">
          <cell r="B113">
            <v>2004</v>
          </cell>
          <cell r="C113">
            <v>494468.10991105367</v>
          </cell>
        </row>
      </sheetData>
      <sheetData sheetId="16" refreshError="1"/>
      <sheetData sheetId="17" refreshError="1">
        <row r="1">
          <cell r="A1" t="str">
            <v>Model data for companies: DNA.N</v>
          </cell>
          <cell r="HX1" t="str">
            <v>ElementName</v>
          </cell>
          <cell r="HY1" t="str">
            <v>ScaleOverride</v>
          </cell>
          <cell r="HZ1" t="str">
            <v>UnitOverride</v>
          </cell>
          <cell r="IA1" t="str">
            <v>ReverseSign</v>
          </cell>
          <cell r="IB1" t="str">
            <v>IsDrivingAssumption</v>
          </cell>
          <cell r="IC1" t="str">
            <v>SegmentID</v>
          </cell>
        </row>
        <row r="2">
          <cell r="A2" t="str">
            <v xml:space="preserve">Model Snapshot type:  </v>
          </cell>
          <cell r="G2" t="str">
            <v>1997-FY</v>
          </cell>
          <cell r="H2" t="str">
            <v>1998-FY</v>
          </cell>
          <cell r="I2" t="str">
            <v>1999-FY</v>
          </cell>
          <cell r="J2" t="str">
            <v>2000-FY</v>
          </cell>
          <cell r="K2" t="str">
            <v>2001-FY</v>
          </cell>
          <cell r="L2" t="str">
            <v>2002-FY</v>
          </cell>
        </row>
        <row r="3">
          <cell r="A3" t="str">
            <v>Default Currency: USD in Millions</v>
          </cell>
        </row>
        <row r="4">
          <cell r="A4" t="str">
            <v>Data as of 2/28/2005 1:22:21 PM</v>
          </cell>
          <cell r="G4" t="str">
            <v>data filled 1997-2002</v>
          </cell>
        </row>
        <row r="5">
          <cell r="A5" t="str">
            <v>Template v1.0</v>
          </cell>
          <cell r="L5" t="str">
            <v>Genentech (DNA.N) ()</v>
          </cell>
        </row>
        <row r="6">
          <cell r="G6" t="str">
            <v>1997-FY
1997-1-1
1997-12-31</v>
          </cell>
          <cell r="H6" t="str">
            <v>1998-FY
1998-1-1
1998-12-31</v>
          </cell>
          <cell r="I6" t="str">
            <v>1999-FY
1999-1-1
1999-12-31</v>
          </cell>
          <cell r="J6" t="str">
            <v>2000-FY
2000-1-1
2000-12-31</v>
          </cell>
          <cell r="K6" t="str">
            <v>2001-FY
2001-1-1
2002-12-31</v>
          </cell>
          <cell r="L6" t="str">
            <v>2002 (A)_x000D_
2002-1-1_x000D_
2002-12-31</v>
          </cell>
          <cell r="M6" t="str">
            <v>2003 (A)_x000D_
2003-1-1_x000D_
2003-12-31</v>
          </cell>
        </row>
        <row r="7">
          <cell r="A7" t="str">
            <v>Validation Formulas</v>
          </cell>
          <cell r="HY7">
            <v>0</v>
          </cell>
          <cell r="HZ7" t="str">
            <v>ms_eqr_gcim_String:ms_eqr_gcim_string</v>
          </cell>
          <cell r="IA7" t="b">
            <v>0</v>
          </cell>
          <cell r="IB7" t="b">
            <v>0</v>
          </cell>
        </row>
        <row r="18">
          <cell r="B18" t="str">
            <v>Balance Sheet Validation</v>
          </cell>
          <cell r="G18" t="b">
            <v>1</v>
          </cell>
          <cell r="H18" t="b">
            <v>1</v>
          </cell>
          <cell r="I18" t="b">
            <v>1</v>
          </cell>
          <cell r="J18" t="b">
            <v>1</v>
          </cell>
          <cell r="K18" t="b">
            <v>1</v>
          </cell>
          <cell r="L18" t="b">
            <v>1</v>
          </cell>
          <cell r="M18" t="b">
            <v>1</v>
          </cell>
          <cell r="HY18">
            <v>0</v>
          </cell>
          <cell r="HZ18" t="str">
            <v>ms_eqr_gcim_Boolean:ms_eqr_gcim_boolean</v>
          </cell>
          <cell r="IA18" t="b">
            <v>0</v>
          </cell>
          <cell r="IB18" t="b">
            <v>0</v>
          </cell>
        </row>
        <row r="29">
          <cell r="C29" t="str">
            <v>Assets</v>
          </cell>
          <cell r="G29">
            <v>2507.6120000000005</v>
          </cell>
          <cell r="H29">
            <v>2855.402</v>
          </cell>
          <cell r="I29">
            <v>6534.7819999999992</v>
          </cell>
          <cell r="J29">
            <v>6716.424</v>
          </cell>
          <cell r="K29">
            <v>7146.8890000000001</v>
          </cell>
          <cell r="L29">
            <v>6758.1189999999997</v>
          </cell>
          <cell r="M29">
            <v>8735.9628426585787</v>
          </cell>
          <cell r="HY29">
            <v>0</v>
          </cell>
          <cell r="HZ29" t="str">
            <v>ISO4217:USD</v>
          </cell>
          <cell r="IA29" t="b">
            <v>0</v>
          </cell>
          <cell r="IB29" t="b">
            <v>0</v>
          </cell>
        </row>
        <row r="40">
          <cell r="C40" t="str">
            <v>Liabilities and Equity</v>
          </cell>
          <cell r="G40">
            <v>2507.6120000000001</v>
          </cell>
          <cell r="H40">
            <v>2855.402</v>
          </cell>
          <cell r="I40">
            <v>6534.7819999999992</v>
          </cell>
          <cell r="J40">
            <v>6716.4240000000009</v>
          </cell>
          <cell r="K40">
            <v>7146.8889999999992</v>
          </cell>
          <cell r="L40">
            <v>6758.1189999999997</v>
          </cell>
          <cell r="M40">
            <v>8736.0156437000005</v>
          </cell>
          <cell r="HY40">
            <v>0</v>
          </cell>
          <cell r="HZ40" t="str">
            <v>ISO4217:USD</v>
          </cell>
          <cell r="IA40" t="b">
            <v>0</v>
          </cell>
          <cell r="IB40" t="b">
            <v>0</v>
          </cell>
        </row>
        <row r="51">
          <cell r="B51" t="str">
            <v>Changes in Shareholders Equity Validation</v>
          </cell>
          <cell r="G51" t="b">
            <v>1</v>
          </cell>
          <cell r="H51" t="b">
            <v>1</v>
          </cell>
          <cell r="I51" t="b">
            <v>1</v>
          </cell>
          <cell r="J51" t="b">
            <v>1</v>
          </cell>
          <cell r="K51" t="b">
            <v>1</v>
          </cell>
          <cell r="L51" t="b">
            <v>1</v>
          </cell>
          <cell r="M51" t="b">
            <v>1</v>
          </cell>
          <cell r="HY51">
            <v>0</v>
          </cell>
          <cell r="HZ51" t="str">
            <v>ms_eqr_gcim_Boolean:ms_eqr_gcim_boolean</v>
          </cell>
          <cell r="IA51" t="b">
            <v>0</v>
          </cell>
          <cell r="IB51" t="b">
            <v>0</v>
          </cell>
        </row>
        <row r="62">
          <cell r="C62" t="str">
            <v>Changes in Shareholders Equity</v>
          </cell>
          <cell r="G62">
            <v>230.16599999999994</v>
          </cell>
          <cell r="H62">
            <v>312.61999999999983</v>
          </cell>
          <cell r="I62">
            <v>2926.0119999999993</v>
          </cell>
          <cell r="J62">
            <v>404.34600000000012</v>
          </cell>
          <cell r="K62">
            <v>245.61100000000016</v>
          </cell>
          <cell r="L62">
            <v>-581.05699999999945</v>
          </cell>
          <cell r="M62">
            <v>1181.4782639664222</v>
          </cell>
          <cell r="HY62">
            <v>0</v>
          </cell>
          <cell r="HZ62" t="str">
            <v>ISO4217:USD</v>
          </cell>
          <cell r="IA62" t="b">
            <v>0</v>
          </cell>
          <cell r="IB62" t="b">
            <v>0</v>
          </cell>
        </row>
        <row r="73">
          <cell r="D73" t="str">
            <v>Net Income (Reported) Less Preferred Dividends</v>
          </cell>
          <cell r="G73">
            <v>129.04399999999993</v>
          </cell>
          <cell r="H73">
            <v>181.90899999999982</v>
          </cell>
          <cell r="I73">
            <v>-1157.4760000000001</v>
          </cell>
          <cell r="J73">
            <v>-74.240999999999914</v>
          </cell>
          <cell r="K73">
            <v>150.23100000000022</v>
          </cell>
          <cell r="L73">
            <v>63.665000000000532</v>
          </cell>
          <cell r="M73">
            <v>562.62846292500024</v>
          </cell>
          <cell r="HY73">
            <v>0</v>
          </cell>
          <cell r="HZ73" t="str">
            <v>ISO4217:USD</v>
          </cell>
          <cell r="IA73" t="b">
            <v>0</v>
          </cell>
          <cell r="IB73" t="b">
            <v>0</v>
          </cell>
        </row>
        <row r="74">
          <cell r="G74">
            <v>169.79499999999993</v>
          </cell>
          <cell r="H74">
            <v>252.65099999999981</v>
          </cell>
          <cell r="I74">
            <v>-1130.577</v>
          </cell>
          <cell r="J74">
            <v>3.9730000000000665</v>
          </cell>
          <cell r="K74">
            <v>282.98100000000022</v>
          </cell>
          <cell r="L74">
            <v>573.53200000000049</v>
          </cell>
          <cell r="M74">
            <v>784.22646292500019</v>
          </cell>
        </row>
        <row r="75">
          <cell r="G75">
            <v>-40.750999999999998</v>
          </cell>
          <cell r="H75">
            <v>-70.74199999999999</v>
          </cell>
          <cell r="I75">
            <v>-26.899000000000029</v>
          </cell>
          <cell r="J75">
            <v>-78.213999999999984</v>
          </cell>
          <cell r="K75">
            <v>-132.75</v>
          </cell>
          <cell r="L75">
            <v>-509.86699999999996</v>
          </cell>
          <cell r="M75">
            <v>-221.59799999999998</v>
          </cell>
        </row>
        <row r="84">
          <cell r="D84" t="str">
            <v>Change in Accumulated Other Comprehensive Income (Loss) or Other Reserves</v>
          </cell>
          <cell r="G84">
            <v>-0.11700000000000001</v>
          </cell>
          <cell r="H84">
            <v>5.431</v>
          </cell>
          <cell r="I84">
            <v>200.23600000000002</v>
          </cell>
          <cell r="J84">
            <v>72.119</v>
          </cell>
          <cell r="K84">
            <v>-19.896000000000001</v>
          </cell>
          <cell r="L84">
            <v>-43.08</v>
          </cell>
          <cell r="M84">
            <v>28.549801041422199</v>
          </cell>
          <cell r="HY84">
            <v>0</v>
          </cell>
          <cell r="HZ84" t="str">
            <v>ISO4217:USD</v>
          </cell>
          <cell r="IA84" t="b">
            <v>0</v>
          </cell>
          <cell r="IB84" t="b">
            <v>0</v>
          </cell>
        </row>
        <row r="95">
          <cell r="D95" t="str">
            <v>Change in Investment in Own Shares (Asset)</v>
          </cell>
          <cell r="G95">
            <v>0</v>
          </cell>
          <cell r="H95">
            <v>0</v>
          </cell>
          <cell r="I95">
            <v>0</v>
          </cell>
          <cell r="J95">
            <v>0</v>
          </cell>
          <cell r="K95">
            <v>0</v>
          </cell>
          <cell r="L95">
            <v>0</v>
          </cell>
          <cell r="M95">
            <v>0</v>
          </cell>
          <cell r="HY95">
            <v>0</v>
          </cell>
          <cell r="HZ95" t="str">
            <v>ISO4217:USD</v>
          </cell>
          <cell r="IA95" t="b">
            <v>0</v>
          </cell>
          <cell r="IB95" t="b">
            <v>0</v>
          </cell>
        </row>
        <row r="106">
          <cell r="B106" t="str">
            <v>Cash Flow Validation</v>
          </cell>
          <cell r="G106" t="b">
            <v>1</v>
          </cell>
          <cell r="H106" t="b">
            <v>1</v>
          </cell>
          <cell r="I106" t="b">
            <v>1</v>
          </cell>
          <cell r="J106" t="b">
            <v>1</v>
          </cell>
          <cell r="K106" t="b">
            <v>1</v>
          </cell>
          <cell r="L106" t="b">
            <v>1</v>
          </cell>
          <cell r="M106" t="b">
            <v>1</v>
          </cell>
          <cell r="HY106">
            <v>0</v>
          </cell>
          <cell r="HZ106" t="str">
            <v>ms_eqr_gcim_Boolean:ms_eqr_gcim_boolean</v>
          </cell>
          <cell r="IA106" t="b">
            <v>0</v>
          </cell>
          <cell r="IB106" t="b">
            <v>0</v>
          </cell>
        </row>
        <row r="117">
          <cell r="C117" t="str">
            <v>Aggregate Cash and Cash Equivalents for Validation</v>
          </cell>
          <cell r="F117">
            <v>207.26400000000001</v>
          </cell>
          <cell r="G117">
            <v>244.46899999999999</v>
          </cell>
          <cell r="H117">
            <v>281.16199999999998</v>
          </cell>
          <cell r="I117">
            <v>337.68200000000002</v>
          </cell>
          <cell r="J117">
            <v>551.38400000000001</v>
          </cell>
          <cell r="K117">
            <v>395.20299999999997</v>
          </cell>
          <cell r="L117">
            <v>208.13</v>
          </cell>
          <cell r="M117">
            <v>371.87784265857795</v>
          </cell>
          <cell r="HY117">
            <v>0</v>
          </cell>
          <cell r="HZ117" t="str">
            <v>ISO4217:USD</v>
          </cell>
          <cell r="IA117" t="b">
            <v>0</v>
          </cell>
          <cell r="IB117" t="b">
            <v>0</v>
          </cell>
        </row>
        <row r="128">
          <cell r="C128" t="str">
            <v>Changes in Cash and Cash Equivalents</v>
          </cell>
          <cell r="G128">
            <v>37.204999999999984</v>
          </cell>
          <cell r="H128">
            <v>36.693000000000012</v>
          </cell>
          <cell r="I128">
            <v>56.519999999999698</v>
          </cell>
          <cell r="J128">
            <v>213.702</v>
          </cell>
          <cell r="K128">
            <v>-156.18100000000004</v>
          </cell>
          <cell r="L128">
            <v>-187.07299999999987</v>
          </cell>
          <cell r="M128">
            <v>163.89584265857809</v>
          </cell>
          <cell r="HY128">
            <v>0</v>
          </cell>
          <cell r="HZ128" t="str">
            <v>ISO4217:USD</v>
          </cell>
          <cell r="IA128" t="b">
            <v>0</v>
          </cell>
          <cell r="IB128" t="b">
            <v>0</v>
          </cell>
        </row>
        <row r="129">
          <cell r="G129">
            <v>39.993000000000023</v>
          </cell>
          <cell r="H129">
            <v>172.93699999999998</v>
          </cell>
          <cell r="I129">
            <v>-218.41600000000022</v>
          </cell>
          <cell r="J129">
            <v>277.20500000000004</v>
          </cell>
          <cell r="K129">
            <v>369.18700000000001</v>
          </cell>
          <cell r="L129">
            <v>31.79299999999995</v>
          </cell>
          <cell r="M129">
            <v>530.46584265857791</v>
          </cell>
        </row>
        <row r="130">
          <cell r="G130">
            <v>-2.7880000000000393</v>
          </cell>
          <cell r="H130">
            <v>-136.24399999999997</v>
          </cell>
          <cell r="I130">
            <v>274.93599999999992</v>
          </cell>
          <cell r="J130">
            <v>-63.503000000000043</v>
          </cell>
          <cell r="K130">
            <v>-525.36800000000005</v>
          </cell>
          <cell r="L130">
            <v>-218.86599999999981</v>
          </cell>
          <cell r="M130">
            <v>-366.56999999999982</v>
          </cell>
        </row>
        <row r="131">
          <cell r="G131">
            <v>0</v>
          </cell>
          <cell r="H131">
            <v>0</v>
          </cell>
          <cell r="I131">
            <v>0</v>
          </cell>
          <cell r="J131">
            <v>0</v>
          </cell>
          <cell r="K131">
            <v>0</v>
          </cell>
          <cell r="L131">
            <v>0</v>
          </cell>
          <cell r="M131">
            <v>0</v>
          </cell>
        </row>
        <row r="139">
          <cell r="B139" t="str">
            <v>Tax Rate Validation (must be between 0% and 100%)</v>
          </cell>
          <cell r="G139">
            <v>0.373</v>
          </cell>
          <cell r="H139">
            <v>0.37965018939169048</v>
          </cell>
          <cell r="I139">
            <v>0.51523455723542122</v>
          </cell>
          <cell r="J139">
            <v>0.59149257488044304</v>
          </cell>
          <cell r="K139">
            <v>0.40731343600036757</v>
          </cell>
          <cell r="L139">
            <v>0.37813035732293521</v>
          </cell>
          <cell r="M139">
            <v>0.32364976429312797</v>
          </cell>
          <cell r="HY139">
            <v>0</v>
          </cell>
          <cell r="HZ139" t="str">
            <v>ms_eqr_gcim_Boolean:ms_eqr_gcim_boolean</v>
          </cell>
          <cell r="IA139" t="b">
            <v>0</v>
          </cell>
          <cell r="IB139" t="b">
            <v>0</v>
          </cell>
        </row>
        <row r="140">
          <cell r="A140" t="str">
            <v>Tagged metrics</v>
          </cell>
          <cell r="HY140">
            <v>0</v>
          </cell>
          <cell r="HZ140" t="str">
            <v>ms_eqr_gcim_String:ms_eqr_gcim_string</v>
          </cell>
          <cell r="IA140" t="b">
            <v>0</v>
          </cell>
          <cell r="IB140" t="b">
            <v>0</v>
          </cell>
        </row>
        <row r="141">
          <cell r="B141" t="str">
            <v>Income statement</v>
          </cell>
          <cell r="HY141">
            <v>0</v>
          </cell>
          <cell r="HZ141" t="str">
            <v>ms_eqr_gcim_String:ms_eqr_gcim_string</v>
          </cell>
          <cell r="IA141" t="b">
            <v>0</v>
          </cell>
          <cell r="IB141" t="b">
            <v>0</v>
          </cell>
        </row>
        <row r="142">
          <cell r="C142" t="str">
            <v>Revenue, net</v>
          </cell>
          <cell r="G142">
            <v>706.476</v>
          </cell>
          <cell r="H142">
            <v>832.58999999999992</v>
          </cell>
          <cell r="I142">
            <v>1122.337</v>
          </cell>
          <cell r="J142">
            <v>1438.7070000000001</v>
          </cell>
          <cell r="K142">
            <v>1779.557</v>
          </cell>
          <cell r="L142">
            <v>2218.1080000000002</v>
          </cell>
          <cell r="M142">
            <v>3300.2629999999999</v>
          </cell>
          <cell r="HX142" t="str">
            <v>mstag:revenueNet</v>
          </cell>
          <cell r="HY142">
            <v>6</v>
          </cell>
          <cell r="HZ142" t="str">
            <v>ISO4217:USD</v>
          </cell>
          <cell r="IA142" t="b">
            <v>0</v>
          </cell>
          <cell r="IB142" t="b">
            <v>0</v>
          </cell>
        </row>
        <row r="143">
          <cell r="D143" t="str">
            <v>Revenue, net of discounts and allowances</v>
          </cell>
          <cell r="G143">
            <v>706.476</v>
          </cell>
          <cell r="H143">
            <v>832.58999999999992</v>
          </cell>
          <cell r="I143">
            <v>1122.337</v>
          </cell>
          <cell r="J143">
            <v>1438.7070000000001</v>
          </cell>
          <cell r="K143">
            <v>1779.557</v>
          </cell>
          <cell r="L143">
            <v>2218.1080000000002</v>
          </cell>
          <cell r="M143" t="str">
            <v/>
          </cell>
          <cell r="HX143" t="str">
            <v>mstag:revenueNetOfDiscountsAndAllowances</v>
          </cell>
          <cell r="HY143">
            <v>6</v>
          </cell>
          <cell r="HZ143" t="str">
            <v>ISO4217:USD</v>
          </cell>
          <cell r="IA143" t="b">
            <v>0</v>
          </cell>
          <cell r="IB143" t="b">
            <v>0</v>
          </cell>
        </row>
        <row r="144">
          <cell r="E144" t="str">
            <v>Revenue, gross</v>
          </cell>
          <cell r="G144">
            <v>706.476</v>
          </cell>
          <cell r="H144">
            <v>832.58999999999992</v>
          </cell>
          <cell r="I144">
            <v>1122.337</v>
          </cell>
          <cell r="J144">
            <v>1438.7070000000001</v>
          </cell>
          <cell r="K144">
            <v>1779.557</v>
          </cell>
          <cell r="L144">
            <v>2218.1080000000002</v>
          </cell>
          <cell r="HX144" t="str">
            <v>mstag:revenueGross</v>
          </cell>
          <cell r="HY144">
            <v>6</v>
          </cell>
          <cell r="HZ144" t="str">
            <v>ISO4217:USD</v>
          </cell>
          <cell r="IA144" t="b">
            <v>0</v>
          </cell>
          <cell r="IB144" t="b">
            <v>0</v>
          </cell>
        </row>
        <row r="145">
          <cell r="E145" t="str">
            <v>Sales discounts</v>
          </cell>
          <cell r="HX145" t="str">
            <v>mstag:salesDiscounts</v>
          </cell>
          <cell r="HY145">
            <v>6</v>
          </cell>
          <cell r="HZ145" t="str">
            <v>ISO4217:USD</v>
          </cell>
          <cell r="IA145" t="b">
            <v>0</v>
          </cell>
          <cell r="IB145" t="b">
            <v>0</v>
          </cell>
        </row>
        <row r="146">
          <cell r="E146" t="str">
            <v>Change in allowance for doubtful accounts, recurring</v>
          </cell>
          <cell r="HX146" t="str">
            <v>mstag:changeInAllowanceForDoubtfulAccountsRecurring</v>
          </cell>
          <cell r="HY146">
            <v>6</v>
          </cell>
          <cell r="HZ146" t="str">
            <v>ISO4217:USD</v>
          </cell>
          <cell r="IA146" t="b">
            <v>0</v>
          </cell>
          <cell r="IB146" t="b">
            <v>0</v>
          </cell>
        </row>
        <row r="147">
          <cell r="E147" t="str">
            <v>Change in allowance for doubtful accounts, one time</v>
          </cell>
          <cell r="HX147" t="str">
            <v>mstag:changeInAllowanceForDoubtfulAccountsOneTime</v>
          </cell>
          <cell r="HY147">
            <v>6</v>
          </cell>
          <cell r="HZ147" t="str">
            <v>ISO4217:USD</v>
          </cell>
          <cell r="IA147" t="b">
            <v>0</v>
          </cell>
          <cell r="IB147" t="b">
            <v>0</v>
          </cell>
        </row>
        <row r="148">
          <cell r="C148" t="str">
            <v>Revenue, region</v>
          </cell>
          <cell r="HX148" t="str">
            <v>mstag:revenueRegion</v>
          </cell>
          <cell r="HY148">
            <v>6</v>
          </cell>
          <cell r="HZ148" t="str">
            <v>ISO4217:USD</v>
          </cell>
          <cell r="IA148" t="b">
            <v>0</v>
          </cell>
          <cell r="IB148" t="b">
            <v>0</v>
          </cell>
        </row>
        <row r="149">
          <cell r="D149" t="str">
            <v>Revenue (Americas)</v>
          </cell>
          <cell r="G149" t="str">
            <v/>
          </cell>
          <cell r="H149" t="str">
            <v/>
          </cell>
          <cell r="I149" t="str">
            <v/>
          </cell>
          <cell r="J149" t="str">
            <v/>
          </cell>
          <cell r="K149" t="str">
            <v/>
          </cell>
          <cell r="L149" t="str">
            <v/>
          </cell>
          <cell r="M149" t="str">
            <v/>
          </cell>
          <cell r="HX149" t="str">
            <v>mstag:americasRevenues</v>
          </cell>
          <cell r="HY149">
            <v>6</v>
          </cell>
          <cell r="HZ149" t="str">
            <v>ISO4217:USD</v>
          </cell>
          <cell r="IA149" t="b">
            <v>0</v>
          </cell>
          <cell r="IB149" t="b">
            <v>0</v>
          </cell>
        </row>
        <row r="150">
          <cell r="E150" t="str">
            <v>Revenue (North America)</v>
          </cell>
          <cell r="HX150" t="str">
            <v>mstag:northAmericaRevenues</v>
          </cell>
          <cell r="HY150">
            <v>6</v>
          </cell>
          <cell r="HZ150" t="str">
            <v>ISO4217:USD</v>
          </cell>
          <cell r="IA150" t="b">
            <v>0</v>
          </cell>
          <cell r="IB150" t="b">
            <v>0</v>
          </cell>
        </row>
        <row r="151">
          <cell r="E151" t="str">
            <v>Revenue (Latin America)</v>
          </cell>
          <cell r="HX151" t="str">
            <v>mstag:latinAmericaRevenues</v>
          </cell>
          <cell r="HY151">
            <v>6</v>
          </cell>
          <cell r="HZ151" t="str">
            <v>ISO4217:USD</v>
          </cell>
          <cell r="IA151" t="b">
            <v>0</v>
          </cell>
          <cell r="IB151" t="b">
            <v>0</v>
          </cell>
        </row>
        <row r="152">
          <cell r="D152" t="str">
            <v>Revenue (Europe, Middle East, and Africa)</v>
          </cell>
          <cell r="G152" t="str">
            <v/>
          </cell>
          <cell r="H152" t="str">
            <v/>
          </cell>
          <cell r="I152" t="str">
            <v/>
          </cell>
          <cell r="J152" t="str">
            <v/>
          </cell>
          <cell r="K152" t="str">
            <v/>
          </cell>
          <cell r="L152" t="str">
            <v/>
          </cell>
          <cell r="M152" t="str">
            <v/>
          </cell>
          <cell r="HX152" t="str">
            <v>mstag:europeMiddleEastAndAfricaEmeaRevenues</v>
          </cell>
          <cell r="HY152">
            <v>6</v>
          </cell>
          <cell r="HZ152" t="str">
            <v>ISO4217:USD</v>
          </cell>
          <cell r="IA152" t="b">
            <v>0</v>
          </cell>
          <cell r="IB152" t="b">
            <v>0</v>
          </cell>
        </row>
        <row r="153">
          <cell r="E153" t="str">
            <v>Revenue (Europe)</v>
          </cell>
          <cell r="HX153" t="str">
            <v>mstag:europeRevenues</v>
          </cell>
          <cell r="HY153">
            <v>6</v>
          </cell>
          <cell r="HZ153" t="str">
            <v>ISO4217:USD</v>
          </cell>
          <cell r="IA153" t="b">
            <v>0</v>
          </cell>
          <cell r="IB153" t="b">
            <v>0</v>
          </cell>
        </row>
        <row r="154">
          <cell r="E154" t="str">
            <v>Revenue (Africa and Middle East)</v>
          </cell>
          <cell r="HX154" t="str">
            <v>mstag:africaAndMiddleEastRevenues</v>
          </cell>
          <cell r="HY154">
            <v>6</v>
          </cell>
          <cell r="HZ154" t="str">
            <v>ISO4217:USD</v>
          </cell>
          <cell r="IA154" t="b">
            <v>0</v>
          </cell>
          <cell r="IB154" t="b">
            <v>0</v>
          </cell>
        </row>
        <row r="155">
          <cell r="D155" t="str">
            <v>Revenue (Asia)</v>
          </cell>
          <cell r="G155" t="str">
            <v/>
          </cell>
          <cell r="H155" t="str">
            <v/>
          </cell>
          <cell r="I155" t="str">
            <v/>
          </cell>
          <cell r="J155" t="str">
            <v/>
          </cell>
          <cell r="K155" t="str">
            <v/>
          </cell>
          <cell r="L155" t="str">
            <v/>
          </cell>
          <cell r="M155" t="str">
            <v/>
          </cell>
          <cell r="HX155" t="str">
            <v>mstag:asiaRevenues</v>
          </cell>
          <cell r="HY155">
            <v>6</v>
          </cell>
          <cell r="HZ155" t="str">
            <v>ISO4217:USD</v>
          </cell>
          <cell r="IA155" t="b">
            <v>0</v>
          </cell>
          <cell r="IB155" t="b">
            <v>0</v>
          </cell>
        </row>
        <row r="156">
          <cell r="E156" t="str">
            <v>Revenue (Japan)</v>
          </cell>
          <cell r="HX156" t="str">
            <v>mstag:japanRevenues</v>
          </cell>
          <cell r="HY156">
            <v>6</v>
          </cell>
          <cell r="HZ156" t="str">
            <v>ISO4217:USD</v>
          </cell>
          <cell r="IA156" t="b">
            <v>0</v>
          </cell>
          <cell r="IB156" t="b">
            <v>0</v>
          </cell>
        </row>
        <row r="157">
          <cell r="E157" t="str">
            <v>Revenue (Asia ex-Japan)</v>
          </cell>
          <cell r="HX157" t="str">
            <v>mstag:nonJapanAsiaRevenues</v>
          </cell>
          <cell r="HY157">
            <v>6</v>
          </cell>
          <cell r="HZ157" t="str">
            <v>ISO4217:USD</v>
          </cell>
          <cell r="IA157" t="b">
            <v>0</v>
          </cell>
          <cell r="IB157" t="b">
            <v>0</v>
          </cell>
        </row>
        <row r="158">
          <cell r="D158" t="str">
            <v>Other revenue, region</v>
          </cell>
          <cell r="HX158" t="str">
            <v>mstag:otherRevenueRegion</v>
          </cell>
          <cell r="HY158">
            <v>6</v>
          </cell>
          <cell r="HZ158" t="str">
            <v>ISO4217:USD</v>
          </cell>
          <cell r="IA158" t="b">
            <v>0</v>
          </cell>
          <cell r="IB158" t="b">
            <v>0</v>
          </cell>
        </row>
        <row r="159">
          <cell r="D159" t="str">
            <v>Intercompany eliminations</v>
          </cell>
          <cell r="HX159" t="str">
            <v>mstag:intercompanyEliminations</v>
          </cell>
          <cell r="HY159">
            <v>6</v>
          </cell>
          <cell r="HZ159" t="str">
            <v>ISO4217:USD</v>
          </cell>
          <cell r="IA159" t="b">
            <v>0</v>
          </cell>
          <cell r="IB159" t="b">
            <v>0</v>
          </cell>
        </row>
        <row r="160">
          <cell r="C160" t="str">
            <v>Royalty, licensee income</v>
          </cell>
          <cell r="G160">
            <v>241.11199999999999</v>
          </cell>
          <cell r="H160">
            <v>229.589</v>
          </cell>
          <cell r="I160">
            <v>189.26999999999998</v>
          </cell>
          <cell r="J160">
            <v>207.24100000000001</v>
          </cell>
          <cell r="K160">
            <v>264.47500000000002</v>
          </cell>
          <cell r="L160">
            <v>365.55</v>
          </cell>
          <cell r="HX160" t="str">
            <v>mstag:royaltyLicenseeIncome</v>
          </cell>
          <cell r="HY160">
            <v>6</v>
          </cell>
          <cell r="HZ160" t="str">
            <v>ISO4217:USD</v>
          </cell>
          <cell r="IA160" t="b">
            <v>0</v>
          </cell>
          <cell r="IB160" t="b">
            <v>0</v>
          </cell>
        </row>
        <row r="161">
          <cell r="C161" t="str">
            <v>Cost of sales, with depreciation</v>
          </cell>
          <cell r="G161">
            <v>102.536</v>
          </cell>
          <cell r="H161">
            <v>138.62299999999999</v>
          </cell>
          <cell r="I161">
            <v>285.54899999999998</v>
          </cell>
          <cell r="J161">
            <v>364.89199999999994</v>
          </cell>
          <cell r="K161">
            <v>354.44200000000001</v>
          </cell>
          <cell r="L161">
            <v>441.63</v>
          </cell>
          <cell r="M161">
            <v>480.2</v>
          </cell>
          <cell r="HX161" t="str">
            <v>mstag:costOfSalesWithDepreciation</v>
          </cell>
          <cell r="HY161">
            <v>6</v>
          </cell>
          <cell r="HZ161" t="str">
            <v>ISO4217:USD</v>
          </cell>
          <cell r="IA161" t="b">
            <v>0</v>
          </cell>
          <cell r="IB161" t="b">
            <v>0</v>
          </cell>
        </row>
        <row r="162">
          <cell r="C162" t="str">
            <v>Cost of sales, without depreciation</v>
          </cell>
          <cell r="HX162" t="str">
            <v>mstag:costOfSalesWithoutDepreciation</v>
          </cell>
          <cell r="HY162">
            <v>6</v>
          </cell>
          <cell r="HZ162" t="str">
            <v>ISO4217:USD</v>
          </cell>
          <cell r="IA162" t="b">
            <v>0</v>
          </cell>
          <cell r="IB162" t="b">
            <v>0</v>
          </cell>
        </row>
        <row r="163">
          <cell r="C163" t="str">
            <v>Cost of materials</v>
          </cell>
          <cell r="HX163" t="str">
            <v>mstag:costOfMaterials</v>
          </cell>
          <cell r="HY163">
            <v>6</v>
          </cell>
          <cell r="HZ163" t="str">
            <v>ISO4217:USD</v>
          </cell>
          <cell r="IA163" t="b">
            <v>0</v>
          </cell>
          <cell r="IB163" t="b">
            <v>0</v>
          </cell>
        </row>
        <row r="164">
          <cell r="C164" t="str">
            <v>Cost of services sold</v>
          </cell>
          <cell r="HX164" t="str">
            <v>mstag:costOfServicesSold</v>
          </cell>
          <cell r="HY164">
            <v>6</v>
          </cell>
          <cell r="HZ164" t="str">
            <v>ISO4217:USD</v>
          </cell>
          <cell r="IA164" t="b">
            <v>0</v>
          </cell>
          <cell r="IB164" t="b">
            <v>0</v>
          </cell>
        </row>
        <row r="165">
          <cell r="C165" t="str">
            <v>Selling, general, and administrative expenses</v>
          </cell>
          <cell r="G165">
            <v>470.923</v>
          </cell>
          <cell r="H165">
            <v>358.93099999999998</v>
          </cell>
          <cell r="I165">
            <v>393.65700000000004</v>
          </cell>
          <cell r="J165">
            <v>368.22399999999999</v>
          </cell>
          <cell r="K165">
            <v>446.90599999999995</v>
          </cell>
          <cell r="L165">
            <v>546.27599999999995</v>
          </cell>
          <cell r="M165">
            <v>794.88499999999999</v>
          </cell>
          <cell r="HX165" t="str">
            <v>mstag:sellingGeneralAndAdministrativeExpenses</v>
          </cell>
          <cell r="HY165">
            <v>6</v>
          </cell>
          <cell r="HZ165" t="str">
            <v>ISO4217:USD</v>
          </cell>
          <cell r="IA165" t="b">
            <v>0</v>
          </cell>
          <cell r="IB165" t="b">
            <v>0</v>
          </cell>
        </row>
        <row r="166">
          <cell r="D166" t="str">
            <v>Marketing and distribution costs</v>
          </cell>
          <cell r="G166">
            <v>41.8</v>
          </cell>
          <cell r="H166">
            <v>47.7</v>
          </cell>
          <cell r="I166">
            <v>80</v>
          </cell>
          <cell r="J166">
            <v>86.5</v>
          </cell>
          <cell r="K166">
            <v>91.9</v>
          </cell>
          <cell r="L166">
            <v>111.7</v>
          </cell>
          <cell r="M166" t="str">
            <v/>
          </cell>
          <cell r="HX166" t="str">
            <v>mstag:marketingAndDistributionCosts</v>
          </cell>
          <cell r="HY166">
            <v>6</v>
          </cell>
          <cell r="HZ166" t="str">
            <v>ISO4217:USD</v>
          </cell>
          <cell r="IA166" t="b">
            <v>0</v>
          </cell>
          <cell r="IB166" t="b">
            <v>0</v>
          </cell>
        </row>
        <row r="167">
          <cell r="E167" t="str">
            <v>Advertising costs</v>
          </cell>
          <cell r="G167">
            <v>41.8</v>
          </cell>
          <cell r="H167">
            <v>47.7</v>
          </cell>
          <cell r="I167">
            <v>80</v>
          </cell>
          <cell r="J167">
            <v>86.5</v>
          </cell>
          <cell r="K167">
            <v>91.9</v>
          </cell>
          <cell r="L167">
            <v>111.7</v>
          </cell>
          <cell r="HX167" t="str">
            <v>mstag:advertisingCosts</v>
          </cell>
          <cell r="HY167">
            <v>6</v>
          </cell>
          <cell r="HZ167" t="str">
            <v>ISO4217:USD</v>
          </cell>
          <cell r="IA167" t="b">
            <v>0</v>
          </cell>
          <cell r="IB167" t="b">
            <v>0</v>
          </cell>
        </row>
        <row r="168">
          <cell r="D168" t="str">
            <v>General and administrative expenses</v>
          </cell>
          <cell r="G168">
            <v>429.12299999999999</v>
          </cell>
          <cell r="H168">
            <v>311.23099999999999</v>
          </cell>
          <cell r="I168">
            <v>313.65700000000004</v>
          </cell>
          <cell r="J168">
            <v>281.72399999999999</v>
          </cell>
          <cell r="K168">
            <v>355.00599999999997</v>
          </cell>
          <cell r="L168">
            <v>434.57599999999996</v>
          </cell>
          <cell r="HX168" t="str">
            <v>mstag:generalAndAdministrativeExpenses</v>
          </cell>
          <cell r="HY168">
            <v>6</v>
          </cell>
          <cell r="HZ168" t="str">
            <v>ISO4217:USD</v>
          </cell>
          <cell r="IA168" t="b">
            <v>0</v>
          </cell>
          <cell r="IB168" t="b">
            <v>0</v>
          </cell>
        </row>
        <row r="169">
          <cell r="C169" t="str">
            <v>Stock compensation</v>
          </cell>
          <cell r="HX169" t="str">
            <v>mstag:stockCompensation</v>
          </cell>
          <cell r="HY169">
            <v>6</v>
          </cell>
          <cell r="HZ169" t="str">
            <v>ISO4217:USD</v>
          </cell>
          <cell r="IA169" t="b">
            <v>0</v>
          </cell>
          <cell r="IB169" t="b">
            <v>0</v>
          </cell>
        </row>
        <row r="170">
          <cell r="C170" t="str">
            <v>Employee expenses</v>
          </cell>
          <cell r="HX170" t="str">
            <v>mstag:employeeExpenses</v>
          </cell>
          <cell r="HY170">
            <v>6</v>
          </cell>
          <cell r="HZ170" t="str">
            <v>ISO4217:USD</v>
          </cell>
          <cell r="IA170" t="b">
            <v>0</v>
          </cell>
          <cell r="IB170" t="b">
            <v>0</v>
          </cell>
        </row>
        <row r="171">
          <cell r="C171" t="str">
            <v>Marketing costs</v>
          </cell>
          <cell r="HX171" t="str">
            <v>mstag:marketingCosts</v>
          </cell>
          <cell r="HY171">
            <v>6</v>
          </cell>
          <cell r="HZ171" t="str">
            <v>ISO4217:USD</v>
          </cell>
          <cell r="IA171" t="b">
            <v>0</v>
          </cell>
          <cell r="IB171" t="b">
            <v>0</v>
          </cell>
        </row>
        <row r="172">
          <cell r="C172" t="str">
            <v>Research and development</v>
          </cell>
          <cell r="G172">
            <v>269.85199999999998</v>
          </cell>
          <cell r="H172">
            <v>396.18599999999998</v>
          </cell>
          <cell r="I172">
            <v>367.33799999999997</v>
          </cell>
          <cell r="J172">
            <v>489.87900000000002</v>
          </cell>
          <cell r="K172">
            <v>526.23</v>
          </cell>
          <cell r="L172">
            <v>623.48199999999997</v>
          </cell>
          <cell r="M172">
            <v>721.96299999999997</v>
          </cell>
          <cell r="HX172" t="str">
            <v>mstag:researchAndDevelopment</v>
          </cell>
          <cell r="HY172">
            <v>6</v>
          </cell>
          <cell r="HZ172" t="str">
            <v>ISO4217:USD</v>
          </cell>
          <cell r="IA172" t="b">
            <v>0</v>
          </cell>
          <cell r="IB172" t="b">
            <v>0</v>
          </cell>
        </row>
        <row r="173">
          <cell r="C173" t="str">
            <v>Acquired in-process R and D, recurring</v>
          </cell>
          <cell r="HX173" t="str">
            <v>mstag:acquiredInProcessRAndDRecurring</v>
          </cell>
          <cell r="HY173">
            <v>6</v>
          </cell>
          <cell r="HZ173" t="str">
            <v>ISO4217:USD</v>
          </cell>
          <cell r="IA173" t="b">
            <v>0</v>
          </cell>
          <cell r="IB173" t="b">
            <v>0</v>
          </cell>
        </row>
        <row r="174">
          <cell r="C174" t="str">
            <v>Acquired in-process R and D, one time</v>
          </cell>
          <cell r="G174">
            <v>0</v>
          </cell>
          <cell r="H174">
            <v>0</v>
          </cell>
          <cell r="I174">
            <v>752.5</v>
          </cell>
          <cell r="J174">
            <v>0</v>
          </cell>
          <cell r="K174">
            <v>0</v>
          </cell>
          <cell r="L174">
            <v>0</v>
          </cell>
          <cell r="M174" t="str">
            <v/>
          </cell>
          <cell r="HX174" t="str">
            <v>mstag:acquiredInProcessRAndDOneTime</v>
          </cell>
          <cell r="HY174">
            <v>6</v>
          </cell>
          <cell r="HZ174" t="str">
            <v>ISO4217:USD</v>
          </cell>
          <cell r="IA174" t="b">
            <v>0</v>
          </cell>
          <cell r="IB174" t="b">
            <v>0</v>
          </cell>
        </row>
        <row r="175">
          <cell r="D175" t="str">
            <v>Acquired in-process R and D, one time, gross of tax</v>
          </cell>
          <cell r="G175">
            <v>0</v>
          </cell>
          <cell r="H175">
            <v>0</v>
          </cell>
          <cell r="I175">
            <v>1015.875</v>
          </cell>
          <cell r="J175">
            <v>0</v>
          </cell>
          <cell r="K175">
            <v>0</v>
          </cell>
          <cell r="L175">
            <v>0</v>
          </cell>
          <cell r="HX175" t="str">
            <v>mstag:acquiredInProcessRAndDOneTimeGrossOfTax</v>
          </cell>
          <cell r="HY175">
            <v>6</v>
          </cell>
          <cell r="HZ175" t="str">
            <v>ISO4217:USD</v>
          </cell>
          <cell r="IA175" t="b">
            <v>0</v>
          </cell>
          <cell r="IB175" t="b">
            <v>0</v>
          </cell>
        </row>
        <row r="176">
          <cell r="D176" t="str">
            <v>Tax on acquired in-process R and D, one time</v>
          </cell>
          <cell r="G176">
            <v>0</v>
          </cell>
          <cell r="H176">
            <v>0</v>
          </cell>
          <cell r="I176">
            <v>263.375</v>
          </cell>
          <cell r="J176">
            <v>0</v>
          </cell>
          <cell r="K176">
            <v>0</v>
          </cell>
          <cell r="L176">
            <v>0</v>
          </cell>
          <cell r="HX176" t="str">
            <v>mstag:taxOnAcquiredInProcessRAndDOneTime</v>
          </cell>
          <cell r="HY176">
            <v>6</v>
          </cell>
          <cell r="HZ176" t="str">
            <v>ISO4217:USD</v>
          </cell>
          <cell r="IA176" t="b">
            <v>0</v>
          </cell>
          <cell r="IB176" t="b">
            <v>0</v>
          </cell>
        </row>
        <row r="177">
          <cell r="C177" t="str">
            <v>Depreciation, in income statement</v>
          </cell>
          <cell r="HX177" t="str">
            <v>mstag:depreciationInIncomeStatement</v>
          </cell>
          <cell r="HY177">
            <v>6</v>
          </cell>
          <cell r="HZ177" t="str">
            <v>ISO4217:USD</v>
          </cell>
          <cell r="IA177" t="b">
            <v>0</v>
          </cell>
          <cell r="IB177" t="b">
            <v>0</v>
          </cell>
        </row>
        <row r="178">
          <cell r="C178" t="str">
            <v>Amortization of goodwill, in income statement</v>
          </cell>
          <cell r="G178">
            <v>0</v>
          </cell>
          <cell r="H178">
            <v>0</v>
          </cell>
          <cell r="I178">
            <v>76.599999999999994</v>
          </cell>
          <cell r="J178">
            <v>153.30000000000001</v>
          </cell>
          <cell r="K178">
            <v>153.30000000000001</v>
          </cell>
          <cell r="L178">
            <v>0</v>
          </cell>
          <cell r="M178" t="str">
            <v/>
          </cell>
          <cell r="HX178" t="str">
            <v>mstag:amortizationOfGoodwillInIncomeStatement</v>
          </cell>
          <cell r="HY178">
            <v>6</v>
          </cell>
          <cell r="HZ178" t="str">
            <v>ISO4217:USD</v>
          </cell>
          <cell r="IA178" t="b">
            <v>0</v>
          </cell>
          <cell r="IB178" t="b">
            <v>0</v>
          </cell>
        </row>
        <row r="179">
          <cell r="D179" t="str">
            <v>Amortization of goodwill, operating, in income statement</v>
          </cell>
          <cell r="G179">
            <v>0</v>
          </cell>
          <cell r="H179">
            <v>0</v>
          </cell>
          <cell r="I179">
            <v>76.599999999999994</v>
          </cell>
          <cell r="J179">
            <v>153.30000000000001</v>
          </cell>
          <cell r="K179">
            <v>153.30000000000001</v>
          </cell>
          <cell r="L179">
            <v>0</v>
          </cell>
          <cell r="HX179" t="str">
            <v>mstag:amortizationOfGoodwillOperatingInIncomeStatement</v>
          </cell>
          <cell r="HY179">
            <v>6</v>
          </cell>
          <cell r="HZ179" t="str">
            <v>ISO4217:USD</v>
          </cell>
          <cell r="IA179" t="b">
            <v>0</v>
          </cell>
          <cell r="IB179" t="b">
            <v>0</v>
          </cell>
        </row>
        <row r="180">
          <cell r="D180" t="str">
            <v>Amortization of goodwill, nonoperating, in income statement</v>
          </cell>
          <cell r="HX180" t="str">
            <v>mstag:amortizationOfGoodwillNonOperatingInIncomeStatement</v>
          </cell>
          <cell r="HY180">
            <v>6</v>
          </cell>
          <cell r="HZ180" t="str">
            <v>ISO4217:USD</v>
          </cell>
          <cell r="IA180" t="b">
            <v>0</v>
          </cell>
          <cell r="IB180" t="b">
            <v>0</v>
          </cell>
        </row>
        <row r="181">
          <cell r="C181" t="str">
            <v>Amortization of intangibles assumed to have indefinite life, in income statement</v>
          </cell>
          <cell r="G181">
            <v>0</v>
          </cell>
          <cell r="H181">
            <v>0</v>
          </cell>
          <cell r="I181">
            <v>0</v>
          </cell>
          <cell r="J181">
            <v>0</v>
          </cell>
          <cell r="K181">
            <v>0</v>
          </cell>
          <cell r="L181">
            <v>0</v>
          </cell>
          <cell r="M181">
            <v>154.30000000000001</v>
          </cell>
          <cell r="HX181" t="str">
            <v>mstag:amortizationOfIntangiblesAssumedToHaveIndefiniteLifeIncomeStatement</v>
          </cell>
          <cell r="HY181">
            <v>6</v>
          </cell>
          <cell r="HZ181" t="str">
            <v>ISO4217:USD</v>
          </cell>
          <cell r="IA181" t="b">
            <v>0</v>
          </cell>
          <cell r="IB181" t="b">
            <v>0</v>
          </cell>
        </row>
        <row r="182">
          <cell r="C182" t="str">
            <v>Amortization of other intangibles, in income statement</v>
          </cell>
          <cell r="G182">
            <v>0</v>
          </cell>
          <cell r="H182">
            <v>0</v>
          </cell>
          <cell r="I182">
            <v>121.142</v>
          </cell>
          <cell r="J182">
            <v>222</v>
          </cell>
          <cell r="K182">
            <v>168.51599999999996</v>
          </cell>
          <cell r="L182">
            <v>155.71299999999999</v>
          </cell>
          <cell r="M182" t="str">
            <v/>
          </cell>
          <cell r="HX182" t="str">
            <v>mstag:amortizationOfOtherIntangiblesInIncomeStatement</v>
          </cell>
          <cell r="HY182">
            <v>6</v>
          </cell>
          <cell r="HZ182" t="str">
            <v>ISO4217:USD</v>
          </cell>
          <cell r="IA182" t="b">
            <v>0</v>
          </cell>
          <cell r="IB182" t="b">
            <v>0</v>
          </cell>
        </row>
        <row r="183">
          <cell r="D183" t="str">
            <v>Amortization of taxable other intangibles, in income statement</v>
          </cell>
          <cell r="G183">
            <v>0</v>
          </cell>
          <cell r="H183">
            <v>0</v>
          </cell>
          <cell r="I183">
            <v>121.142</v>
          </cell>
          <cell r="J183">
            <v>222</v>
          </cell>
          <cell r="K183">
            <v>168.51599999999996</v>
          </cell>
          <cell r="L183">
            <v>155.71299999999999</v>
          </cell>
          <cell r="HX183" t="str">
            <v>mstag:amortizationOfTaxableOtherIntangiblesInIncomeStatement</v>
          </cell>
          <cell r="HY183">
            <v>6</v>
          </cell>
          <cell r="HZ183" t="str">
            <v>ISO4217:USD</v>
          </cell>
          <cell r="IA183" t="b">
            <v>0</v>
          </cell>
          <cell r="IB183" t="b">
            <v>0</v>
          </cell>
        </row>
        <row r="184">
          <cell r="D184" t="str">
            <v>Amortization of nontaxable other intangibles, in income statement</v>
          </cell>
          <cell r="HX184" t="str">
            <v>mstag:amortizationOfNonTaxableOtherIntangiblesInIncomeStatement</v>
          </cell>
          <cell r="HY184">
            <v>6</v>
          </cell>
          <cell r="HZ184" t="str">
            <v>ISO4217:USD</v>
          </cell>
          <cell r="IA184" t="b">
            <v>0</v>
          </cell>
          <cell r="IB184" t="b">
            <v>0</v>
          </cell>
        </row>
        <row r="185">
          <cell r="C185" t="str">
            <v>Goodwill impairment</v>
          </cell>
          <cell r="HX185" t="str">
            <v>mstag:goodwillImpairment</v>
          </cell>
          <cell r="HY185">
            <v>6</v>
          </cell>
          <cell r="HZ185" t="str">
            <v>ISO4217:USD</v>
          </cell>
          <cell r="IA185" t="b">
            <v>0</v>
          </cell>
          <cell r="IB185" t="b">
            <v>0</v>
          </cell>
        </row>
        <row r="186">
          <cell r="C186" t="str">
            <v>Indefinite life intangible impairment</v>
          </cell>
          <cell r="HX186" t="str">
            <v>mstag:indefiniteLifeIntangibleImpairment</v>
          </cell>
          <cell r="HY186">
            <v>6</v>
          </cell>
          <cell r="HZ186" t="str">
            <v>ISO4217:USD</v>
          </cell>
          <cell r="IA186" t="b">
            <v>0</v>
          </cell>
          <cell r="IB186" t="b">
            <v>0</v>
          </cell>
        </row>
        <row r="187">
          <cell r="C187" t="str">
            <v>Asset impairment, nongoodwill, one time</v>
          </cell>
          <cell r="G187" t="str">
            <v/>
          </cell>
          <cell r="H187" t="str">
            <v/>
          </cell>
          <cell r="I187" t="str">
            <v/>
          </cell>
          <cell r="J187" t="str">
            <v/>
          </cell>
          <cell r="K187" t="str">
            <v/>
          </cell>
          <cell r="L187" t="str">
            <v/>
          </cell>
          <cell r="M187" t="str">
            <v/>
          </cell>
          <cell r="HX187" t="str">
            <v>mstag:assetImpairmentNonGoodwillOneTimeIncomeStatement</v>
          </cell>
          <cell r="HY187">
            <v>6</v>
          </cell>
          <cell r="HZ187" t="str">
            <v>ISO4217:USD</v>
          </cell>
          <cell r="IA187" t="b">
            <v>0</v>
          </cell>
          <cell r="IB187" t="b">
            <v>0</v>
          </cell>
        </row>
        <row r="188">
          <cell r="D188" t="str">
            <v>Asset impairment, nongoodwill, one time, gross of tax</v>
          </cell>
          <cell r="HX188" t="str">
            <v>mstag:assetImpairmentNonGoodwillOneTimeGrossOfTax</v>
          </cell>
          <cell r="HY188">
            <v>6</v>
          </cell>
          <cell r="HZ188" t="str">
            <v>ISO4217:USD</v>
          </cell>
          <cell r="IA188" t="b">
            <v>0</v>
          </cell>
          <cell r="IB188" t="b">
            <v>0</v>
          </cell>
        </row>
        <row r="189">
          <cell r="D189" t="str">
            <v>Tax on asset impairment, nongoodwill, one time</v>
          </cell>
          <cell r="HX189" t="str">
            <v>mstag:taxOnAssetImpairmentNonGoodwillOneTime</v>
          </cell>
          <cell r="HY189">
            <v>6</v>
          </cell>
          <cell r="HZ189" t="str">
            <v>ISO4217:USD</v>
          </cell>
          <cell r="IA189" t="b">
            <v>0</v>
          </cell>
          <cell r="IB189" t="b">
            <v>0</v>
          </cell>
        </row>
        <row r="190">
          <cell r="C190" t="str">
            <v>Other operating expense (income)</v>
          </cell>
          <cell r="G190">
            <v>0</v>
          </cell>
          <cell r="H190">
            <v>0</v>
          </cell>
          <cell r="I190">
            <v>529.47199999999998</v>
          </cell>
          <cell r="J190">
            <v>128.81200000000001</v>
          </cell>
          <cell r="K190">
            <v>246.65700000000001</v>
          </cell>
          <cell r="L190">
            <v>350.72500000000002</v>
          </cell>
          <cell r="M190">
            <v>457.53399999999999</v>
          </cell>
          <cell r="HX190" t="str">
            <v>mstag:otherOperatingExpense</v>
          </cell>
          <cell r="HY190">
            <v>6</v>
          </cell>
          <cell r="HZ190" t="str">
            <v>ISO4217:USD</v>
          </cell>
          <cell r="IA190" t="b">
            <v>0</v>
          </cell>
          <cell r="IB190" t="b">
            <v>0</v>
          </cell>
        </row>
        <row r="191">
          <cell r="C191" t="str">
            <v>Interest and dividend income</v>
          </cell>
          <cell r="G191">
            <v>69.16</v>
          </cell>
          <cell r="H191">
            <v>88.763999999999996</v>
          </cell>
          <cell r="I191">
            <v>89.433999999999997</v>
          </cell>
          <cell r="J191">
            <v>90.408000000000001</v>
          </cell>
          <cell r="K191">
            <v>130.5</v>
          </cell>
          <cell r="L191">
            <v>101.4</v>
          </cell>
          <cell r="M191">
            <v>92.845462924999993</v>
          </cell>
          <cell r="HX191" t="str">
            <v>mstag:interestAndDividendIncome</v>
          </cell>
          <cell r="HY191">
            <v>6</v>
          </cell>
          <cell r="HZ191" t="str">
            <v>ISO4217:USD</v>
          </cell>
          <cell r="IA191" t="b">
            <v>0</v>
          </cell>
          <cell r="IB191" t="b">
            <v>0</v>
          </cell>
        </row>
        <row r="192">
          <cell r="D192" t="str">
            <v>Interest income</v>
          </cell>
          <cell r="G192">
            <v>69.16</v>
          </cell>
          <cell r="H192">
            <v>88.763999999999996</v>
          </cell>
          <cell r="I192">
            <v>89.433999999999997</v>
          </cell>
          <cell r="J192">
            <v>90.408000000000001</v>
          </cell>
          <cell r="K192">
            <v>130.5</v>
          </cell>
          <cell r="L192">
            <v>101.4</v>
          </cell>
          <cell r="HX192" t="str">
            <v>mstag:interestIncome</v>
          </cell>
          <cell r="HY192">
            <v>6</v>
          </cell>
          <cell r="HZ192" t="str">
            <v>ISO4217:USD</v>
          </cell>
          <cell r="IA192" t="b">
            <v>0</v>
          </cell>
          <cell r="IB192" t="b">
            <v>0</v>
          </cell>
        </row>
        <row r="193">
          <cell r="D193" t="str">
            <v>Dividend income</v>
          </cell>
          <cell r="HX193" t="str">
            <v>mstag:dividendIncome</v>
          </cell>
          <cell r="HY193">
            <v>6</v>
          </cell>
          <cell r="HZ193" t="str">
            <v>ISO4217:USD</v>
          </cell>
          <cell r="IA193" t="b">
            <v>0</v>
          </cell>
          <cell r="IB193" t="b">
            <v>0</v>
          </cell>
        </row>
        <row r="194">
          <cell r="C194" t="str">
            <v>Interest expense</v>
          </cell>
          <cell r="G194">
            <v>3.6419999999999999</v>
          </cell>
          <cell r="H194">
            <v>4.5519999999999996</v>
          </cell>
          <cell r="I194">
            <v>5.3599999999999994</v>
          </cell>
          <cell r="J194">
            <v>5.2759999999999998</v>
          </cell>
          <cell r="K194">
            <v>5.7</v>
          </cell>
          <cell r="L194">
            <v>0.8</v>
          </cell>
          <cell r="M194" t="str">
            <v/>
          </cell>
          <cell r="HX194" t="str">
            <v>mstag:interestExpense</v>
          </cell>
          <cell r="HY194">
            <v>6</v>
          </cell>
          <cell r="HZ194" t="str">
            <v>ISO4217:USD</v>
          </cell>
          <cell r="IA194" t="b">
            <v>0</v>
          </cell>
          <cell r="IB194" t="b">
            <v>0</v>
          </cell>
        </row>
        <row r="195">
          <cell r="D195" t="str">
            <v>Interest paid or payable</v>
          </cell>
          <cell r="G195">
            <v>7.5419999999999998</v>
          </cell>
          <cell r="H195">
            <v>7.5519999999999996</v>
          </cell>
          <cell r="I195">
            <v>7.4599999999999991</v>
          </cell>
          <cell r="J195">
            <v>7.476</v>
          </cell>
          <cell r="K195">
            <v>7.5</v>
          </cell>
          <cell r="L195">
            <v>1.8</v>
          </cell>
          <cell r="HX195" t="str">
            <v>mstag:interestPaid</v>
          </cell>
          <cell r="HY195">
            <v>6</v>
          </cell>
          <cell r="HZ195" t="str">
            <v>ISO4217:USD</v>
          </cell>
          <cell r="IA195" t="b">
            <v>0</v>
          </cell>
          <cell r="IB195" t="b">
            <v>0</v>
          </cell>
        </row>
        <row r="196">
          <cell r="D196" t="str">
            <v>Interest capitalized</v>
          </cell>
          <cell r="G196">
            <v>3.9</v>
          </cell>
          <cell r="H196">
            <v>3</v>
          </cell>
          <cell r="I196">
            <v>2.1</v>
          </cell>
          <cell r="J196">
            <v>2.2000000000000002</v>
          </cell>
          <cell r="K196">
            <v>1.8</v>
          </cell>
          <cell r="L196">
            <v>1</v>
          </cell>
          <cell r="HX196" t="str">
            <v>mstag:interestCapitalized</v>
          </cell>
          <cell r="HY196">
            <v>6</v>
          </cell>
          <cell r="HZ196" t="str">
            <v>ISO4217:USD</v>
          </cell>
          <cell r="IA196" t="b">
            <v>0</v>
          </cell>
          <cell r="IB196" t="b">
            <v>0</v>
          </cell>
        </row>
        <row r="197">
          <cell r="D197" t="str">
            <v>Net interest cost, FRS 17</v>
          </cell>
          <cell r="HX197" t="str">
            <v>mstag:netInterestCostFrs17</v>
          </cell>
          <cell r="HY197">
            <v>6</v>
          </cell>
          <cell r="HZ197" t="str">
            <v>ISO4217:USD</v>
          </cell>
          <cell r="IA197" t="b">
            <v>0</v>
          </cell>
          <cell r="IB197" t="b">
            <v>0</v>
          </cell>
        </row>
        <row r="198">
          <cell r="C198" t="str">
            <v>Income (losses) from investments, nonoperating</v>
          </cell>
          <cell r="G198">
            <v>0</v>
          </cell>
          <cell r="H198">
            <v>0</v>
          </cell>
          <cell r="I198">
            <v>0</v>
          </cell>
          <cell r="J198">
            <v>0</v>
          </cell>
          <cell r="K198">
            <v>10.199999999999999</v>
          </cell>
          <cell r="L198">
            <v>7.1</v>
          </cell>
          <cell r="HX198" t="str">
            <v>mstag:incomeLossesFromInvestmentsNonOperating</v>
          </cell>
          <cell r="HY198">
            <v>6</v>
          </cell>
          <cell r="HZ198" t="str">
            <v>ISO4217:USD</v>
          </cell>
          <cell r="IA198" t="b">
            <v>0</v>
          </cell>
          <cell r="IB198" t="b">
            <v>0</v>
          </cell>
        </row>
        <row r="199">
          <cell r="C199" t="str">
            <v>Income (loss) from investments under the equity method, operating</v>
          </cell>
          <cell r="G199" t="str">
            <v/>
          </cell>
          <cell r="H199" t="str">
            <v/>
          </cell>
          <cell r="I199" t="str">
            <v/>
          </cell>
          <cell r="J199" t="str">
            <v/>
          </cell>
          <cell r="K199" t="str">
            <v/>
          </cell>
          <cell r="L199" t="str">
            <v/>
          </cell>
          <cell r="M199" t="str">
            <v/>
          </cell>
          <cell r="HX199" t="str">
            <v>mstag:incomeLossFromInvestmentsAccountedForUnderTheEquityMethodOperatingIncomeStatement</v>
          </cell>
          <cell r="HY199">
            <v>6</v>
          </cell>
          <cell r="HZ199" t="str">
            <v>ISO4217:USD</v>
          </cell>
          <cell r="IA199" t="b">
            <v>0</v>
          </cell>
          <cell r="IB199" t="b">
            <v>0</v>
          </cell>
        </row>
        <row r="200">
          <cell r="D200" t="str">
            <v>Share of associate company's or joint venture's operating profit, pre-goodwill, pretax, and preinterest</v>
          </cell>
          <cell r="HX200" t="str">
            <v>mstag:shareOfAssociateCompanysOrJointVenturesOperatingProfitPreGoodwillPreTaxAndPreInterest</v>
          </cell>
          <cell r="HY200">
            <v>6</v>
          </cell>
          <cell r="HZ200" t="str">
            <v>ISO4217:USD</v>
          </cell>
          <cell r="IA200" t="b">
            <v>0</v>
          </cell>
          <cell r="IB200" t="b">
            <v>0</v>
          </cell>
        </row>
        <row r="201">
          <cell r="D201" t="str">
            <v>Share of associate company's or joint venture's operating profit, post-goodwill, pretax, and preinterest</v>
          </cell>
          <cell r="HX201" t="str">
            <v>mstag:shareOfAssociateCompanysOrJointVenturesOperatingProfitPostGoodwillPreTaxAndPreInterest</v>
          </cell>
          <cell r="HY201">
            <v>6</v>
          </cell>
          <cell r="HZ201" t="str">
            <v>ISO4217:USD</v>
          </cell>
          <cell r="IA201" t="b">
            <v>0</v>
          </cell>
          <cell r="IB201" t="b">
            <v>0</v>
          </cell>
        </row>
        <row r="202">
          <cell r="D202" t="str">
            <v>Share of associate company's or joint venture's amortization of goodwill</v>
          </cell>
          <cell r="HX202" t="str">
            <v>mstag:shareOfAssociateAmortizationOfGoodwill</v>
          </cell>
          <cell r="HY202">
            <v>6</v>
          </cell>
          <cell r="HZ202" t="str">
            <v>ISO4217:USD</v>
          </cell>
          <cell r="IA202" t="b">
            <v>0</v>
          </cell>
          <cell r="IB202" t="b">
            <v>0</v>
          </cell>
        </row>
        <row r="203">
          <cell r="D203" t="str">
            <v>Share of associate company's or joint venture's interest expense</v>
          </cell>
          <cell r="HX203" t="str">
            <v>mstag:jointVentureInterestExpense</v>
          </cell>
          <cell r="HY203">
            <v>6</v>
          </cell>
          <cell r="HZ203" t="str">
            <v>ISO4217:USD</v>
          </cell>
          <cell r="IA203" t="b">
            <v>0</v>
          </cell>
          <cell r="IB203" t="b">
            <v>0</v>
          </cell>
        </row>
        <row r="204">
          <cell r="D204" t="str">
            <v>Share of associate company's or joint venture's tax</v>
          </cell>
          <cell r="HX204" t="str">
            <v>mstag:shareOfAssociateCompanysOrJointVenturesTax</v>
          </cell>
          <cell r="HY204">
            <v>6</v>
          </cell>
          <cell r="HZ204" t="str">
            <v>ISO4217:USD</v>
          </cell>
          <cell r="IA204" t="b">
            <v>0</v>
          </cell>
          <cell r="IB204" t="b">
            <v>0</v>
          </cell>
        </row>
        <row r="205">
          <cell r="D205" t="str">
            <v>Other associate company or joint venture net income</v>
          </cell>
          <cell r="HX205" t="str">
            <v>mstag:otherJointVenureNetIncome</v>
          </cell>
          <cell r="HY205">
            <v>6</v>
          </cell>
          <cell r="HZ205" t="str">
            <v>ISO4217:USD</v>
          </cell>
          <cell r="IA205" t="b">
            <v>0</v>
          </cell>
          <cell r="IB205" t="b">
            <v>0</v>
          </cell>
        </row>
        <row r="206">
          <cell r="C206" t="str">
            <v>Income (loss) from investments under the equity method, operating, pretax</v>
          </cell>
          <cell r="HX206" t="str">
            <v>mstag:incomeLossFromInvestmentsUnderTheEquityMethodOperatingPreTax</v>
          </cell>
          <cell r="HY206">
            <v>6</v>
          </cell>
          <cell r="HZ206" t="str">
            <v>ISO4217:USD</v>
          </cell>
          <cell r="IA206" t="b">
            <v>0</v>
          </cell>
          <cell r="IB206" t="b">
            <v>0</v>
          </cell>
        </row>
        <row r="207">
          <cell r="C207" t="str">
            <v>Income (loss) from investments under the equity method, nonoperating</v>
          </cell>
          <cell r="HX207" t="str">
            <v>mstag:incomeLossFromInvestmentsAccountedForUnderTheEquityMethodNonOperatingIncomeStatement</v>
          </cell>
          <cell r="HY207">
            <v>6</v>
          </cell>
          <cell r="HZ207" t="str">
            <v>ISO4217:USD</v>
          </cell>
          <cell r="IA207" t="b">
            <v>0</v>
          </cell>
          <cell r="IB207" t="b">
            <v>0</v>
          </cell>
        </row>
        <row r="208">
          <cell r="C208" t="str">
            <v>Income (loss) from investments under the equity method, nonoperating, pretax</v>
          </cell>
          <cell r="HX208" t="str">
            <v>mstag:incomeLossFromInvestmentsUnderTheEquityMethodNonOperatingPreTax</v>
          </cell>
          <cell r="HY208">
            <v>6</v>
          </cell>
          <cell r="HZ208" t="str">
            <v>ISO4217:USD</v>
          </cell>
          <cell r="IA208" t="b">
            <v>0</v>
          </cell>
          <cell r="IB208" t="b">
            <v>0</v>
          </cell>
        </row>
        <row r="209">
          <cell r="C209" t="str">
            <v>Gains (losses) from sale of PPE and intangibles, recurring</v>
          </cell>
          <cell r="HX209" t="str">
            <v>mstag:gainsLossesFromSaleOfOperatingAssetsRecurringIncomeStatement</v>
          </cell>
          <cell r="HY209">
            <v>6</v>
          </cell>
          <cell r="HZ209" t="str">
            <v>ISO4217:USD</v>
          </cell>
          <cell r="IA209" t="b">
            <v>0</v>
          </cell>
          <cell r="IB209" t="b">
            <v>0</v>
          </cell>
        </row>
        <row r="210">
          <cell r="C210" t="str">
            <v>Gains (losses) from sale of PPE and intangibles, one time</v>
          </cell>
          <cell r="G210" t="str">
            <v/>
          </cell>
          <cell r="H210" t="str">
            <v/>
          </cell>
          <cell r="I210" t="str">
            <v/>
          </cell>
          <cell r="J210" t="str">
            <v/>
          </cell>
          <cell r="K210" t="str">
            <v/>
          </cell>
          <cell r="L210" t="str">
            <v/>
          </cell>
          <cell r="M210" t="str">
            <v/>
          </cell>
          <cell r="HX210" t="str">
            <v>mstag:gainsLossesFromSaleOfOperatingAssetsOneTimeIncomeStatement</v>
          </cell>
          <cell r="HY210">
            <v>6</v>
          </cell>
          <cell r="HZ210" t="str">
            <v>ISO4217:USD</v>
          </cell>
          <cell r="IA210" t="b">
            <v>0</v>
          </cell>
          <cell r="IB210" t="b">
            <v>0</v>
          </cell>
        </row>
        <row r="211">
          <cell r="D211" t="str">
            <v>Gains (losses) from sale of PPE and intangibles, one time, gross of tax</v>
          </cell>
          <cell r="HX211" t="str">
            <v>mstag:gainsLossesFromSaleOfOperatingAssetsOneTimeGrossOfTax</v>
          </cell>
          <cell r="HY211">
            <v>6</v>
          </cell>
          <cell r="HZ211" t="str">
            <v>ISO4217:USD</v>
          </cell>
          <cell r="IA211" t="b">
            <v>0</v>
          </cell>
          <cell r="IB211" t="b">
            <v>0</v>
          </cell>
        </row>
        <row r="212">
          <cell r="D212" t="str">
            <v>Tax on gains (losses) from sale of PPE and intangibles, one time</v>
          </cell>
          <cell r="HX212" t="str">
            <v>mstag:taxOnGainsLossesFromSaleOfOperatingAssetsOneTime</v>
          </cell>
          <cell r="HY212">
            <v>6</v>
          </cell>
          <cell r="HZ212" t="str">
            <v>ISO4217:USD</v>
          </cell>
          <cell r="IA212" t="b">
            <v>0</v>
          </cell>
          <cell r="IB212" t="b">
            <v>0</v>
          </cell>
        </row>
        <row r="213">
          <cell r="C213" t="str">
            <v>Net monetary gains (losses) from inflationary accounting</v>
          </cell>
          <cell r="HX213" t="str">
            <v>mstag:netMonetaryGainsLossesFromInflationaryAccounting</v>
          </cell>
          <cell r="HY213">
            <v>6</v>
          </cell>
          <cell r="HZ213" t="str">
            <v>ISO4217:USD</v>
          </cell>
          <cell r="IA213" t="b">
            <v>0</v>
          </cell>
          <cell r="IB213" t="b">
            <v>0</v>
          </cell>
        </row>
        <row r="214">
          <cell r="C214" t="str">
            <v>Gain (loss) on redemption and extinguishment of debt</v>
          </cell>
          <cell r="HX214" t="str">
            <v>mstag:gainLossOnRedemptionAndExtinguishmentOfDebt</v>
          </cell>
          <cell r="HY214">
            <v>6</v>
          </cell>
          <cell r="HZ214" t="str">
            <v>ISO4217:USD</v>
          </cell>
          <cell r="IA214" t="b">
            <v>0</v>
          </cell>
          <cell r="IB214" t="b">
            <v>0</v>
          </cell>
        </row>
        <row r="215">
          <cell r="C215" t="str">
            <v>Foreign currency exchange gains (losses)</v>
          </cell>
          <cell r="G215" t="str">
            <v/>
          </cell>
          <cell r="H215" t="str">
            <v/>
          </cell>
          <cell r="I215" t="str">
            <v/>
          </cell>
          <cell r="J215" t="str">
            <v/>
          </cell>
          <cell r="K215" t="str">
            <v/>
          </cell>
          <cell r="L215" t="str">
            <v/>
          </cell>
          <cell r="M215" t="str">
            <v/>
          </cell>
          <cell r="HX215" t="str">
            <v>mstag:foreignCurrencyExchangeGainsLosses</v>
          </cell>
          <cell r="HY215">
            <v>6</v>
          </cell>
          <cell r="HZ215" t="str">
            <v>ISO4217:USD</v>
          </cell>
          <cell r="IA215" t="b">
            <v>0</v>
          </cell>
          <cell r="IB215" t="b">
            <v>0</v>
          </cell>
        </row>
        <row r="216">
          <cell r="D216" t="str">
            <v>Foreign currency exchange gains (losses), operating</v>
          </cell>
          <cell r="G216" t="str">
            <v/>
          </cell>
          <cell r="H216" t="str">
            <v/>
          </cell>
          <cell r="I216" t="str">
            <v/>
          </cell>
          <cell r="J216" t="str">
            <v/>
          </cell>
          <cell r="K216" t="str">
            <v/>
          </cell>
          <cell r="L216" t="str">
            <v/>
          </cell>
          <cell r="M216" t="str">
            <v/>
          </cell>
          <cell r="HX216" t="str">
            <v>mstag:foreignCurrencyExchangeGainsLossesOperating</v>
          </cell>
          <cell r="HY216">
            <v>6</v>
          </cell>
          <cell r="HZ216" t="str">
            <v>ISO4217:USD</v>
          </cell>
          <cell r="IA216" t="b">
            <v>0</v>
          </cell>
          <cell r="IB216" t="b">
            <v>0</v>
          </cell>
        </row>
        <row r="217">
          <cell r="E217" t="str">
            <v>Realized foreign currency exchange gains (losses) in net operating assets</v>
          </cell>
          <cell r="HX217" t="str">
            <v>mstag:realizedForeignCurrencyExchangeGainsLossesInNetOperatingAssets</v>
          </cell>
          <cell r="HY217">
            <v>6</v>
          </cell>
          <cell r="HZ217" t="str">
            <v>ISO4217:USD</v>
          </cell>
          <cell r="IA217" t="b">
            <v>0</v>
          </cell>
          <cell r="IB217" t="b">
            <v>0</v>
          </cell>
        </row>
        <row r="218">
          <cell r="E218" t="str">
            <v>Unrealized foreign currency exchange gains (losses) in net operating assets</v>
          </cell>
          <cell r="HX218" t="str">
            <v>mstag:unrealizedForeignCurrencyExchangeGainsLossesInNetOperatingAssets</v>
          </cell>
          <cell r="HY218">
            <v>6</v>
          </cell>
          <cell r="HZ218" t="str">
            <v>ISO4217:USD</v>
          </cell>
          <cell r="IA218" t="b">
            <v>0</v>
          </cell>
          <cell r="IB218" t="b">
            <v>0</v>
          </cell>
        </row>
        <row r="219">
          <cell r="D219" t="str">
            <v>Foreign currency exchange gains (losses), financing</v>
          </cell>
          <cell r="G219" t="str">
            <v/>
          </cell>
          <cell r="H219" t="str">
            <v/>
          </cell>
          <cell r="I219" t="str">
            <v/>
          </cell>
          <cell r="J219" t="str">
            <v/>
          </cell>
          <cell r="K219" t="str">
            <v/>
          </cell>
          <cell r="L219" t="str">
            <v/>
          </cell>
          <cell r="M219" t="str">
            <v/>
          </cell>
          <cell r="HX219" t="str">
            <v>mstag:foreignCurrencyExchangeGainsLossesFinancing</v>
          </cell>
          <cell r="HY219">
            <v>6</v>
          </cell>
          <cell r="HZ219" t="str">
            <v>ISO4217:USD</v>
          </cell>
          <cell r="IA219" t="b">
            <v>0</v>
          </cell>
          <cell r="IB219" t="b">
            <v>0</v>
          </cell>
        </row>
        <row r="220">
          <cell r="E220" t="str">
            <v>Realized foreign currency exchange gains (losses) in net financing obligations</v>
          </cell>
          <cell r="HX220" t="str">
            <v>mstag:realizedForeignCurrencyExchangeGainsLossesInNetFinancingObligations</v>
          </cell>
          <cell r="HY220">
            <v>6</v>
          </cell>
          <cell r="HZ220" t="str">
            <v>ISO4217:USD</v>
          </cell>
          <cell r="IA220" t="b">
            <v>0</v>
          </cell>
          <cell r="IB220" t="b">
            <v>0</v>
          </cell>
        </row>
        <row r="221">
          <cell r="E221" t="str">
            <v>Unrealized foreign currency exchange gains (losses) in net financing obligations</v>
          </cell>
          <cell r="HX221" t="str">
            <v>mstag:unrealizedForeignCurrencyExchangeGainsLossesInNetFinancingObligations</v>
          </cell>
          <cell r="HY221">
            <v>6</v>
          </cell>
          <cell r="HZ221" t="str">
            <v>ISO4217:USD</v>
          </cell>
          <cell r="IA221" t="b">
            <v>0</v>
          </cell>
          <cell r="IB221" t="b">
            <v>0</v>
          </cell>
        </row>
        <row r="222">
          <cell r="C222" t="str">
            <v>Restructuring costs, recurring</v>
          </cell>
          <cell r="HX222" t="str">
            <v>mstag:restructuringCostsRecurring</v>
          </cell>
          <cell r="HY222">
            <v>6</v>
          </cell>
          <cell r="HZ222" t="str">
            <v>ISO4217:USD</v>
          </cell>
          <cell r="IA222" t="b">
            <v>0</v>
          </cell>
          <cell r="IB222" t="b">
            <v>0</v>
          </cell>
        </row>
        <row r="223">
          <cell r="C223" t="str">
            <v>Restructuring costs, one time</v>
          </cell>
          <cell r="G223" t="str">
            <v/>
          </cell>
          <cell r="H223" t="str">
            <v/>
          </cell>
          <cell r="I223" t="str">
            <v/>
          </cell>
          <cell r="J223" t="str">
            <v/>
          </cell>
          <cell r="K223" t="str">
            <v/>
          </cell>
          <cell r="L223" t="str">
            <v/>
          </cell>
          <cell r="M223" t="str">
            <v/>
          </cell>
          <cell r="HX223" t="str">
            <v>mstag:restructuringCostsOneTime</v>
          </cell>
          <cell r="HY223">
            <v>6</v>
          </cell>
          <cell r="HZ223" t="str">
            <v>ISO4217:USD</v>
          </cell>
          <cell r="IA223" t="b">
            <v>0</v>
          </cell>
          <cell r="IB223" t="b">
            <v>0</v>
          </cell>
        </row>
        <row r="224">
          <cell r="D224" t="str">
            <v>Restructuring costs, one time, gross of tax</v>
          </cell>
          <cell r="HX224" t="str">
            <v>mstag:restructuringCostsOneTimeGrossOfTax</v>
          </cell>
          <cell r="HY224">
            <v>6</v>
          </cell>
          <cell r="HZ224" t="str">
            <v>ISO4217:USD</v>
          </cell>
          <cell r="IA224" t="b">
            <v>0</v>
          </cell>
          <cell r="IB224" t="b">
            <v>0</v>
          </cell>
        </row>
        <row r="225">
          <cell r="D225" t="str">
            <v>Tax on restructuring costs, one time</v>
          </cell>
          <cell r="HX225" t="str">
            <v>mstag:taxOnRestructuringCostsOneTime</v>
          </cell>
          <cell r="HY225">
            <v>6</v>
          </cell>
          <cell r="HZ225" t="str">
            <v>ISO4217:USD</v>
          </cell>
          <cell r="IA225" t="b">
            <v>0</v>
          </cell>
          <cell r="IB225" t="b">
            <v>0</v>
          </cell>
        </row>
        <row r="226">
          <cell r="C226" t="str">
            <v>Legal provision, recurring</v>
          </cell>
          <cell r="HX226" t="str">
            <v>mstag:legalProvisionRecurring</v>
          </cell>
          <cell r="HY226">
            <v>6</v>
          </cell>
          <cell r="HZ226" t="str">
            <v>ISO4217:USD</v>
          </cell>
          <cell r="IA226" t="b">
            <v>0</v>
          </cell>
          <cell r="IB226" t="b">
            <v>0</v>
          </cell>
        </row>
        <row r="227">
          <cell r="C227" t="str">
            <v>Legal provision, one time</v>
          </cell>
          <cell r="G227" t="str">
            <v/>
          </cell>
          <cell r="H227" t="str">
            <v/>
          </cell>
          <cell r="I227" t="str">
            <v/>
          </cell>
          <cell r="J227" t="str">
            <v/>
          </cell>
          <cell r="K227" t="str">
            <v/>
          </cell>
          <cell r="L227" t="str">
            <v/>
          </cell>
          <cell r="M227" t="str">
            <v/>
          </cell>
          <cell r="HX227" t="str">
            <v>mstag:legalProvisionOneTime</v>
          </cell>
          <cell r="HY227">
            <v>6</v>
          </cell>
          <cell r="HZ227" t="str">
            <v>ISO4217:USD</v>
          </cell>
          <cell r="IA227" t="b">
            <v>0</v>
          </cell>
          <cell r="IB227" t="b">
            <v>0</v>
          </cell>
        </row>
        <row r="228">
          <cell r="D228" t="str">
            <v>Legal provision, one time, gross of tax</v>
          </cell>
          <cell r="HX228" t="str">
            <v>mstag:legalProvisionOneTimeGrossOfTax</v>
          </cell>
          <cell r="HY228">
            <v>6</v>
          </cell>
          <cell r="HZ228" t="str">
            <v>ISO4217:USD</v>
          </cell>
          <cell r="IA228" t="b">
            <v>0</v>
          </cell>
          <cell r="IB228" t="b">
            <v>0</v>
          </cell>
        </row>
        <row r="229">
          <cell r="D229" t="str">
            <v>Tax on legal provision, one time</v>
          </cell>
          <cell r="HX229" t="str">
            <v>mstag:taxOnLegalProvisionOneTime</v>
          </cell>
          <cell r="HY229">
            <v>6</v>
          </cell>
          <cell r="HZ229" t="str">
            <v>ISO4217:USD</v>
          </cell>
          <cell r="IA229" t="b">
            <v>0</v>
          </cell>
          <cell r="IB229" t="b">
            <v>0</v>
          </cell>
        </row>
        <row r="230">
          <cell r="C230" t="str">
            <v>Environmental provision, recurring</v>
          </cell>
          <cell r="HX230" t="str">
            <v>mstag:environmentalProvisionRecurring</v>
          </cell>
          <cell r="HY230">
            <v>6</v>
          </cell>
          <cell r="HZ230" t="str">
            <v>ISO4217:USD</v>
          </cell>
          <cell r="IA230" t="b">
            <v>0</v>
          </cell>
          <cell r="IB230" t="b">
            <v>0</v>
          </cell>
        </row>
        <row r="231">
          <cell r="C231" t="str">
            <v>Environmental provision, one time</v>
          </cell>
          <cell r="G231" t="str">
            <v/>
          </cell>
          <cell r="H231" t="str">
            <v/>
          </cell>
          <cell r="I231" t="str">
            <v/>
          </cell>
          <cell r="J231" t="str">
            <v/>
          </cell>
          <cell r="K231" t="str">
            <v/>
          </cell>
          <cell r="L231" t="str">
            <v/>
          </cell>
          <cell r="M231" t="str">
            <v/>
          </cell>
          <cell r="HX231" t="str">
            <v>mstag:environmentalProvisionOneTime</v>
          </cell>
          <cell r="HY231">
            <v>6</v>
          </cell>
          <cell r="HZ231" t="str">
            <v>ISO4217:USD</v>
          </cell>
          <cell r="IA231" t="b">
            <v>0</v>
          </cell>
          <cell r="IB231" t="b">
            <v>0</v>
          </cell>
        </row>
        <row r="232">
          <cell r="D232" t="str">
            <v>Environmental provision, one time, gross of tax</v>
          </cell>
          <cell r="HX232" t="str">
            <v>mstag:environmentalProvisionOneTimeGrossOfTax</v>
          </cell>
          <cell r="HY232">
            <v>6</v>
          </cell>
          <cell r="HZ232" t="str">
            <v>ISO4217:USD</v>
          </cell>
          <cell r="IA232" t="b">
            <v>0</v>
          </cell>
          <cell r="IB232" t="b">
            <v>0</v>
          </cell>
        </row>
        <row r="233">
          <cell r="D233" t="str">
            <v>Tax on environmental provision, one time</v>
          </cell>
          <cell r="HX233" t="str">
            <v>mstag:taxOnEnvironmentalProvisionOneTime</v>
          </cell>
          <cell r="HY233">
            <v>6</v>
          </cell>
          <cell r="HZ233" t="str">
            <v>ISO4217:USD</v>
          </cell>
          <cell r="IA233" t="b">
            <v>0</v>
          </cell>
          <cell r="IB233" t="b">
            <v>0</v>
          </cell>
        </row>
        <row r="234">
          <cell r="C234" t="str">
            <v>Other provisions, recurring</v>
          </cell>
          <cell r="HX234" t="str">
            <v>mstag:otherProvisionsRecurring</v>
          </cell>
          <cell r="HY234">
            <v>6</v>
          </cell>
          <cell r="HZ234" t="str">
            <v>ISO4217:USD</v>
          </cell>
          <cell r="IA234" t="b">
            <v>0</v>
          </cell>
          <cell r="IB234" t="b">
            <v>0</v>
          </cell>
        </row>
        <row r="235">
          <cell r="C235" t="str">
            <v>Other provisions, one time</v>
          </cell>
          <cell r="G235">
            <v>0</v>
          </cell>
          <cell r="H235">
            <v>0</v>
          </cell>
          <cell r="I235">
            <v>0</v>
          </cell>
          <cell r="J235">
            <v>0</v>
          </cell>
          <cell r="K235">
            <v>0</v>
          </cell>
          <cell r="L235">
            <v>0</v>
          </cell>
          <cell r="M235">
            <v>-129.1</v>
          </cell>
          <cell r="HX235" t="str">
            <v>mstag:otherProvisionsOneTime</v>
          </cell>
          <cell r="HY235">
            <v>6</v>
          </cell>
          <cell r="HZ235" t="str">
            <v>ISO4217:USD</v>
          </cell>
          <cell r="IA235" t="b">
            <v>0</v>
          </cell>
          <cell r="IB235" t="b">
            <v>0</v>
          </cell>
        </row>
        <row r="236">
          <cell r="D236" t="str">
            <v>Other provisions, one time, gross of tax</v>
          </cell>
          <cell r="G236">
            <v>0</v>
          </cell>
          <cell r="H236">
            <v>0</v>
          </cell>
          <cell r="I236">
            <v>0</v>
          </cell>
          <cell r="J236">
            <v>0</v>
          </cell>
          <cell r="K236">
            <v>0</v>
          </cell>
          <cell r="L236">
            <v>0</v>
          </cell>
          <cell r="M236">
            <v>-115.8</v>
          </cell>
          <cell r="HX236" t="str">
            <v>mstag:otherProvisionsOneTimeGrossOfTax</v>
          </cell>
          <cell r="HY236">
            <v>6</v>
          </cell>
          <cell r="HZ236" t="str">
            <v>ISO4217:USD</v>
          </cell>
          <cell r="IA236" t="b">
            <v>0</v>
          </cell>
          <cell r="IB236" t="b">
            <v>0</v>
          </cell>
        </row>
        <row r="237">
          <cell r="D237" t="str">
            <v>Tax on other provisions, one time</v>
          </cell>
          <cell r="G237">
            <v>0</v>
          </cell>
          <cell r="H237">
            <v>0</v>
          </cell>
          <cell r="I237">
            <v>0</v>
          </cell>
          <cell r="J237">
            <v>0</v>
          </cell>
          <cell r="K237">
            <v>0</v>
          </cell>
          <cell r="L237">
            <v>0</v>
          </cell>
          <cell r="M237">
            <v>13.3</v>
          </cell>
          <cell r="HX237" t="str">
            <v>mstag:taxOnOtherProvisionsOneTime</v>
          </cell>
          <cell r="HY237">
            <v>6</v>
          </cell>
          <cell r="HZ237" t="str">
            <v>ISO4217:USD</v>
          </cell>
          <cell r="IA237" t="b">
            <v>0</v>
          </cell>
          <cell r="IB237" t="b">
            <v>0</v>
          </cell>
        </row>
        <row r="238">
          <cell r="C238" t="str">
            <v>Pension settlement and curtailment gains (losses), one time</v>
          </cell>
          <cell r="G238" t="str">
            <v/>
          </cell>
          <cell r="H238" t="str">
            <v/>
          </cell>
          <cell r="I238" t="str">
            <v/>
          </cell>
          <cell r="J238" t="str">
            <v/>
          </cell>
          <cell r="K238" t="str">
            <v/>
          </cell>
          <cell r="L238" t="str">
            <v/>
          </cell>
          <cell r="M238" t="str">
            <v/>
          </cell>
          <cell r="HX238" t="str">
            <v>mstag:pensionSettlementAndCurtailmentGainsLossesOneTime</v>
          </cell>
          <cell r="HY238">
            <v>6</v>
          </cell>
          <cell r="HZ238" t="str">
            <v>ISO4217:USD</v>
          </cell>
          <cell r="IA238" t="b">
            <v>0</v>
          </cell>
          <cell r="IB238" t="b">
            <v>0</v>
          </cell>
        </row>
        <row r="239">
          <cell r="D239" t="str">
            <v>Daiko Henjo: special settlement gain (loss) (Japan)</v>
          </cell>
          <cell r="HX239" t="str">
            <v>mstag:daikoHenjoSpecialSettlementGainLossJapan</v>
          </cell>
          <cell r="HY239">
            <v>6</v>
          </cell>
          <cell r="HZ239" t="str">
            <v>ISO4217:USD</v>
          </cell>
          <cell r="IA239" t="b">
            <v>0</v>
          </cell>
          <cell r="IB239" t="b">
            <v>0</v>
          </cell>
        </row>
        <row r="240">
          <cell r="D240" t="str">
            <v>Other pension settlement and curtailment gains (losses), one time</v>
          </cell>
          <cell r="HX240" t="str">
            <v>mstag:otherPensionSettlementAndCurtailmentGainsLossesOneTime</v>
          </cell>
          <cell r="HY240">
            <v>6</v>
          </cell>
          <cell r="HZ240" t="str">
            <v>ISO4217:USD</v>
          </cell>
          <cell r="IA240" t="b">
            <v>0</v>
          </cell>
          <cell r="IB240" t="b">
            <v>0</v>
          </cell>
        </row>
        <row r="241">
          <cell r="C241" t="str">
            <v>Other nonoperating income (expense)</v>
          </cell>
          <cell r="G241">
            <v>0</v>
          </cell>
          <cell r="H241">
            <v>0</v>
          </cell>
          <cell r="I241">
            <v>-230.00800000000001</v>
          </cell>
          <cell r="J241">
            <v>0</v>
          </cell>
          <cell r="K241">
            <v>0</v>
          </cell>
          <cell r="L241">
            <v>-543.90499999999997</v>
          </cell>
          <cell r="HX241" t="str">
            <v>mstag:otherNonOperatingIncomeExpense</v>
          </cell>
          <cell r="HY241">
            <v>6</v>
          </cell>
          <cell r="HZ241" t="str">
            <v>ISO4217:USD</v>
          </cell>
          <cell r="IA241" t="b">
            <v>0</v>
          </cell>
          <cell r="IB241" t="b">
            <v>0</v>
          </cell>
        </row>
        <row r="242">
          <cell r="C242" t="str">
            <v>Tax expense (income)</v>
          </cell>
          <cell r="G242">
            <v>40.750999999999998</v>
          </cell>
          <cell r="H242">
            <v>70.74199999999999</v>
          </cell>
          <cell r="I242">
            <v>-203.10899999999998</v>
          </cell>
          <cell r="J242">
            <v>20.413999999999987</v>
          </cell>
          <cell r="K242">
            <v>127.11199999999999</v>
          </cell>
          <cell r="L242">
            <v>-34.038000000000011</v>
          </cell>
          <cell r="M242">
            <v>303.69799999999998</v>
          </cell>
          <cell r="HX242" t="str">
            <v>mstag:taxExpenseIncome</v>
          </cell>
          <cell r="HY242">
            <v>6</v>
          </cell>
          <cell r="HZ242" t="str">
            <v>ISO4217:USD</v>
          </cell>
          <cell r="IA242" t="b">
            <v>0</v>
          </cell>
          <cell r="IB242" t="b">
            <v>0</v>
          </cell>
        </row>
        <row r="243">
          <cell r="D243" t="str">
            <v>Current income tax expense</v>
          </cell>
          <cell r="G243">
            <v>31.050999999999998</v>
          </cell>
          <cell r="H243">
            <v>40.948999999999998</v>
          </cell>
          <cell r="I243">
            <v>-38.971000000000004</v>
          </cell>
          <cell r="J243">
            <v>217.196</v>
          </cell>
          <cell r="K243">
            <v>97.754999999999995</v>
          </cell>
          <cell r="L243">
            <v>162.60599999999999</v>
          </cell>
          <cell r="HX243" t="str">
            <v>mstag:currentIncomeTax</v>
          </cell>
          <cell r="HY243">
            <v>6</v>
          </cell>
          <cell r="HZ243" t="str">
            <v>ISO4217:USD</v>
          </cell>
          <cell r="IA243" t="b">
            <v>0</v>
          </cell>
          <cell r="IB243" t="b">
            <v>0</v>
          </cell>
        </row>
        <row r="244">
          <cell r="D244" t="str">
            <v>Deferred income tax expense</v>
          </cell>
          <cell r="G244">
            <v>9.6999999999999993</v>
          </cell>
          <cell r="H244">
            <v>29.792999999999999</v>
          </cell>
          <cell r="I244">
            <v>-164.13799999999998</v>
          </cell>
          <cell r="J244">
            <v>-196.78200000000001</v>
          </cell>
          <cell r="K244">
            <v>29.356999999999999</v>
          </cell>
          <cell r="L244">
            <v>-196.64400000000001</v>
          </cell>
          <cell r="M244" t="str">
            <v/>
          </cell>
          <cell r="HX244" t="str">
            <v>mstag:deferredIncomeTax</v>
          </cell>
          <cell r="HY244">
            <v>6</v>
          </cell>
          <cell r="HZ244" t="str">
            <v>ISO4217:USD</v>
          </cell>
          <cell r="IA244" t="b">
            <v>0</v>
          </cell>
          <cell r="IB244" t="b">
            <v>0</v>
          </cell>
        </row>
        <row r="245">
          <cell r="E245" t="str">
            <v>Deferred income tax expense, benefit for NOLs</v>
          </cell>
          <cell r="HX245" t="str">
            <v>mstag:deferredIncomeTaxBenefitForNols</v>
          </cell>
          <cell r="HY245">
            <v>6</v>
          </cell>
          <cell r="HZ245" t="str">
            <v>ISO4217:USD</v>
          </cell>
          <cell r="IA245" t="b">
            <v>0</v>
          </cell>
          <cell r="IB245" t="b">
            <v>0</v>
          </cell>
        </row>
        <row r="246">
          <cell r="E246" t="str">
            <v>Other deferred income tax expense</v>
          </cell>
          <cell r="G246">
            <v>9.6999999999999993</v>
          </cell>
          <cell r="H246">
            <v>29.792999999999999</v>
          </cell>
          <cell r="I246">
            <v>-164.13799999999998</v>
          </cell>
          <cell r="J246">
            <v>-196.78200000000001</v>
          </cell>
          <cell r="K246">
            <v>29.356999999999999</v>
          </cell>
          <cell r="L246">
            <v>-196.64400000000001</v>
          </cell>
          <cell r="HX246" t="str">
            <v>mstag:otherDeferredIncomeTax</v>
          </cell>
          <cell r="HY246">
            <v>6</v>
          </cell>
          <cell r="HZ246" t="str">
            <v>ISO4217:USD</v>
          </cell>
          <cell r="IA246" t="b">
            <v>0</v>
          </cell>
          <cell r="IB246" t="b">
            <v>0</v>
          </cell>
        </row>
        <row r="247">
          <cell r="C247" t="str">
            <v>Minority interests in net income</v>
          </cell>
          <cell r="HX247" t="str">
            <v>mstag:minorityInterestsInNetIncome</v>
          </cell>
          <cell r="HY247">
            <v>6</v>
          </cell>
          <cell r="HZ247" t="str">
            <v>ISO4217:USD</v>
          </cell>
          <cell r="IA247" t="b">
            <v>0</v>
          </cell>
          <cell r="IB247" t="b">
            <v>0</v>
          </cell>
        </row>
        <row r="248">
          <cell r="C248" t="str">
            <v>Cumulative effect of change in accounting principle, net of tax</v>
          </cell>
          <cell r="G248">
            <v>0</v>
          </cell>
          <cell r="H248">
            <v>0</v>
          </cell>
          <cell r="I248">
            <v>0</v>
          </cell>
          <cell r="J248">
            <v>-57.8</v>
          </cell>
          <cell r="K248">
            <v>-5.6379999999999999</v>
          </cell>
          <cell r="L248">
            <v>0</v>
          </cell>
          <cell r="M248">
            <v>-47</v>
          </cell>
          <cell r="HX248" t="str">
            <v>mstag:cumulativeEffectOfChangeInAccountingPrincipleNetOfTax</v>
          </cell>
          <cell r="HY248">
            <v>6</v>
          </cell>
          <cell r="HZ248" t="str">
            <v>ISO4217:USD</v>
          </cell>
          <cell r="IA248" t="b">
            <v>0</v>
          </cell>
          <cell r="IB248" t="b">
            <v>0</v>
          </cell>
        </row>
        <row r="249">
          <cell r="C249" t="str">
            <v>Income (loss) from extraordinary items, net of tax</v>
          </cell>
          <cell r="G249" t="str">
            <v/>
          </cell>
          <cell r="H249" t="str">
            <v/>
          </cell>
          <cell r="I249" t="str">
            <v/>
          </cell>
          <cell r="J249" t="str">
            <v/>
          </cell>
          <cell r="K249" t="str">
            <v/>
          </cell>
          <cell r="L249" t="str">
            <v/>
          </cell>
          <cell r="M249" t="str">
            <v/>
          </cell>
          <cell r="HX249" t="str">
            <v>mstag:incomeLossFromExtraordinaryItemsNetOfTax</v>
          </cell>
          <cell r="HY249">
            <v>6</v>
          </cell>
          <cell r="HZ249" t="str">
            <v>ISO4217:USD</v>
          </cell>
          <cell r="IA249" t="b">
            <v>0</v>
          </cell>
          <cell r="IB249" t="b">
            <v>0</v>
          </cell>
        </row>
        <row r="250">
          <cell r="D250" t="str">
            <v>Income (loss) from extraordinary items, pretax</v>
          </cell>
          <cell r="HX250" t="str">
            <v>mstag:incomeLossFromExtraordinaryItemsPretax</v>
          </cell>
          <cell r="HY250">
            <v>6</v>
          </cell>
          <cell r="HZ250" t="str">
            <v>ISO4217:USD</v>
          </cell>
          <cell r="IA250" t="b">
            <v>0</v>
          </cell>
          <cell r="IB250" t="b">
            <v>0</v>
          </cell>
        </row>
        <row r="251">
          <cell r="D251" t="str">
            <v>Tax on income (loss) from extraordinary items</v>
          </cell>
          <cell r="HX251" t="str">
            <v>mstag:taxOnIncomeLossFromExtraordinaryItems</v>
          </cell>
          <cell r="HY251">
            <v>6</v>
          </cell>
          <cell r="HZ251" t="str">
            <v>ISO4217:USD</v>
          </cell>
          <cell r="IA251" t="b">
            <v>0</v>
          </cell>
          <cell r="IB251" t="b">
            <v>0</v>
          </cell>
        </row>
        <row r="252">
          <cell r="C252" t="str">
            <v>Income (loss) from discontinued operations, net of tax</v>
          </cell>
          <cell r="G252" t="str">
            <v/>
          </cell>
          <cell r="H252" t="str">
            <v/>
          </cell>
          <cell r="I252" t="str">
            <v/>
          </cell>
          <cell r="J252" t="str">
            <v/>
          </cell>
          <cell r="K252" t="str">
            <v/>
          </cell>
          <cell r="L252" t="str">
            <v/>
          </cell>
          <cell r="M252" t="str">
            <v/>
          </cell>
          <cell r="HX252" t="str">
            <v>mstag:incomeLossFromDiscontinuedOperationsNetOfTax</v>
          </cell>
          <cell r="HY252">
            <v>6</v>
          </cell>
          <cell r="HZ252" t="str">
            <v>ISO4217:USD</v>
          </cell>
          <cell r="IA252" t="b">
            <v>0</v>
          </cell>
          <cell r="IB252" t="b">
            <v>0</v>
          </cell>
        </row>
        <row r="253">
          <cell r="D253" t="str">
            <v>Income (loss) from discontinued operations, pretax</v>
          </cell>
          <cell r="HX253" t="str">
            <v>mstag:incomeLossFromDiscontinuedOperationsPretax</v>
          </cell>
          <cell r="HY253">
            <v>6</v>
          </cell>
          <cell r="HZ253" t="str">
            <v>ISO4217:USD</v>
          </cell>
          <cell r="IA253" t="b">
            <v>0</v>
          </cell>
          <cell r="IB253" t="b">
            <v>0</v>
          </cell>
        </row>
        <row r="254">
          <cell r="D254" t="str">
            <v>Tax on income (loss) from discontinued operations</v>
          </cell>
          <cell r="HX254" t="str">
            <v>mstag:taxOnIncomeLossFromDiscontinuedOperations</v>
          </cell>
          <cell r="HY254">
            <v>6</v>
          </cell>
          <cell r="HZ254" t="str">
            <v>ISO4217:USD</v>
          </cell>
          <cell r="IA254" t="b">
            <v>0</v>
          </cell>
          <cell r="IB254" t="b">
            <v>0</v>
          </cell>
        </row>
        <row r="255">
          <cell r="C255" t="str">
            <v>Preferred dividends paid</v>
          </cell>
          <cell r="HX255" t="str">
            <v>mstag:preferredDividendsPaid</v>
          </cell>
          <cell r="HY255">
            <v>6</v>
          </cell>
          <cell r="HZ255" t="str">
            <v>ISO4217:USD</v>
          </cell>
          <cell r="IA255" t="b">
            <v>0</v>
          </cell>
          <cell r="IB255" t="b">
            <v>0</v>
          </cell>
        </row>
        <row r="256">
          <cell r="C256" t="str">
            <v>Preferred dividends attributable to current period earnings</v>
          </cell>
          <cell r="HX256" t="str">
            <v>mstag:preferredDividendsAttributableToCurrentPeriodEarnings</v>
          </cell>
          <cell r="HY256">
            <v>6</v>
          </cell>
          <cell r="HZ256" t="str">
            <v>ISO4217:USD</v>
          </cell>
          <cell r="IA256" t="b">
            <v>0</v>
          </cell>
          <cell r="IB256" t="b">
            <v>0</v>
          </cell>
        </row>
        <row r="257">
          <cell r="C257" t="str">
            <v>Adjustment to net income for dilutive items</v>
          </cell>
          <cell r="G257" t="str">
            <v/>
          </cell>
          <cell r="H257" t="str">
            <v/>
          </cell>
          <cell r="I257" t="str">
            <v/>
          </cell>
          <cell r="J257" t="str">
            <v/>
          </cell>
          <cell r="K257" t="str">
            <v/>
          </cell>
          <cell r="L257" t="str">
            <v/>
          </cell>
          <cell r="M257" t="str">
            <v/>
          </cell>
          <cell r="HX257" t="str">
            <v>mstag:adjustmentToNetIncomeForDilutiveItems</v>
          </cell>
          <cell r="HY257">
            <v>6</v>
          </cell>
          <cell r="HZ257" t="str">
            <v>ISO4217:USD</v>
          </cell>
          <cell r="IA257" t="b">
            <v>0</v>
          </cell>
          <cell r="IB257" t="b">
            <v>0</v>
          </cell>
        </row>
        <row r="258">
          <cell r="D258" t="str">
            <v>Impact of assumed conversion of preferred stock</v>
          </cell>
          <cell r="HX258" t="str">
            <v>mstag:impactOfAssumedConversionOfPreferredStock</v>
          </cell>
          <cell r="HY258">
            <v>6</v>
          </cell>
          <cell r="HZ258" t="str">
            <v>ISO4217:USD</v>
          </cell>
          <cell r="IA258" t="b">
            <v>0</v>
          </cell>
          <cell r="IB258" t="b">
            <v>0</v>
          </cell>
        </row>
        <row r="259">
          <cell r="D259" t="str">
            <v>Impact of assumed conversion of convertible bonds</v>
          </cell>
          <cell r="HX259" t="str">
            <v>mstag:impactOfAssumedConversionOfConvertibleBonds</v>
          </cell>
          <cell r="HY259">
            <v>6</v>
          </cell>
          <cell r="HZ259" t="str">
            <v>ISO4217:USD</v>
          </cell>
          <cell r="IA259" t="b">
            <v>0</v>
          </cell>
          <cell r="IB259" t="b">
            <v>0</v>
          </cell>
        </row>
        <row r="260">
          <cell r="D260" t="str">
            <v>Impact of stock options compensation</v>
          </cell>
          <cell r="HX260" t="str">
            <v>mstag:impactOfStockOptionsCompensation</v>
          </cell>
          <cell r="HY260">
            <v>6</v>
          </cell>
          <cell r="HZ260" t="str">
            <v>ISO4217:USD</v>
          </cell>
          <cell r="IA260" t="b">
            <v>0</v>
          </cell>
          <cell r="IB260" t="b">
            <v>0</v>
          </cell>
        </row>
        <row r="261">
          <cell r="C261" t="str">
            <v>Company-reported revenue</v>
          </cell>
          <cell r="HX261" t="str">
            <v>mstag:companyReportedRevenue</v>
          </cell>
          <cell r="HY261">
            <v>6</v>
          </cell>
          <cell r="HZ261" t="str">
            <v>ISO4217:USD</v>
          </cell>
          <cell r="IA261" t="b">
            <v>0</v>
          </cell>
          <cell r="IB261" t="b">
            <v>0</v>
          </cell>
        </row>
        <row r="262">
          <cell r="C262" t="str">
            <v>Japan-specific operating metrics</v>
          </cell>
          <cell r="HX262" t="str">
            <v>mstag:japanSpecificOperatingMetrics</v>
          </cell>
          <cell r="HY262">
            <v>6</v>
          </cell>
          <cell r="HZ262" t="str">
            <v>ISO4217:USD</v>
          </cell>
          <cell r="IA262" t="b">
            <v>0</v>
          </cell>
          <cell r="IB262" t="b">
            <v>0</v>
          </cell>
        </row>
        <row r="263">
          <cell r="D263" t="str">
            <v>Operating income (expense) classified by company as nonoperating (Japan)</v>
          </cell>
          <cell r="HX263" t="str">
            <v>mstag:operatingIncomeExpenseClassifiedByCompanyAsNonOperatingJapan</v>
          </cell>
          <cell r="HY263">
            <v>6</v>
          </cell>
          <cell r="HZ263" t="str">
            <v>ISO4217:USD</v>
          </cell>
          <cell r="IA263" t="b">
            <v>0</v>
          </cell>
          <cell r="IB263" t="b">
            <v>0</v>
          </cell>
        </row>
        <row r="264">
          <cell r="D264" t="str">
            <v>Operating income (expense) classified by company as extraordinary (Japan)</v>
          </cell>
          <cell r="HX264" t="str">
            <v>mstag:operatingIncomeExpenseClassifiedByCompanyAsExtraordinaryJapan</v>
          </cell>
          <cell r="HY264">
            <v>6</v>
          </cell>
          <cell r="HZ264" t="str">
            <v>ISO4217:USD</v>
          </cell>
          <cell r="IA264" t="b">
            <v>0</v>
          </cell>
          <cell r="IB264" t="b">
            <v>0</v>
          </cell>
        </row>
        <row r="265">
          <cell r="D265" t="str">
            <v>Nonoperating income (expense) classified by company as operating (Japan)</v>
          </cell>
          <cell r="HX265" t="str">
            <v>mstag:nonOperatingIncomeExpenseClassifiedByCompanyAsOperatingJapan</v>
          </cell>
          <cell r="HY265">
            <v>6</v>
          </cell>
          <cell r="HZ265" t="str">
            <v>ISO4217:USD</v>
          </cell>
          <cell r="IA265" t="b">
            <v>0</v>
          </cell>
          <cell r="IB265" t="b">
            <v>0</v>
          </cell>
        </row>
        <row r="266">
          <cell r="D266" t="str">
            <v>Nonoperating income (expense) classified by company as extraordinary (Japan)</v>
          </cell>
          <cell r="HX266" t="str">
            <v>mstag:recurringIncomeExpenseClassifiedByCompanyAsExtraordinaryJapan</v>
          </cell>
          <cell r="HY266">
            <v>6</v>
          </cell>
          <cell r="HZ266" t="str">
            <v>ISO4217:USD</v>
          </cell>
          <cell r="IA266" t="b">
            <v>0</v>
          </cell>
          <cell r="IB266" t="b">
            <v>0</v>
          </cell>
        </row>
        <row r="267">
          <cell r="D267" t="str">
            <v>One-time income (expense), gross of tax, classified by company as operating (Japan)</v>
          </cell>
          <cell r="HX267" t="str">
            <v>mstag:oneTimeIncomeExpenseGrossOfTaxClassifiedByCompanyAsOperatingJapan</v>
          </cell>
          <cell r="HY267">
            <v>6</v>
          </cell>
          <cell r="HZ267" t="str">
            <v>ISO4217:USD</v>
          </cell>
          <cell r="IA267" t="b">
            <v>0</v>
          </cell>
          <cell r="IB267" t="b">
            <v>0</v>
          </cell>
        </row>
        <row r="268">
          <cell r="D268" t="str">
            <v>One-time income (expense), gross of tax, classified by company as nonoperating (Japan)</v>
          </cell>
          <cell r="HX268" t="str">
            <v>mstag:oneTimeIncomeExpenseGrossOfTaxClassifiedByCompanyAsNonOperatingJapan</v>
          </cell>
          <cell r="HY268">
            <v>6</v>
          </cell>
          <cell r="HZ268" t="str">
            <v>ISO4217:USD</v>
          </cell>
          <cell r="IA268" t="b">
            <v>0</v>
          </cell>
          <cell r="IB268" t="b">
            <v>0</v>
          </cell>
        </row>
        <row r="269">
          <cell r="D269" t="str">
            <v>Recurring profit (Japan)</v>
          </cell>
          <cell r="HX269" t="str">
            <v>mstag:recurringProfitJapan</v>
          </cell>
          <cell r="HY269">
            <v>6</v>
          </cell>
          <cell r="HZ269" t="str">
            <v>ISO4217:USD</v>
          </cell>
          <cell r="IA269" t="b">
            <v>0</v>
          </cell>
          <cell r="IB269" t="b">
            <v>0</v>
          </cell>
        </row>
        <row r="270">
          <cell r="C270" t="str">
            <v>EPS adjusted for consensus</v>
          </cell>
          <cell r="HX270" t="str">
            <v>mstag:adjEpsForConsensus</v>
          </cell>
          <cell r="HY270">
            <v>0</v>
          </cell>
          <cell r="HZ270" t="str">
            <v>ISO4217:USD</v>
          </cell>
          <cell r="IA270" t="b">
            <v>0</v>
          </cell>
          <cell r="IB270" t="b">
            <v>0</v>
          </cell>
        </row>
        <row r="271">
          <cell r="C271" t="str">
            <v>Period-end diluted shares outstanding</v>
          </cell>
          <cell r="HX271" t="str">
            <v>mstag:periodEndDilutedSharesOutstanding</v>
          </cell>
          <cell r="HY271">
            <v>6</v>
          </cell>
          <cell r="HZ271" t="str">
            <v>ms_eqr_gcim_Decimal:ms_eqr_gcim_decimal</v>
          </cell>
          <cell r="IA271" t="b">
            <v>0</v>
          </cell>
          <cell r="IB271" t="b">
            <v>0</v>
          </cell>
        </row>
        <row r="272">
          <cell r="C272" t="str">
            <v>Period-end basic shares outstanding</v>
          </cell>
          <cell r="G272">
            <v>993.82235200000002</v>
          </cell>
          <cell r="H272">
            <v>1016.9171200000001</v>
          </cell>
          <cell r="I272">
            <v>1032.4410559999999</v>
          </cell>
          <cell r="J272">
            <v>1050.953542</v>
          </cell>
          <cell r="K272">
            <v>1056.6265719999999</v>
          </cell>
          <cell r="L272">
            <v>1025.6204499999999</v>
          </cell>
          <cell r="M272">
            <v>1049.4000000000001</v>
          </cell>
          <cell r="HX272" t="str">
            <v>mstag:periodEndBasicSharesOutstanding</v>
          </cell>
          <cell r="HY272">
            <v>6</v>
          </cell>
          <cell r="HZ272" t="str">
            <v>ms_eqr_gcim_Decimal:ms_eqr_gcim_decimal</v>
          </cell>
          <cell r="IA272" t="b">
            <v>0</v>
          </cell>
          <cell r="IB272" t="b">
            <v>0</v>
          </cell>
        </row>
        <row r="273">
          <cell r="C273" t="str">
            <v>Current diluted shares outstanding</v>
          </cell>
          <cell r="HX273" t="str">
            <v>mstag:currentDilutedSharesOutstanding</v>
          </cell>
          <cell r="HY273">
            <v>6</v>
          </cell>
          <cell r="HZ273" t="str">
            <v>ms_eqr_gcim_Decimal:ms_eqr_gcim_decimal</v>
          </cell>
          <cell r="IA273" t="b">
            <v>0</v>
          </cell>
          <cell r="IB273" t="b">
            <v>0</v>
          </cell>
        </row>
        <row r="274">
          <cell r="C274" t="str">
            <v>Current basic shares outstanding</v>
          </cell>
          <cell r="HX274" t="str">
            <v>mstag:currentBasicSharesOutstanding</v>
          </cell>
          <cell r="HY274">
            <v>6</v>
          </cell>
          <cell r="HZ274" t="str">
            <v>ms_eqr_gcim_Decimal:ms_eqr_gcim_decimal</v>
          </cell>
          <cell r="IA274" t="b">
            <v>0</v>
          </cell>
          <cell r="IB274" t="b">
            <v>0</v>
          </cell>
        </row>
        <row r="275">
          <cell r="C275" t="str">
            <v>Average diluted shares outstanding</v>
          </cell>
          <cell r="G275">
            <v>1011.176</v>
          </cell>
          <cell r="H275">
            <v>1038.9760000000001</v>
          </cell>
          <cell r="I275">
            <v>1026.704</v>
          </cell>
          <cell r="J275">
            <v>1044.3579999999999</v>
          </cell>
          <cell r="K275">
            <v>1070.5820000000001</v>
          </cell>
          <cell r="L275">
            <v>1048.816</v>
          </cell>
          <cell r="M275">
            <v>1054.3219999999999</v>
          </cell>
          <cell r="HX275" t="str">
            <v>mstag:averageDilutedSharesOutstanding</v>
          </cell>
          <cell r="HY275">
            <v>6</v>
          </cell>
          <cell r="HZ275" t="str">
            <v>ms_eqr_gcim_Decimal:ms_eqr_gcim_decimal</v>
          </cell>
          <cell r="IA275" t="b">
            <v>0</v>
          </cell>
          <cell r="IB275" t="b">
            <v>0</v>
          </cell>
        </row>
        <row r="276">
          <cell r="C276" t="str">
            <v>Number of preferred shares outstanding</v>
          </cell>
          <cell r="HX276" t="str">
            <v>mstag:numberOfPreferredSharesOutstanding</v>
          </cell>
          <cell r="HY276">
            <v>6</v>
          </cell>
          <cell r="HZ276" t="str">
            <v>ms_eqr_gcim_Decimal:ms_eqr_gcim_decimal</v>
          </cell>
          <cell r="IA276" t="b">
            <v>0</v>
          </cell>
          <cell r="IB276" t="b">
            <v>0</v>
          </cell>
        </row>
        <row r="277">
          <cell r="C277" t="str">
            <v>Average basic shares outstanding</v>
          </cell>
          <cell r="G277">
            <v>984.32</v>
          </cell>
          <cell r="H277">
            <v>1006.136</v>
          </cell>
          <cell r="I277">
            <v>1026.704</v>
          </cell>
          <cell r="J277">
            <v>1044.3579999999999</v>
          </cell>
          <cell r="K277">
            <v>1054.0440000000001</v>
          </cell>
          <cell r="L277">
            <v>1038.384</v>
          </cell>
          <cell r="M277">
            <v>1034.4565</v>
          </cell>
          <cell r="HX277" t="str">
            <v>mstag:averageBasicSharesOutstanding</v>
          </cell>
          <cell r="HY277">
            <v>6</v>
          </cell>
          <cell r="HZ277" t="str">
            <v>ms_eqr_gcim_Decimal:ms_eqr_gcim_decimal</v>
          </cell>
          <cell r="IA277" t="b">
            <v>0</v>
          </cell>
          <cell r="IB277" t="b">
            <v>0</v>
          </cell>
        </row>
        <row r="278">
          <cell r="C278" t="str">
            <v>ADR ratio</v>
          </cell>
          <cell r="HX278" t="str">
            <v>mstag:adrRatioNew</v>
          </cell>
          <cell r="HY278">
            <v>0</v>
          </cell>
          <cell r="HZ278" t="str">
            <v>ms_eqr_gcim_Decimal:ms_eqr_gcim_decimal</v>
          </cell>
          <cell r="IA278" t="b">
            <v>0</v>
          </cell>
          <cell r="IB278" t="b">
            <v>0</v>
          </cell>
        </row>
        <row r="279">
          <cell r="C279" t="str">
            <v>Current ADR ratio</v>
          </cell>
          <cell r="HX279" t="str">
            <v>mstag:currentAdrRatio</v>
          </cell>
          <cell r="HY279">
            <v>0</v>
          </cell>
          <cell r="HZ279" t="str">
            <v>ms_eqr_gcim_Decimal:ms_eqr_gcim_decimal</v>
          </cell>
          <cell r="IA279" t="b">
            <v>0</v>
          </cell>
          <cell r="IB279" t="b">
            <v>0</v>
          </cell>
        </row>
        <row r="280">
          <cell r="C280" t="str">
            <v>Analyst's average FX rate</v>
          </cell>
          <cell r="HX280" t="str">
            <v>mstag:analystsAverageFxRate</v>
          </cell>
          <cell r="HY280">
            <v>0</v>
          </cell>
          <cell r="HZ280" t="str">
            <v>ms_eqr_gcim_Decimal:ms_eqr_gcim_decimal</v>
          </cell>
          <cell r="IA280" t="b">
            <v>0</v>
          </cell>
          <cell r="IB280" t="b">
            <v>0</v>
          </cell>
        </row>
        <row r="281">
          <cell r="C281" t="str">
            <v>Analyst's period-end FX rate</v>
          </cell>
          <cell r="HX281" t="str">
            <v>mstag:analystsPeriodEndFxRate</v>
          </cell>
          <cell r="HY281">
            <v>0</v>
          </cell>
          <cell r="HZ281" t="str">
            <v>ms_eqr_gcim_Decimal:ms_eqr_gcim_decimal</v>
          </cell>
          <cell r="IA281" t="b">
            <v>0</v>
          </cell>
          <cell r="IB281" t="b">
            <v>0</v>
          </cell>
        </row>
        <row r="282">
          <cell r="C282" t="str">
            <v>Percent ownership</v>
          </cell>
          <cell r="HX282" t="str">
            <v>mstag:percentOwnership</v>
          </cell>
          <cell r="HY282">
            <v>0</v>
          </cell>
          <cell r="HZ282" t="str">
            <v>ms_eqr_gcim_Decimal:ms_eqr_gcim_decimal</v>
          </cell>
          <cell r="IA282" t="b">
            <v>0</v>
          </cell>
          <cell r="IB282" t="b">
            <v>0</v>
          </cell>
        </row>
        <row r="283">
          <cell r="C283" t="str">
            <v>Statutory tax rate</v>
          </cell>
          <cell r="G283">
            <v>0.373</v>
          </cell>
          <cell r="H283">
            <v>0.37965018939169048</v>
          </cell>
          <cell r="I283">
            <v>0.51523455723542122</v>
          </cell>
          <cell r="J283">
            <v>0.59149257488044304</v>
          </cell>
          <cell r="K283">
            <v>0.40731343600036757</v>
          </cell>
          <cell r="L283">
            <v>0.37813035732293521</v>
          </cell>
          <cell r="M283">
            <v>0.32364976429312797</v>
          </cell>
          <cell r="HX283" t="str">
            <v>mstag:statutoryTaxRate</v>
          </cell>
          <cell r="HY283">
            <v>0</v>
          </cell>
          <cell r="HZ283" t="str">
            <v>ms_eqr_gcim_Decimal:ms_eqr_gcim_decimal</v>
          </cell>
          <cell r="IA283" t="b">
            <v>0</v>
          </cell>
          <cell r="IB283" t="b">
            <v>0</v>
          </cell>
        </row>
        <row r="284">
          <cell r="C284" t="str">
            <v>Dividends per share</v>
          </cell>
          <cell r="G284">
            <v>0</v>
          </cell>
          <cell r="H284">
            <v>0</v>
          </cell>
          <cell r="I284">
            <v>0</v>
          </cell>
          <cell r="J284">
            <v>0</v>
          </cell>
          <cell r="K284">
            <v>0</v>
          </cell>
          <cell r="L284">
            <v>0</v>
          </cell>
          <cell r="HX284" t="str">
            <v>mstag:dividendsPerShare</v>
          </cell>
          <cell r="HY284">
            <v>0</v>
          </cell>
          <cell r="HZ284" t="str">
            <v>ISO4217:USD</v>
          </cell>
          <cell r="IA284" t="b">
            <v>0</v>
          </cell>
          <cell r="IB284" t="b">
            <v>0</v>
          </cell>
        </row>
        <row r="285">
          <cell r="B285" t="str">
            <v>Balance sheet</v>
          </cell>
          <cell r="HY285">
            <v>0</v>
          </cell>
          <cell r="HZ285" t="str">
            <v>ms_eqr_gcim_String:ms_eqr_gcim_string</v>
          </cell>
          <cell r="IA285" t="b">
            <v>0</v>
          </cell>
          <cell r="IB285" t="b">
            <v>0</v>
          </cell>
        </row>
        <row r="286">
          <cell r="C286" t="str">
            <v>Assets</v>
          </cell>
          <cell r="M286">
            <v>8735.9628426585768</v>
          </cell>
          <cell r="HX286" t="str">
            <v>mstag:assets</v>
          </cell>
          <cell r="HY286">
            <v>6</v>
          </cell>
          <cell r="HZ286" t="str">
            <v>ISO4217:USD</v>
          </cell>
          <cell r="IA286" t="b">
            <v>0</v>
          </cell>
          <cell r="IB286" t="b">
            <v>0</v>
          </cell>
        </row>
        <row r="287">
          <cell r="D287" t="str">
            <v>Cash and cash equivalents</v>
          </cell>
          <cell r="F287">
            <v>207.26400000000001</v>
          </cell>
          <cell r="G287">
            <v>244.46899999999999</v>
          </cell>
          <cell r="H287">
            <v>281.16199999999998</v>
          </cell>
          <cell r="I287">
            <v>337.68200000000002</v>
          </cell>
          <cell r="J287">
            <v>551.38400000000001</v>
          </cell>
          <cell r="K287">
            <v>395.20299999999997</v>
          </cell>
          <cell r="L287">
            <v>208.13</v>
          </cell>
          <cell r="M287">
            <v>371.87784265857795</v>
          </cell>
          <cell r="HX287" t="str">
            <v>mstag:cashAndCashEquivalents</v>
          </cell>
          <cell r="HY287">
            <v>6</v>
          </cell>
          <cell r="HZ287" t="str">
            <v>ISO4217:USD</v>
          </cell>
          <cell r="IA287" t="b">
            <v>0</v>
          </cell>
          <cell r="IB287" t="b">
            <v>0</v>
          </cell>
        </row>
        <row r="288">
          <cell r="D288" t="str">
            <v>Restricted cash required for operations</v>
          </cell>
          <cell r="HX288" t="str">
            <v>mstag:restrictedCashRequiredForOperations</v>
          </cell>
          <cell r="HY288">
            <v>6</v>
          </cell>
          <cell r="HZ288" t="str">
            <v>ISO4217:USD</v>
          </cell>
          <cell r="IA288" t="b">
            <v>0</v>
          </cell>
          <cell r="IB288" t="b">
            <v>0</v>
          </cell>
        </row>
        <row r="289">
          <cell r="D289" t="str">
            <v>Trade receivables</v>
          </cell>
          <cell r="G289">
            <v>71.41500000000002</v>
          </cell>
          <cell r="H289">
            <v>79.411000000000001</v>
          </cell>
          <cell r="I289">
            <v>120.49700000000001</v>
          </cell>
          <cell r="J289">
            <v>162.12100000000001</v>
          </cell>
          <cell r="K289">
            <v>193.203</v>
          </cell>
          <cell r="L289">
            <v>242.90700000000004</v>
          </cell>
          <cell r="M289">
            <v>574.1</v>
          </cell>
          <cell r="HX289" t="str">
            <v>mstag:tradeReceivables</v>
          </cell>
          <cell r="HY289">
            <v>6</v>
          </cell>
          <cell r="HZ289" t="str">
            <v>ISO4217:USD</v>
          </cell>
          <cell r="IA289" t="b">
            <v>0</v>
          </cell>
          <cell r="IB289" t="b">
            <v>0</v>
          </cell>
        </row>
        <row r="290">
          <cell r="E290" t="str">
            <v>Trade receivables, current</v>
          </cell>
          <cell r="G290">
            <v>71.41500000000002</v>
          </cell>
          <cell r="H290">
            <v>79.411000000000001</v>
          </cell>
          <cell r="I290">
            <v>120.49700000000001</v>
          </cell>
          <cell r="J290">
            <v>162.12100000000001</v>
          </cell>
          <cell r="K290">
            <v>193.203</v>
          </cell>
          <cell r="L290">
            <v>242.90700000000004</v>
          </cell>
          <cell r="M290" t="str">
            <v/>
          </cell>
          <cell r="HX290" t="str">
            <v>mstag:tradeReceivablesCurrent</v>
          </cell>
          <cell r="HY290">
            <v>6</v>
          </cell>
          <cell r="HZ290" t="str">
            <v>ISO4217:USD</v>
          </cell>
          <cell r="IA290" t="b">
            <v>0</v>
          </cell>
          <cell r="IB290" t="b">
            <v>0</v>
          </cell>
        </row>
        <row r="291">
          <cell r="F291" t="str">
            <v>Trade receivables, gross, current</v>
          </cell>
          <cell r="G291">
            <v>80.241000000000014</v>
          </cell>
          <cell r="H291">
            <v>94.072000000000003</v>
          </cell>
          <cell r="I291">
            <v>136.26400000000001</v>
          </cell>
          <cell r="J291">
            <v>176.24700000000001</v>
          </cell>
          <cell r="K291">
            <v>210.54</v>
          </cell>
          <cell r="L291">
            <v>259.73400000000004</v>
          </cell>
          <cell r="HX291" t="str">
            <v>mstag:tradeReceivablesGrossCurrent</v>
          </cell>
          <cell r="HY291">
            <v>6</v>
          </cell>
          <cell r="HZ291" t="str">
            <v>ISO4217:USD</v>
          </cell>
          <cell r="IA291" t="b">
            <v>0</v>
          </cell>
          <cell r="IB291" t="b">
            <v>0</v>
          </cell>
        </row>
        <row r="292">
          <cell r="F292" t="str">
            <v>Allowance for doubtful accounts, current</v>
          </cell>
          <cell r="G292">
            <v>8.8260000000000005</v>
          </cell>
          <cell r="H292">
            <v>14.661</v>
          </cell>
          <cell r="I292">
            <v>15.766999999999999</v>
          </cell>
          <cell r="J292">
            <v>14.125999999999999</v>
          </cell>
          <cell r="K292">
            <v>17.337</v>
          </cell>
          <cell r="L292">
            <v>16.827000000000002</v>
          </cell>
          <cell r="HX292" t="str">
            <v>mstag:allowanceForDoubtfulAccountsCurrent</v>
          </cell>
          <cell r="HY292">
            <v>6</v>
          </cell>
          <cell r="HZ292" t="str">
            <v>ISO4217:USD</v>
          </cell>
          <cell r="IA292" t="b">
            <v>0</v>
          </cell>
          <cell r="IB292" t="b">
            <v>0</v>
          </cell>
        </row>
        <row r="293">
          <cell r="E293" t="str">
            <v>Trade receivables, noncurrent</v>
          </cell>
          <cell r="G293" t="str">
            <v/>
          </cell>
          <cell r="H293" t="str">
            <v/>
          </cell>
          <cell r="I293" t="str">
            <v/>
          </cell>
          <cell r="J293" t="str">
            <v/>
          </cell>
          <cell r="K293" t="str">
            <v/>
          </cell>
          <cell r="L293" t="str">
            <v/>
          </cell>
          <cell r="M293" t="str">
            <v/>
          </cell>
          <cell r="HX293" t="str">
            <v>mstag:tradeReceivablesNonCurrent</v>
          </cell>
          <cell r="HY293">
            <v>6</v>
          </cell>
          <cell r="HZ293" t="str">
            <v>ISO4217:USD</v>
          </cell>
          <cell r="IA293" t="b">
            <v>0</v>
          </cell>
          <cell r="IB293" t="b">
            <v>0</v>
          </cell>
        </row>
        <row r="294">
          <cell r="F294" t="str">
            <v>Trade receivables, gross, noncurrent</v>
          </cell>
          <cell r="HX294" t="str">
            <v>mstag:tradeReceivablesGrossNonCurrent</v>
          </cell>
          <cell r="HY294">
            <v>6</v>
          </cell>
          <cell r="HZ294" t="str">
            <v>ISO4217:USD</v>
          </cell>
          <cell r="IA294" t="b">
            <v>0</v>
          </cell>
          <cell r="IB294" t="b">
            <v>0</v>
          </cell>
        </row>
        <row r="295">
          <cell r="F295" t="str">
            <v>Allowance for doubtful accounts, noncurrent</v>
          </cell>
          <cell r="HX295" t="str">
            <v>mstag:allowanceForDoubtfulAccountsNonCurrent</v>
          </cell>
          <cell r="HY295">
            <v>6</v>
          </cell>
          <cell r="HZ295" t="str">
            <v>ISO4217:USD</v>
          </cell>
          <cell r="IA295" t="b">
            <v>0</v>
          </cell>
          <cell r="IB295" t="b">
            <v>0</v>
          </cell>
        </row>
        <row r="296">
          <cell r="D296" t="str">
            <v>Finance lease receivables</v>
          </cell>
          <cell r="G296" t="str">
            <v/>
          </cell>
          <cell r="H296" t="str">
            <v/>
          </cell>
          <cell r="I296" t="str">
            <v/>
          </cell>
          <cell r="J296" t="str">
            <v/>
          </cell>
          <cell r="K296" t="str">
            <v/>
          </cell>
          <cell r="L296" t="str">
            <v/>
          </cell>
          <cell r="M296" t="str">
            <v/>
          </cell>
          <cell r="HX296" t="str">
            <v>mstag:financeLeaseReceivables</v>
          </cell>
          <cell r="HY296">
            <v>6</v>
          </cell>
          <cell r="HZ296" t="str">
            <v>ISO4217:USD</v>
          </cell>
          <cell r="IA296" t="b">
            <v>0</v>
          </cell>
          <cell r="IB296" t="b">
            <v>0</v>
          </cell>
        </row>
        <row r="297">
          <cell r="E297" t="str">
            <v>Finance lease receivables, current</v>
          </cell>
          <cell r="HX297" t="str">
            <v>mstag:financeLeaseReceivablesCurrent</v>
          </cell>
          <cell r="HY297">
            <v>6</v>
          </cell>
          <cell r="HZ297" t="str">
            <v>ISO4217:USD</v>
          </cell>
          <cell r="IA297" t="b">
            <v>0</v>
          </cell>
          <cell r="IB297" t="b">
            <v>0</v>
          </cell>
        </row>
        <row r="298">
          <cell r="E298" t="str">
            <v>Finance lease receivables, noncurrent</v>
          </cell>
          <cell r="HX298" t="str">
            <v>mstag:financeLeaseReceivablesNonCurrent</v>
          </cell>
          <cell r="HY298">
            <v>6</v>
          </cell>
          <cell r="HZ298" t="str">
            <v>ISO4217:USD</v>
          </cell>
          <cell r="IA298" t="b">
            <v>0</v>
          </cell>
          <cell r="IB298" t="b">
            <v>0</v>
          </cell>
        </row>
        <row r="299">
          <cell r="D299" t="str">
            <v>Notes receivable</v>
          </cell>
          <cell r="G299" t="str">
            <v/>
          </cell>
          <cell r="H299" t="str">
            <v/>
          </cell>
          <cell r="I299" t="str">
            <v/>
          </cell>
          <cell r="J299" t="str">
            <v/>
          </cell>
          <cell r="K299" t="str">
            <v/>
          </cell>
          <cell r="L299" t="str">
            <v/>
          </cell>
          <cell r="M299" t="str">
            <v/>
          </cell>
          <cell r="HX299" t="str">
            <v>mstag:notesReceivable</v>
          </cell>
          <cell r="HY299">
            <v>6</v>
          </cell>
          <cell r="HZ299" t="str">
            <v>ISO4217:USD</v>
          </cell>
          <cell r="IA299" t="b">
            <v>0</v>
          </cell>
          <cell r="IB299" t="b">
            <v>0</v>
          </cell>
        </row>
        <row r="300">
          <cell r="E300" t="str">
            <v>Notes receivable, current</v>
          </cell>
          <cell r="HX300" t="str">
            <v>mstag:notesReceivableCurrent</v>
          </cell>
          <cell r="HY300">
            <v>6</v>
          </cell>
          <cell r="HZ300" t="str">
            <v>ISO4217:USD</v>
          </cell>
          <cell r="IA300" t="b">
            <v>0</v>
          </cell>
          <cell r="IB300" t="b">
            <v>0</v>
          </cell>
        </row>
        <row r="301">
          <cell r="E301" t="str">
            <v>Notes receivable, noncurrent</v>
          </cell>
          <cell r="HX301" t="str">
            <v>mstag:notesReceivableNonCurrent</v>
          </cell>
          <cell r="HY301">
            <v>6</v>
          </cell>
          <cell r="HZ301" t="str">
            <v>ISO4217:USD</v>
          </cell>
          <cell r="IA301" t="b">
            <v>0</v>
          </cell>
          <cell r="IB301" t="b">
            <v>0</v>
          </cell>
        </row>
        <row r="302">
          <cell r="D302" t="str">
            <v>Unbilled receivables</v>
          </cell>
          <cell r="G302" t="str">
            <v/>
          </cell>
          <cell r="H302" t="str">
            <v/>
          </cell>
          <cell r="I302" t="str">
            <v/>
          </cell>
          <cell r="J302" t="str">
            <v/>
          </cell>
          <cell r="K302" t="str">
            <v/>
          </cell>
          <cell r="L302" t="str">
            <v/>
          </cell>
          <cell r="M302" t="str">
            <v/>
          </cell>
          <cell r="HX302" t="str">
            <v>mstag:unbilledReceivables</v>
          </cell>
          <cell r="HY302">
            <v>6</v>
          </cell>
          <cell r="HZ302" t="str">
            <v>ISO4217:USD</v>
          </cell>
          <cell r="IA302" t="b">
            <v>0</v>
          </cell>
          <cell r="IB302" t="b">
            <v>0</v>
          </cell>
        </row>
        <row r="303">
          <cell r="E303" t="str">
            <v>Unbilled receivables, current</v>
          </cell>
          <cell r="HX303" t="str">
            <v>mstag:unbilledReceivablesCurrent</v>
          </cell>
          <cell r="HY303">
            <v>6</v>
          </cell>
          <cell r="HZ303" t="str">
            <v>ISO4217:USD</v>
          </cell>
          <cell r="IA303" t="b">
            <v>0</v>
          </cell>
          <cell r="IB303" t="b">
            <v>0</v>
          </cell>
        </row>
        <row r="304">
          <cell r="E304" t="str">
            <v>Unbilled receivables, noncurrent</v>
          </cell>
          <cell r="HX304" t="str">
            <v>mstag:unbilledReceivablesNonCurrent</v>
          </cell>
          <cell r="HY304">
            <v>6</v>
          </cell>
          <cell r="HZ304" t="str">
            <v>ISO4217:USD</v>
          </cell>
          <cell r="IA304" t="b">
            <v>0</v>
          </cell>
          <cell r="IB304" t="b">
            <v>0</v>
          </cell>
        </row>
        <row r="305">
          <cell r="D305" t="str">
            <v>Other receivables</v>
          </cell>
          <cell r="G305">
            <v>117.83000000000001</v>
          </cell>
          <cell r="H305">
            <v>70.33</v>
          </cell>
          <cell r="I305">
            <v>94.288000000000011</v>
          </cell>
          <cell r="J305">
            <v>99.561000000000007</v>
          </cell>
          <cell r="K305">
            <v>122.137</v>
          </cell>
          <cell r="L305">
            <v>175.57400000000001</v>
          </cell>
          <cell r="M305" t="str">
            <v/>
          </cell>
          <cell r="HX305" t="str">
            <v>mstag:otherReceivables</v>
          </cell>
          <cell r="HY305">
            <v>6</v>
          </cell>
          <cell r="HZ305" t="str">
            <v>ISO4217:USD</v>
          </cell>
          <cell r="IA305" t="b">
            <v>0</v>
          </cell>
          <cell r="IB305" t="b">
            <v>0</v>
          </cell>
        </row>
        <row r="306">
          <cell r="E306" t="str">
            <v>Other receivables, current</v>
          </cell>
          <cell r="G306">
            <v>117.83000000000001</v>
          </cell>
          <cell r="H306">
            <v>70.33</v>
          </cell>
          <cell r="I306">
            <v>94.288000000000011</v>
          </cell>
          <cell r="J306">
            <v>99.561000000000007</v>
          </cell>
          <cell r="K306">
            <v>122.137</v>
          </cell>
          <cell r="L306">
            <v>175.57400000000001</v>
          </cell>
          <cell r="HX306" t="str">
            <v>mstag:otherReceivablesCurrent</v>
          </cell>
          <cell r="HY306">
            <v>6</v>
          </cell>
          <cell r="HZ306" t="str">
            <v>ISO4217:USD</v>
          </cell>
          <cell r="IA306" t="b">
            <v>0</v>
          </cell>
          <cell r="IB306" t="b">
            <v>0</v>
          </cell>
        </row>
        <row r="307">
          <cell r="E307" t="str">
            <v>Other receivables, noncurrent</v>
          </cell>
          <cell r="HX307" t="str">
            <v>mstag:otherReceivablesNonCurrent</v>
          </cell>
          <cell r="HY307">
            <v>6</v>
          </cell>
          <cell r="HZ307" t="str">
            <v>ISO4217:USD</v>
          </cell>
          <cell r="IA307" t="b">
            <v>0</v>
          </cell>
          <cell r="IB307" t="b">
            <v>0</v>
          </cell>
        </row>
        <row r="308">
          <cell r="D308" t="str">
            <v>Prepaid expenses</v>
          </cell>
          <cell r="G308">
            <v>55.325000000000003</v>
          </cell>
          <cell r="H308">
            <v>17.036000000000001</v>
          </cell>
          <cell r="I308">
            <v>11.87</v>
          </cell>
          <cell r="J308">
            <v>31.431999999999999</v>
          </cell>
          <cell r="K308">
            <v>38.896000000000001</v>
          </cell>
          <cell r="L308">
            <v>50.741999999999997</v>
          </cell>
          <cell r="M308">
            <v>79.44</v>
          </cell>
          <cell r="HX308" t="str">
            <v>mstag:prepaidExpenses</v>
          </cell>
          <cell r="HY308">
            <v>6</v>
          </cell>
          <cell r="HZ308" t="str">
            <v>ISO4217:USD</v>
          </cell>
          <cell r="IA308" t="b">
            <v>0</v>
          </cell>
          <cell r="IB308" t="b">
            <v>0</v>
          </cell>
        </row>
        <row r="309">
          <cell r="E309" t="str">
            <v>Prepaid expenses, current</v>
          </cell>
          <cell r="G309">
            <v>55.325000000000003</v>
          </cell>
          <cell r="H309">
            <v>17.036000000000001</v>
          </cell>
          <cell r="I309">
            <v>11.87</v>
          </cell>
          <cell r="J309">
            <v>31.431999999999999</v>
          </cell>
          <cell r="K309">
            <v>38.896000000000001</v>
          </cell>
          <cell r="L309">
            <v>50.741999999999997</v>
          </cell>
          <cell r="HX309" t="str">
            <v>mstag:prepaidExpensesCurrent</v>
          </cell>
          <cell r="HY309">
            <v>6</v>
          </cell>
          <cell r="HZ309" t="str">
            <v>ISO4217:USD</v>
          </cell>
          <cell r="IA309" t="b">
            <v>0</v>
          </cell>
          <cell r="IB309" t="b">
            <v>0</v>
          </cell>
        </row>
        <row r="310">
          <cell r="E310" t="str">
            <v>Prepaid expenses, noncurrent</v>
          </cell>
          <cell r="HX310" t="str">
            <v>mstag:prepaidExpensesNonCurrent</v>
          </cell>
          <cell r="HY310">
            <v>6</v>
          </cell>
          <cell r="HZ310" t="str">
            <v>ISO4217:USD</v>
          </cell>
          <cell r="IA310" t="b">
            <v>0</v>
          </cell>
          <cell r="IB310" t="b">
            <v>0</v>
          </cell>
        </row>
        <row r="311">
          <cell r="D311" t="str">
            <v>Income tax receivable</v>
          </cell>
          <cell r="G311" t="str">
            <v/>
          </cell>
          <cell r="H311" t="str">
            <v/>
          </cell>
          <cell r="I311" t="str">
            <v/>
          </cell>
          <cell r="J311" t="str">
            <v/>
          </cell>
          <cell r="K311" t="str">
            <v/>
          </cell>
          <cell r="L311" t="str">
            <v/>
          </cell>
          <cell r="M311" t="str">
            <v/>
          </cell>
          <cell r="HX311" t="str">
            <v>mstag:incomeTaxReceivable</v>
          </cell>
          <cell r="HY311">
            <v>6</v>
          </cell>
          <cell r="HZ311" t="str">
            <v>ISO4217:USD</v>
          </cell>
          <cell r="IA311" t="b">
            <v>0</v>
          </cell>
          <cell r="IB311" t="b">
            <v>0</v>
          </cell>
        </row>
        <row r="312">
          <cell r="E312" t="str">
            <v>Income tax receivable, operating</v>
          </cell>
          <cell r="HX312" t="str">
            <v>mstag:incomeTaxReceivableOperating</v>
          </cell>
          <cell r="HY312">
            <v>6</v>
          </cell>
          <cell r="HZ312" t="str">
            <v>ISO4217:USD</v>
          </cell>
          <cell r="IA312" t="b">
            <v>0</v>
          </cell>
          <cell r="IB312" t="b">
            <v>0</v>
          </cell>
        </row>
        <row r="313">
          <cell r="E313" t="str">
            <v>Income tax receivable, financing</v>
          </cell>
          <cell r="HX313" t="str">
            <v>mstag:incomeTaxReceivableFinancing</v>
          </cell>
          <cell r="HY313">
            <v>6</v>
          </cell>
          <cell r="HZ313" t="str">
            <v>ISO4217:USD</v>
          </cell>
          <cell r="IA313" t="b">
            <v>0</v>
          </cell>
          <cell r="IB313" t="b">
            <v>0</v>
          </cell>
        </row>
        <row r="314">
          <cell r="E314" t="str">
            <v>Income tax receivable, other</v>
          </cell>
          <cell r="HX314" t="str">
            <v>mstag:incomeTaxReceivableOther</v>
          </cell>
          <cell r="HY314">
            <v>6</v>
          </cell>
          <cell r="HZ314" t="str">
            <v>ISO4217:USD</v>
          </cell>
          <cell r="IA314" t="b">
            <v>0</v>
          </cell>
          <cell r="IB314" t="b">
            <v>0</v>
          </cell>
        </row>
        <row r="315">
          <cell r="D315" t="str">
            <v>Inventories</v>
          </cell>
          <cell r="G315">
            <v>116.026</v>
          </cell>
          <cell r="H315">
            <v>148.626</v>
          </cell>
          <cell r="I315">
            <v>275.245</v>
          </cell>
          <cell r="J315">
            <v>265.83000000000004</v>
          </cell>
          <cell r="K315">
            <v>356.94599999999997</v>
          </cell>
          <cell r="L315">
            <v>393.54200000000003</v>
          </cell>
          <cell r="M315">
            <v>469.64</v>
          </cell>
          <cell r="HX315" t="str">
            <v>mstag:inventories</v>
          </cell>
          <cell r="HY315">
            <v>6</v>
          </cell>
          <cell r="HZ315" t="str">
            <v>ISO4217:USD</v>
          </cell>
          <cell r="IA315" t="b">
            <v>0</v>
          </cell>
          <cell r="IB315" t="b">
            <v>0</v>
          </cell>
        </row>
        <row r="316">
          <cell r="E316" t="str">
            <v>Raw materials</v>
          </cell>
          <cell r="G316">
            <v>17.544</v>
          </cell>
          <cell r="H316">
            <v>21.414000000000001</v>
          </cell>
          <cell r="I316">
            <v>19.902999999999999</v>
          </cell>
          <cell r="J316">
            <v>17.620999999999999</v>
          </cell>
          <cell r="K316">
            <v>23.632999999999999</v>
          </cell>
          <cell r="L316">
            <v>30.181000000000001</v>
          </cell>
          <cell r="HX316" t="str">
            <v>mstag:rawMaterials</v>
          </cell>
          <cell r="HY316">
            <v>6</v>
          </cell>
          <cell r="HZ316" t="str">
            <v>ISO4217:USD</v>
          </cell>
          <cell r="IA316" t="b">
            <v>0</v>
          </cell>
          <cell r="IB316" t="b">
            <v>0</v>
          </cell>
        </row>
        <row r="317">
          <cell r="E317" t="str">
            <v>Production supplies</v>
          </cell>
          <cell r="HX317" t="str">
            <v>mstag:productionSupplies</v>
          </cell>
          <cell r="HY317">
            <v>6</v>
          </cell>
          <cell r="HZ317" t="str">
            <v>ISO4217:USD</v>
          </cell>
          <cell r="IA317" t="b">
            <v>0</v>
          </cell>
          <cell r="IB317" t="b">
            <v>0</v>
          </cell>
        </row>
        <row r="318">
          <cell r="E318" t="str">
            <v>Work in progress</v>
          </cell>
          <cell r="G318">
            <v>84.831000000000003</v>
          </cell>
          <cell r="H318">
            <v>106.383</v>
          </cell>
          <cell r="I318">
            <v>228.09200000000001</v>
          </cell>
          <cell r="J318">
            <v>233.12100000000001</v>
          </cell>
          <cell r="K318">
            <v>299.71699999999998</v>
          </cell>
          <cell r="L318">
            <v>329.81900000000002</v>
          </cell>
          <cell r="HX318" t="str">
            <v>mstag:workInProgress</v>
          </cell>
          <cell r="HY318">
            <v>6</v>
          </cell>
          <cell r="HZ318" t="str">
            <v>ISO4217:USD</v>
          </cell>
          <cell r="IA318" t="b">
            <v>0</v>
          </cell>
          <cell r="IB318" t="b">
            <v>0</v>
          </cell>
        </row>
        <row r="319">
          <cell r="E319" t="str">
            <v>Finished goods</v>
          </cell>
          <cell r="G319">
            <v>13.651</v>
          </cell>
          <cell r="H319">
            <v>20.829000000000001</v>
          </cell>
          <cell r="I319">
            <v>27.25</v>
          </cell>
          <cell r="J319">
            <v>15.087999999999999</v>
          </cell>
          <cell r="K319">
            <v>33.595999999999997</v>
          </cell>
          <cell r="L319">
            <v>33.542000000000002</v>
          </cell>
          <cell r="HX319" t="str">
            <v>mstag:finishedGoods</v>
          </cell>
          <cell r="HY319">
            <v>6</v>
          </cell>
          <cell r="HZ319" t="str">
            <v>ISO4217:USD</v>
          </cell>
          <cell r="IA319" t="b">
            <v>0</v>
          </cell>
          <cell r="IB319" t="b">
            <v>0</v>
          </cell>
        </row>
        <row r="320">
          <cell r="E320" t="str">
            <v>Other inventories</v>
          </cell>
          <cell r="HX320" t="str">
            <v>mstag:otherInventories</v>
          </cell>
          <cell r="HY320">
            <v>6</v>
          </cell>
          <cell r="HZ320" t="str">
            <v>ISO4217:USD</v>
          </cell>
          <cell r="IA320" t="b">
            <v>0</v>
          </cell>
          <cell r="IB320" t="b">
            <v>0</v>
          </cell>
        </row>
        <row r="321">
          <cell r="D321" t="str">
            <v>Property, plant, and equipment, net</v>
          </cell>
          <cell r="G321">
            <v>680.03399999999999</v>
          </cell>
          <cell r="H321">
            <v>696.68399999999997</v>
          </cell>
          <cell r="I321">
            <v>725.43099999999993</v>
          </cell>
          <cell r="J321">
            <v>734.43600000000004</v>
          </cell>
          <cell r="K321">
            <v>835.03599999999994</v>
          </cell>
          <cell r="L321">
            <v>1015.1449999999999</v>
          </cell>
          <cell r="M321">
            <v>3040.8</v>
          </cell>
          <cell r="HX321" t="str">
            <v>mstag:propertyPlantAndEquipmentNet</v>
          </cell>
          <cell r="HY321">
            <v>6</v>
          </cell>
          <cell r="HZ321" t="str">
            <v>ISO4217:USD</v>
          </cell>
          <cell r="IA321" t="b">
            <v>0</v>
          </cell>
          <cell r="IB321" t="b">
            <v>0</v>
          </cell>
        </row>
        <row r="322">
          <cell r="E322" t="str">
            <v>Property, plant, and equipment, gross</v>
          </cell>
          <cell r="G322">
            <v>1056.125</v>
          </cell>
          <cell r="H322">
            <v>1141.8989999999999</v>
          </cell>
          <cell r="I322">
            <v>1244.9269999999999</v>
          </cell>
          <cell r="J322">
            <v>1338.768</v>
          </cell>
          <cell r="K322">
            <v>1471.2629999999999</v>
          </cell>
          <cell r="L322">
            <v>1742.7569999999998</v>
          </cell>
          <cell r="M322" t="str">
            <v/>
          </cell>
          <cell r="HX322" t="str">
            <v>mstag:propertyPlantAndEquipmentGross</v>
          </cell>
          <cell r="HY322">
            <v>6</v>
          </cell>
          <cell r="HZ322" t="str">
            <v>ISO4217:USD</v>
          </cell>
          <cell r="IA322" t="b">
            <v>0</v>
          </cell>
          <cell r="IB322" t="b">
            <v>0</v>
          </cell>
        </row>
        <row r="323">
          <cell r="F323" t="str">
            <v>Property</v>
          </cell>
          <cell r="G323">
            <v>339.70800000000003</v>
          </cell>
          <cell r="H323">
            <v>378.13299999999998</v>
          </cell>
          <cell r="I323">
            <v>380.23599999999999</v>
          </cell>
          <cell r="J323">
            <v>392.11900000000003</v>
          </cell>
          <cell r="K323">
            <v>402.47300000000001</v>
          </cell>
          <cell r="L323">
            <v>422.79</v>
          </cell>
          <cell r="HX323" t="str">
            <v>mstag:property</v>
          </cell>
          <cell r="HY323">
            <v>6</v>
          </cell>
          <cell r="HZ323" t="str">
            <v>ISO4217:USD</v>
          </cell>
          <cell r="IA323" t="b">
            <v>0</v>
          </cell>
          <cell r="IB323" t="b">
            <v>0</v>
          </cell>
        </row>
        <row r="324">
          <cell r="F324" t="str">
            <v>Plant and equipment</v>
          </cell>
          <cell r="G324">
            <v>494.87400000000002</v>
          </cell>
          <cell r="H324">
            <v>607.36900000000003</v>
          </cell>
          <cell r="I324">
            <v>667.88400000000001</v>
          </cell>
          <cell r="J324">
            <v>761.69600000000003</v>
          </cell>
          <cell r="K324">
            <v>788.19799999999998</v>
          </cell>
          <cell r="L324">
            <v>880.62400000000002</v>
          </cell>
          <cell r="HX324" t="str">
            <v>mstag:plantAndEquipment</v>
          </cell>
          <cell r="HY324">
            <v>6</v>
          </cell>
          <cell r="HZ324" t="str">
            <v>ISO4217:USD</v>
          </cell>
          <cell r="IA324" t="b">
            <v>0</v>
          </cell>
          <cell r="IB324" t="b">
            <v>0</v>
          </cell>
        </row>
        <row r="325">
          <cell r="F325" t="str">
            <v>Land</v>
          </cell>
          <cell r="G325">
            <v>69.010000000000005</v>
          </cell>
          <cell r="H325">
            <v>69.436999999999998</v>
          </cell>
          <cell r="I325">
            <v>89.983000000000004</v>
          </cell>
          <cell r="J325">
            <v>90.274000000000001</v>
          </cell>
          <cell r="K325">
            <v>125.029</v>
          </cell>
          <cell r="L325">
            <v>149.53299999999999</v>
          </cell>
          <cell r="HX325" t="str">
            <v>mstag:land</v>
          </cell>
          <cell r="HY325">
            <v>6</v>
          </cell>
          <cell r="HZ325" t="str">
            <v>ISO4217:USD</v>
          </cell>
          <cell r="IA325" t="b">
            <v>0</v>
          </cell>
          <cell r="IB325" t="b">
            <v>0</v>
          </cell>
        </row>
        <row r="326">
          <cell r="F326" t="str">
            <v>Construction in progress</v>
          </cell>
          <cell r="G326">
            <v>152.53299999999999</v>
          </cell>
          <cell r="H326">
            <v>86.96</v>
          </cell>
          <cell r="I326">
            <v>106.824</v>
          </cell>
          <cell r="J326">
            <v>94.679000000000002</v>
          </cell>
          <cell r="K326">
            <v>155.56299999999999</v>
          </cell>
          <cell r="L326">
            <v>289.81</v>
          </cell>
          <cell r="HX326" t="str">
            <v>mstag:constructionInProgress</v>
          </cell>
          <cell r="HY326">
            <v>6</v>
          </cell>
          <cell r="HZ326" t="str">
            <v>ISO4217:USD</v>
          </cell>
          <cell r="IA326" t="b">
            <v>0</v>
          </cell>
          <cell r="IB326" t="b">
            <v>0</v>
          </cell>
        </row>
        <row r="327">
          <cell r="E327" t="str">
            <v>Accumulated depreciation</v>
          </cell>
          <cell r="G327">
            <v>376.09100000000001</v>
          </cell>
          <cell r="H327">
            <v>445.21499999999997</v>
          </cell>
          <cell r="I327">
            <v>519.49599999999998</v>
          </cell>
          <cell r="J327">
            <v>604.33199999999999</v>
          </cell>
          <cell r="K327">
            <v>636.22699999999998</v>
          </cell>
          <cell r="L327">
            <v>727.61199999999997</v>
          </cell>
          <cell r="HX327" t="str">
            <v>mstag:accumulatedDepreciation</v>
          </cell>
          <cell r="HY327">
            <v>6</v>
          </cell>
          <cell r="HZ327" t="str">
            <v>ISO4217:USD</v>
          </cell>
          <cell r="IA327" t="b">
            <v>0</v>
          </cell>
          <cell r="IB327" t="b">
            <v>0</v>
          </cell>
        </row>
        <row r="328">
          <cell r="D328" t="str">
            <v>Goodwill</v>
          </cell>
          <cell r="G328">
            <v>0</v>
          </cell>
          <cell r="H328">
            <v>0</v>
          </cell>
          <cell r="I328">
            <v>1609.0630000000001</v>
          </cell>
          <cell r="J328">
            <v>1455.7779999999998</v>
          </cell>
          <cell r="K328">
            <v>1302.4929999999999</v>
          </cell>
          <cell r="L328">
            <v>1315.019</v>
          </cell>
          <cell r="M328">
            <v>1315.09</v>
          </cell>
          <cell r="HX328" t="str">
            <v>mstag:goodwill</v>
          </cell>
          <cell r="HY328">
            <v>6</v>
          </cell>
          <cell r="HZ328" t="str">
            <v>ISO4217:USD</v>
          </cell>
          <cell r="IA328" t="b">
            <v>0</v>
          </cell>
          <cell r="IB328" t="b">
            <v>0</v>
          </cell>
        </row>
        <row r="329">
          <cell r="E329" t="str">
            <v>Gross goodwill</v>
          </cell>
          <cell r="G329">
            <v>0</v>
          </cell>
          <cell r="H329">
            <v>0</v>
          </cell>
          <cell r="I329">
            <v>2299.2719999999999</v>
          </cell>
          <cell r="J329">
            <v>2299.2719999999999</v>
          </cell>
          <cell r="K329">
            <v>1302.4929999999999</v>
          </cell>
          <cell r="L329">
            <v>1315.019</v>
          </cell>
          <cell r="HX329" t="str">
            <v>mstag:grossGoodwill</v>
          </cell>
          <cell r="HY329">
            <v>6</v>
          </cell>
          <cell r="HZ329" t="str">
            <v>ISO4217:USD</v>
          </cell>
          <cell r="IA329" t="b">
            <v>0</v>
          </cell>
          <cell r="IB329" t="b">
            <v>0</v>
          </cell>
        </row>
        <row r="330">
          <cell r="E330" t="str">
            <v>Accumulated amortization of goodwill</v>
          </cell>
          <cell r="G330">
            <v>0</v>
          </cell>
          <cell r="H330">
            <v>0</v>
          </cell>
          <cell r="I330">
            <v>690.20899999999995</v>
          </cell>
          <cell r="J330">
            <v>843.49400000000003</v>
          </cell>
          <cell r="K330">
            <v>0</v>
          </cell>
          <cell r="L330">
            <v>0</v>
          </cell>
          <cell r="HX330" t="str">
            <v>mstag:accumulatedAmortizationOfGoodwill</v>
          </cell>
          <cell r="HY330">
            <v>6</v>
          </cell>
          <cell r="HZ330" t="str">
            <v>ISO4217:USD</v>
          </cell>
          <cell r="IA330" t="b">
            <v>0</v>
          </cell>
          <cell r="IB330" t="b">
            <v>0</v>
          </cell>
        </row>
        <row r="331">
          <cell r="D331" t="str">
            <v>Other intangible assets</v>
          </cell>
          <cell r="G331">
            <v>0</v>
          </cell>
          <cell r="H331">
            <v>65.033000000000001</v>
          </cell>
          <cell r="I331">
            <v>1453.268</v>
          </cell>
          <cell r="J331">
            <v>1280.3589999999999</v>
          </cell>
          <cell r="K331">
            <v>1113.299</v>
          </cell>
          <cell r="L331">
            <v>927.53800000000001</v>
          </cell>
          <cell r="M331">
            <v>810.81</v>
          </cell>
          <cell r="HX331" t="str">
            <v>mstag:otherIntangibleAssets</v>
          </cell>
          <cell r="HY331">
            <v>6</v>
          </cell>
          <cell r="HZ331" t="str">
            <v>ISO4217:USD</v>
          </cell>
          <cell r="IA331" t="b">
            <v>0</v>
          </cell>
          <cell r="IB331" t="b">
            <v>0</v>
          </cell>
        </row>
        <row r="332">
          <cell r="E332" t="str">
            <v>Other finite life intangible assets</v>
          </cell>
          <cell r="G332">
            <v>0</v>
          </cell>
          <cell r="H332">
            <v>65.033000000000001</v>
          </cell>
          <cell r="I332">
            <v>1453.268</v>
          </cell>
          <cell r="J332">
            <v>1280.3589999999999</v>
          </cell>
          <cell r="K332">
            <v>1113.299</v>
          </cell>
          <cell r="L332">
            <v>927.53800000000001</v>
          </cell>
          <cell r="HX332" t="str">
            <v>mstag:otherFiniteLifeIntangibleAssets</v>
          </cell>
          <cell r="HY332">
            <v>6</v>
          </cell>
          <cell r="HZ332" t="str">
            <v>ISO4217:USD</v>
          </cell>
          <cell r="IA332" t="b">
            <v>0</v>
          </cell>
          <cell r="IB332" t="b">
            <v>0</v>
          </cell>
        </row>
        <row r="333">
          <cell r="E333" t="str">
            <v>Other indefinite life intangible assets</v>
          </cell>
          <cell r="HX333" t="str">
            <v>mstag:otherIndefiniteLifeIntangibleAssets</v>
          </cell>
          <cell r="HY333">
            <v>6</v>
          </cell>
          <cell r="HZ333" t="str">
            <v>ISO4217:USD</v>
          </cell>
          <cell r="IA333" t="b">
            <v>0</v>
          </cell>
          <cell r="IB333" t="b">
            <v>0</v>
          </cell>
        </row>
        <row r="334">
          <cell r="D334" t="str">
            <v>Investments, nonoperating</v>
          </cell>
          <cell r="G334">
            <v>1042.0409999999999</v>
          </cell>
          <cell r="H334">
            <v>1323.432</v>
          </cell>
          <cell r="I334">
            <v>1563.16</v>
          </cell>
          <cell r="J334">
            <v>1851.3900000000003</v>
          </cell>
          <cell r="K334">
            <v>2469.6880000000001</v>
          </cell>
          <cell r="L334">
            <v>1393.7280000000001</v>
          </cell>
          <cell r="M334">
            <v>1139.6199999999999</v>
          </cell>
          <cell r="HX334" t="str">
            <v>mstag:investmentsNonOperating</v>
          </cell>
          <cell r="HY334">
            <v>6</v>
          </cell>
          <cell r="HZ334" t="str">
            <v>ISO4217:USD</v>
          </cell>
          <cell r="IA334" t="b">
            <v>0</v>
          </cell>
          <cell r="IB334" t="b">
            <v>0</v>
          </cell>
        </row>
        <row r="335">
          <cell r="E335" t="str">
            <v>Short-term investments</v>
          </cell>
          <cell r="G335">
            <v>588.85299999999995</v>
          </cell>
          <cell r="H335">
            <v>606.54399999999998</v>
          </cell>
          <cell r="I335">
            <v>405.00299999999999</v>
          </cell>
          <cell r="J335">
            <v>642.47500000000002</v>
          </cell>
          <cell r="K335">
            <v>952.875</v>
          </cell>
          <cell r="L335">
            <v>826.44200000000001</v>
          </cell>
          <cell r="HX335" t="str">
            <v>mstag:shortTermInvestments</v>
          </cell>
          <cell r="HY335">
            <v>6</v>
          </cell>
          <cell r="HZ335" t="str">
            <v>ISO4217:USD</v>
          </cell>
          <cell r="IA335" t="b">
            <v>0</v>
          </cell>
          <cell r="IB335" t="b">
            <v>0</v>
          </cell>
        </row>
        <row r="336">
          <cell r="E336" t="str">
            <v>Long-term investments, nonoperating</v>
          </cell>
          <cell r="G336">
            <v>453.18799999999999</v>
          </cell>
          <cell r="H336">
            <v>716.88800000000003</v>
          </cell>
          <cell r="I336">
            <v>1158.1570000000002</v>
          </cell>
          <cell r="J336">
            <v>1208.9150000000002</v>
          </cell>
          <cell r="K336">
            <v>1516.8130000000001</v>
          </cell>
          <cell r="L336">
            <v>567.28599999999994</v>
          </cell>
          <cell r="HX336" t="str">
            <v>mstag:longTermInvestmentsNonOperating</v>
          </cell>
          <cell r="HY336">
            <v>6</v>
          </cell>
          <cell r="HZ336" t="str">
            <v>ISO4217:USD</v>
          </cell>
          <cell r="IA336" t="b">
            <v>0</v>
          </cell>
          <cell r="IB336" t="b">
            <v>0</v>
          </cell>
        </row>
        <row r="337">
          <cell r="D337" t="str">
            <v>Investments under the equity method, operating</v>
          </cell>
          <cell r="G337" t="str">
            <v/>
          </cell>
          <cell r="H337" t="str">
            <v/>
          </cell>
          <cell r="I337" t="str">
            <v/>
          </cell>
          <cell r="J337" t="str">
            <v/>
          </cell>
          <cell r="K337" t="str">
            <v/>
          </cell>
          <cell r="L337" t="str">
            <v/>
          </cell>
          <cell r="M337" t="str">
            <v/>
          </cell>
          <cell r="HX337" t="str">
            <v>mstag:investmentsUnderTheEquityMethodOperating</v>
          </cell>
          <cell r="HY337">
            <v>6</v>
          </cell>
          <cell r="HZ337" t="str">
            <v>ISO4217:USD</v>
          </cell>
          <cell r="IA337" t="b">
            <v>0</v>
          </cell>
          <cell r="IB337" t="b">
            <v>0</v>
          </cell>
        </row>
        <row r="338">
          <cell r="E338" t="str">
            <v>Investments in subsidiaries</v>
          </cell>
          <cell r="HX338" t="str">
            <v>mstag:investmentsInSubsidiaries</v>
          </cell>
          <cell r="HY338">
            <v>6</v>
          </cell>
          <cell r="HZ338" t="str">
            <v>ISO4217:USD</v>
          </cell>
          <cell r="IA338" t="b">
            <v>0</v>
          </cell>
          <cell r="IB338" t="b">
            <v>0</v>
          </cell>
        </row>
        <row r="339">
          <cell r="E339" t="str">
            <v>Investments in associates</v>
          </cell>
          <cell r="HX339" t="str">
            <v>mstag:investmentsInAssociates</v>
          </cell>
          <cell r="HY339">
            <v>6</v>
          </cell>
          <cell r="HZ339" t="str">
            <v>ISO4217:USD</v>
          </cell>
          <cell r="IA339" t="b">
            <v>0</v>
          </cell>
          <cell r="IB339" t="b">
            <v>0</v>
          </cell>
        </row>
        <row r="340">
          <cell r="E340" t="str">
            <v>Investments in joint ventures</v>
          </cell>
          <cell r="HX340" t="str">
            <v>mstag:investmentsInJointVentures</v>
          </cell>
          <cell r="HY340">
            <v>6</v>
          </cell>
          <cell r="HZ340" t="str">
            <v>ISO4217:USD</v>
          </cell>
          <cell r="IA340" t="b">
            <v>0</v>
          </cell>
          <cell r="IB340" t="b">
            <v>0</v>
          </cell>
        </row>
        <row r="341">
          <cell r="D341" t="str">
            <v>Investments under the equity method, nonoperating</v>
          </cell>
          <cell r="HX341" t="str">
            <v>mstag:investmentsUnderTheEquityMethodNonOperating</v>
          </cell>
          <cell r="HY341">
            <v>6</v>
          </cell>
          <cell r="HZ341" t="str">
            <v>ISO4217:USD</v>
          </cell>
          <cell r="IA341" t="b">
            <v>0</v>
          </cell>
          <cell r="IB341" t="b">
            <v>0</v>
          </cell>
        </row>
        <row r="342">
          <cell r="D342" t="str">
            <v>Deferred tax assets</v>
          </cell>
          <cell r="G342">
            <v>0</v>
          </cell>
          <cell r="H342">
            <v>38.848999999999997</v>
          </cell>
          <cell r="I342">
            <v>81.921999999999997</v>
          </cell>
          <cell r="J342">
            <v>40.619</v>
          </cell>
          <cell r="K342">
            <v>139.56700000000001</v>
          </cell>
          <cell r="L342">
            <v>82.299000000000007</v>
          </cell>
          <cell r="M342">
            <v>121.88500000000001</v>
          </cell>
          <cell r="HX342" t="str">
            <v>mstag:deferredTaxAssets</v>
          </cell>
          <cell r="HY342">
            <v>6</v>
          </cell>
          <cell r="HZ342" t="str">
            <v>ISO4217:USD</v>
          </cell>
          <cell r="IA342" t="b">
            <v>0</v>
          </cell>
          <cell r="IB342" t="b">
            <v>0</v>
          </cell>
        </row>
        <row r="343">
          <cell r="E343" t="str">
            <v>Deferred tax assets, current</v>
          </cell>
          <cell r="G343">
            <v>0</v>
          </cell>
          <cell r="H343">
            <v>38.848999999999997</v>
          </cell>
          <cell r="I343">
            <v>81.921999999999997</v>
          </cell>
          <cell r="J343">
            <v>40.619</v>
          </cell>
          <cell r="K343">
            <v>139.56700000000001</v>
          </cell>
          <cell r="L343">
            <v>82.299000000000007</v>
          </cell>
          <cell r="HX343" t="str">
            <v>mstag:deferredTaxAssetsCurrent</v>
          </cell>
          <cell r="HY343">
            <v>6</v>
          </cell>
          <cell r="HZ343" t="str">
            <v>ISO4217:USD</v>
          </cell>
          <cell r="IA343" t="b">
            <v>0</v>
          </cell>
          <cell r="IB343" t="b">
            <v>0</v>
          </cell>
        </row>
        <row r="344">
          <cell r="E344" t="str">
            <v>Deferred tax assets, noncurrent</v>
          </cell>
          <cell r="HX344" t="str">
            <v>mstag:deferredTaxAssetsNonCurrent</v>
          </cell>
          <cell r="HY344">
            <v>6</v>
          </cell>
          <cell r="HZ344" t="str">
            <v>ISO4217:USD</v>
          </cell>
          <cell r="IA344" t="b">
            <v>0</v>
          </cell>
          <cell r="IB344" t="b">
            <v>0</v>
          </cell>
        </row>
        <row r="345">
          <cell r="D345" t="str">
            <v>Pension and other postretirement assets</v>
          </cell>
          <cell r="HX345" t="str">
            <v>mstag:pensionAndOtherPostRetirementAssets</v>
          </cell>
          <cell r="HY345">
            <v>6</v>
          </cell>
          <cell r="HZ345" t="str">
            <v>ISO4217:USD</v>
          </cell>
          <cell r="IA345" t="b">
            <v>0</v>
          </cell>
          <cell r="IB345" t="b">
            <v>0</v>
          </cell>
        </row>
        <row r="346">
          <cell r="D346" t="str">
            <v>Investment in own shares, asset</v>
          </cell>
          <cell r="G346" t="str">
            <v/>
          </cell>
          <cell r="H346" t="str">
            <v/>
          </cell>
          <cell r="I346" t="str">
            <v/>
          </cell>
          <cell r="J346" t="str">
            <v/>
          </cell>
          <cell r="K346" t="str">
            <v/>
          </cell>
          <cell r="L346" t="str">
            <v/>
          </cell>
          <cell r="M346" t="str">
            <v/>
          </cell>
          <cell r="HX346" t="str">
            <v>mstag:investmentInOwnSharesAsset</v>
          </cell>
          <cell r="HY346">
            <v>6</v>
          </cell>
          <cell r="HZ346" t="str">
            <v>ISO4217:USD</v>
          </cell>
          <cell r="IA346" t="b">
            <v>0</v>
          </cell>
          <cell r="IB346" t="b">
            <v>0</v>
          </cell>
        </row>
        <row r="347">
          <cell r="E347" t="str">
            <v>Investment in ESOP trusts</v>
          </cell>
          <cell r="HX347" t="str">
            <v>mstag:investmentInEsopTrusts</v>
          </cell>
          <cell r="HY347">
            <v>6</v>
          </cell>
          <cell r="HZ347" t="str">
            <v>ISO4217:USD</v>
          </cell>
          <cell r="IA347" t="b">
            <v>0</v>
          </cell>
          <cell r="IB347" t="b">
            <v>0</v>
          </cell>
        </row>
        <row r="348">
          <cell r="D348" t="str">
            <v>Other assets, operating</v>
          </cell>
          <cell r="G348">
            <v>180.47200000000001</v>
          </cell>
          <cell r="H348">
            <v>134.839</v>
          </cell>
          <cell r="I348">
            <v>262.35599999999999</v>
          </cell>
          <cell r="J348">
            <v>243.51399999999998</v>
          </cell>
          <cell r="K348">
            <v>180.42099999999999</v>
          </cell>
          <cell r="L348">
            <v>953.49500000000012</v>
          </cell>
          <cell r="M348" t="str">
            <v/>
          </cell>
          <cell r="HX348" t="str">
            <v>mstag:otherAssets</v>
          </cell>
          <cell r="HY348">
            <v>6</v>
          </cell>
          <cell r="HZ348" t="str">
            <v>ISO4217:USD</v>
          </cell>
          <cell r="IA348" t="b">
            <v>0</v>
          </cell>
          <cell r="IB348" t="b">
            <v>0</v>
          </cell>
        </row>
        <row r="349">
          <cell r="E349" t="str">
            <v>Other assets, operating, current</v>
          </cell>
          <cell r="G349">
            <v>0</v>
          </cell>
          <cell r="H349">
            <v>0</v>
          </cell>
          <cell r="I349">
            <v>56.6</v>
          </cell>
          <cell r="J349">
            <v>56.6</v>
          </cell>
          <cell r="K349">
            <v>79.167000000000002</v>
          </cell>
          <cell r="L349">
            <v>789.74800000000005</v>
          </cell>
          <cell r="HX349" t="str">
            <v>mstag:otherAssetsOperatingCurrent</v>
          </cell>
          <cell r="HY349">
            <v>6</v>
          </cell>
          <cell r="HZ349" t="str">
            <v>ISO4217:USD</v>
          </cell>
          <cell r="IA349" t="b">
            <v>0</v>
          </cell>
          <cell r="IB349" t="b">
            <v>0</v>
          </cell>
        </row>
        <row r="350">
          <cell r="E350" t="str">
            <v>Other assets, operating, noncurrent</v>
          </cell>
          <cell r="G350">
            <v>180.47200000000001</v>
          </cell>
          <cell r="H350">
            <v>134.839</v>
          </cell>
          <cell r="I350">
            <v>205.756</v>
          </cell>
          <cell r="J350">
            <v>186.91399999999999</v>
          </cell>
          <cell r="K350">
            <v>101.254</v>
          </cell>
          <cell r="L350">
            <v>163.74700000000001</v>
          </cell>
          <cell r="HX350" t="str">
            <v>mstag:otherAssetsOperatingNonCurrent</v>
          </cell>
          <cell r="HY350">
            <v>6</v>
          </cell>
          <cell r="HZ350" t="str">
            <v>ISO4217:USD</v>
          </cell>
          <cell r="IA350" t="b">
            <v>0</v>
          </cell>
          <cell r="IB350" t="b">
            <v>0</v>
          </cell>
        </row>
        <row r="351">
          <cell r="D351" t="str">
            <v>Other assets, nonoperating</v>
          </cell>
          <cell r="G351" t="str">
            <v/>
          </cell>
          <cell r="H351" t="str">
            <v/>
          </cell>
          <cell r="I351" t="str">
            <v/>
          </cell>
          <cell r="J351" t="str">
            <v/>
          </cell>
          <cell r="K351" t="str">
            <v/>
          </cell>
          <cell r="L351" t="str">
            <v/>
          </cell>
          <cell r="M351">
            <v>812.7</v>
          </cell>
          <cell r="HX351" t="str">
            <v>mstag:otherAssetsNonOperating</v>
          </cell>
          <cell r="HY351">
            <v>6</v>
          </cell>
          <cell r="HZ351" t="str">
            <v>ISO4217:USD</v>
          </cell>
          <cell r="IA351" t="b">
            <v>0</v>
          </cell>
          <cell r="IB351" t="b">
            <v>0</v>
          </cell>
        </row>
        <row r="352">
          <cell r="E352" t="str">
            <v>Other assets, nonoperating, current</v>
          </cell>
          <cell r="HX352" t="str">
            <v>mstag:otherAssetsNonOperatingCurrent</v>
          </cell>
          <cell r="HY352">
            <v>6</v>
          </cell>
          <cell r="HZ352" t="str">
            <v>ISO4217:USD</v>
          </cell>
          <cell r="IA352" t="b">
            <v>0</v>
          </cell>
          <cell r="IB352" t="b">
            <v>0</v>
          </cell>
        </row>
        <row r="353">
          <cell r="E353" t="str">
            <v>Other assets, nonoperating, noncurrent</v>
          </cell>
          <cell r="HX353" t="str">
            <v>mstag:otherAssetsNonOperatingNonCurrent</v>
          </cell>
          <cell r="HY353">
            <v>6</v>
          </cell>
          <cell r="HZ353" t="str">
            <v>ISO4217:USD</v>
          </cell>
          <cell r="IA353" t="b">
            <v>0</v>
          </cell>
          <cell r="IB353" t="b">
            <v>0</v>
          </cell>
        </row>
        <row r="354">
          <cell r="D354" t="str">
            <v>Assets of discontinued operations</v>
          </cell>
          <cell r="HX354" t="str">
            <v>mstag:assetsOfDiscontinuedOperations</v>
          </cell>
          <cell r="HY354">
            <v>6</v>
          </cell>
          <cell r="HZ354" t="str">
            <v>ISO4217:USD</v>
          </cell>
          <cell r="IA354" t="b">
            <v>0</v>
          </cell>
          <cell r="IB354" t="b">
            <v>0</v>
          </cell>
        </row>
        <row r="355">
          <cell r="C355" t="str">
            <v>Liabilities and equity</v>
          </cell>
          <cell r="M355">
            <v>8736.0156437000005</v>
          </cell>
          <cell r="HX355" t="str">
            <v>mstag:liabilitiesAndEquity</v>
          </cell>
          <cell r="HY355">
            <v>6</v>
          </cell>
          <cell r="HZ355" t="str">
            <v>ISO4217:USD</v>
          </cell>
          <cell r="IA355" t="b">
            <v>0</v>
          </cell>
          <cell r="IB355" t="b">
            <v>0</v>
          </cell>
        </row>
        <row r="356">
          <cell r="D356" t="str">
            <v>Trade and other payables</v>
          </cell>
          <cell r="G356">
            <v>48.991999999999997</v>
          </cell>
          <cell r="H356">
            <v>40.895000000000003</v>
          </cell>
          <cell r="I356">
            <v>33.122999999999998</v>
          </cell>
          <cell r="J356">
            <v>39.113999999999997</v>
          </cell>
          <cell r="K356">
            <v>33.347999999999999</v>
          </cell>
          <cell r="L356">
            <v>51.38</v>
          </cell>
          <cell r="M356">
            <v>59.7</v>
          </cell>
          <cell r="HX356" t="str">
            <v>mstag:tradeAndOtherPayables</v>
          </cell>
          <cell r="HY356">
            <v>6</v>
          </cell>
          <cell r="HZ356" t="str">
            <v>ISO4217:USD</v>
          </cell>
          <cell r="IA356" t="b">
            <v>0</v>
          </cell>
          <cell r="IB356" t="b">
            <v>0</v>
          </cell>
        </row>
        <row r="357">
          <cell r="E357" t="str">
            <v>Trade and other payables, current</v>
          </cell>
          <cell r="G357">
            <v>48.991999999999997</v>
          </cell>
          <cell r="H357">
            <v>40.895000000000003</v>
          </cell>
          <cell r="I357">
            <v>33.122999999999998</v>
          </cell>
          <cell r="J357">
            <v>39.113999999999997</v>
          </cell>
          <cell r="K357">
            <v>33.347999999999999</v>
          </cell>
          <cell r="L357">
            <v>51.38</v>
          </cell>
          <cell r="M357" t="str">
            <v/>
          </cell>
          <cell r="HX357" t="str">
            <v>mstag:tradeAndOtherPayablesCurrent</v>
          </cell>
          <cell r="HY357">
            <v>6</v>
          </cell>
          <cell r="HZ357" t="str">
            <v>ISO4217:USD</v>
          </cell>
          <cell r="IA357" t="b">
            <v>0</v>
          </cell>
          <cell r="IB357" t="b">
            <v>0</v>
          </cell>
        </row>
        <row r="358">
          <cell r="F358" t="str">
            <v>Trade payables, current</v>
          </cell>
          <cell r="G358">
            <v>48.991999999999997</v>
          </cell>
          <cell r="H358">
            <v>40.895000000000003</v>
          </cell>
          <cell r="I358">
            <v>33.122999999999998</v>
          </cell>
          <cell r="J358">
            <v>39.113999999999997</v>
          </cell>
          <cell r="K358">
            <v>33.347999999999999</v>
          </cell>
          <cell r="L358">
            <v>51.38</v>
          </cell>
          <cell r="HX358" t="str">
            <v>mstag:tradePayablesCurrent</v>
          </cell>
          <cell r="HY358">
            <v>6</v>
          </cell>
          <cell r="HZ358" t="str">
            <v>ISO4217:USD</v>
          </cell>
          <cell r="IA358" t="b">
            <v>0</v>
          </cell>
          <cell r="IB358" t="b">
            <v>0</v>
          </cell>
        </row>
        <row r="359">
          <cell r="F359" t="str">
            <v>Other payables, current</v>
          </cell>
          <cell r="HX359" t="str">
            <v>mstag:otherPayablesCurrent</v>
          </cell>
          <cell r="HY359">
            <v>6</v>
          </cell>
          <cell r="HZ359" t="str">
            <v>ISO4217:USD</v>
          </cell>
          <cell r="IA359" t="b">
            <v>0</v>
          </cell>
          <cell r="IB359" t="b">
            <v>0</v>
          </cell>
        </row>
        <row r="360">
          <cell r="E360" t="str">
            <v>Trade and other payables, noncurrent</v>
          </cell>
          <cell r="G360" t="str">
            <v/>
          </cell>
          <cell r="H360" t="str">
            <v/>
          </cell>
          <cell r="I360" t="str">
            <v/>
          </cell>
          <cell r="J360" t="str">
            <v/>
          </cell>
          <cell r="K360" t="str">
            <v/>
          </cell>
          <cell r="L360" t="str">
            <v/>
          </cell>
          <cell r="M360" t="str">
            <v/>
          </cell>
          <cell r="HX360" t="str">
            <v>mstag:tradeAndOtherPayablesNonCurrent</v>
          </cell>
          <cell r="HY360">
            <v>6</v>
          </cell>
          <cell r="HZ360" t="str">
            <v>ISO4217:USD</v>
          </cell>
          <cell r="IA360" t="b">
            <v>0</v>
          </cell>
          <cell r="IB360" t="b">
            <v>0</v>
          </cell>
        </row>
        <row r="361">
          <cell r="F361" t="str">
            <v>Trade payables, noncurrent</v>
          </cell>
          <cell r="HX361" t="str">
            <v>mstag:tradePayablesNonCurrent</v>
          </cell>
          <cell r="HY361">
            <v>6</v>
          </cell>
          <cell r="HZ361" t="str">
            <v>ISO4217:USD</v>
          </cell>
          <cell r="IA361" t="b">
            <v>0</v>
          </cell>
          <cell r="IB361" t="b">
            <v>0</v>
          </cell>
        </row>
        <row r="362">
          <cell r="F362" t="str">
            <v>Other payables, noncurrent</v>
          </cell>
          <cell r="HX362" t="str">
            <v>mstag:otherPayablesNonCurrent</v>
          </cell>
          <cell r="HY362">
            <v>6</v>
          </cell>
          <cell r="HZ362" t="str">
            <v>ISO4217:USD</v>
          </cell>
          <cell r="IA362" t="b">
            <v>0</v>
          </cell>
          <cell r="IB362" t="b">
            <v>0</v>
          </cell>
        </row>
        <row r="363">
          <cell r="D363" t="str">
            <v>Dividends payable</v>
          </cell>
          <cell r="HX363" t="str">
            <v>mstag:dividendsPayable</v>
          </cell>
          <cell r="HY363">
            <v>6</v>
          </cell>
          <cell r="HZ363" t="str">
            <v>ISO4217:USD</v>
          </cell>
          <cell r="IA363" t="b">
            <v>0</v>
          </cell>
          <cell r="IB363" t="b">
            <v>0</v>
          </cell>
        </row>
        <row r="364">
          <cell r="D364" t="str">
            <v>Short-term borrowings, up to 1 year</v>
          </cell>
          <cell r="G364">
            <v>0</v>
          </cell>
          <cell r="H364">
            <v>0</v>
          </cell>
          <cell r="I364">
            <v>0</v>
          </cell>
          <cell r="J364">
            <v>0</v>
          </cell>
          <cell r="K364">
            <v>149.69200000000001</v>
          </cell>
          <cell r="L364">
            <v>0</v>
          </cell>
          <cell r="HX364" t="str">
            <v>mstag:shortTermBorrowings</v>
          </cell>
          <cell r="HY364">
            <v>6</v>
          </cell>
          <cell r="HZ364" t="str">
            <v>ISO4217:USD</v>
          </cell>
          <cell r="IA364" t="b">
            <v>0</v>
          </cell>
          <cell r="IB364" t="b">
            <v>0</v>
          </cell>
        </row>
        <row r="365">
          <cell r="D365" t="str">
            <v>Other interest bearing liabilities</v>
          </cell>
          <cell r="G365" t="str">
            <v/>
          </cell>
          <cell r="H365" t="str">
            <v/>
          </cell>
          <cell r="I365" t="str">
            <v/>
          </cell>
          <cell r="J365" t="str">
            <v/>
          </cell>
          <cell r="K365" t="str">
            <v/>
          </cell>
          <cell r="L365" t="str">
            <v/>
          </cell>
          <cell r="M365" t="str">
            <v/>
          </cell>
          <cell r="HX365" t="str">
            <v>mstag:otherInterestBearingLiabilities</v>
          </cell>
          <cell r="HY365">
            <v>6</v>
          </cell>
          <cell r="HZ365" t="str">
            <v>ISO4217:USD</v>
          </cell>
          <cell r="IA365" t="b">
            <v>0</v>
          </cell>
          <cell r="IB365" t="b">
            <v>0</v>
          </cell>
        </row>
        <row r="366">
          <cell r="E366" t="str">
            <v>Asset retirement obligations</v>
          </cell>
          <cell r="HX366" t="str">
            <v>mstag:assetRetirementObligations</v>
          </cell>
          <cell r="HY366">
            <v>6</v>
          </cell>
          <cell r="HZ366" t="str">
            <v>ISO4217:USD</v>
          </cell>
          <cell r="IA366" t="b">
            <v>0</v>
          </cell>
          <cell r="IB366" t="b">
            <v>0</v>
          </cell>
        </row>
        <row r="367">
          <cell r="E367" t="str">
            <v>Decommissioning, restoration, and similar liabilities</v>
          </cell>
          <cell r="HX367" t="str">
            <v>mstag:decommissioningRestorationAndSimilarLiabilities</v>
          </cell>
          <cell r="HY367">
            <v>6</v>
          </cell>
          <cell r="HZ367" t="str">
            <v>ISO4217:USD</v>
          </cell>
          <cell r="IA367" t="b">
            <v>0</v>
          </cell>
          <cell r="IB367" t="b">
            <v>0</v>
          </cell>
        </row>
        <row r="368">
          <cell r="E368" t="str">
            <v>Environmental liabilities, interest bearing</v>
          </cell>
          <cell r="HX368" t="str">
            <v>mstag:environmentalLiabilitiesInterestBearing</v>
          </cell>
          <cell r="HY368">
            <v>6</v>
          </cell>
          <cell r="HZ368" t="str">
            <v>ISO4217:USD</v>
          </cell>
          <cell r="IA368" t="b">
            <v>0</v>
          </cell>
          <cell r="IB368" t="b">
            <v>0</v>
          </cell>
        </row>
        <row r="369">
          <cell r="E369" t="str">
            <v>Other interest bearing provisions</v>
          </cell>
          <cell r="HX369" t="str">
            <v>mstag:otherInterestBearingProvisions</v>
          </cell>
          <cell r="HY369">
            <v>6</v>
          </cell>
          <cell r="HZ369" t="str">
            <v>ISO4217:USD</v>
          </cell>
          <cell r="IA369" t="b">
            <v>0</v>
          </cell>
          <cell r="IB369" t="b">
            <v>0</v>
          </cell>
        </row>
        <row r="370">
          <cell r="D370" t="str">
            <v>Income tax payable</v>
          </cell>
          <cell r="G370">
            <v>40.292999999999999</v>
          </cell>
          <cell r="H370">
            <v>46.447000000000003</v>
          </cell>
          <cell r="I370">
            <v>0</v>
          </cell>
          <cell r="J370">
            <v>29.021999999999998</v>
          </cell>
          <cell r="K370">
            <v>64.227000000000004</v>
          </cell>
          <cell r="L370">
            <v>85.405000000000001</v>
          </cell>
          <cell r="M370" t="str">
            <v/>
          </cell>
          <cell r="HX370" t="str">
            <v>mstag:incomeTaxPayable</v>
          </cell>
          <cell r="HY370">
            <v>6</v>
          </cell>
          <cell r="HZ370" t="str">
            <v>ISO4217:USD</v>
          </cell>
          <cell r="IA370" t="b">
            <v>0</v>
          </cell>
          <cell r="IB370" t="b">
            <v>0</v>
          </cell>
        </row>
        <row r="371">
          <cell r="E371" t="str">
            <v>Income tax payable, operating</v>
          </cell>
          <cell r="G371">
            <v>40.292999999999999</v>
          </cell>
          <cell r="H371">
            <v>46.447000000000003</v>
          </cell>
          <cell r="I371">
            <v>0</v>
          </cell>
          <cell r="J371">
            <v>29.021999999999998</v>
          </cell>
          <cell r="K371">
            <v>64.227000000000004</v>
          </cell>
          <cell r="L371">
            <v>85.405000000000001</v>
          </cell>
          <cell r="HX371" t="str">
            <v>mstag:incomeTaxPayableOperating</v>
          </cell>
          <cell r="HY371">
            <v>6</v>
          </cell>
          <cell r="HZ371" t="str">
            <v>ISO4217:USD</v>
          </cell>
          <cell r="IA371" t="b">
            <v>0</v>
          </cell>
          <cell r="IB371" t="b">
            <v>0</v>
          </cell>
        </row>
        <row r="372">
          <cell r="E372" t="str">
            <v>Income tax payable, financing</v>
          </cell>
          <cell r="HX372" t="str">
            <v>mstag:incomeTaxPayableFinancing</v>
          </cell>
          <cell r="HY372">
            <v>6</v>
          </cell>
          <cell r="HZ372" t="str">
            <v>ISO4217:USD</v>
          </cell>
          <cell r="IA372" t="b">
            <v>0</v>
          </cell>
          <cell r="IB372" t="b">
            <v>0</v>
          </cell>
        </row>
        <row r="373">
          <cell r="E373" t="str">
            <v>Income tax payable, other</v>
          </cell>
          <cell r="HX373" t="str">
            <v>mstag:incomeTaxPayableOther</v>
          </cell>
          <cell r="HY373">
            <v>6</v>
          </cell>
          <cell r="HZ373" t="str">
            <v>ISO4217:USD</v>
          </cell>
          <cell r="IA373" t="b">
            <v>0</v>
          </cell>
          <cell r="IB373" t="b">
            <v>0</v>
          </cell>
        </row>
        <row r="374">
          <cell r="D374" t="str">
            <v>Accrued expenses</v>
          </cell>
          <cell r="G374">
            <v>129.167</v>
          </cell>
          <cell r="H374">
            <v>115.401</v>
          </cell>
          <cell r="I374">
            <v>346.31399999999996</v>
          </cell>
          <cell r="J374">
            <v>258.94800000000004</v>
          </cell>
          <cell r="K374">
            <v>274.63800000000003</v>
          </cell>
          <cell r="L374">
            <v>366.18299999999999</v>
          </cell>
          <cell r="M374">
            <v>765.85</v>
          </cell>
          <cell r="HX374" t="str">
            <v>mstag:accruedExpenses</v>
          </cell>
          <cell r="HY374">
            <v>6</v>
          </cell>
          <cell r="HZ374" t="str">
            <v>ISO4217:USD</v>
          </cell>
          <cell r="IA374" t="b">
            <v>0</v>
          </cell>
          <cell r="IB374" t="b">
            <v>0</v>
          </cell>
        </row>
        <row r="375">
          <cell r="E375" t="str">
            <v>Payroll and benefits-related liabilities</v>
          </cell>
          <cell r="G375">
            <v>44.624000000000002</v>
          </cell>
          <cell r="H375">
            <v>47.057000000000002</v>
          </cell>
          <cell r="I375">
            <v>52.005000000000003</v>
          </cell>
          <cell r="J375">
            <v>56.027999999999999</v>
          </cell>
          <cell r="K375">
            <v>63.103000000000002</v>
          </cell>
          <cell r="L375">
            <v>77.238</v>
          </cell>
          <cell r="HX375" t="str">
            <v>mstag:payrollAndBenefitsRelatedLiabilities</v>
          </cell>
          <cell r="HY375">
            <v>6</v>
          </cell>
          <cell r="HZ375" t="str">
            <v>ISO4217:USD</v>
          </cell>
          <cell r="IA375" t="b">
            <v>0</v>
          </cell>
          <cell r="IB375" t="b">
            <v>0</v>
          </cell>
        </row>
        <row r="376">
          <cell r="E376" t="str">
            <v>Accrued taxes, other than income tax</v>
          </cell>
          <cell r="HX376" t="str">
            <v>mstag:accruedTaxesOtherThanIncomeTax</v>
          </cell>
          <cell r="HY376">
            <v>6</v>
          </cell>
          <cell r="HZ376" t="str">
            <v>ISO4217:USD</v>
          </cell>
          <cell r="IA376" t="b">
            <v>0</v>
          </cell>
          <cell r="IB376" t="b">
            <v>0</v>
          </cell>
        </row>
        <row r="377">
          <cell r="E377" t="str">
            <v>Other accrued expenses</v>
          </cell>
          <cell r="G377">
            <v>84.543000000000006</v>
          </cell>
          <cell r="H377">
            <v>68.343999999999994</v>
          </cell>
          <cell r="I377">
            <v>294.30899999999997</v>
          </cell>
          <cell r="J377">
            <v>202.92000000000002</v>
          </cell>
          <cell r="K377">
            <v>211.53500000000003</v>
          </cell>
          <cell r="L377">
            <v>288.94499999999999</v>
          </cell>
          <cell r="HX377" t="str">
            <v>mstag:otherAccruedExpenses</v>
          </cell>
          <cell r="HY377">
            <v>6</v>
          </cell>
          <cell r="HZ377" t="str">
            <v>ISO4217:USD</v>
          </cell>
          <cell r="IA377" t="b">
            <v>0</v>
          </cell>
          <cell r="IB377" t="b">
            <v>0</v>
          </cell>
        </row>
        <row r="378">
          <cell r="D378" t="str">
            <v>Long-term debt, greater than 1 year</v>
          </cell>
          <cell r="G378">
            <v>150</v>
          </cell>
          <cell r="H378">
            <v>149.99</v>
          </cell>
          <cell r="I378">
            <v>149.708</v>
          </cell>
          <cell r="J378">
            <v>149.69200000000001</v>
          </cell>
          <cell r="K378">
            <v>0</v>
          </cell>
          <cell r="L378">
            <v>0</v>
          </cell>
          <cell r="M378">
            <v>412.25</v>
          </cell>
          <cell r="HX378" t="str">
            <v>mstag:longTermDebt</v>
          </cell>
          <cell r="HY378">
            <v>6</v>
          </cell>
          <cell r="HZ378" t="str">
            <v>ISO4217:USD</v>
          </cell>
          <cell r="IA378" t="b">
            <v>0</v>
          </cell>
          <cell r="IB378" t="b">
            <v>0</v>
          </cell>
        </row>
        <row r="379">
          <cell r="E379" t="str">
            <v>Senior debt</v>
          </cell>
          <cell r="HX379" t="str">
            <v>mstag:seniorDebtCi</v>
          </cell>
          <cell r="HY379">
            <v>6</v>
          </cell>
          <cell r="HZ379" t="str">
            <v>ISO4217:USD</v>
          </cell>
          <cell r="IA379" t="b">
            <v>0</v>
          </cell>
          <cell r="IB379" t="b">
            <v>0</v>
          </cell>
        </row>
        <row r="380">
          <cell r="E380" t="str">
            <v>Subordinated debt</v>
          </cell>
          <cell r="HX380" t="str">
            <v>mstag:subordinatedDebtBalSheetCi</v>
          </cell>
          <cell r="HY380">
            <v>6</v>
          </cell>
          <cell r="HZ380" t="str">
            <v>ISO4217:USD</v>
          </cell>
          <cell r="IA380" t="b">
            <v>0</v>
          </cell>
          <cell r="IB380" t="b">
            <v>0</v>
          </cell>
        </row>
        <row r="381">
          <cell r="E381" t="str">
            <v>Capital lease obligations</v>
          </cell>
          <cell r="HX381" t="str">
            <v>mstag:capitalLeaseObligationsCi</v>
          </cell>
          <cell r="HY381">
            <v>6</v>
          </cell>
          <cell r="HZ381" t="str">
            <v>ISO4217:USD</v>
          </cell>
          <cell r="IA381" t="b">
            <v>0</v>
          </cell>
          <cell r="IB381" t="b">
            <v>0</v>
          </cell>
        </row>
        <row r="382">
          <cell r="E382" t="str">
            <v>Other long-term debt</v>
          </cell>
          <cell r="G382">
            <v>150</v>
          </cell>
          <cell r="H382">
            <v>149.99</v>
          </cell>
          <cell r="I382">
            <v>149.708</v>
          </cell>
          <cell r="J382">
            <v>149.69200000000001</v>
          </cell>
          <cell r="K382">
            <v>0</v>
          </cell>
          <cell r="L382">
            <v>0</v>
          </cell>
          <cell r="HX382" t="str">
            <v>mstag:otherLongTermDebtCi</v>
          </cell>
          <cell r="HY382">
            <v>6</v>
          </cell>
          <cell r="HZ382" t="str">
            <v>ISO4217:USD</v>
          </cell>
          <cell r="IA382" t="b">
            <v>0</v>
          </cell>
          <cell r="IB382" t="b">
            <v>0</v>
          </cell>
        </row>
        <row r="383">
          <cell r="D383" t="str">
            <v>Provisions and reserves</v>
          </cell>
          <cell r="G383" t="str">
            <v/>
          </cell>
          <cell r="H383" t="str">
            <v/>
          </cell>
          <cell r="I383" t="str">
            <v/>
          </cell>
          <cell r="J383" t="str">
            <v/>
          </cell>
          <cell r="K383" t="str">
            <v/>
          </cell>
          <cell r="L383" t="str">
            <v/>
          </cell>
          <cell r="M383" t="str">
            <v/>
          </cell>
          <cell r="HX383" t="str">
            <v>mstag:provisionsAndReserves</v>
          </cell>
          <cell r="HY383">
            <v>6</v>
          </cell>
          <cell r="HZ383" t="str">
            <v>ISO4217:USD</v>
          </cell>
          <cell r="IA383" t="b">
            <v>0</v>
          </cell>
          <cell r="IB383" t="b">
            <v>0</v>
          </cell>
        </row>
        <row r="384">
          <cell r="E384" t="str">
            <v>Warranty provision</v>
          </cell>
          <cell r="HX384" t="str">
            <v>mstag:warrantyProvision</v>
          </cell>
          <cell r="HY384">
            <v>6</v>
          </cell>
          <cell r="HZ384" t="str">
            <v>ISO4217:USD</v>
          </cell>
          <cell r="IA384" t="b">
            <v>0</v>
          </cell>
          <cell r="IB384" t="b">
            <v>0</v>
          </cell>
        </row>
        <row r="385">
          <cell r="E385" t="str">
            <v>Restructuring provision</v>
          </cell>
          <cell r="HX385" t="str">
            <v>mstag:restructuringProvision</v>
          </cell>
          <cell r="HY385">
            <v>6</v>
          </cell>
          <cell r="HZ385" t="str">
            <v>ISO4217:USD</v>
          </cell>
          <cell r="IA385" t="b">
            <v>0</v>
          </cell>
          <cell r="IB385" t="b">
            <v>0</v>
          </cell>
        </row>
        <row r="386">
          <cell r="E386" t="str">
            <v>Legal proceedings provision</v>
          </cell>
          <cell r="HX386" t="str">
            <v>mstag:legalProceedingsProvision</v>
          </cell>
          <cell r="HY386">
            <v>6</v>
          </cell>
          <cell r="HZ386" t="str">
            <v>ISO4217:USD</v>
          </cell>
          <cell r="IA386" t="b">
            <v>0</v>
          </cell>
          <cell r="IB386" t="b">
            <v>0</v>
          </cell>
        </row>
        <row r="387">
          <cell r="E387" t="str">
            <v>Onerous contracts provision</v>
          </cell>
          <cell r="HX387" t="str">
            <v>mstag:onerousContractsProvision</v>
          </cell>
          <cell r="HY387">
            <v>6</v>
          </cell>
          <cell r="HZ387" t="str">
            <v>ISO4217:USD</v>
          </cell>
          <cell r="IA387" t="b">
            <v>0</v>
          </cell>
          <cell r="IB387" t="b">
            <v>0</v>
          </cell>
        </row>
        <row r="388">
          <cell r="E388" t="str">
            <v>Environmental liability</v>
          </cell>
          <cell r="HX388" t="str">
            <v>mstag:environmentalLiability</v>
          </cell>
          <cell r="HY388">
            <v>6</v>
          </cell>
          <cell r="HZ388" t="str">
            <v>ISO4217:USD</v>
          </cell>
          <cell r="IA388" t="b">
            <v>0</v>
          </cell>
          <cell r="IB388" t="b">
            <v>0</v>
          </cell>
        </row>
        <row r="389">
          <cell r="E389" t="str">
            <v>Asset retirement obligation</v>
          </cell>
          <cell r="HX389" t="str">
            <v>mstag:assetRetirementObligation</v>
          </cell>
          <cell r="HY389">
            <v>6</v>
          </cell>
          <cell r="HZ389" t="str">
            <v>ISO4217:USD</v>
          </cell>
          <cell r="IA389" t="b">
            <v>0</v>
          </cell>
          <cell r="IB389" t="b">
            <v>0</v>
          </cell>
        </row>
        <row r="390">
          <cell r="E390" t="str">
            <v>Other provisions</v>
          </cell>
          <cell r="HX390" t="str">
            <v>mstag:otherProvisions</v>
          </cell>
          <cell r="HY390">
            <v>6</v>
          </cell>
          <cell r="HZ390" t="str">
            <v>ISO4217:USD</v>
          </cell>
          <cell r="IA390" t="b">
            <v>0</v>
          </cell>
          <cell r="IB390" t="b">
            <v>0</v>
          </cell>
        </row>
        <row r="391">
          <cell r="D391" t="str">
            <v>Deferred tax liabilities</v>
          </cell>
          <cell r="G391">
            <v>0</v>
          </cell>
          <cell r="H391">
            <v>43.781999999999996</v>
          </cell>
          <cell r="I391">
            <v>626.46600000000001</v>
          </cell>
          <cell r="J391">
            <v>349.84800000000001</v>
          </cell>
          <cell r="K391">
            <v>447.80900000000003</v>
          </cell>
          <cell r="L391">
            <v>148.31399999999999</v>
          </cell>
          <cell r="M391">
            <v>26.055999999999997</v>
          </cell>
          <cell r="HX391" t="str">
            <v>mstag:deferredTaxLiabilities</v>
          </cell>
          <cell r="HY391">
            <v>6</v>
          </cell>
          <cell r="HZ391" t="str">
            <v>ISO4217:USD</v>
          </cell>
          <cell r="IA391" t="b">
            <v>0</v>
          </cell>
          <cell r="IB391" t="b">
            <v>0</v>
          </cell>
        </row>
        <row r="392">
          <cell r="E392" t="str">
            <v>Deferred tax liabilities, current</v>
          </cell>
          <cell r="HX392" t="str">
            <v>mstag:deferredTaxLiabilitiesCurrent</v>
          </cell>
          <cell r="HY392">
            <v>6</v>
          </cell>
          <cell r="HZ392" t="str">
            <v>ISO4217:USD</v>
          </cell>
          <cell r="IA392" t="b">
            <v>0</v>
          </cell>
          <cell r="IB392" t="b">
            <v>0</v>
          </cell>
        </row>
        <row r="393">
          <cell r="E393" t="str">
            <v>Deferred tax liabilities, noncurrent</v>
          </cell>
          <cell r="G393">
            <v>0</v>
          </cell>
          <cell r="H393">
            <v>43.781999999999996</v>
          </cell>
          <cell r="I393">
            <v>626.46600000000001</v>
          </cell>
          <cell r="J393">
            <v>349.84800000000001</v>
          </cell>
          <cell r="K393">
            <v>447.80900000000003</v>
          </cell>
          <cell r="L393">
            <v>148.31399999999999</v>
          </cell>
          <cell r="HX393" t="str">
            <v>mstag:deferredTaxLiabilitiesNonCurrent</v>
          </cell>
          <cell r="HY393">
            <v>6</v>
          </cell>
          <cell r="HZ393" t="str">
            <v>ISO4217:USD</v>
          </cell>
          <cell r="IA393" t="b">
            <v>0</v>
          </cell>
          <cell r="IB393" t="b">
            <v>0</v>
          </cell>
        </row>
        <row r="394">
          <cell r="D394" t="str">
            <v>Deferred revenue</v>
          </cell>
          <cell r="G394">
            <v>0</v>
          </cell>
          <cell r="H394">
            <v>0</v>
          </cell>
          <cell r="I394">
            <v>4.9719999999999995</v>
          </cell>
          <cell r="J394">
            <v>103.03299999999999</v>
          </cell>
          <cell r="K394">
            <v>87.575999999999993</v>
          </cell>
          <cell r="L394">
            <v>89.576999999999998</v>
          </cell>
          <cell r="M394">
            <v>328.68</v>
          </cell>
          <cell r="HX394" t="str">
            <v>mstag:deferredRevenue</v>
          </cell>
          <cell r="HY394">
            <v>6</v>
          </cell>
          <cell r="HZ394" t="str">
            <v>ISO4217:USD</v>
          </cell>
          <cell r="IA394" t="b">
            <v>0</v>
          </cell>
          <cell r="IB394" t="b">
            <v>0</v>
          </cell>
        </row>
        <row r="395">
          <cell r="E395" t="str">
            <v>Deferred revenue, current</v>
          </cell>
          <cell r="G395">
            <v>0</v>
          </cell>
          <cell r="H395">
            <v>0</v>
          </cell>
          <cell r="I395">
            <v>2</v>
          </cell>
          <cell r="J395">
            <v>15.433</v>
          </cell>
          <cell r="K395">
            <v>19.542999999999999</v>
          </cell>
          <cell r="L395">
            <v>20.044</v>
          </cell>
          <cell r="HX395" t="str">
            <v>mstag:deferredRevenueCurrent</v>
          </cell>
          <cell r="HY395">
            <v>6</v>
          </cell>
          <cell r="HZ395" t="str">
            <v>ISO4217:USD</v>
          </cell>
          <cell r="IA395" t="b">
            <v>0</v>
          </cell>
          <cell r="IB395" t="b">
            <v>0</v>
          </cell>
        </row>
        <row r="396">
          <cell r="E396" t="str">
            <v>Deferred revenue, noncurrent</v>
          </cell>
          <cell r="G396">
            <v>0</v>
          </cell>
          <cell r="H396">
            <v>0</v>
          </cell>
          <cell r="I396">
            <v>2.972</v>
          </cell>
          <cell r="J396">
            <v>87.6</v>
          </cell>
          <cell r="K396">
            <v>68.033000000000001</v>
          </cell>
          <cell r="L396">
            <v>69.533000000000001</v>
          </cell>
          <cell r="HX396" t="str">
            <v>mstag:deferredRevenueNonCurrent</v>
          </cell>
          <cell r="HY396">
            <v>6</v>
          </cell>
          <cell r="HZ396" t="str">
            <v>ISO4217:USD</v>
          </cell>
          <cell r="IA396" t="b">
            <v>0</v>
          </cell>
          <cell r="IB396" t="b">
            <v>0</v>
          </cell>
        </row>
        <row r="397">
          <cell r="D397" t="str">
            <v>Pension and other postretirement obligations</v>
          </cell>
          <cell r="HX397" t="str">
            <v>mstag:pensionAndOtherPostRetirementObligations</v>
          </cell>
          <cell r="HY397">
            <v>6</v>
          </cell>
          <cell r="HZ397" t="str">
            <v>ISO4217:USD</v>
          </cell>
          <cell r="IA397" t="b">
            <v>0</v>
          </cell>
          <cell r="IB397" t="b">
            <v>0</v>
          </cell>
        </row>
        <row r="398">
          <cell r="D398" t="str">
            <v>Deferred compensation</v>
          </cell>
          <cell r="HX398" t="str">
            <v>mstag:deferredCompensation</v>
          </cell>
          <cell r="HY398">
            <v>6</v>
          </cell>
          <cell r="HZ398" t="str">
            <v>ISO4217:USD</v>
          </cell>
          <cell r="IA398" t="b">
            <v>0</v>
          </cell>
          <cell r="IB398" t="b">
            <v>0</v>
          </cell>
        </row>
        <row r="399">
          <cell r="D399" t="str">
            <v>Other liabilities, operating</v>
          </cell>
          <cell r="G399">
            <v>107.93499999999999</v>
          </cell>
          <cell r="H399">
            <v>115.042</v>
          </cell>
          <cell r="I399">
            <v>104.34200000000001</v>
          </cell>
          <cell r="J399">
            <v>112.56399999999999</v>
          </cell>
          <cell r="K399">
            <v>169.78</v>
          </cell>
          <cell r="L399">
            <v>678.37599999999998</v>
          </cell>
          <cell r="M399" t="str">
            <v/>
          </cell>
          <cell r="HX399" t="str">
            <v>mstag:otherLiabilitiesOperating</v>
          </cell>
          <cell r="HY399">
            <v>6</v>
          </cell>
          <cell r="HZ399" t="str">
            <v>ISO4217:USD</v>
          </cell>
          <cell r="IA399" t="b">
            <v>0</v>
          </cell>
          <cell r="IB399" t="b">
            <v>0</v>
          </cell>
        </row>
        <row r="400">
          <cell r="E400" t="str">
            <v>Other liabilities, operating, current</v>
          </cell>
          <cell r="G400">
            <v>71.10499999999999</v>
          </cell>
          <cell r="H400">
            <v>88.584000000000003</v>
          </cell>
          <cell r="I400">
            <v>95.979000000000013</v>
          </cell>
          <cell r="J400">
            <v>110.77499999999999</v>
          </cell>
          <cell r="K400">
            <v>122.349</v>
          </cell>
          <cell r="L400">
            <v>123.648</v>
          </cell>
          <cell r="HX400" t="str">
            <v>mstag:otherLiabilitiesOperatingCurrent</v>
          </cell>
          <cell r="HY400">
            <v>6</v>
          </cell>
          <cell r="HZ400" t="str">
            <v>ISO4217:USD</v>
          </cell>
          <cell r="IA400" t="b">
            <v>0</v>
          </cell>
          <cell r="IB400" t="b">
            <v>0</v>
          </cell>
        </row>
        <row r="401">
          <cell r="E401" t="str">
            <v>Other liabilities, operating, noncurrent</v>
          </cell>
          <cell r="G401">
            <v>36.83</v>
          </cell>
          <cell r="H401">
            <v>26.457999999999998</v>
          </cell>
          <cell r="I401">
            <v>8.3629999999999995</v>
          </cell>
          <cell r="J401">
            <v>1.7889999999999999</v>
          </cell>
          <cell r="K401">
            <v>47.430999999999997</v>
          </cell>
          <cell r="L401">
            <v>554.72799999999995</v>
          </cell>
          <cell r="HX401" t="str">
            <v>mstag:otherLiabilitiesOperatingNonCurrent</v>
          </cell>
          <cell r="HY401">
            <v>6</v>
          </cell>
          <cell r="HZ401" t="str">
            <v>ISO4217:USD</v>
          </cell>
          <cell r="IA401" t="b">
            <v>0</v>
          </cell>
          <cell r="IB401" t="b">
            <v>0</v>
          </cell>
        </row>
        <row r="402">
          <cell r="D402" t="str">
            <v>Other liabilities, nonoperating</v>
          </cell>
          <cell r="G402">
            <v>0</v>
          </cell>
          <cell r="H402">
            <v>0</v>
          </cell>
          <cell r="I402">
            <v>0</v>
          </cell>
          <cell r="J402">
            <v>0</v>
          </cell>
          <cell r="K402">
            <v>0</v>
          </cell>
          <cell r="L402">
            <v>0</v>
          </cell>
          <cell r="M402">
            <v>623.29</v>
          </cell>
          <cell r="HX402" t="str">
            <v>mstag:otherLiabilitiesNonOperating</v>
          </cell>
          <cell r="HY402">
            <v>6</v>
          </cell>
          <cell r="HZ402" t="str">
            <v>ISO4217:USD</v>
          </cell>
          <cell r="IA402" t="b">
            <v>0</v>
          </cell>
          <cell r="IB402" t="b">
            <v>0</v>
          </cell>
        </row>
        <row r="403">
          <cell r="E403" t="str">
            <v>Other liabilities, nonoperating, current</v>
          </cell>
          <cell r="G403">
            <v>0</v>
          </cell>
          <cell r="H403">
            <v>0</v>
          </cell>
          <cell r="I403">
            <v>0</v>
          </cell>
          <cell r="J403">
            <v>0</v>
          </cell>
          <cell r="K403">
            <v>0</v>
          </cell>
          <cell r="L403">
            <v>0</v>
          </cell>
          <cell r="HX403" t="str">
            <v>mstag:otherLiabilitiesNonOperatingCurrent</v>
          </cell>
          <cell r="HY403">
            <v>6</v>
          </cell>
          <cell r="HZ403" t="str">
            <v>ISO4217:USD</v>
          </cell>
          <cell r="IA403" t="b">
            <v>0</v>
          </cell>
          <cell r="IB403" t="b">
            <v>0</v>
          </cell>
        </row>
        <row r="404">
          <cell r="E404" t="str">
            <v>Other liabilities, nonoperating, noncurrent</v>
          </cell>
          <cell r="HX404" t="str">
            <v>mstag:otherLiabilitiesNonOperatingNonCurrent</v>
          </cell>
          <cell r="HY404">
            <v>6</v>
          </cell>
          <cell r="HZ404" t="str">
            <v>ISO4217:USD</v>
          </cell>
          <cell r="IA404" t="b">
            <v>0</v>
          </cell>
          <cell r="IB404" t="b">
            <v>0</v>
          </cell>
        </row>
        <row r="405">
          <cell r="D405" t="str">
            <v>Liabilities of discontinued operations</v>
          </cell>
          <cell r="HX405" t="str">
            <v>mstag:liabilitiesOfDiscontinuedOperations</v>
          </cell>
          <cell r="HY405">
            <v>6</v>
          </cell>
          <cell r="HZ405" t="str">
            <v>ISO4217:USD</v>
          </cell>
          <cell r="IA405" t="b">
            <v>0</v>
          </cell>
          <cell r="IB405" t="b">
            <v>0</v>
          </cell>
        </row>
        <row r="406">
          <cell r="D406" t="str">
            <v>Minority interests in shareholders' equity</v>
          </cell>
          <cell r="HX406" t="str">
            <v>mstag:minorityInterestsInShareholdersEquity</v>
          </cell>
          <cell r="HY406">
            <v>6</v>
          </cell>
          <cell r="HZ406" t="str">
            <v>ISO4217:USD</v>
          </cell>
          <cell r="IA406" t="b">
            <v>0</v>
          </cell>
          <cell r="IB406" t="b">
            <v>0</v>
          </cell>
        </row>
        <row r="407">
          <cell r="D407" t="str">
            <v>Preferred equity</v>
          </cell>
          <cell r="HX407" t="str">
            <v>mstag:preferredEquity</v>
          </cell>
          <cell r="HY407">
            <v>6</v>
          </cell>
          <cell r="HZ407" t="str">
            <v>ISO4217:USD</v>
          </cell>
          <cell r="IA407" t="b">
            <v>0</v>
          </cell>
          <cell r="IB407" t="b">
            <v>0</v>
          </cell>
        </row>
        <row r="408">
          <cell r="D408" t="str">
            <v>Common equity</v>
          </cell>
          <cell r="F408">
            <v>1801.059</v>
          </cell>
          <cell r="G408">
            <v>2031.2250000000001</v>
          </cell>
          <cell r="H408">
            <v>2343.8449999999998</v>
          </cell>
          <cell r="I408">
            <v>5269.8569999999991</v>
          </cell>
          <cell r="J408">
            <v>5674.2030000000004</v>
          </cell>
          <cell r="K408">
            <v>5919.8189999999995</v>
          </cell>
          <cell r="L408">
            <v>5338.884</v>
          </cell>
          <cell r="M408">
            <v>6520.1896436999996</v>
          </cell>
          <cell r="HX408" t="str">
            <v>mstag:commonEquity</v>
          </cell>
          <cell r="HY408">
            <v>6</v>
          </cell>
          <cell r="HZ408" t="str">
            <v>ISO4217:USD</v>
          </cell>
          <cell r="IA408" t="b">
            <v>0</v>
          </cell>
          <cell r="IB408" t="b">
            <v>0</v>
          </cell>
        </row>
        <row r="409">
          <cell r="E409" t="str">
            <v>Total share capital</v>
          </cell>
          <cell r="G409">
            <v>1466.252</v>
          </cell>
          <cell r="H409">
            <v>1591.5319999999999</v>
          </cell>
          <cell r="I409">
            <v>6255.4699999999993</v>
          </cell>
          <cell r="J409">
            <v>6661.9380000000001</v>
          </cell>
          <cell r="K409">
            <v>6805.3969999999999</v>
          </cell>
          <cell r="L409">
            <v>6660.6080000000002</v>
          </cell>
          <cell r="M409">
            <v>7380.7550000000001</v>
          </cell>
          <cell r="HX409" t="str">
            <v>mstag:totalShareCapital</v>
          </cell>
          <cell r="HY409">
            <v>6</v>
          </cell>
          <cell r="HZ409" t="str">
            <v>ISO4217:USD</v>
          </cell>
          <cell r="IA409" t="b">
            <v>0</v>
          </cell>
          <cell r="IB409" t="b">
            <v>0</v>
          </cell>
        </row>
        <row r="410">
          <cell r="F410" t="str">
            <v>Common stock</v>
          </cell>
          <cell r="G410">
            <v>2.484</v>
          </cell>
          <cell r="H410">
            <v>2.5419999999999998</v>
          </cell>
          <cell r="I410">
            <v>10.324</v>
          </cell>
          <cell r="J410">
            <v>10.51</v>
          </cell>
          <cell r="K410">
            <v>10.566000000000001</v>
          </cell>
          <cell r="L410">
            <v>10.256</v>
          </cell>
          <cell r="M410">
            <v>10.494999999999999</v>
          </cell>
          <cell r="HX410" t="str">
            <v>mstag:commonStock</v>
          </cell>
          <cell r="HY410">
            <v>6</v>
          </cell>
          <cell r="HZ410" t="str">
            <v>ISO4217:USD</v>
          </cell>
          <cell r="IA410" t="b">
            <v>0</v>
          </cell>
          <cell r="IB410" t="b">
            <v>0</v>
          </cell>
        </row>
        <row r="411">
          <cell r="F411" t="str">
            <v>Additional paid in capital</v>
          </cell>
          <cell r="G411">
            <v>1463.768</v>
          </cell>
          <cell r="H411">
            <v>1588.99</v>
          </cell>
          <cell r="I411">
            <v>6245.1459999999997</v>
          </cell>
          <cell r="J411">
            <v>6651.4279999999999</v>
          </cell>
          <cell r="K411">
            <v>6794.8310000000001</v>
          </cell>
          <cell r="L411">
            <v>6650.3519999999999</v>
          </cell>
          <cell r="M411">
            <v>7370.26</v>
          </cell>
          <cell r="HX411" t="str">
            <v>mstag:additionalPaidInCapital</v>
          </cell>
          <cell r="HY411">
            <v>6</v>
          </cell>
          <cell r="HZ411" t="str">
            <v>ISO4217:USD</v>
          </cell>
          <cell r="IA411" t="b">
            <v>0</v>
          </cell>
          <cell r="IB411" t="b">
            <v>0</v>
          </cell>
        </row>
        <row r="412">
          <cell r="E412" t="str">
            <v>Retained earnings</v>
          </cell>
          <cell r="G412">
            <v>511.14100000000002</v>
          </cell>
          <cell r="H412">
            <v>693.05</v>
          </cell>
          <cell r="I412">
            <v>-1245.1120000000001</v>
          </cell>
          <cell r="J412">
            <v>-1319.3530000000001</v>
          </cell>
          <cell r="K412">
            <v>-1197.3</v>
          </cell>
          <cell r="L412">
            <v>-1590.366</v>
          </cell>
          <cell r="M412">
            <v>-1157.4679999999998</v>
          </cell>
          <cell r="HX412" t="str">
            <v>mstag:retainedEarnings</v>
          </cell>
          <cell r="HY412">
            <v>6</v>
          </cell>
          <cell r="HZ412" t="str">
            <v>ISO4217:USD</v>
          </cell>
          <cell r="IA412" t="b">
            <v>0</v>
          </cell>
          <cell r="IB412" t="b">
            <v>0</v>
          </cell>
        </row>
        <row r="413">
          <cell r="E413" t="str">
            <v>Accumulated other comprehensive income (loss) and reserves</v>
          </cell>
          <cell r="G413">
            <v>53.832000000000001</v>
          </cell>
          <cell r="H413">
            <v>59.262999999999998</v>
          </cell>
          <cell r="I413">
            <v>259.49900000000002</v>
          </cell>
          <cell r="J413">
            <v>331.61800000000005</v>
          </cell>
          <cell r="K413">
            <v>311.72199999999998</v>
          </cell>
          <cell r="L413">
            <v>268.642</v>
          </cell>
          <cell r="M413">
            <v>296.9026437</v>
          </cell>
          <cell r="HX413" t="str">
            <v>mstag:accumulatedOtherComprehensiveIncomeLossAndReserves</v>
          </cell>
          <cell r="HY413">
            <v>6</v>
          </cell>
          <cell r="HZ413" t="str">
            <v>ISO4217:USD</v>
          </cell>
          <cell r="IA413" t="b">
            <v>0</v>
          </cell>
          <cell r="IB413" t="b">
            <v>0</v>
          </cell>
        </row>
        <row r="414">
          <cell r="F414" t="str">
            <v>Cumulative translation adjustment</v>
          </cell>
          <cell r="HX414" t="str">
            <v>mstag:cumulativeTranslationAdjustment</v>
          </cell>
          <cell r="HY414">
            <v>6</v>
          </cell>
          <cell r="HZ414" t="str">
            <v>ISO4217:USD</v>
          </cell>
          <cell r="IA414" t="b">
            <v>0</v>
          </cell>
          <cell r="IB414" t="b">
            <v>0</v>
          </cell>
        </row>
        <row r="415">
          <cell r="F415" t="str">
            <v>Unrealized gains and losses on securities and other financial instruments</v>
          </cell>
          <cell r="G415">
            <v>53.832000000000001</v>
          </cell>
          <cell r="H415">
            <v>59.262999999999998</v>
          </cell>
          <cell r="I415">
            <v>259.49900000000002</v>
          </cell>
          <cell r="J415">
            <v>72.119</v>
          </cell>
          <cell r="K415">
            <v>303.89999999999998</v>
          </cell>
          <cell r="L415">
            <v>265.10000000000002</v>
          </cell>
          <cell r="HX415" t="str">
            <v>mstag:unrealizedGainsAndLossesOnSecuritiesAndOtherFinancialInstruments</v>
          </cell>
          <cell r="HY415">
            <v>6</v>
          </cell>
          <cell r="HZ415" t="str">
            <v>ISO4217:USD</v>
          </cell>
          <cell r="IA415" t="b">
            <v>0</v>
          </cell>
          <cell r="IB415" t="b">
            <v>0</v>
          </cell>
        </row>
        <row r="416">
          <cell r="F416" t="str">
            <v>Minimum pension liability</v>
          </cell>
          <cell r="HX416" t="str">
            <v>mstag:minimumPensionLiability</v>
          </cell>
          <cell r="HY416">
            <v>6</v>
          </cell>
          <cell r="HZ416" t="str">
            <v>ISO4217:USD</v>
          </cell>
          <cell r="IA416" t="b">
            <v>0</v>
          </cell>
          <cell r="IB416" t="b">
            <v>0</v>
          </cell>
        </row>
        <row r="417">
          <cell r="F417" t="str">
            <v>Cash flow hedges</v>
          </cell>
          <cell r="G417">
            <v>0</v>
          </cell>
          <cell r="H417">
            <v>0</v>
          </cell>
          <cell r="I417">
            <v>0</v>
          </cell>
          <cell r="J417">
            <v>0</v>
          </cell>
          <cell r="K417">
            <v>7.8220000000000001</v>
          </cell>
          <cell r="L417">
            <v>3.5419999999999998</v>
          </cell>
          <cell r="HX417" t="str">
            <v>mstag:cashFlowHedges</v>
          </cell>
          <cell r="HY417">
            <v>6</v>
          </cell>
          <cell r="HZ417" t="str">
            <v>ISO4217:USD</v>
          </cell>
          <cell r="IA417" t="b">
            <v>0</v>
          </cell>
          <cell r="IB417" t="b">
            <v>0</v>
          </cell>
        </row>
        <row r="418">
          <cell r="F418" t="str">
            <v>Other accumulated OCI and reserves</v>
          </cell>
          <cell r="G418">
            <v>0</v>
          </cell>
          <cell r="H418">
            <v>0</v>
          </cell>
          <cell r="I418">
            <v>0</v>
          </cell>
          <cell r="J418">
            <v>259.49900000000002</v>
          </cell>
          <cell r="K418">
            <v>0</v>
          </cell>
          <cell r="L418">
            <v>0</v>
          </cell>
          <cell r="HX418" t="str">
            <v>mstag:otherAccumulatedOciAndReserves</v>
          </cell>
          <cell r="HY418">
            <v>6</v>
          </cell>
          <cell r="HZ418" t="str">
            <v>ISO4217:USD</v>
          </cell>
          <cell r="IA418" t="b">
            <v>0</v>
          </cell>
          <cell r="IB418" t="b">
            <v>0</v>
          </cell>
        </row>
        <row r="419">
          <cell r="F419" t="str">
            <v>Revaluation reserves</v>
          </cell>
          <cell r="HX419" t="str">
            <v>mstag:revaluationReserves</v>
          </cell>
          <cell r="HY419">
            <v>6</v>
          </cell>
          <cell r="HZ419" t="str">
            <v>ISO4217:USD</v>
          </cell>
          <cell r="IA419" t="b">
            <v>0</v>
          </cell>
          <cell r="IB419" t="b">
            <v>0</v>
          </cell>
        </row>
        <row r="420">
          <cell r="F420" t="str">
            <v>Unearned compensation reserve</v>
          </cell>
          <cell r="HX420" t="str">
            <v>mstag:unearnedCompensationReserve</v>
          </cell>
          <cell r="HY420">
            <v>6</v>
          </cell>
          <cell r="HZ420" t="str">
            <v>ISO4217:USD</v>
          </cell>
          <cell r="IA420" t="b">
            <v>0</v>
          </cell>
          <cell r="IB420" t="b">
            <v>0</v>
          </cell>
        </row>
        <row r="421">
          <cell r="E421" t="str">
            <v>Treasury stock and investment in own shares</v>
          </cell>
          <cell r="HX421" t="str">
            <v>mstag:treasuryStockAndInvestmentInOwnShares</v>
          </cell>
          <cell r="HY421">
            <v>6</v>
          </cell>
          <cell r="HZ421" t="str">
            <v>ISO4217:USD</v>
          </cell>
          <cell r="IA421" t="b">
            <v>0</v>
          </cell>
          <cell r="IB421" t="b">
            <v>0</v>
          </cell>
        </row>
        <row r="422">
          <cell r="E422" t="str">
            <v>Warrants and rights outstanding, equity</v>
          </cell>
          <cell r="HX422" t="str">
            <v>mstag:warrantsAndRightsOutstandingEquity</v>
          </cell>
          <cell r="HY422">
            <v>6</v>
          </cell>
          <cell r="HZ422" t="str">
            <v>ISO4217:USD</v>
          </cell>
          <cell r="IA422" t="b">
            <v>0</v>
          </cell>
          <cell r="IB422" t="b">
            <v>0</v>
          </cell>
        </row>
        <row r="423">
          <cell r="E423" t="str">
            <v>Other equity items</v>
          </cell>
          <cell r="HX423" t="str">
            <v>mstag:otherEquityItems</v>
          </cell>
          <cell r="HY423">
            <v>6</v>
          </cell>
          <cell r="HZ423" t="str">
            <v>ISO4217:USD</v>
          </cell>
          <cell r="IA423" t="b">
            <v>0</v>
          </cell>
          <cell r="IB423" t="b">
            <v>0</v>
          </cell>
        </row>
        <row r="424">
          <cell r="B424" t="str">
            <v>Cash flow</v>
          </cell>
          <cell r="HY424">
            <v>0</v>
          </cell>
          <cell r="HZ424" t="str">
            <v>ms_eqr_gcim_String:ms_eqr_gcim_string</v>
          </cell>
          <cell r="IA424" t="b">
            <v>0</v>
          </cell>
          <cell r="IB424" t="b">
            <v>0</v>
          </cell>
        </row>
        <row r="425">
          <cell r="C425" t="str">
            <v>Net income, reported, cash flow statement</v>
          </cell>
          <cell r="G425">
            <v>129.04400000000001</v>
          </cell>
          <cell r="H425">
            <v>181.90899999999999</v>
          </cell>
          <cell r="I425">
            <v>-1157.4760000000001</v>
          </cell>
          <cell r="J425">
            <v>-74.241</v>
          </cell>
          <cell r="K425">
            <v>150.23599999999999</v>
          </cell>
          <cell r="L425">
            <v>63.786999999999999</v>
          </cell>
          <cell r="M425">
            <v>562.45584265857804</v>
          </cell>
          <cell r="HX425" t="str">
            <v>mstag:netIncomeReported</v>
          </cell>
          <cell r="HY425">
            <v>6</v>
          </cell>
          <cell r="HZ425" t="str">
            <v>ISO4217:USD</v>
          </cell>
          <cell r="IA425" t="b">
            <v>0</v>
          </cell>
          <cell r="IB425" t="b">
            <v>0</v>
          </cell>
        </row>
        <row r="426">
          <cell r="C426" t="str">
            <v>Depreciation, cash flow statement</v>
          </cell>
          <cell r="G426">
            <v>65.533000000000001</v>
          </cell>
          <cell r="H426">
            <v>78.100999999999999</v>
          </cell>
          <cell r="I426">
            <v>90.282000000000011</v>
          </cell>
          <cell r="J426">
            <v>88.80400000000003</v>
          </cell>
          <cell r="K426">
            <v>96.290999999999997</v>
          </cell>
          <cell r="L426">
            <v>104.55499999999998</v>
          </cell>
          <cell r="M426">
            <v>125</v>
          </cell>
          <cell r="HX426" t="str">
            <v>mstag:depreciation</v>
          </cell>
          <cell r="HY426">
            <v>6</v>
          </cell>
          <cell r="HZ426" t="str">
            <v>ISO4217:USD</v>
          </cell>
          <cell r="IA426" t="b">
            <v>0</v>
          </cell>
          <cell r="IB426" t="b">
            <v>0</v>
          </cell>
        </row>
        <row r="427">
          <cell r="C427" t="str">
            <v>Amortization of goodwill, cash flow statement</v>
          </cell>
          <cell r="G427">
            <v>0</v>
          </cell>
          <cell r="H427">
            <v>0</v>
          </cell>
          <cell r="I427">
            <v>76.599999999999994</v>
          </cell>
          <cell r="J427">
            <v>211</v>
          </cell>
          <cell r="K427">
            <v>153.30000000000001</v>
          </cell>
          <cell r="L427">
            <v>0</v>
          </cell>
          <cell r="HX427" t="str">
            <v>mstag:amortizationOfGoodwillCashFlowStatement</v>
          </cell>
          <cell r="HY427">
            <v>6</v>
          </cell>
          <cell r="HZ427" t="str">
            <v>ISO4217:USD</v>
          </cell>
          <cell r="IA427" t="b">
            <v>0</v>
          </cell>
          <cell r="IB427" t="b">
            <v>0</v>
          </cell>
        </row>
        <row r="428">
          <cell r="C428" t="str">
            <v>Amortization of intangibles assumed to have indefinite life, cash flow statement</v>
          </cell>
          <cell r="G428">
            <v>0</v>
          </cell>
          <cell r="H428">
            <v>0</v>
          </cell>
          <cell r="I428">
            <v>113.8</v>
          </cell>
          <cell r="J428">
            <v>158</v>
          </cell>
          <cell r="K428">
            <v>169.8</v>
          </cell>
          <cell r="L428">
            <v>162.19999999999999</v>
          </cell>
          <cell r="M428">
            <v>170.4</v>
          </cell>
          <cell r="HX428" t="str">
            <v>mstag:amortizationOfIntangiblesAssumedToHaveIndefiniteLife</v>
          </cell>
          <cell r="HY428">
            <v>6</v>
          </cell>
          <cell r="HZ428" t="str">
            <v>ISO4217:USD</v>
          </cell>
          <cell r="IA428" t="b">
            <v>0</v>
          </cell>
          <cell r="IB428" t="b">
            <v>0</v>
          </cell>
        </row>
        <row r="429">
          <cell r="C429" t="str">
            <v>Amortization of other intangibles, cash flow statement</v>
          </cell>
          <cell r="G429">
            <v>0</v>
          </cell>
          <cell r="H429">
            <v>0</v>
          </cell>
          <cell r="I429">
            <v>0</v>
          </cell>
          <cell r="J429">
            <v>5.2</v>
          </cell>
          <cell r="K429">
            <v>8.6999999999999993</v>
          </cell>
          <cell r="L429">
            <v>8.1999999999999993</v>
          </cell>
          <cell r="M429" t="str">
            <v/>
          </cell>
          <cell r="HX429" t="str">
            <v>mstag:amortizationOfOtherIntangibles</v>
          </cell>
          <cell r="HY429">
            <v>6</v>
          </cell>
          <cell r="HZ429" t="str">
            <v>ISO4217:USD</v>
          </cell>
          <cell r="IA429" t="b">
            <v>0</v>
          </cell>
          <cell r="IB429" t="b">
            <v>0</v>
          </cell>
        </row>
        <row r="430">
          <cell r="D430" t="str">
            <v>Amortization of taxable other intangibles, cash flow statement</v>
          </cell>
          <cell r="HX430" t="str">
            <v>mstag:amortizationOfTaxableOtherIntangiblesCashFlowStatement</v>
          </cell>
          <cell r="HY430">
            <v>6</v>
          </cell>
          <cell r="HZ430" t="str">
            <v>ISO4217:USD</v>
          </cell>
          <cell r="IA430" t="b">
            <v>0</v>
          </cell>
          <cell r="IB430" t="b">
            <v>0</v>
          </cell>
        </row>
        <row r="431">
          <cell r="D431" t="str">
            <v>Amortization of nontaxable other intangibles, cash flow statement</v>
          </cell>
          <cell r="HX431" t="str">
            <v>mstag:amortizationOfNonTaxableOtherIntangiblesCashFlowStatement</v>
          </cell>
          <cell r="HY431">
            <v>6</v>
          </cell>
          <cell r="HZ431" t="str">
            <v>ISO4217:USD</v>
          </cell>
          <cell r="IA431" t="b">
            <v>0</v>
          </cell>
          <cell r="IB431" t="b">
            <v>0</v>
          </cell>
        </row>
        <row r="432">
          <cell r="C432" t="str">
            <v>Restructuring costs, recurring, cash flow statement</v>
          </cell>
          <cell r="HX432" t="str">
            <v>mstag:restructuringCostsRecurringCashFlowStatement</v>
          </cell>
          <cell r="HY432">
            <v>6</v>
          </cell>
          <cell r="HZ432" t="str">
            <v>ISO4217:USD</v>
          </cell>
          <cell r="IA432" t="b">
            <v>0</v>
          </cell>
          <cell r="IB432" t="b">
            <v>0</v>
          </cell>
        </row>
        <row r="433">
          <cell r="C433" t="str">
            <v>Restructuring costs, one time, cash flow statement</v>
          </cell>
          <cell r="HX433" t="str">
            <v>mstag:restructuringCostsOneTimeCashFlowStatement</v>
          </cell>
          <cell r="HY433">
            <v>6</v>
          </cell>
          <cell r="HZ433" t="str">
            <v>ISO4217:USD</v>
          </cell>
          <cell r="IA433" t="b">
            <v>0</v>
          </cell>
          <cell r="IB433" t="b">
            <v>0</v>
          </cell>
        </row>
        <row r="434">
          <cell r="C434" t="str">
            <v>Legal provision, recurring, cash flow statement</v>
          </cell>
          <cell r="HX434" t="str">
            <v>mstag:legalProvisionRecurringCashFlowStatement</v>
          </cell>
          <cell r="HY434">
            <v>6</v>
          </cell>
          <cell r="HZ434" t="str">
            <v>ISO4217:USD</v>
          </cell>
          <cell r="IA434" t="b">
            <v>0</v>
          </cell>
          <cell r="IB434" t="b">
            <v>0</v>
          </cell>
        </row>
        <row r="435">
          <cell r="C435" t="str">
            <v>Legal provision, one time, cash flow statement</v>
          </cell>
          <cell r="HX435" t="str">
            <v>mstag:legalProvisionOneTimeCashFlowStatement</v>
          </cell>
          <cell r="HY435">
            <v>6</v>
          </cell>
          <cell r="HZ435" t="str">
            <v>ISO4217:USD</v>
          </cell>
          <cell r="IA435" t="b">
            <v>0</v>
          </cell>
          <cell r="IB435" t="b">
            <v>0</v>
          </cell>
        </row>
        <row r="436">
          <cell r="C436" t="str">
            <v>Environmental provision, recurring, cash flow statement</v>
          </cell>
          <cell r="HX436" t="str">
            <v>mstag:environmentalProvisionRecurringCashFlowStatement</v>
          </cell>
          <cell r="HY436">
            <v>6</v>
          </cell>
          <cell r="HZ436" t="str">
            <v>ISO4217:USD</v>
          </cell>
          <cell r="IA436" t="b">
            <v>0</v>
          </cell>
          <cell r="IB436" t="b">
            <v>0</v>
          </cell>
        </row>
        <row r="437">
          <cell r="C437" t="str">
            <v>Environmental provision, one time, cash flow statement</v>
          </cell>
          <cell r="HX437" t="str">
            <v>mstag:environmentalProvisionOneTimeCashFlowStatement</v>
          </cell>
          <cell r="HY437">
            <v>6</v>
          </cell>
          <cell r="HZ437" t="str">
            <v>ISO4217:USD</v>
          </cell>
          <cell r="IA437" t="b">
            <v>0</v>
          </cell>
          <cell r="IB437" t="b">
            <v>0</v>
          </cell>
        </row>
        <row r="438">
          <cell r="C438" t="str">
            <v>Other provisions, recurring, cash flow statement</v>
          </cell>
          <cell r="HX438" t="str">
            <v>mstag:otherProvisionsRecurringCashFlowStatement</v>
          </cell>
          <cell r="HY438">
            <v>6</v>
          </cell>
          <cell r="HZ438" t="str">
            <v>ISO4217:USD</v>
          </cell>
          <cell r="IA438" t="b">
            <v>0</v>
          </cell>
          <cell r="IB438" t="b">
            <v>0</v>
          </cell>
        </row>
        <row r="439">
          <cell r="C439" t="str">
            <v>Other provisions, one time, cash flow statement</v>
          </cell>
          <cell r="HX439" t="str">
            <v>mstag:otherProvisionsOneTimeCashFlowStatement</v>
          </cell>
          <cell r="HY439">
            <v>6</v>
          </cell>
          <cell r="HZ439" t="str">
            <v>ISO4217:USD</v>
          </cell>
          <cell r="IA439" t="b">
            <v>0</v>
          </cell>
          <cell r="IB439" t="b">
            <v>0</v>
          </cell>
        </row>
        <row r="440">
          <cell r="C440" t="str">
            <v>Goodwill impairment, cash flow statement</v>
          </cell>
          <cell r="HX440" t="str">
            <v>mstag:goodwillImpairmentCashFlowStatement</v>
          </cell>
          <cell r="HY440">
            <v>6</v>
          </cell>
          <cell r="HZ440" t="str">
            <v>ISO4217:USD</v>
          </cell>
          <cell r="IA440" t="b">
            <v>0</v>
          </cell>
          <cell r="IB440" t="b">
            <v>0</v>
          </cell>
        </row>
        <row r="441">
          <cell r="C441" t="str">
            <v>Indefinite life intangible impairment, cash flow statement</v>
          </cell>
          <cell r="HX441" t="str">
            <v>mstag:indefiniteLifeIntangibleImpairmentCashFlowStatement</v>
          </cell>
          <cell r="HY441">
            <v>6</v>
          </cell>
          <cell r="HZ441" t="str">
            <v>ISO4217:USD</v>
          </cell>
          <cell r="IA441" t="b">
            <v>0</v>
          </cell>
          <cell r="IB441" t="b">
            <v>0</v>
          </cell>
        </row>
        <row r="442">
          <cell r="C442" t="str">
            <v>Asset impairment, nongoodwill, one time, cash flow statement</v>
          </cell>
          <cell r="G442">
            <v>0</v>
          </cell>
          <cell r="H442">
            <v>0</v>
          </cell>
          <cell r="I442">
            <v>0</v>
          </cell>
          <cell r="J442">
            <v>0</v>
          </cell>
          <cell r="K442">
            <v>0</v>
          </cell>
          <cell r="L442">
            <v>0</v>
          </cell>
          <cell r="M442">
            <v>3.8</v>
          </cell>
          <cell r="HX442" t="str">
            <v>mstag:assetImpairmentNonGoodwillOneTime</v>
          </cell>
          <cell r="HY442">
            <v>6</v>
          </cell>
          <cell r="HZ442" t="str">
            <v>ISO4217:USD</v>
          </cell>
          <cell r="IA442" t="b">
            <v>0</v>
          </cell>
          <cell r="IB442" t="b">
            <v>0</v>
          </cell>
        </row>
        <row r="443">
          <cell r="C443" t="str">
            <v>Gains (losses) from sale of PPE and intangibles, recurring, cash flow statement</v>
          </cell>
          <cell r="G443">
            <v>-0.318</v>
          </cell>
          <cell r="H443">
            <v>-1.0149999999999999</v>
          </cell>
          <cell r="I443">
            <v>-0.88600000000000001</v>
          </cell>
          <cell r="J443">
            <v>-1.123</v>
          </cell>
          <cell r="K443">
            <v>-4.2110000000000003</v>
          </cell>
          <cell r="L443">
            <v>-15.882999999999999</v>
          </cell>
          <cell r="M443">
            <v>-10.76</v>
          </cell>
          <cell r="HX443" t="str">
            <v>mstag:gainsLossesFromSaleOfOperatingAssetsRecurring</v>
          </cell>
          <cell r="HY443">
            <v>6</v>
          </cell>
          <cell r="HZ443" t="str">
            <v>ISO4217:USD</v>
          </cell>
          <cell r="IA443" t="b">
            <v>0</v>
          </cell>
          <cell r="IB443" t="b">
            <v>0</v>
          </cell>
        </row>
        <row r="444">
          <cell r="C444" t="str">
            <v>Gains (losses) from sale of PPE and intangibles, one time, cash flow statement</v>
          </cell>
          <cell r="G444">
            <v>0</v>
          </cell>
          <cell r="H444">
            <v>0</v>
          </cell>
          <cell r="I444">
            <v>0</v>
          </cell>
          <cell r="J444">
            <v>0</v>
          </cell>
          <cell r="K444">
            <v>0</v>
          </cell>
          <cell r="L444">
            <v>0</v>
          </cell>
          <cell r="M444">
            <v>20</v>
          </cell>
          <cell r="HX444" t="str">
            <v>mstag:gainsLossesFromSaleOfOperatingAssetsOneTime</v>
          </cell>
          <cell r="HY444">
            <v>6</v>
          </cell>
          <cell r="HZ444" t="str">
            <v>ISO4217:USD</v>
          </cell>
          <cell r="IA444" t="b">
            <v>0</v>
          </cell>
          <cell r="IB444" t="b">
            <v>0</v>
          </cell>
        </row>
        <row r="445">
          <cell r="C445" t="str">
            <v>Bonus paid to directors and corporate auditors (Japan)</v>
          </cell>
          <cell r="HX445" t="str">
            <v>mstag:bonusPaidToDirectorsAndCorporateAuditorsJapan</v>
          </cell>
          <cell r="HY445">
            <v>6</v>
          </cell>
          <cell r="HZ445" t="str">
            <v>ISO4217:USD</v>
          </cell>
          <cell r="IA445" t="b">
            <v>0</v>
          </cell>
          <cell r="IB445" t="b">
            <v>0</v>
          </cell>
        </row>
        <row r="446">
          <cell r="C446" t="str">
            <v>Bonus to directors and supervisors, cash flow statement (Taiwan)</v>
          </cell>
          <cell r="HX446" t="str">
            <v>mstag:bonusToDirectorsAndSupervisorsTaiwanCashFlow</v>
          </cell>
          <cell r="HY446">
            <v>6</v>
          </cell>
          <cell r="HZ446" t="str">
            <v>ISO4217:USD</v>
          </cell>
          <cell r="IA446" t="b">
            <v>0</v>
          </cell>
          <cell r="IB446" t="b">
            <v>0</v>
          </cell>
        </row>
        <row r="447">
          <cell r="C447" t="str">
            <v>Employee cash bonus, cash flow statement (Taiwan)</v>
          </cell>
          <cell r="HX447" t="str">
            <v>mstag:employeeCashBonusTaiwanCashFlow</v>
          </cell>
          <cell r="HY447">
            <v>6</v>
          </cell>
          <cell r="HZ447" t="str">
            <v>ISO4217:USD</v>
          </cell>
          <cell r="IA447" t="b">
            <v>0</v>
          </cell>
          <cell r="IB447" t="b">
            <v>0</v>
          </cell>
        </row>
        <row r="448">
          <cell r="C448" t="str">
            <v>Acquired in-process R and D, cash flow statement</v>
          </cell>
          <cell r="G448">
            <v>0</v>
          </cell>
          <cell r="H448">
            <v>0</v>
          </cell>
          <cell r="I448">
            <v>752.5</v>
          </cell>
          <cell r="J448">
            <v>0</v>
          </cell>
          <cell r="K448">
            <v>0</v>
          </cell>
          <cell r="L448">
            <v>0</v>
          </cell>
          <cell r="M448">
            <v>0</v>
          </cell>
          <cell r="HX448" t="str">
            <v>mstag:acquiredInProcessRAndD</v>
          </cell>
          <cell r="HY448">
            <v>6</v>
          </cell>
          <cell r="HZ448" t="str">
            <v>ISO4217:USD</v>
          </cell>
          <cell r="IA448" t="b">
            <v>0</v>
          </cell>
          <cell r="IB448" t="b">
            <v>0</v>
          </cell>
        </row>
        <row r="449">
          <cell r="C449" t="str">
            <v>Capital expenditures</v>
          </cell>
          <cell r="G449">
            <v>154.90199999999999</v>
          </cell>
          <cell r="H449">
            <v>88.087999999999994</v>
          </cell>
          <cell r="I449">
            <v>95.007999999999996</v>
          </cell>
          <cell r="J449">
            <v>112.681</v>
          </cell>
          <cell r="K449">
            <v>213.351</v>
          </cell>
          <cell r="L449">
            <v>322.83199999999999</v>
          </cell>
          <cell r="M449">
            <v>321.95</v>
          </cell>
          <cell r="HX449" t="str">
            <v>mstag:capitalExpenditures</v>
          </cell>
          <cell r="HY449">
            <v>6</v>
          </cell>
          <cell r="HZ449" t="str">
            <v>ISO4217:USD</v>
          </cell>
          <cell r="IA449" t="b">
            <v>0</v>
          </cell>
          <cell r="IB449" t="b">
            <v>0</v>
          </cell>
        </row>
        <row r="450">
          <cell r="D450" t="str">
            <v>Capital expenditures, sustaining</v>
          </cell>
          <cell r="G450">
            <v>154.90199999999999</v>
          </cell>
          <cell r="H450">
            <v>88.087999999999994</v>
          </cell>
          <cell r="I450">
            <v>95.007999999999996</v>
          </cell>
          <cell r="J450">
            <v>112.681</v>
          </cell>
          <cell r="K450">
            <v>213.351</v>
          </cell>
          <cell r="L450">
            <v>322.83199999999999</v>
          </cell>
          <cell r="HX450" t="str">
            <v>mstag:capitalExpendituresMaintenance</v>
          </cell>
          <cell r="HY450">
            <v>6</v>
          </cell>
          <cell r="HZ450" t="str">
            <v>ISO4217:USD</v>
          </cell>
          <cell r="IA450" t="b">
            <v>0</v>
          </cell>
          <cell r="IB450" t="b">
            <v>0</v>
          </cell>
        </row>
        <row r="451">
          <cell r="D451" t="str">
            <v>Capital expenditures, growth</v>
          </cell>
          <cell r="HX451" t="str">
            <v>mstag:capitalExpendituresGrowth</v>
          </cell>
          <cell r="HY451">
            <v>6</v>
          </cell>
          <cell r="HZ451" t="str">
            <v>ISO4217:USD</v>
          </cell>
          <cell r="IA451" t="b">
            <v>0</v>
          </cell>
          <cell r="IB451" t="b">
            <v>0</v>
          </cell>
        </row>
        <row r="452">
          <cell r="C452" t="str">
            <v>Capital expenditures, related to lessor financing</v>
          </cell>
          <cell r="HX452" t="str">
            <v>mstag:capitalExpendituresRelatedToLessorFinancing</v>
          </cell>
          <cell r="HY452">
            <v>6</v>
          </cell>
          <cell r="HZ452" t="str">
            <v>ISO4217:USD</v>
          </cell>
          <cell r="IA452" t="b">
            <v>0</v>
          </cell>
          <cell r="IB452" t="b">
            <v>0</v>
          </cell>
        </row>
        <row r="453">
          <cell r="C453" t="str">
            <v>Unrealized foreign currency exchange gain (loss), cash flow statement</v>
          </cell>
          <cell r="HX453" t="str">
            <v>mstag:unrealizedForeignCurrencyExchangeGainLossCashFlowStatement</v>
          </cell>
          <cell r="HY453">
            <v>6</v>
          </cell>
          <cell r="HZ453" t="str">
            <v>ISO4217:USD</v>
          </cell>
          <cell r="IA453" t="b">
            <v>0</v>
          </cell>
          <cell r="IB453" t="b">
            <v>0</v>
          </cell>
        </row>
        <row r="454">
          <cell r="C454" t="str">
            <v>Proceeds from sale of PPE and intangible assets</v>
          </cell>
          <cell r="HX454" t="str">
            <v>mstag:proceedsFromSaleOfPpeAndIntangibleAssets</v>
          </cell>
          <cell r="HY454">
            <v>6</v>
          </cell>
          <cell r="HZ454" t="str">
            <v>ISO4217:USD</v>
          </cell>
          <cell r="IA454" t="b">
            <v>0</v>
          </cell>
          <cell r="IB454" t="b">
            <v>0</v>
          </cell>
        </row>
        <row r="455">
          <cell r="C455" t="str">
            <v>Amortization of discount (premium) on debt</v>
          </cell>
          <cell r="HX455" t="str">
            <v>mstag:amortizationOfDiscountPremiumOnDebtCashFlowStatement</v>
          </cell>
          <cell r="HY455">
            <v>6</v>
          </cell>
          <cell r="HZ455" t="str">
            <v>ISO4217:USD</v>
          </cell>
          <cell r="IA455" t="b">
            <v>0</v>
          </cell>
          <cell r="IB455" t="b">
            <v>0</v>
          </cell>
        </row>
        <row r="456">
          <cell r="C456" t="str">
            <v>Net pension and OPEB expense, cash flow statement</v>
          </cell>
          <cell r="HX456" t="str">
            <v>mstag:netPensionAndOpebExpenseCashFlowStatement</v>
          </cell>
          <cell r="HY456">
            <v>6</v>
          </cell>
          <cell r="HZ456" t="str">
            <v>ISO4217:USD</v>
          </cell>
          <cell r="IA456" t="b">
            <v>0</v>
          </cell>
          <cell r="IB456" t="b">
            <v>0</v>
          </cell>
        </row>
        <row r="457">
          <cell r="C457" t="str">
            <v>Net disposals (acquisitions)</v>
          </cell>
          <cell r="G457" t="str">
            <v/>
          </cell>
          <cell r="H457" t="str">
            <v/>
          </cell>
          <cell r="I457" t="str">
            <v/>
          </cell>
          <cell r="J457" t="str">
            <v/>
          </cell>
          <cell r="K457" t="str">
            <v/>
          </cell>
          <cell r="L457" t="str">
            <v/>
          </cell>
          <cell r="M457" t="str">
            <v/>
          </cell>
          <cell r="HX457" t="str">
            <v>mstag:netDisposalsAcquisitions</v>
          </cell>
          <cell r="HY457">
            <v>6</v>
          </cell>
          <cell r="HZ457" t="str">
            <v>ISO4217:USD</v>
          </cell>
          <cell r="IA457" t="b">
            <v>0</v>
          </cell>
          <cell r="IB457" t="b">
            <v>0</v>
          </cell>
        </row>
        <row r="458">
          <cell r="D458" t="str">
            <v>Capital expenditures reflected in cost of acquisitions</v>
          </cell>
          <cell r="G458" t="str">
            <v/>
          </cell>
          <cell r="H458" t="str">
            <v/>
          </cell>
          <cell r="I458" t="str">
            <v/>
          </cell>
          <cell r="J458" t="str">
            <v/>
          </cell>
          <cell r="K458" t="str">
            <v/>
          </cell>
          <cell r="L458" t="str">
            <v/>
          </cell>
          <cell r="M458" t="str">
            <v/>
          </cell>
          <cell r="HX458" t="str">
            <v>mstag:capitalExpendituresReflectedInCostOfAcquisitions</v>
          </cell>
          <cell r="HY458">
            <v>6</v>
          </cell>
          <cell r="HZ458" t="str">
            <v>ISO4217:USD</v>
          </cell>
          <cell r="IA458" t="b">
            <v>0</v>
          </cell>
          <cell r="IB458" t="b">
            <v>0</v>
          </cell>
        </row>
        <row r="459">
          <cell r="E459" t="str">
            <v>Capital expenditures reflected in cost of acquisitions, sustaining</v>
          </cell>
          <cell r="HX459" t="str">
            <v>mstag:capitalExpendituresReflectedInCostOfAcquisitionsMaintenance</v>
          </cell>
          <cell r="HY459">
            <v>6</v>
          </cell>
          <cell r="HZ459" t="str">
            <v>ISO4217:USD</v>
          </cell>
          <cell r="IA459" t="b">
            <v>0</v>
          </cell>
          <cell r="IB459" t="b">
            <v>0</v>
          </cell>
        </row>
        <row r="460">
          <cell r="E460" t="str">
            <v>Capital expenditures reflected in cost of acquisitions, growth</v>
          </cell>
          <cell r="HX460" t="str">
            <v>mstag:capitalExpendituresReflectedInCostOfAcquisitionsGrowth</v>
          </cell>
          <cell r="HY460">
            <v>6</v>
          </cell>
          <cell r="HZ460" t="str">
            <v>ISO4217:USD</v>
          </cell>
          <cell r="IA460" t="b">
            <v>0</v>
          </cell>
          <cell r="IB460" t="b">
            <v>0</v>
          </cell>
        </row>
        <row r="461">
          <cell r="D461" t="str">
            <v>Investment in intangible assets reflected in cost of acquisitions</v>
          </cell>
          <cell r="G461" t="str">
            <v/>
          </cell>
          <cell r="H461" t="str">
            <v/>
          </cell>
          <cell r="I461" t="str">
            <v/>
          </cell>
          <cell r="J461" t="str">
            <v/>
          </cell>
          <cell r="K461" t="str">
            <v/>
          </cell>
          <cell r="L461" t="str">
            <v/>
          </cell>
          <cell r="M461" t="str">
            <v/>
          </cell>
          <cell r="HX461" t="str">
            <v>mstag:investmentInIntangibleAssetsReflectedInCostOfAcquisitions</v>
          </cell>
          <cell r="HY461">
            <v>6</v>
          </cell>
          <cell r="HZ461" t="str">
            <v>ISO4217:USD</v>
          </cell>
          <cell r="IA461" t="b">
            <v>0</v>
          </cell>
          <cell r="IB461" t="b">
            <v>0</v>
          </cell>
        </row>
        <row r="462">
          <cell r="E462" t="str">
            <v>Investment in intangible assets reflected in cost of acquisitions, sustaining</v>
          </cell>
          <cell r="HX462" t="str">
            <v>mstag:investmentInIntangibleAssetsReflectedInCostOfAcquisitionsMaintenance</v>
          </cell>
          <cell r="HY462">
            <v>6</v>
          </cell>
          <cell r="HZ462" t="str">
            <v>ISO4217:USD</v>
          </cell>
          <cell r="IA462" t="b">
            <v>0</v>
          </cell>
          <cell r="IB462" t="b">
            <v>0</v>
          </cell>
        </row>
        <row r="463">
          <cell r="E463" t="str">
            <v>Investment in intangible assets reflected in cost of acquisitions, growth</v>
          </cell>
          <cell r="HX463" t="str">
            <v>mstag:investmentInIntangibleAssetsReflectedInCostOfAcquisitionsGrowth</v>
          </cell>
          <cell r="HY463">
            <v>6</v>
          </cell>
          <cell r="HZ463" t="str">
            <v>ISO4217:USD</v>
          </cell>
          <cell r="IA463" t="b">
            <v>0</v>
          </cell>
          <cell r="IB463" t="b">
            <v>0</v>
          </cell>
        </row>
        <row r="464">
          <cell r="D464" t="str">
            <v>Premium (goodwill) on acquisitions</v>
          </cell>
          <cell r="G464" t="str">
            <v/>
          </cell>
          <cell r="H464" t="str">
            <v/>
          </cell>
          <cell r="I464" t="str">
            <v/>
          </cell>
          <cell r="J464" t="str">
            <v/>
          </cell>
          <cell r="K464" t="str">
            <v/>
          </cell>
          <cell r="L464" t="str">
            <v/>
          </cell>
          <cell r="M464" t="str">
            <v/>
          </cell>
          <cell r="HX464" t="str">
            <v>mstag:premiumGoodwillOnAcquisions</v>
          </cell>
          <cell r="HY464">
            <v>6</v>
          </cell>
          <cell r="HZ464" t="str">
            <v>ISO4217:USD</v>
          </cell>
          <cell r="IA464" t="b">
            <v>0</v>
          </cell>
          <cell r="IB464" t="b">
            <v>0</v>
          </cell>
        </row>
        <row r="465">
          <cell r="E465" t="str">
            <v>Premium (goodwill) on acquisitions, sustaining</v>
          </cell>
          <cell r="HX465" t="str">
            <v>mstag:premiumGoodwillOnAcquisitionsSustaining</v>
          </cell>
          <cell r="HY465">
            <v>6</v>
          </cell>
          <cell r="HZ465" t="str">
            <v>ISO4217:USD</v>
          </cell>
          <cell r="IA465" t="b">
            <v>0</v>
          </cell>
          <cell r="IB465" t="b">
            <v>0</v>
          </cell>
        </row>
        <row r="466">
          <cell r="E466" t="str">
            <v>Premium (goodwill) on acquisitions, growth</v>
          </cell>
          <cell r="HX466" t="str">
            <v>mstag:premiumGoodwillOnAcquisitionsGrowth</v>
          </cell>
          <cell r="HY466">
            <v>6</v>
          </cell>
          <cell r="HZ466" t="str">
            <v>ISO4217:USD</v>
          </cell>
          <cell r="IA466" t="b">
            <v>0</v>
          </cell>
          <cell r="IB466" t="b">
            <v>0</v>
          </cell>
        </row>
        <row r="467">
          <cell r="D467" t="str">
            <v>Other assets (liabilities) acquired included in ending balance sheet totals</v>
          </cell>
          <cell r="HX467" t="str">
            <v>mstag:otherAssetsLiabilitiesIncludedInEndingBalanceSheetTotals</v>
          </cell>
          <cell r="HY467">
            <v>6</v>
          </cell>
          <cell r="HZ467" t="str">
            <v>ISO4217:USD</v>
          </cell>
          <cell r="IA467" t="b">
            <v>0</v>
          </cell>
          <cell r="IB467" t="b">
            <v>0</v>
          </cell>
        </row>
        <row r="468">
          <cell r="D468" t="str">
            <v>Acquired in-process R and D, acquisitions</v>
          </cell>
          <cell r="HX468" t="str">
            <v>mstag:acquiredInProcessRAndDAcquisitions</v>
          </cell>
          <cell r="HY468">
            <v>6</v>
          </cell>
          <cell r="HZ468" t="str">
            <v>ISO4217:USD</v>
          </cell>
          <cell r="IA468" t="b">
            <v>0</v>
          </cell>
          <cell r="IB468" t="b">
            <v>0</v>
          </cell>
        </row>
        <row r="469">
          <cell r="D469" t="str">
            <v>Principal debt acquired</v>
          </cell>
          <cell r="HX469" t="str">
            <v>mstag:principalDebtAcquired</v>
          </cell>
          <cell r="HY469">
            <v>6</v>
          </cell>
          <cell r="HZ469" t="str">
            <v>ISO4217:USD</v>
          </cell>
          <cell r="IA469" t="b">
            <v>0</v>
          </cell>
          <cell r="IB469" t="b">
            <v>0</v>
          </cell>
        </row>
        <row r="470">
          <cell r="D470" t="str">
            <v>Equity issued on acquisition</v>
          </cell>
          <cell r="HX470" t="str">
            <v>mstag:equityIssuedOnAcquisition</v>
          </cell>
          <cell r="HY470">
            <v>6</v>
          </cell>
          <cell r="HZ470" t="str">
            <v>ISO4217:USD</v>
          </cell>
          <cell r="IA470" t="b">
            <v>0</v>
          </cell>
          <cell r="IB470" t="b">
            <v>0</v>
          </cell>
        </row>
        <row r="471">
          <cell r="C471" t="str">
            <v>Investment in intangible assets</v>
          </cell>
          <cell r="G471" t="str">
            <v/>
          </cell>
          <cell r="H471" t="str">
            <v/>
          </cell>
          <cell r="I471" t="str">
            <v/>
          </cell>
          <cell r="J471" t="str">
            <v/>
          </cell>
          <cell r="K471" t="str">
            <v/>
          </cell>
          <cell r="L471" t="str">
            <v/>
          </cell>
          <cell r="M471" t="str">
            <v/>
          </cell>
          <cell r="HX471" t="str">
            <v>mstag:investmentInIntangibleAssets</v>
          </cell>
          <cell r="HY471">
            <v>6</v>
          </cell>
          <cell r="HZ471" t="str">
            <v>ISO4217:USD</v>
          </cell>
          <cell r="IA471" t="b">
            <v>0</v>
          </cell>
          <cell r="IB471" t="b">
            <v>0</v>
          </cell>
        </row>
        <row r="472">
          <cell r="D472" t="str">
            <v>Investment in indefinite life intangibles</v>
          </cell>
          <cell r="G472" t="str">
            <v/>
          </cell>
          <cell r="H472" t="str">
            <v/>
          </cell>
          <cell r="I472" t="str">
            <v/>
          </cell>
          <cell r="J472" t="str">
            <v/>
          </cell>
          <cell r="K472" t="str">
            <v/>
          </cell>
          <cell r="L472" t="str">
            <v/>
          </cell>
          <cell r="M472" t="str">
            <v/>
          </cell>
          <cell r="HX472" t="str">
            <v>mstag:investmentInIndefiniteLifeIntangibles</v>
          </cell>
          <cell r="HY472">
            <v>6</v>
          </cell>
          <cell r="HZ472" t="str">
            <v>ISO4217:USD</v>
          </cell>
          <cell r="IA472" t="b">
            <v>0</v>
          </cell>
          <cell r="IB472" t="b">
            <v>0</v>
          </cell>
        </row>
        <row r="473">
          <cell r="E473" t="str">
            <v>Investment in indefinite life intangibles, sustaining</v>
          </cell>
          <cell r="HX473" t="str">
            <v>mstag:investmentInIndefiniteLifeIntangiblesMaintenance</v>
          </cell>
          <cell r="HY473">
            <v>6</v>
          </cell>
          <cell r="HZ473" t="str">
            <v>ISO4217:USD</v>
          </cell>
          <cell r="IA473" t="b">
            <v>0</v>
          </cell>
          <cell r="IB473" t="b">
            <v>0</v>
          </cell>
        </row>
        <row r="474">
          <cell r="E474" t="str">
            <v>Investment in indefinite life intangibles, growth</v>
          </cell>
          <cell r="HX474" t="str">
            <v>mstag:investmentInIndefiniteLifeIntangiblesGrowth</v>
          </cell>
          <cell r="HY474">
            <v>6</v>
          </cell>
          <cell r="HZ474" t="str">
            <v>ISO4217:USD</v>
          </cell>
          <cell r="IA474" t="b">
            <v>0</v>
          </cell>
          <cell r="IB474" t="b">
            <v>0</v>
          </cell>
        </row>
        <row r="475">
          <cell r="D475" t="str">
            <v>Investment in definite life intangibles</v>
          </cell>
          <cell r="G475" t="str">
            <v/>
          </cell>
          <cell r="H475" t="str">
            <v/>
          </cell>
          <cell r="I475" t="str">
            <v/>
          </cell>
          <cell r="J475" t="str">
            <v/>
          </cell>
          <cell r="K475" t="str">
            <v/>
          </cell>
          <cell r="L475" t="str">
            <v/>
          </cell>
          <cell r="M475" t="str">
            <v/>
          </cell>
          <cell r="HX475" t="str">
            <v>mstag:investmentInDefiniteLifeIntangibles</v>
          </cell>
          <cell r="HY475">
            <v>6</v>
          </cell>
          <cell r="HZ475" t="str">
            <v>ISO4217:USD</v>
          </cell>
          <cell r="IA475" t="b">
            <v>0</v>
          </cell>
          <cell r="IB475" t="b">
            <v>0</v>
          </cell>
        </row>
        <row r="476">
          <cell r="E476" t="str">
            <v>Investment in definite life intangibles, sustaining</v>
          </cell>
          <cell r="HX476" t="str">
            <v>mstag:investmentInDefiniteLifeIntangiblesMaintenance</v>
          </cell>
          <cell r="HY476">
            <v>6</v>
          </cell>
          <cell r="HZ476" t="str">
            <v>ISO4217:USD</v>
          </cell>
          <cell r="IA476" t="b">
            <v>0</v>
          </cell>
          <cell r="IB476" t="b">
            <v>0</v>
          </cell>
        </row>
        <row r="477">
          <cell r="E477" t="str">
            <v>Investment in definite life intangibles, growth</v>
          </cell>
          <cell r="HX477" t="str">
            <v>mstag:investmentInDefiniteLifeIntangiblesGrowth</v>
          </cell>
          <cell r="HY477">
            <v>6</v>
          </cell>
          <cell r="HZ477" t="str">
            <v>ISO4217:USD</v>
          </cell>
          <cell r="IA477" t="b">
            <v>0</v>
          </cell>
          <cell r="IB477" t="b">
            <v>0</v>
          </cell>
        </row>
        <row r="478">
          <cell r="C478" t="str">
            <v>Income (loss) from investments under the equity method, operating, cash flow statement</v>
          </cell>
          <cell r="HX478" t="str">
            <v>mstag:incomeLossFromInvestmentsAccountedForUnderTheEquityMethodOperating</v>
          </cell>
          <cell r="HY478">
            <v>6</v>
          </cell>
          <cell r="HZ478" t="str">
            <v>ISO4217:USD</v>
          </cell>
          <cell r="IA478" t="b">
            <v>0</v>
          </cell>
          <cell r="IB478" t="b">
            <v>0</v>
          </cell>
        </row>
        <row r="479">
          <cell r="C479" t="str">
            <v>Income (loss) from investments under the equity method, nonoperating, cash flow statement</v>
          </cell>
          <cell r="HX479" t="str">
            <v>mstag:incomeLossFromInvestmentsAccountedForUnderTheEquityMethodNonOperating</v>
          </cell>
          <cell r="HY479">
            <v>6</v>
          </cell>
          <cell r="HZ479" t="str">
            <v>ISO4217:USD</v>
          </cell>
          <cell r="IA479" t="b">
            <v>0</v>
          </cell>
          <cell r="IB479" t="b">
            <v>0</v>
          </cell>
        </row>
        <row r="480">
          <cell r="C480" t="str">
            <v>Dividends from investments under the equity method, operating, cash flow statement</v>
          </cell>
          <cell r="HX480" t="str">
            <v>mstag:dividendsFromInvestmentsAccountedForUnderTheEquityMethodOperating</v>
          </cell>
          <cell r="HY480">
            <v>6</v>
          </cell>
          <cell r="HZ480" t="str">
            <v>ISO4217:USD</v>
          </cell>
          <cell r="IA480" t="b">
            <v>0</v>
          </cell>
          <cell r="IB480" t="b">
            <v>0</v>
          </cell>
        </row>
        <row r="481">
          <cell r="C481" t="str">
            <v>Dividends from investments under the equity method, nonoperating, cash flow statement</v>
          </cell>
          <cell r="HX481" t="str">
            <v>mstag:dividendsFromInvestmentsAccountedForUnderTheEquityMethodNonOperating</v>
          </cell>
          <cell r="HY481">
            <v>6</v>
          </cell>
          <cell r="HZ481" t="str">
            <v>ISO4217:USD</v>
          </cell>
          <cell r="IA481" t="b">
            <v>0</v>
          </cell>
          <cell r="IB481" t="b">
            <v>0</v>
          </cell>
        </row>
        <row r="482">
          <cell r="C482" t="str">
            <v>Net increase in deferred tax liabilities (assets)</v>
          </cell>
          <cell r="G482">
            <v>19.66</v>
          </cell>
          <cell r="H482">
            <v>29.792000000000002</v>
          </cell>
          <cell r="I482">
            <v>-144.29500000000002</v>
          </cell>
          <cell r="J482">
            <v>-196.78200000000001</v>
          </cell>
          <cell r="K482">
            <v>29.356999999999999</v>
          </cell>
          <cell r="L482">
            <v>-196.64400000000001</v>
          </cell>
          <cell r="M482">
            <v>-149</v>
          </cell>
          <cell r="HX482" t="str">
            <v>mstag:deferredTax</v>
          </cell>
          <cell r="HY482">
            <v>6</v>
          </cell>
          <cell r="HZ482" t="str">
            <v>ISO4217:USD</v>
          </cell>
          <cell r="IA482" t="b">
            <v>0</v>
          </cell>
          <cell r="IB482" t="b">
            <v>0</v>
          </cell>
        </row>
        <row r="483">
          <cell r="D483" t="str">
            <v>Net decrease in deferred tax asset from exercise of ESOs in the period</v>
          </cell>
          <cell r="HX483" t="str">
            <v>mstag:netDecreaseInDeferredTaxAssetFromExerciseOfEsosInThePeriod</v>
          </cell>
          <cell r="HY483">
            <v>6</v>
          </cell>
          <cell r="HZ483" t="str">
            <v>ISO4217:USD</v>
          </cell>
          <cell r="IA483" t="b">
            <v>0</v>
          </cell>
          <cell r="IB483" t="b">
            <v>0</v>
          </cell>
        </row>
        <row r="484">
          <cell r="C484" t="str">
            <v>Net increase in income tax payable (receivable)</v>
          </cell>
          <cell r="HX484" t="str">
            <v>mstag:netIncreaseInIncomeTaxPayableReceivable</v>
          </cell>
          <cell r="HY484">
            <v>6</v>
          </cell>
          <cell r="HZ484" t="str">
            <v>ISO4217:USD</v>
          </cell>
          <cell r="IA484" t="b">
            <v>0</v>
          </cell>
          <cell r="IB484" t="b">
            <v>0</v>
          </cell>
        </row>
        <row r="485">
          <cell r="D485" t="str">
            <v>Net decrease in income tax payable due to tax benefit from exercise of ESOs</v>
          </cell>
          <cell r="HX485" t="str">
            <v>mstag:netDecreaseInIncomeTaxPayableDueToTaxBenefitFromExerciseOfEsos</v>
          </cell>
          <cell r="HY485">
            <v>6</v>
          </cell>
          <cell r="HZ485" t="str">
            <v>ISO4217:USD</v>
          </cell>
          <cell r="IA485" t="b">
            <v>0</v>
          </cell>
          <cell r="IB485" t="b">
            <v>0</v>
          </cell>
        </row>
        <row r="486">
          <cell r="C486" t="str">
            <v>Stock-based compensation charge, pretax</v>
          </cell>
          <cell r="HX486" t="str">
            <v>mstag:stockBasedCompensationChargePreTax</v>
          </cell>
          <cell r="HY486">
            <v>6</v>
          </cell>
          <cell r="HZ486" t="str">
            <v>ISO4217:USD</v>
          </cell>
          <cell r="IA486" t="b">
            <v>0</v>
          </cell>
          <cell r="IB486" t="b">
            <v>0</v>
          </cell>
        </row>
        <row r="487">
          <cell r="C487" t="str">
            <v>Tax benefit from exercise of ESOs</v>
          </cell>
          <cell r="G487">
            <v>0</v>
          </cell>
          <cell r="H487">
            <v>0</v>
          </cell>
          <cell r="I487">
            <v>119.15300000000001</v>
          </cell>
          <cell r="J487">
            <v>0</v>
          </cell>
          <cell r="K487">
            <v>0</v>
          </cell>
          <cell r="L487">
            <v>0</v>
          </cell>
          <cell r="M487">
            <v>0</v>
          </cell>
          <cell r="HX487" t="str">
            <v>mstag:taxBenefitFromExerciseOfEsosCashFlowStatement</v>
          </cell>
          <cell r="HY487">
            <v>6</v>
          </cell>
          <cell r="HZ487" t="str">
            <v>ISO4217:USD</v>
          </cell>
          <cell r="IA487" t="b">
            <v>0</v>
          </cell>
          <cell r="IB487" t="b">
            <v>0</v>
          </cell>
        </row>
        <row r="488">
          <cell r="C488" t="str">
            <v>Net decrease in other assets, operating</v>
          </cell>
          <cell r="G488">
            <v>-61.529000000000003</v>
          </cell>
          <cell r="H488">
            <v>-17.151</v>
          </cell>
          <cell r="I488">
            <v>-23.551000000000002</v>
          </cell>
          <cell r="J488">
            <v>-55.603999999999999</v>
          </cell>
          <cell r="K488">
            <v>-10.105</v>
          </cell>
          <cell r="L488">
            <v>12.875</v>
          </cell>
          <cell r="M488">
            <v>-1110.23</v>
          </cell>
          <cell r="HX488" t="str">
            <v>mstag:netDecreaseInOtherAssets</v>
          </cell>
          <cell r="HY488">
            <v>6</v>
          </cell>
          <cell r="HZ488" t="str">
            <v>ISO4217:USD</v>
          </cell>
          <cell r="IA488" t="b">
            <v>0</v>
          </cell>
          <cell r="IB488" t="b">
            <v>0</v>
          </cell>
        </row>
        <row r="489">
          <cell r="C489" t="str">
            <v>Net decrease in trade receivables</v>
          </cell>
          <cell r="G489">
            <v>11.194000000000001</v>
          </cell>
          <cell r="H489">
            <v>33.767000000000003</v>
          </cell>
          <cell r="I489">
            <v>-70.994</v>
          </cell>
          <cell r="J489">
            <v>-103.863</v>
          </cell>
          <cell r="K489">
            <v>-59.512</v>
          </cell>
          <cell r="L489">
            <v>-107.483</v>
          </cell>
          <cell r="M489">
            <v>-146.1</v>
          </cell>
          <cell r="HX489" t="str">
            <v>mstag:netDecreaseInTradeReceivables</v>
          </cell>
          <cell r="HY489">
            <v>6</v>
          </cell>
          <cell r="HZ489" t="str">
            <v>ISO4217:USD</v>
          </cell>
          <cell r="IA489" t="b">
            <v>0</v>
          </cell>
          <cell r="IB489" t="b">
            <v>0</v>
          </cell>
        </row>
        <row r="490">
          <cell r="C490" t="str">
            <v>Net decrease in finance lease receivables</v>
          </cell>
          <cell r="HX490" t="str">
            <v>mstag:netDecreaseInFinanceLeaseReceivables</v>
          </cell>
          <cell r="HY490">
            <v>6</v>
          </cell>
          <cell r="HZ490" t="str">
            <v>ISO4217:USD</v>
          </cell>
          <cell r="IA490" t="b">
            <v>0</v>
          </cell>
          <cell r="IB490" t="b">
            <v>0</v>
          </cell>
        </row>
        <row r="491">
          <cell r="C491" t="str">
            <v>Net decrease in unbilled receivables</v>
          </cell>
          <cell r="HX491" t="str">
            <v>mstag:netDecreaseInUnbilledReceivables</v>
          </cell>
          <cell r="HY491">
            <v>6</v>
          </cell>
          <cell r="HZ491" t="str">
            <v>ISO4217:USD</v>
          </cell>
          <cell r="IA491" t="b">
            <v>0</v>
          </cell>
          <cell r="IB491" t="b">
            <v>0</v>
          </cell>
        </row>
        <row r="492">
          <cell r="C492" t="str">
            <v>Net decrease in other receivables</v>
          </cell>
          <cell r="HX492" t="str">
            <v>mstag:netDecreaseInOtherReceivables</v>
          </cell>
          <cell r="HY492">
            <v>6</v>
          </cell>
          <cell r="HZ492" t="str">
            <v>ISO4217:USD</v>
          </cell>
          <cell r="IA492" t="b">
            <v>0</v>
          </cell>
          <cell r="IB492" t="b">
            <v>0</v>
          </cell>
        </row>
        <row r="493">
          <cell r="C493" t="str">
            <v>Net decrease in prepaid expenses</v>
          </cell>
          <cell r="HX493" t="str">
            <v>mstag:netDecreaseInPrepaidExpenses</v>
          </cell>
          <cell r="HY493">
            <v>6</v>
          </cell>
          <cell r="HZ493" t="str">
            <v>ISO4217:USD</v>
          </cell>
          <cell r="IA493" t="b">
            <v>0</v>
          </cell>
          <cell r="IB493" t="b">
            <v>0</v>
          </cell>
        </row>
        <row r="494">
          <cell r="C494" t="str">
            <v>Net decrease in inventories</v>
          </cell>
          <cell r="G494">
            <v>-24.082999999999998</v>
          </cell>
          <cell r="H494">
            <v>-32.6</v>
          </cell>
          <cell r="I494">
            <v>59.561</v>
          </cell>
          <cell r="J494">
            <v>9.4149999999999991</v>
          </cell>
          <cell r="K494">
            <v>-91.116</v>
          </cell>
          <cell r="L494">
            <v>-36.595999999999997</v>
          </cell>
          <cell r="M494">
            <v>-93.26</v>
          </cell>
          <cell r="HX494" t="str">
            <v>mstag:netDecreaseInInventories</v>
          </cell>
          <cell r="HY494">
            <v>6</v>
          </cell>
          <cell r="HZ494" t="str">
            <v>ISO4217:USD</v>
          </cell>
          <cell r="IA494" t="b">
            <v>0</v>
          </cell>
          <cell r="IB494" t="b">
            <v>0</v>
          </cell>
        </row>
        <row r="495">
          <cell r="C495" t="str">
            <v>Net increase in trade and other payables</v>
          </cell>
          <cell r="G495">
            <v>32.896999999999998</v>
          </cell>
          <cell r="H495">
            <v>15.936999999999999</v>
          </cell>
          <cell r="I495">
            <v>166.41199999999998</v>
          </cell>
          <cell r="J495">
            <v>239.38800000000001</v>
          </cell>
          <cell r="K495">
            <v>124.774</v>
          </cell>
          <cell r="L495">
            <v>148.68100000000001</v>
          </cell>
          <cell r="M495">
            <v>463.6</v>
          </cell>
          <cell r="HX495" t="str">
            <v>mstag:netIncreaseInTradeAndOtherPayables</v>
          </cell>
          <cell r="HY495">
            <v>6</v>
          </cell>
          <cell r="HZ495" t="str">
            <v>ISO4217:USD</v>
          </cell>
          <cell r="IA495" t="b">
            <v>0</v>
          </cell>
          <cell r="IB495" t="b">
            <v>0</v>
          </cell>
        </row>
        <row r="496">
          <cell r="C496" t="str">
            <v>Net increase in deferred revenue</v>
          </cell>
          <cell r="G496">
            <v>0</v>
          </cell>
          <cell r="H496">
            <v>0</v>
          </cell>
          <cell r="I496">
            <v>0</v>
          </cell>
          <cell r="J496">
            <v>0</v>
          </cell>
          <cell r="K496">
            <v>-15.457000000000001</v>
          </cell>
          <cell r="L496">
            <v>2.0009999999999999</v>
          </cell>
          <cell r="M496">
            <v>239.14500000000001</v>
          </cell>
          <cell r="HX496" t="str">
            <v>mstag:netIncreaseInDeferredRevenue</v>
          </cell>
          <cell r="HY496">
            <v>6</v>
          </cell>
          <cell r="HZ496" t="str">
            <v>ISO4217:USD</v>
          </cell>
          <cell r="IA496" t="b">
            <v>0</v>
          </cell>
          <cell r="IB496" t="b">
            <v>0</v>
          </cell>
        </row>
        <row r="497">
          <cell r="C497" t="str">
            <v>Net increase in accrued expenses</v>
          </cell>
          <cell r="HX497" t="str">
            <v>mstag:netIncreaseInAccruedExpenses</v>
          </cell>
          <cell r="HY497">
            <v>6</v>
          </cell>
          <cell r="HZ497" t="str">
            <v>ISO4217:USD</v>
          </cell>
          <cell r="IA497" t="b">
            <v>0</v>
          </cell>
          <cell r="IB497" t="b">
            <v>0</v>
          </cell>
        </row>
        <row r="498">
          <cell r="C498" t="str">
            <v>Net increase in deferred compensation</v>
          </cell>
          <cell r="HX498" t="str">
            <v>mstag:netIncreaseInDeferredCompensation</v>
          </cell>
          <cell r="HY498">
            <v>6</v>
          </cell>
          <cell r="HZ498" t="str">
            <v>ISO4217:USD</v>
          </cell>
          <cell r="IA498" t="b">
            <v>0</v>
          </cell>
          <cell r="IB498" t="b">
            <v>0</v>
          </cell>
        </row>
        <row r="499">
          <cell r="C499" t="str">
            <v>Proceeds from issuance and cash used to repay short term borrowings</v>
          </cell>
          <cell r="G499">
            <v>0</v>
          </cell>
          <cell r="H499">
            <v>0</v>
          </cell>
          <cell r="I499">
            <v>0</v>
          </cell>
          <cell r="J499">
            <v>0</v>
          </cell>
          <cell r="K499">
            <v>0</v>
          </cell>
          <cell r="L499">
            <v>-149.69200000000001</v>
          </cell>
          <cell r="M499">
            <v>0</v>
          </cell>
          <cell r="HX499" t="str">
            <v>mstag:proceedsFromIssuanceAndCashUsedToRepayShortTermBorrowings</v>
          </cell>
          <cell r="HY499">
            <v>6</v>
          </cell>
          <cell r="HZ499" t="str">
            <v>ISO4217:USD</v>
          </cell>
          <cell r="IA499" t="b">
            <v>0</v>
          </cell>
          <cell r="IB499" t="b">
            <v>0</v>
          </cell>
        </row>
        <row r="500">
          <cell r="C500" t="str">
            <v>Proceeds from issuance and cash used to repay long term debt</v>
          </cell>
          <cell r="HX500" t="str">
            <v>mstag:proceedsFromIssuanceAndCashUsedToRepayLongTermDebt</v>
          </cell>
          <cell r="HY500">
            <v>6</v>
          </cell>
          <cell r="HZ500" t="str">
            <v>ISO4217:USD</v>
          </cell>
          <cell r="IA500" t="b">
            <v>0</v>
          </cell>
          <cell r="IB500" t="b">
            <v>0</v>
          </cell>
        </row>
        <row r="501">
          <cell r="C501" t="str">
            <v>Net increase in other liabilities, operating</v>
          </cell>
          <cell r="G501">
            <v>0</v>
          </cell>
          <cell r="H501">
            <v>0</v>
          </cell>
          <cell r="I501">
            <v>0</v>
          </cell>
          <cell r="J501">
            <v>0</v>
          </cell>
          <cell r="K501">
            <v>0</v>
          </cell>
          <cell r="L501">
            <v>552.18499999999995</v>
          </cell>
          <cell r="HX501" t="str">
            <v>mstag:netIncreaseInOtherLiabilitiesOperating</v>
          </cell>
          <cell r="HY501">
            <v>6</v>
          </cell>
          <cell r="HZ501" t="str">
            <v>ISO4217:USD</v>
          </cell>
          <cell r="IA501" t="b">
            <v>0</v>
          </cell>
          <cell r="IB501" t="b">
            <v>0</v>
          </cell>
        </row>
        <row r="502">
          <cell r="C502" t="str">
            <v>Net increase in minority interests in shareholders' equity</v>
          </cell>
          <cell r="HX502" t="str">
            <v>mstag:netIncreaseInMinorityInterestsInShareholdersEquity</v>
          </cell>
          <cell r="HY502">
            <v>6</v>
          </cell>
          <cell r="HZ502" t="str">
            <v>ISO4217:USD</v>
          </cell>
          <cell r="IA502" t="b">
            <v>0</v>
          </cell>
          <cell r="IB502" t="b">
            <v>0</v>
          </cell>
        </row>
        <row r="503">
          <cell r="C503" t="str">
            <v>Net issuance of preferred stock</v>
          </cell>
          <cell r="G503" t="str">
            <v/>
          </cell>
          <cell r="H503" t="str">
            <v/>
          </cell>
          <cell r="I503" t="str">
            <v/>
          </cell>
          <cell r="J503" t="str">
            <v/>
          </cell>
          <cell r="K503" t="str">
            <v/>
          </cell>
          <cell r="L503" t="str">
            <v/>
          </cell>
          <cell r="M503" t="str">
            <v/>
          </cell>
          <cell r="HX503" t="str">
            <v>mstag:netIssuanceOfPreferredStock</v>
          </cell>
          <cell r="HY503">
            <v>6</v>
          </cell>
          <cell r="HZ503" t="str">
            <v>ISO4217:USD</v>
          </cell>
          <cell r="IA503" t="b">
            <v>0</v>
          </cell>
          <cell r="IB503" t="b">
            <v>0</v>
          </cell>
        </row>
        <row r="504">
          <cell r="D504" t="str">
            <v>Issuances of preferred stock</v>
          </cell>
          <cell r="HX504" t="str">
            <v>mstag:issuancesOfPreferredStock</v>
          </cell>
          <cell r="HY504">
            <v>6</v>
          </cell>
          <cell r="HZ504" t="str">
            <v>ISO4217:USD</v>
          </cell>
          <cell r="IA504" t="b">
            <v>0</v>
          </cell>
          <cell r="IB504" t="b">
            <v>0</v>
          </cell>
        </row>
        <row r="505">
          <cell r="D505" t="str">
            <v>Redemptions, retirements and repurchases of preferred stock</v>
          </cell>
          <cell r="HX505" t="str">
            <v>mstag:redemptionsRetirementsAndRepurchasesOfPreferredStock</v>
          </cell>
          <cell r="HY505">
            <v>6</v>
          </cell>
          <cell r="HZ505" t="str">
            <v>ISO4217:USD</v>
          </cell>
          <cell r="IA505" t="b">
            <v>0</v>
          </cell>
          <cell r="IB505" t="b">
            <v>0</v>
          </cell>
        </row>
        <row r="506">
          <cell r="C506" t="str">
            <v>Proceeds from issuance/(funds used to repurchase) common stock</v>
          </cell>
          <cell r="G506">
            <v>87.259</v>
          </cell>
          <cell r="H506">
            <v>107.938</v>
          </cell>
          <cell r="I506">
            <v>160.203</v>
          </cell>
          <cell r="J506">
            <v>180.37899999999999</v>
          </cell>
          <cell r="K506">
            <v>67.162000000000006</v>
          </cell>
          <cell r="L506">
            <v>-618.58799999999997</v>
          </cell>
          <cell r="M506">
            <v>325.52</v>
          </cell>
          <cell r="HX506" t="str">
            <v>mstag:proceedsFromIssuanceFundsUsedToRepurchaseCommonStock</v>
          </cell>
          <cell r="HY506">
            <v>6</v>
          </cell>
          <cell r="HZ506" t="str">
            <v>ISO4217:USD</v>
          </cell>
          <cell r="IA506" t="b">
            <v>0</v>
          </cell>
          <cell r="IB506" t="b">
            <v>0</v>
          </cell>
        </row>
        <row r="507">
          <cell r="D507" t="str">
            <v>Proceeds from issuance of common stock</v>
          </cell>
          <cell r="G507">
            <v>87.259</v>
          </cell>
          <cell r="H507">
            <v>107.938</v>
          </cell>
          <cell r="I507">
            <v>160.203</v>
          </cell>
          <cell r="J507">
            <v>180.37899999999999</v>
          </cell>
          <cell r="K507">
            <v>106.866</v>
          </cell>
          <cell r="L507">
            <v>74.164000000000001</v>
          </cell>
          <cell r="HX507" t="str">
            <v>mstag:proceedsFromIssuanceOfCommonStock</v>
          </cell>
          <cell r="HY507">
            <v>6</v>
          </cell>
          <cell r="HZ507" t="str">
            <v>ISO4217:USD</v>
          </cell>
          <cell r="IA507" t="b">
            <v>0</v>
          </cell>
          <cell r="IB507" t="b">
            <v>0</v>
          </cell>
        </row>
        <row r="508">
          <cell r="D508" t="str">
            <v>Funds used to repurchase common stock</v>
          </cell>
          <cell r="G508">
            <v>0</v>
          </cell>
          <cell r="H508">
            <v>0</v>
          </cell>
          <cell r="I508">
            <v>0</v>
          </cell>
          <cell r="J508">
            <v>0</v>
          </cell>
          <cell r="K508">
            <v>39.704000000000001</v>
          </cell>
          <cell r="L508">
            <v>692.75199999999995</v>
          </cell>
          <cell r="HX508" t="str">
            <v>mstag:fundsUsedToRepurchaseCommonStock</v>
          </cell>
          <cell r="HY508">
            <v>6</v>
          </cell>
          <cell r="HZ508" t="str">
            <v>ISO4217:USD</v>
          </cell>
          <cell r="IA508" t="b">
            <v>0</v>
          </cell>
          <cell r="IB508" t="b">
            <v>0</v>
          </cell>
        </row>
        <row r="509">
          <cell r="C509" t="str">
            <v>Cash dividends paid</v>
          </cell>
          <cell r="HX509" t="str">
            <v>mstag:cashDividendsPaid</v>
          </cell>
          <cell r="HY509">
            <v>6</v>
          </cell>
          <cell r="HZ509" t="str">
            <v>ISO4217:USD</v>
          </cell>
          <cell r="IA509" t="b">
            <v>0</v>
          </cell>
          <cell r="IB509" t="b">
            <v>0</v>
          </cell>
        </row>
        <row r="510">
          <cell r="C510" t="str">
            <v>Net decrease in notes receivable</v>
          </cell>
          <cell r="HX510" t="str">
            <v>mstag:netDecreaseInNotesReceivable</v>
          </cell>
          <cell r="HY510">
            <v>6</v>
          </cell>
          <cell r="HZ510" t="str">
            <v>ISO4217:USD</v>
          </cell>
          <cell r="IA510" t="b">
            <v>0</v>
          </cell>
          <cell r="IB510" t="b">
            <v>0</v>
          </cell>
        </row>
        <row r="511">
          <cell r="C511" t="str">
            <v>Net decrease in other assets, nonoperating</v>
          </cell>
          <cell r="HX511" t="str">
            <v>mstag:netDecreaseInOtherAssetsNonOperating</v>
          </cell>
          <cell r="HY511">
            <v>6</v>
          </cell>
          <cell r="HZ511" t="str">
            <v>ISO4217:USD</v>
          </cell>
          <cell r="IA511" t="b">
            <v>0</v>
          </cell>
          <cell r="IB511" t="b">
            <v>0</v>
          </cell>
        </row>
        <row r="512">
          <cell r="C512" t="str">
            <v>Net increase in dividends payable</v>
          </cell>
          <cell r="HX512" t="str">
            <v>mstag:netIncreaseInDividendsPayable</v>
          </cell>
          <cell r="HY512">
            <v>6</v>
          </cell>
          <cell r="HZ512" t="str">
            <v>ISO4217:USD</v>
          </cell>
          <cell r="IA512" t="b">
            <v>0</v>
          </cell>
          <cell r="IB512" t="b">
            <v>0</v>
          </cell>
        </row>
        <row r="513">
          <cell r="C513" t="str">
            <v>Net increase in other liabilities, nonoperating</v>
          </cell>
          <cell r="G513">
            <v>0</v>
          </cell>
          <cell r="H513">
            <v>0</v>
          </cell>
          <cell r="I513">
            <v>0</v>
          </cell>
          <cell r="J513">
            <v>0</v>
          </cell>
          <cell r="K513">
            <v>0</v>
          </cell>
          <cell r="L513">
            <v>0</v>
          </cell>
          <cell r="M513">
            <v>56.1</v>
          </cell>
          <cell r="HX513" t="str">
            <v>mstag:netIncreaseInOtherLiabilitiesNonOperating</v>
          </cell>
          <cell r="HY513">
            <v>6</v>
          </cell>
          <cell r="HZ513" t="str">
            <v>ISO4217:USD</v>
          </cell>
          <cell r="IA513" t="b">
            <v>0</v>
          </cell>
          <cell r="IB513" t="b">
            <v>0</v>
          </cell>
        </row>
        <row r="514">
          <cell r="C514" t="str">
            <v>Contribution to pension and other post retirement plan assets</v>
          </cell>
          <cell r="HX514" t="str">
            <v>mstag:contributionToPensionAndOtherPostRetirementPlanAssets</v>
          </cell>
          <cell r="HY514">
            <v>6</v>
          </cell>
          <cell r="HZ514" t="str">
            <v>ISO4217:USD</v>
          </cell>
          <cell r="IA514" t="b">
            <v>0</v>
          </cell>
          <cell r="IB514" t="b">
            <v>0</v>
          </cell>
        </row>
        <row r="515">
          <cell r="C515" t="str">
            <v>Net increase in securitized assets, cash flow statement</v>
          </cell>
          <cell r="HX515" t="str">
            <v>mstag:netIncreaseInSecuritizedAssetsCashFlowStatement</v>
          </cell>
          <cell r="HY515">
            <v>6</v>
          </cell>
          <cell r="HZ515" t="str">
            <v>ISO4217:USD</v>
          </cell>
          <cell r="IA515" t="b">
            <v>0</v>
          </cell>
          <cell r="IB515" t="b">
            <v>0</v>
          </cell>
        </row>
        <row r="516">
          <cell r="C516" t="str">
            <v>Net decrease in investments, nonoperating</v>
          </cell>
          <cell r="G516">
            <v>-68.186000000000035</v>
          </cell>
          <cell r="H516">
            <v>-273.92699999999996</v>
          </cell>
          <cell r="I516">
            <v>8.4469999999999459</v>
          </cell>
          <cell r="J516">
            <v>-136.43600000000004</v>
          </cell>
          <cell r="K516">
            <v>-576.10900000000004</v>
          </cell>
          <cell r="L516">
            <v>174.39500000000021</v>
          </cell>
          <cell r="HX516" t="str">
            <v>mstag:netDecreaseInInvestmentsNonOperating</v>
          </cell>
          <cell r="HY516">
            <v>6</v>
          </cell>
          <cell r="HZ516" t="str">
            <v>ISO4217:USD</v>
          </cell>
          <cell r="IA516" t="b">
            <v>0</v>
          </cell>
          <cell r="IB516" t="b">
            <v>0</v>
          </cell>
        </row>
        <row r="517">
          <cell r="C517" t="str">
            <v>Net cash flow from discontinued operations</v>
          </cell>
          <cell r="HX517" t="str">
            <v>mstag:netCashFlowFromDiscontinuedOperations</v>
          </cell>
          <cell r="HY517">
            <v>6</v>
          </cell>
          <cell r="HZ517" t="str">
            <v>ISO4217:USD</v>
          </cell>
          <cell r="IA517" t="b">
            <v>0</v>
          </cell>
          <cell r="IB517" t="b">
            <v>0</v>
          </cell>
        </row>
        <row r="518">
          <cell r="C518" t="str">
            <v>Other cash flow</v>
          </cell>
          <cell r="G518">
            <v>0</v>
          </cell>
          <cell r="H518">
            <v>0</v>
          </cell>
          <cell r="I518">
            <v>0</v>
          </cell>
          <cell r="J518">
            <v>0</v>
          </cell>
          <cell r="K518">
            <v>5.6379999999999999</v>
          </cell>
          <cell r="L518">
            <v>0</v>
          </cell>
          <cell r="M518">
            <v>47.655000000000001</v>
          </cell>
          <cell r="HX518" t="str">
            <v>mstag:otherCashFlow</v>
          </cell>
          <cell r="HY518">
            <v>6</v>
          </cell>
          <cell r="HZ518" t="str">
            <v>ISO4217:USD</v>
          </cell>
          <cell r="IA518" t="b">
            <v>0</v>
          </cell>
          <cell r="IB518" t="b">
            <v>0</v>
          </cell>
        </row>
        <row r="519">
          <cell r="C519" t="str">
            <v>Effect of foreign exchange rates on cash</v>
          </cell>
          <cell r="HX519" t="str">
            <v>mstag:effectOfForeignExchangeRatesOnCash</v>
          </cell>
          <cell r="HY519">
            <v>6</v>
          </cell>
          <cell r="HZ519" t="str">
            <v>ISO4217:USD</v>
          </cell>
          <cell r="IA519" t="b">
            <v>0</v>
          </cell>
          <cell r="IB519" t="b">
            <v>0</v>
          </cell>
        </row>
        <row r="520">
          <cell r="B520" t="str">
            <v>Changes in shareholders equity</v>
          </cell>
          <cell r="HY520">
            <v>0</v>
          </cell>
          <cell r="HZ520" t="str">
            <v>ms_eqr_gcim_String:ms_eqr_gcim_string</v>
          </cell>
          <cell r="IA520" t="b">
            <v>0</v>
          </cell>
          <cell r="IB520" t="b">
            <v>0</v>
          </cell>
        </row>
        <row r="521">
          <cell r="C521" t="str">
            <v>Common dividends</v>
          </cell>
          <cell r="G521">
            <v>0</v>
          </cell>
          <cell r="H521">
            <v>0</v>
          </cell>
          <cell r="I521">
            <v>0</v>
          </cell>
          <cell r="J521">
            <v>0</v>
          </cell>
          <cell r="K521">
            <v>0</v>
          </cell>
          <cell r="L521">
            <v>0</v>
          </cell>
          <cell r="M521">
            <v>0</v>
          </cell>
          <cell r="HX521" t="str">
            <v>mstag:commonDividends</v>
          </cell>
          <cell r="HY521">
            <v>6</v>
          </cell>
          <cell r="HZ521" t="str">
            <v>ISO4217:USD</v>
          </cell>
          <cell r="IA521" t="b">
            <v>0</v>
          </cell>
          <cell r="IB521" t="b">
            <v>0</v>
          </cell>
        </row>
        <row r="522">
          <cell r="C522" t="str">
            <v>Common dividends attributable to current-period earnings</v>
          </cell>
          <cell r="HX522" t="str">
            <v>mstag:commonDividendsAttributableToCurrentPeriodEarnings</v>
          </cell>
          <cell r="HY522">
            <v>6</v>
          </cell>
          <cell r="HZ522" t="str">
            <v>ISO4217:USD</v>
          </cell>
          <cell r="IA522" t="b">
            <v>0</v>
          </cell>
          <cell r="IB522" t="b">
            <v>0</v>
          </cell>
        </row>
        <row r="523">
          <cell r="C523" t="str">
            <v>Net issuance (repurchase) of common stock</v>
          </cell>
          <cell r="G523">
            <v>101.239</v>
          </cell>
          <cell r="H523">
            <v>125.28</v>
          </cell>
          <cell r="I523">
            <v>3883.2519999999995</v>
          </cell>
          <cell r="J523">
            <v>406.46800000000002</v>
          </cell>
          <cell r="K523">
            <v>115.27599999999998</v>
          </cell>
          <cell r="L523">
            <v>-601.64199999999994</v>
          </cell>
          <cell r="M523">
            <v>590.29999999999995</v>
          </cell>
          <cell r="HX523" t="str">
            <v>mstag:netIssuanceRepurchaseOfCommonStock</v>
          </cell>
          <cell r="HY523">
            <v>6</v>
          </cell>
          <cell r="HZ523" t="str">
            <v>ISO4217:USD</v>
          </cell>
          <cell r="IA523" t="b">
            <v>0</v>
          </cell>
          <cell r="IB523" t="b">
            <v>0</v>
          </cell>
        </row>
        <row r="524">
          <cell r="D524" t="str">
            <v>Issuance of common stock</v>
          </cell>
          <cell r="G524">
            <v>101.239</v>
          </cell>
          <cell r="H524">
            <v>125.28</v>
          </cell>
          <cell r="I524">
            <v>3883.2519999999995</v>
          </cell>
          <cell r="J524">
            <v>406.46800000000002</v>
          </cell>
          <cell r="K524">
            <v>154.97999999999999</v>
          </cell>
          <cell r="L524">
            <v>91.11</v>
          </cell>
          <cell r="M524" t="str">
            <v/>
          </cell>
          <cell r="HX524" t="str">
            <v>mstag:issuanceOfCommonStock</v>
          </cell>
          <cell r="HY524">
            <v>6</v>
          </cell>
          <cell r="HZ524" t="str">
            <v>ISO4217:USD</v>
          </cell>
          <cell r="IA524" t="b">
            <v>0</v>
          </cell>
          <cell r="IB524" t="b">
            <v>0</v>
          </cell>
        </row>
        <row r="525">
          <cell r="E525" t="str">
            <v>Share issuance related to employee stock purchase and option plans</v>
          </cell>
          <cell r="G525">
            <v>87.259</v>
          </cell>
          <cell r="H525">
            <v>107.94800000000001</v>
          </cell>
          <cell r="I525">
            <v>160.54500000000002</v>
          </cell>
          <cell r="J525">
            <v>180.39500000000001</v>
          </cell>
          <cell r="K525">
            <v>106.866</v>
          </cell>
          <cell r="L525">
            <v>74.164000000000001</v>
          </cell>
          <cell r="HX525" t="str">
            <v>mstag:shareIssuanceRelatedToEmployeeStockPurchaseAndOptionPlans</v>
          </cell>
          <cell r="HY525">
            <v>6</v>
          </cell>
          <cell r="HZ525" t="str">
            <v>ISO4217:USD</v>
          </cell>
          <cell r="IA525" t="b">
            <v>0</v>
          </cell>
          <cell r="IB525" t="b">
            <v>0</v>
          </cell>
        </row>
        <row r="526">
          <cell r="E526" t="str">
            <v>Other share issuance</v>
          </cell>
          <cell r="HX526" t="str">
            <v>mstag:otherShareIssuance</v>
          </cell>
          <cell r="HY526">
            <v>6</v>
          </cell>
          <cell r="HZ526" t="str">
            <v>ISO4217:USD</v>
          </cell>
          <cell r="IA526" t="b">
            <v>0</v>
          </cell>
          <cell r="IB526" t="b">
            <v>0</v>
          </cell>
        </row>
        <row r="527">
          <cell r="E527" t="str">
            <v>Amortization of deferred compensation expense</v>
          </cell>
          <cell r="HX527" t="str">
            <v>mstag:amortizationOfDeferredCompensationExpense</v>
          </cell>
          <cell r="HY527">
            <v>6</v>
          </cell>
          <cell r="HZ527" t="str">
            <v>ISO4217:USD</v>
          </cell>
          <cell r="IA527" t="b">
            <v>0</v>
          </cell>
          <cell r="IB527" t="b">
            <v>0</v>
          </cell>
        </row>
        <row r="528">
          <cell r="E528" t="str">
            <v>Tax benefit from exercise of employee stock options</v>
          </cell>
          <cell r="G528">
            <v>13.98</v>
          </cell>
          <cell r="H528">
            <v>17.332000000000001</v>
          </cell>
          <cell r="I528">
            <v>82.987000000000009</v>
          </cell>
          <cell r="J528">
            <v>226.07300000000001</v>
          </cell>
          <cell r="K528">
            <v>48.113999999999997</v>
          </cell>
          <cell r="L528">
            <v>16.946000000000002</v>
          </cell>
          <cell r="HX528" t="str">
            <v>mstag:taxBenefitFromExerciseOfEsos</v>
          </cell>
          <cell r="HY528">
            <v>6</v>
          </cell>
          <cell r="HZ528" t="str">
            <v>ISO4217:USD</v>
          </cell>
          <cell r="IA528" t="b">
            <v>0</v>
          </cell>
          <cell r="IB528" t="b">
            <v>0</v>
          </cell>
        </row>
        <row r="529">
          <cell r="E529" t="str">
            <v>Other changes in share capital</v>
          </cell>
          <cell r="G529">
            <v>0</v>
          </cell>
          <cell r="H529">
            <v>0</v>
          </cell>
          <cell r="I529">
            <v>3639.7199999999993</v>
          </cell>
          <cell r="J529">
            <v>0</v>
          </cell>
          <cell r="K529">
            <v>0</v>
          </cell>
          <cell r="L529">
            <v>0</v>
          </cell>
          <cell r="HX529" t="str">
            <v>mstag:otherChangesInShareCapital</v>
          </cell>
          <cell r="HY529">
            <v>6</v>
          </cell>
          <cell r="HZ529" t="str">
            <v>ISO4217:USD</v>
          </cell>
          <cell r="IA529" t="b">
            <v>0</v>
          </cell>
          <cell r="IB529" t="b">
            <v>0</v>
          </cell>
        </row>
        <row r="530">
          <cell r="D530" t="str">
            <v>Repurchase of common stock</v>
          </cell>
          <cell r="G530">
            <v>0</v>
          </cell>
          <cell r="H530">
            <v>0</v>
          </cell>
          <cell r="I530">
            <v>0</v>
          </cell>
          <cell r="J530">
            <v>0</v>
          </cell>
          <cell r="K530">
            <v>39.704000000000001</v>
          </cell>
          <cell r="L530">
            <v>692.75199999999995</v>
          </cell>
          <cell r="HX530" t="str">
            <v>mstag:repurchaseOfCommonStock</v>
          </cell>
          <cell r="HY530">
            <v>6</v>
          </cell>
          <cell r="HZ530" t="str">
            <v>ISO4217:USD</v>
          </cell>
          <cell r="IA530" t="b">
            <v>0</v>
          </cell>
          <cell r="IB530" t="b">
            <v>0</v>
          </cell>
        </row>
        <row r="531">
          <cell r="C531" t="str">
            <v>Bonus to directors and corporate auditors (Japan)</v>
          </cell>
          <cell r="HX531" t="str">
            <v>mstag:bonusToDirectorsAndCorporateAuditorsJapan</v>
          </cell>
          <cell r="HY531">
            <v>6</v>
          </cell>
          <cell r="HZ531" t="str">
            <v>ISO4217:USD</v>
          </cell>
          <cell r="IA531" t="b">
            <v>0</v>
          </cell>
          <cell r="IB531" t="b">
            <v>0</v>
          </cell>
        </row>
        <row r="532">
          <cell r="C532" t="str">
            <v>Bonus to directors and supervisors (Taiwan)</v>
          </cell>
          <cell r="HX532" t="str">
            <v>mstag:bonusToDirectorsAndSupervisorsTaiwan</v>
          </cell>
          <cell r="HY532">
            <v>6</v>
          </cell>
          <cell r="HZ532" t="str">
            <v>ISO4217:USD</v>
          </cell>
          <cell r="IA532" t="b">
            <v>0</v>
          </cell>
          <cell r="IB532" t="b">
            <v>0</v>
          </cell>
        </row>
        <row r="533">
          <cell r="C533" t="str">
            <v>Employee cash bonus (Taiwan)</v>
          </cell>
          <cell r="HX533" t="str">
            <v>mstag:employeeCashBonusTaiwan</v>
          </cell>
          <cell r="HY533">
            <v>6</v>
          </cell>
          <cell r="HZ533" t="str">
            <v>ISO4217:USD</v>
          </cell>
          <cell r="IA533" t="b">
            <v>0</v>
          </cell>
          <cell r="IB533" t="b">
            <v>0</v>
          </cell>
        </row>
        <row r="534">
          <cell r="C534" t="str">
            <v>Employee stock bonus (Taiwan)</v>
          </cell>
          <cell r="HX534" t="str">
            <v>mstag:employeeStockBonusTaiwan</v>
          </cell>
          <cell r="HY534">
            <v>6</v>
          </cell>
          <cell r="HZ534" t="str">
            <v>ISO4217:USD</v>
          </cell>
          <cell r="IA534" t="b">
            <v>0</v>
          </cell>
          <cell r="IB534" t="b">
            <v>0</v>
          </cell>
        </row>
        <row r="535">
          <cell r="C535" t="str">
            <v>Change in accumulated other comprehensive income (loss) or other reserves</v>
          </cell>
          <cell r="G535">
            <v>-0.11700000000000001</v>
          </cell>
          <cell r="H535">
            <v>5.431</v>
          </cell>
          <cell r="I535">
            <v>200.23600000000002</v>
          </cell>
          <cell r="J535">
            <v>72.119</v>
          </cell>
          <cell r="K535">
            <v>-19.896000000000001</v>
          </cell>
          <cell r="L535">
            <v>-43.08</v>
          </cell>
          <cell r="M535">
            <v>28.549801041422199</v>
          </cell>
          <cell r="HX535" t="str">
            <v>mstag:changeInAccumulatedOtherComprehensiveIncomeLossOrOtherReserves</v>
          </cell>
          <cell r="HY535">
            <v>6</v>
          </cell>
          <cell r="HZ535" t="str">
            <v>ISO4217:USD</v>
          </cell>
          <cell r="IA535" t="b">
            <v>0</v>
          </cell>
          <cell r="IB535" t="b">
            <v>0</v>
          </cell>
        </row>
        <row r="536">
          <cell r="D536" t="str">
            <v>Change in unrealized gains (losses) on AFS securities</v>
          </cell>
          <cell r="G536">
            <v>-0.11700000000000001</v>
          </cell>
          <cell r="H536">
            <v>5.431</v>
          </cell>
          <cell r="I536">
            <v>220.57300000000001</v>
          </cell>
          <cell r="J536">
            <v>72.119</v>
          </cell>
          <cell r="K536">
            <v>-27.741</v>
          </cell>
          <cell r="L536">
            <v>-38.777999999999999</v>
          </cell>
          <cell r="HX536" t="str">
            <v>mstag:changeInUnrealizedGainsLossesOnAfsSecurities</v>
          </cell>
          <cell r="HY536">
            <v>6</v>
          </cell>
          <cell r="HZ536" t="str">
            <v>ISO4217:USD</v>
          </cell>
          <cell r="IA536" t="b">
            <v>0</v>
          </cell>
          <cell r="IB536" t="b">
            <v>0</v>
          </cell>
        </row>
        <row r="537">
          <cell r="D537" t="str">
            <v>Change in foreign currency translation</v>
          </cell>
          <cell r="HX537" t="str">
            <v>mstag:changeInForeignCurrencyTranslation</v>
          </cell>
          <cell r="HY537">
            <v>6</v>
          </cell>
          <cell r="HZ537" t="str">
            <v>ISO4217:USD</v>
          </cell>
          <cell r="IA537" t="b">
            <v>0</v>
          </cell>
          <cell r="IB537" t="b">
            <v>0</v>
          </cell>
        </row>
        <row r="538">
          <cell r="D538" t="str">
            <v>Change in minimum pension liability</v>
          </cell>
          <cell r="HX538" t="str">
            <v>mstag:changeInMinimumPensionLiability</v>
          </cell>
          <cell r="HY538">
            <v>6</v>
          </cell>
          <cell r="HZ538" t="str">
            <v>ISO4217:USD</v>
          </cell>
          <cell r="IA538" t="b">
            <v>0</v>
          </cell>
          <cell r="IB538" t="b">
            <v>0</v>
          </cell>
        </row>
        <row r="539">
          <cell r="D539" t="str">
            <v>Change in cash flow hedges</v>
          </cell>
          <cell r="G539">
            <v>0</v>
          </cell>
          <cell r="H539">
            <v>0</v>
          </cell>
          <cell r="I539">
            <v>0</v>
          </cell>
          <cell r="J539">
            <v>0</v>
          </cell>
          <cell r="K539">
            <v>7.8449999999999998</v>
          </cell>
          <cell r="L539">
            <v>-4.3019999999999996</v>
          </cell>
          <cell r="HX539" t="str">
            <v>mstag:changeInCashFlowHedges</v>
          </cell>
          <cell r="HY539">
            <v>6</v>
          </cell>
          <cell r="HZ539" t="str">
            <v>ISO4217:USD</v>
          </cell>
          <cell r="IA539" t="b">
            <v>0</v>
          </cell>
          <cell r="IB539" t="b">
            <v>0</v>
          </cell>
        </row>
        <row r="540">
          <cell r="D540" t="str">
            <v>Other change in accumulated other comprehensive income (loss)</v>
          </cell>
          <cell r="G540">
            <v>0</v>
          </cell>
          <cell r="H540">
            <v>0</v>
          </cell>
          <cell r="I540">
            <v>-20.337</v>
          </cell>
          <cell r="J540">
            <v>0</v>
          </cell>
          <cell r="K540">
            <v>0</v>
          </cell>
          <cell r="L540">
            <v>0</v>
          </cell>
          <cell r="HX540" t="str">
            <v>mstag:otherChangeInAccumulatedOtherComprehensiveIncomeLoss</v>
          </cell>
          <cell r="HY540">
            <v>6</v>
          </cell>
          <cell r="HZ540" t="str">
            <v>ISO4217:USD</v>
          </cell>
          <cell r="IA540" t="b">
            <v>0</v>
          </cell>
          <cell r="IB540" t="b">
            <v>0</v>
          </cell>
        </row>
        <row r="541">
          <cell r="D541" t="str">
            <v>Change in revaluation reserves</v>
          </cell>
          <cell r="HX541" t="str">
            <v>mstag:changeInRevaluationReserves</v>
          </cell>
          <cell r="HY541">
            <v>6</v>
          </cell>
          <cell r="HZ541" t="str">
            <v>ISO4217:USD</v>
          </cell>
          <cell r="IA541" t="b">
            <v>0</v>
          </cell>
          <cell r="IB541" t="b">
            <v>0</v>
          </cell>
        </row>
        <row r="542">
          <cell r="D542" t="str">
            <v>Change in unearned compensation reserve</v>
          </cell>
          <cell r="HX542" t="str">
            <v>mstag:changeInUnearnedCompensationReserve</v>
          </cell>
          <cell r="HY542">
            <v>6</v>
          </cell>
          <cell r="HZ542" t="str">
            <v>ISO4217:USD</v>
          </cell>
          <cell r="IA542" t="b">
            <v>0</v>
          </cell>
          <cell r="IB542" t="b">
            <v>0</v>
          </cell>
        </row>
        <row r="543">
          <cell r="B543" t="str">
            <v>Operating metrics</v>
          </cell>
          <cell r="HY543">
            <v>0</v>
          </cell>
          <cell r="HZ543" t="str">
            <v>ms_eqr_gcim_String:ms_eqr_gcim_string</v>
          </cell>
          <cell r="IA543" t="b">
            <v>0</v>
          </cell>
          <cell r="IB543" t="b">
            <v>0</v>
          </cell>
        </row>
        <row r="544">
          <cell r="C544" t="str">
            <v>Cumulative unrecognized gain (loss) on other investments, gross of tax, operating</v>
          </cell>
          <cell r="HX544" t="str">
            <v>mstag:cumulativeUnrealizedGainLossOnOtherInvestmentsGrossOfTaxOperating</v>
          </cell>
          <cell r="HY544">
            <v>6</v>
          </cell>
          <cell r="HZ544" t="str">
            <v>ISO4217:USD</v>
          </cell>
          <cell r="IA544" t="b">
            <v>0</v>
          </cell>
          <cell r="IB544" t="b">
            <v>0</v>
          </cell>
        </row>
        <row r="545">
          <cell r="C545" t="str">
            <v>Cumulative unrecognized gain (loss) on other investments, gross of tax, nonoperating</v>
          </cell>
          <cell r="HX545" t="str">
            <v>mstag:cumulativeUnrealizedGainLossOnOtherInvestmentsGrossOfTaxNonOperating</v>
          </cell>
          <cell r="HY545">
            <v>6</v>
          </cell>
          <cell r="HZ545" t="str">
            <v>ISO4217:USD</v>
          </cell>
          <cell r="IA545" t="b">
            <v>0</v>
          </cell>
          <cell r="IB545" t="b">
            <v>0</v>
          </cell>
        </row>
        <row r="546">
          <cell r="C546" t="str">
            <v>Current period unrecognized gain (loss) on other investments, gross of tax, operating</v>
          </cell>
          <cell r="G546" t="str">
            <v/>
          </cell>
          <cell r="H546" t="str">
            <v/>
          </cell>
          <cell r="I546" t="str">
            <v/>
          </cell>
          <cell r="J546" t="str">
            <v/>
          </cell>
          <cell r="K546" t="str">
            <v/>
          </cell>
          <cell r="L546" t="str">
            <v/>
          </cell>
          <cell r="M546" t="str">
            <v/>
          </cell>
          <cell r="HX546" t="str">
            <v>mstag:unrealizedGainLossOnOtherInvestmentsGrossOfTaxOperating</v>
          </cell>
          <cell r="HY546">
            <v>6</v>
          </cell>
          <cell r="HZ546" t="str">
            <v>ISO4217:USD</v>
          </cell>
          <cell r="IA546" t="b">
            <v>0</v>
          </cell>
          <cell r="IB546" t="b">
            <v>0</v>
          </cell>
        </row>
        <row r="547">
          <cell r="D547" t="str">
            <v>Current period unrecognized gain (loss) on other investments, gross of tax, operating, recurring</v>
          </cell>
          <cell r="HX547" t="str">
            <v>mstag:currentPeriodUnrecognizedGainLossOnOtherInvestmentsGrossOfTaxOperatingRecurring</v>
          </cell>
          <cell r="HY547">
            <v>6</v>
          </cell>
          <cell r="HZ547" t="str">
            <v>ISO4217:USD</v>
          </cell>
          <cell r="IA547" t="b">
            <v>0</v>
          </cell>
          <cell r="IB547" t="b">
            <v>0</v>
          </cell>
        </row>
        <row r="548">
          <cell r="D548" t="str">
            <v>Current period unrecognized gain (loss) on other investments, gross of tax, operating, one time</v>
          </cell>
          <cell r="HX548" t="str">
            <v>mstag:currentPeriodUnrecognizedGainLossOnOtherInvestmentsGrossOfTaxOperatingOneTime</v>
          </cell>
          <cell r="HY548">
            <v>6</v>
          </cell>
          <cell r="HZ548" t="str">
            <v>ISO4217:USD</v>
          </cell>
          <cell r="IA548" t="b">
            <v>0</v>
          </cell>
          <cell r="IB548" t="b">
            <v>0</v>
          </cell>
        </row>
        <row r="549">
          <cell r="C549" t="str">
            <v>Current period unrecognized gain (loss) on other investments, gross of tax, nonoperating</v>
          </cell>
          <cell r="G549" t="str">
            <v/>
          </cell>
          <cell r="H549" t="str">
            <v/>
          </cell>
          <cell r="I549" t="str">
            <v/>
          </cell>
          <cell r="J549" t="str">
            <v/>
          </cell>
          <cell r="K549" t="str">
            <v/>
          </cell>
          <cell r="L549" t="str">
            <v/>
          </cell>
          <cell r="M549" t="str">
            <v/>
          </cell>
          <cell r="HX549" t="str">
            <v>mstag:unrealizedGainLossOnOtherInvestmentsGrossOfTaxNonOperating</v>
          </cell>
          <cell r="HY549">
            <v>6</v>
          </cell>
          <cell r="HZ549" t="str">
            <v>ISO4217:USD</v>
          </cell>
          <cell r="IA549" t="b">
            <v>0</v>
          </cell>
          <cell r="IB549" t="b">
            <v>0</v>
          </cell>
        </row>
        <row r="550">
          <cell r="D550" t="str">
            <v>Current period unrecognized gain (loss) on other investments, gross of tax, nonoperating, recurring</v>
          </cell>
          <cell r="HX550" t="str">
            <v>mstag:currentPeriodUnrecognizedGainLossOnOtherInvestmentsGrossOfTaxNonOperatingRecurring</v>
          </cell>
          <cell r="HY550">
            <v>6</v>
          </cell>
          <cell r="HZ550" t="str">
            <v>ISO4217:USD</v>
          </cell>
          <cell r="IA550" t="b">
            <v>0</v>
          </cell>
          <cell r="IB550" t="b">
            <v>0</v>
          </cell>
        </row>
        <row r="551">
          <cell r="D551" t="str">
            <v>Current period unrecognized gain (loss) on other investments, gross of tax, nonoperating, one time</v>
          </cell>
          <cell r="HX551" t="str">
            <v>mstag:currentPeriodUnrecognizedGainLossOnOtherInvestmentsGrossOfTaxNonOperatingOneTime</v>
          </cell>
          <cell r="HY551">
            <v>6</v>
          </cell>
          <cell r="HZ551" t="str">
            <v>ISO4217:USD</v>
          </cell>
          <cell r="IA551" t="b">
            <v>0</v>
          </cell>
          <cell r="IB551" t="b">
            <v>0</v>
          </cell>
        </row>
        <row r="552">
          <cell r="C552" t="str">
            <v>Distribution metrics</v>
          </cell>
          <cell r="HY552">
            <v>0</v>
          </cell>
          <cell r="HZ552" t="str">
            <v>ms_eqr_gcim_String:ms_eqr_gcim_string</v>
          </cell>
          <cell r="IA552" t="b">
            <v>0</v>
          </cell>
          <cell r="IB552" t="b">
            <v>0</v>
          </cell>
        </row>
        <row r="553">
          <cell r="D553" t="str">
            <v>Number of gas customers, average</v>
          </cell>
          <cell r="HX553" t="str">
            <v>mstag:numberOfGasCustomersAverage</v>
          </cell>
          <cell r="HY553">
            <v>6</v>
          </cell>
          <cell r="HZ553" t="str">
            <v>ms_eqr_gcim_Decimal:ms_eqr_gcim_decimal</v>
          </cell>
          <cell r="IA553" t="b">
            <v>0</v>
          </cell>
          <cell r="IB553" t="b">
            <v>0</v>
          </cell>
        </row>
        <row r="554">
          <cell r="D554" t="str">
            <v>Number of gas customers, end of period</v>
          </cell>
          <cell r="HX554" t="str">
            <v>mstag:numberOfGasCustomersEndOfPeriod</v>
          </cell>
          <cell r="HY554">
            <v>6</v>
          </cell>
          <cell r="HZ554" t="str">
            <v>ms_eqr_gcim_Decimal:ms_eqr_gcim_decimal</v>
          </cell>
          <cell r="IA554" t="b">
            <v>0</v>
          </cell>
          <cell r="IB554" t="b">
            <v>0</v>
          </cell>
        </row>
        <row r="555">
          <cell r="C555" t="str">
            <v>Heating degree days</v>
          </cell>
          <cell r="HX555" t="str">
            <v>mstag:heatingDegreeDays</v>
          </cell>
          <cell r="HY555">
            <v>6</v>
          </cell>
          <cell r="HZ555" t="str">
            <v>ms_eqr_gcim_Decimal:ms_eqr_gcim_decimal</v>
          </cell>
          <cell r="IA555" t="b">
            <v>0</v>
          </cell>
          <cell r="IB555" t="b">
            <v>0</v>
          </cell>
        </row>
        <row r="556">
          <cell r="C556" t="str">
            <v>Revenue concentration metrics</v>
          </cell>
          <cell r="HY556">
            <v>0</v>
          </cell>
          <cell r="HZ556" t="str">
            <v>ms_eqr_gcim_String:ms_eqr_gcim_string</v>
          </cell>
          <cell r="IA556" t="b">
            <v>0</v>
          </cell>
          <cell r="IB556" t="b">
            <v>0</v>
          </cell>
        </row>
        <row r="557">
          <cell r="D557" t="str">
            <v>Top 3 drugs as percent of total sales</v>
          </cell>
          <cell r="G557">
            <v>0.39169088733116775</v>
          </cell>
          <cell r="H557">
            <v>0.56714962385065482</v>
          </cell>
          <cell r="I557">
            <v>0.66307381387739395</v>
          </cell>
          <cell r="J557">
            <v>0.74051474614722679</v>
          </cell>
          <cell r="K557">
            <v>0.81215216019278214</v>
          </cell>
          <cell r="L557">
            <v>0.85288408208541333</v>
          </cell>
          <cell r="HX557" t="str">
            <v>mstag:top3DrugsAsPercentOfTotalSales</v>
          </cell>
          <cell r="HY557">
            <v>0</v>
          </cell>
          <cell r="HZ557" t="str">
            <v>ms_eqr_gcim_Decimal:ms_eqr_gcim_decimal</v>
          </cell>
          <cell r="IA557" t="b">
            <v>0</v>
          </cell>
          <cell r="IB557" t="b">
            <v>0</v>
          </cell>
        </row>
        <row r="558">
          <cell r="D558" t="str">
            <v>Top 10 drugs as percent of total sales</v>
          </cell>
          <cell r="HX558" t="str">
            <v>mstag:top10DrugsAsPercentOfTotalSales</v>
          </cell>
          <cell r="HY558">
            <v>0</v>
          </cell>
          <cell r="HZ558" t="str">
            <v>ms_eqr_gcim_Decimal:ms_eqr_gcim_decimal</v>
          </cell>
          <cell r="IA558" t="b">
            <v>0</v>
          </cell>
          <cell r="IB558" t="b">
            <v>0</v>
          </cell>
        </row>
        <row r="559">
          <cell r="D559" t="str">
            <v>Generic products as percent of total sales</v>
          </cell>
          <cell r="HX559" t="str">
            <v>mstag:genericProductsAsPercentOfTotalSales</v>
          </cell>
          <cell r="HY559">
            <v>0</v>
          </cell>
          <cell r="HZ559" t="str">
            <v>ms_eqr_gcim_Decimal:ms_eqr_gcim_decimal</v>
          </cell>
          <cell r="IA559" t="b">
            <v>0</v>
          </cell>
          <cell r="IB559" t="b">
            <v>0</v>
          </cell>
        </row>
        <row r="560">
          <cell r="D560" t="str">
            <v>Nongeneric (patented) products as percent of total sales</v>
          </cell>
          <cell r="HX560" t="str">
            <v>mstag:nonGenericPatentedProductsAsPercentOfTotalSales</v>
          </cell>
          <cell r="HY560">
            <v>0</v>
          </cell>
          <cell r="HZ560" t="str">
            <v>ms_eqr_gcim_Decimal:ms_eqr_gcim_decimal</v>
          </cell>
          <cell r="IA560" t="b">
            <v>0</v>
          </cell>
          <cell r="IB560" t="b">
            <v>0</v>
          </cell>
        </row>
        <row r="561">
          <cell r="D561" t="str">
            <v>Hospital products as percent of total sales</v>
          </cell>
          <cell r="HX561" t="str">
            <v>mstag:hospitalProductsAsPercentOfTotalSales</v>
          </cell>
          <cell r="HY561">
            <v>0</v>
          </cell>
          <cell r="HZ561" t="str">
            <v>ms_eqr_gcim_Decimal:ms_eqr_gcim_decimal</v>
          </cell>
          <cell r="IA561" t="b">
            <v>0</v>
          </cell>
          <cell r="IB561" t="b">
            <v>0</v>
          </cell>
        </row>
        <row r="562">
          <cell r="D562" t="str">
            <v>Primary care products as percent of total sales</v>
          </cell>
          <cell r="HX562" t="str">
            <v>mstag:primaryCareProductsAsPercentOfTotalSales</v>
          </cell>
          <cell r="HY562">
            <v>0</v>
          </cell>
          <cell r="HZ562" t="str">
            <v>ms_eqr_gcim_Decimal:ms_eqr_gcim_decimal</v>
          </cell>
          <cell r="IA562" t="b">
            <v>0</v>
          </cell>
          <cell r="IB562" t="b">
            <v>0</v>
          </cell>
        </row>
        <row r="563">
          <cell r="D563" t="str">
            <v>Pills/tablets/capsules as percent of total sales</v>
          </cell>
          <cell r="HX563" t="str">
            <v>mstag:pillstabletscapsulesAsPercentOfTotalSales</v>
          </cell>
          <cell r="HY563">
            <v>0</v>
          </cell>
          <cell r="HZ563" t="str">
            <v>ms_eqr_gcim_Decimal:ms_eqr_gcim_decimal</v>
          </cell>
          <cell r="IA563" t="b">
            <v>0</v>
          </cell>
          <cell r="IB563" t="b">
            <v>0</v>
          </cell>
        </row>
        <row r="564">
          <cell r="D564" t="str">
            <v>Biological products as percent of total sales</v>
          </cell>
          <cell r="HX564" t="str">
            <v>mstag:biologicalProductsAsPercentOfTotalSales</v>
          </cell>
          <cell r="HY564">
            <v>0</v>
          </cell>
          <cell r="HZ564" t="str">
            <v>ms_eqr_gcim_Decimal:ms_eqr_gcim_decimal</v>
          </cell>
          <cell r="IA564" t="b">
            <v>0</v>
          </cell>
          <cell r="IB564" t="b">
            <v>0</v>
          </cell>
        </row>
        <row r="565">
          <cell r="D565" t="str">
            <v>Chemical products as percent of total sales</v>
          </cell>
          <cell r="HX565" t="str">
            <v>mstag:chemicalProductsAsPercentOfTotalSales</v>
          </cell>
          <cell r="HY565">
            <v>0</v>
          </cell>
          <cell r="HZ565" t="str">
            <v>ms_eqr_gcim_Decimal:ms_eqr_gcim_decimal</v>
          </cell>
          <cell r="IA565" t="b">
            <v>0</v>
          </cell>
          <cell r="IB565" t="b">
            <v>0</v>
          </cell>
        </row>
        <row r="566">
          <cell r="D566" t="str">
            <v>Other products as a percent of total sales</v>
          </cell>
          <cell r="HX566" t="str">
            <v>mstag:otherProductsAsAPercentOfTotalSales</v>
          </cell>
          <cell r="HY566">
            <v>0</v>
          </cell>
          <cell r="HZ566" t="str">
            <v>ms_eqr_gcim_Decimal:ms_eqr_gcim_decimal</v>
          </cell>
          <cell r="IA566" t="b">
            <v>0</v>
          </cell>
          <cell r="IB566" t="b">
            <v>0</v>
          </cell>
        </row>
        <row r="567">
          <cell r="C567" t="str">
            <v>Pipeline segmentation</v>
          </cell>
          <cell r="HY567">
            <v>0</v>
          </cell>
          <cell r="HZ567" t="str">
            <v>ms_eqr_gcim_String:ms_eqr_gcim_string</v>
          </cell>
          <cell r="IA567" t="b">
            <v>0</v>
          </cell>
          <cell r="IB567" t="b">
            <v>0</v>
          </cell>
        </row>
        <row r="568">
          <cell r="D568" t="str">
            <v>Total number of drugs in Phase 1 trials</v>
          </cell>
          <cell r="G568">
            <v>2</v>
          </cell>
          <cell r="H568">
            <v>1</v>
          </cell>
          <cell r="I568">
            <v>1</v>
          </cell>
          <cell r="J568">
            <v>4</v>
          </cell>
          <cell r="K568">
            <v>1</v>
          </cell>
          <cell r="L568">
            <v>0</v>
          </cell>
          <cell r="HX568" t="str">
            <v>mstag:totalNumberOfDrugsInPhase1Trials</v>
          </cell>
          <cell r="HY568">
            <v>0</v>
          </cell>
          <cell r="HZ568" t="str">
            <v>ms_eqr_gcim_Decimal:ms_eqr_gcim_decimal</v>
          </cell>
          <cell r="IA568" t="b">
            <v>0</v>
          </cell>
          <cell r="IB568" t="b">
            <v>0</v>
          </cell>
        </row>
        <row r="569">
          <cell r="D569" t="str">
            <v>Total number of drugs in Phase 2 trials</v>
          </cell>
          <cell r="G569">
            <v>5</v>
          </cell>
          <cell r="H569">
            <v>7</v>
          </cell>
          <cell r="I569">
            <v>5</v>
          </cell>
          <cell r="J569">
            <v>4</v>
          </cell>
          <cell r="K569">
            <v>3</v>
          </cell>
          <cell r="L569">
            <v>2</v>
          </cell>
          <cell r="HX569" t="str">
            <v>mstag:totalNumberOfDrugsInPhase2Trials</v>
          </cell>
          <cell r="HY569">
            <v>0</v>
          </cell>
          <cell r="HZ569" t="str">
            <v>ms_eqr_gcim_Decimal:ms_eqr_gcim_decimal</v>
          </cell>
          <cell r="IA569" t="b">
            <v>0</v>
          </cell>
          <cell r="IB569" t="b">
            <v>0</v>
          </cell>
        </row>
        <row r="570">
          <cell r="D570" t="str">
            <v>Total number of drugs in Phase 3 trials</v>
          </cell>
          <cell r="G570">
            <v>9</v>
          </cell>
          <cell r="H570">
            <v>7</v>
          </cell>
          <cell r="I570">
            <v>5</v>
          </cell>
          <cell r="J570">
            <v>8</v>
          </cell>
          <cell r="K570">
            <v>6</v>
          </cell>
          <cell r="L570">
            <v>5</v>
          </cell>
          <cell r="HX570" t="str">
            <v>mstag:totalNumberOfDrugsInPhase3Trials</v>
          </cell>
          <cell r="HY570">
            <v>0</v>
          </cell>
          <cell r="HZ570" t="str">
            <v>ms_eqr_gcim_Decimal:ms_eqr_gcim_decimal</v>
          </cell>
          <cell r="IA570" t="b">
            <v>0</v>
          </cell>
          <cell r="IB570" t="b">
            <v>0</v>
          </cell>
        </row>
        <row r="571">
          <cell r="D571" t="str">
            <v>Total number of drugs in Phase 2 or 3 trials</v>
          </cell>
          <cell r="G571">
            <v>7</v>
          </cell>
          <cell r="H571">
            <v>8</v>
          </cell>
          <cell r="I571">
            <v>6</v>
          </cell>
          <cell r="J571">
            <v>8</v>
          </cell>
          <cell r="K571">
            <v>4</v>
          </cell>
          <cell r="L571">
            <v>2</v>
          </cell>
          <cell r="HX571" t="str">
            <v>mstag:totalNumberOfDrugsInPhase2Or3Trials</v>
          </cell>
          <cell r="HY571">
            <v>0</v>
          </cell>
          <cell r="HZ571" t="str">
            <v>ms_eqr_gcim_Decimal:ms_eqr_gcim_decimal</v>
          </cell>
          <cell r="IA571" t="b">
            <v>0</v>
          </cell>
          <cell r="IB571" t="b">
            <v>0</v>
          </cell>
        </row>
        <row r="572">
          <cell r="D572" t="str">
            <v>Total number of marketed products</v>
          </cell>
          <cell r="G572">
            <v>6</v>
          </cell>
          <cell r="H572">
            <v>7</v>
          </cell>
          <cell r="I572">
            <v>8</v>
          </cell>
          <cell r="J572">
            <v>9</v>
          </cell>
          <cell r="K572">
            <v>10</v>
          </cell>
          <cell r="L572">
            <v>10</v>
          </cell>
          <cell r="HX572" t="str">
            <v>mstag:totalNumberOfMarketedProducts</v>
          </cell>
          <cell r="HY572">
            <v>0</v>
          </cell>
          <cell r="HZ572" t="str">
            <v>ms_eqr_gcim_Decimal:ms_eqr_gcim_decimal</v>
          </cell>
          <cell r="IA572" t="b">
            <v>0</v>
          </cell>
          <cell r="IB572" t="b">
            <v>0</v>
          </cell>
        </row>
        <row r="573">
          <cell r="D573" t="str">
            <v>Percent Phase 2</v>
          </cell>
          <cell r="G573">
            <v>0.3125</v>
          </cell>
          <cell r="H573">
            <v>0.46666666666666667</v>
          </cell>
          <cell r="I573">
            <v>0.45454545454545453</v>
          </cell>
          <cell r="J573">
            <v>0.25</v>
          </cell>
          <cell r="K573">
            <v>0.3</v>
          </cell>
          <cell r="L573">
            <v>0.4</v>
          </cell>
          <cell r="HX573" t="str">
            <v>mstag:percentPhase2</v>
          </cell>
          <cell r="HY573">
            <v>0</v>
          </cell>
          <cell r="HZ573" t="str">
            <v>ms_eqr_gcim_Decimal:ms_eqr_gcim_decimal</v>
          </cell>
          <cell r="IA573" t="b">
            <v>0</v>
          </cell>
          <cell r="IB573" t="b">
            <v>0</v>
          </cell>
        </row>
        <row r="574">
          <cell r="D574" t="str">
            <v>Percent Phase 3</v>
          </cell>
          <cell r="G574">
            <v>0.5625</v>
          </cell>
          <cell r="H574">
            <v>0.46666666666666667</v>
          </cell>
          <cell r="I574">
            <v>0.45454545454545453</v>
          </cell>
          <cell r="J574">
            <v>0.5</v>
          </cell>
          <cell r="K574">
            <v>0.6</v>
          </cell>
          <cell r="L574">
            <v>0.7142857142857143</v>
          </cell>
          <cell r="HX574" t="str">
            <v>mstag:percentPhase3</v>
          </cell>
          <cell r="HY574">
            <v>0</v>
          </cell>
          <cell r="HZ574" t="str">
            <v>ms_eqr_gcim_Decimal:ms_eqr_gcim_decimal</v>
          </cell>
          <cell r="IA574" t="b">
            <v>0</v>
          </cell>
          <cell r="IB574" t="b">
            <v>0</v>
          </cell>
        </row>
        <row r="575">
          <cell r="C575" t="str">
            <v>Estimated net option expense if reported</v>
          </cell>
          <cell r="HX575" t="str">
            <v>mstag:estimatedNetOptionExpenseIfReported</v>
          </cell>
          <cell r="HY575">
            <v>6</v>
          </cell>
          <cell r="HZ575" t="str">
            <v>ISO4217:USD</v>
          </cell>
          <cell r="IA575" t="b">
            <v>0</v>
          </cell>
          <cell r="IB575" t="b">
            <v>0</v>
          </cell>
        </row>
        <row r="576">
          <cell r="C576" t="str">
            <v>Unrecorded goodwill from poolings, write-offs, and cumulative amortization</v>
          </cell>
          <cell r="G576">
            <v>0</v>
          </cell>
          <cell r="H576">
            <v>0</v>
          </cell>
          <cell r="I576">
            <v>690.20899999999995</v>
          </cell>
          <cell r="J576">
            <v>843.49400000000003</v>
          </cell>
          <cell r="K576">
            <v>843.49400000000003</v>
          </cell>
          <cell r="L576">
            <v>843.49400000000003</v>
          </cell>
          <cell r="M576">
            <v>843.49400000000003</v>
          </cell>
          <cell r="HX576" t="str">
            <v>mstag:unrecordedGoodwillFromPoolingAndAmortizedOrWrittenOffGoodwill</v>
          </cell>
          <cell r="HY576">
            <v>6</v>
          </cell>
          <cell r="HZ576" t="str">
            <v>ISO4217:USD</v>
          </cell>
          <cell r="IA576" t="b">
            <v>0</v>
          </cell>
          <cell r="IB576" t="b">
            <v>0</v>
          </cell>
        </row>
        <row r="577">
          <cell r="D577" t="str">
            <v>Unrecorded goodwill from poolings</v>
          </cell>
          <cell r="HX577" t="str">
            <v>mstag:unrecordedGoodwillFromPoolings</v>
          </cell>
          <cell r="HY577">
            <v>6</v>
          </cell>
          <cell r="HZ577" t="str">
            <v>ISO4217:USD</v>
          </cell>
          <cell r="IA577" t="b">
            <v>0</v>
          </cell>
          <cell r="IB577" t="b">
            <v>0</v>
          </cell>
        </row>
        <row r="578">
          <cell r="D578" t="str">
            <v>Nonimpairment write-offs</v>
          </cell>
          <cell r="HX578" t="str">
            <v>mstag:nonImpairmentWriteOffs</v>
          </cell>
          <cell r="HY578">
            <v>6</v>
          </cell>
          <cell r="HZ578" t="str">
            <v>ISO4217:USD</v>
          </cell>
          <cell r="IA578" t="b">
            <v>0</v>
          </cell>
          <cell r="IB578" t="b">
            <v>0</v>
          </cell>
        </row>
        <row r="579">
          <cell r="D579" t="str">
            <v>Cumulative goodwill impairments reported</v>
          </cell>
          <cell r="HX579" t="str">
            <v>mstag:cumulativeGoodwillImpairmentsReported</v>
          </cell>
          <cell r="HY579">
            <v>6</v>
          </cell>
          <cell r="HZ579" t="str">
            <v>ISO4217:USD</v>
          </cell>
          <cell r="IA579" t="b">
            <v>0</v>
          </cell>
          <cell r="IB579" t="b">
            <v>0</v>
          </cell>
        </row>
        <row r="580">
          <cell r="D580" t="str">
            <v>Cumulative amortization</v>
          </cell>
          <cell r="HX580" t="str">
            <v>mstag:cumulativeAmortization</v>
          </cell>
          <cell r="HY580">
            <v>6</v>
          </cell>
          <cell r="HZ580" t="str">
            <v>ISO4217:USD</v>
          </cell>
          <cell r="IA580" t="b">
            <v>0</v>
          </cell>
          <cell r="IB580" t="b">
            <v>0</v>
          </cell>
        </row>
        <row r="581">
          <cell r="C581" t="str">
            <v>Analyst estimated goodwill impairments</v>
          </cell>
          <cell r="HX581" t="str">
            <v>mstag:analystEstimatedGoodwillImpairments</v>
          </cell>
          <cell r="HY581">
            <v>6</v>
          </cell>
          <cell r="HZ581" t="str">
            <v>ISO4217:USD</v>
          </cell>
          <cell r="IA581" t="b">
            <v>0</v>
          </cell>
          <cell r="IB581" t="b">
            <v>0</v>
          </cell>
        </row>
        <row r="582">
          <cell r="C582" t="str">
            <v>Cumulative indefinite life intangible amortization and impairments reported</v>
          </cell>
          <cell r="G582" t="str">
            <v/>
          </cell>
          <cell r="H582" t="str">
            <v/>
          </cell>
          <cell r="I582" t="str">
            <v/>
          </cell>
          <cell r="J582" t="str">
            <v/>
          </cell>
          <cell r="K582" t="str">
            <v/>
          </cell>
          <cell r="L582" t="str">
            <v/>
          </cell>
          <cell r="M582" t="str">
            <v/>
          </cell>
          <cell r="HX582" t="str">
            <v>mstag:cumulativeIndefiniteLifeIntangibleAmortizationAndImpairmentsReported</v>
          </cell>
          <cell r="HY582">
            <v>6</v>
          </cell>
          <cell r="HZ582" t="str">
            <v>ISO4217:USD</v>
          </cell>
          <cell r="IA582" t="b">
            <v>0</v>
          </cell>
          <cell r="IB582" t="b">
            <v>0</v>
          </cell>
        </row>
        <row r="583">
          <cell r="D583" t="str">
            <v>Cumulative indefinite life intangible amortization</v>
          </cell>
          <cell r="HX583" t="str">
            <v>mstag:cumulativeIndefiniteLifeIntangibleAmortization</v>
          </cell>
          <cell r="HY583">
            <v>6</v>
          </cell>
          <cell r="HZ583" t="str">
            <v>ISO4217:USD</v>
          </cell>
          <cell r="IA583" t="b">
            <v>0</v>
          </cell>
          <cell r="IB583" t="b">
            <v>0</v>
          </cell>
        </row>
        <row r="584">
          <cell r="D584" t="str">
            <v>Cumulative indefinite life intangible impairments reported</v>
          </cell>
          <cell r="HX584" t="str">
            <v>mstag:cumulativeIndefiniteLifeIntangibleImpairmentsReported</v>
          </cell>
          <cell r="HY584">
            <v>6</v>
          </cell>
          <cell r="HZ584" t="str">
            <v>ISO4217:USD</v>
          </cell>
          <cell r="IA584" t="b">
            <v>0</v>
          </cell>
          <cell r="IB584" t="b">
            <v>0</v>
          </cell>
        </row>
        <row r="585">
          <cell r="C585" t="str">
            <v>Adjustment for cash taxes paid</v>
          </cell>
          <cell r="HX585" t="str">
            <v>mstag:adjustmentForCashTaxesPaid</v>
          </cell>
          <cell r="HY585">
            <v>6</v>
          </cell>
          <cell r="HZ585" t="str">
            <v>ISO4217:USD</v>
          </cell>
          <cell r="IA585" t="b">
            <v>0</v>
          </cell>
          <cell r="IB585" t="b">
            <v>0</v>
          </cell>
        </row>
        <row r="586">
          <cell r="C586" t="str">
            <v>Net cash used (from) one-time items</v>
          </cell>
          <cell r="HX586" t="str">
            <v>mstag:netCashUsedFromOneTimeItems</v>
          </cell>
          <cell r="HY586">
            <v>6</v>
          </cell>
          <cell r="HZ586" t="str">
            <v>ISO4217:USD</v>
          </cell>
          <cell r="IA586" t="b">
            <v>0</v>
          </cell>
          <cell r="IB586" t="b">
            <v>0</v>
          </cell>
        </row>
        <row r="587">
          <cell r="C587" t="str">
            <v>Net increase in beginning net operating assets from change in consolidation of investments</v>
          </cell>
          <cell r="HX587" t="str">
            <v>mstag:adjustmentToNetOperatingAssetsFor1stTimeConsolidationOfInvestments</v>
          </cell>
          <cell r="HY587">
            <v>6</v>
          </cell>
          <cell r="HZ587" t="str">
            <v>ISO4217:USD</v>
          </cell>
          <cell r="IA587" t="b">
            <v>0</v>
          </cell>
          <cell r="IB587" t="b">
            <v>0</v>
          </cell>
        </row>
        <row r="588">
          <cell r="C588" t="str">
            <v>Net increase in beginning net deferred tax assets (operating) from change in consolidation of investments</v>
          </cell>
          <cell r="HX588" t="str">
            <v>mstag:adjustmentToNetDeferredTaxAssetsOperatingFor1stTimeConsolidationOfInvestments</v>
          </cell>
          <cell r="HY588">
            <v>6</v>
          </cell>
          <cell r="HZ588" t="str">
            <v>ISO4217:USD</v>
          </cell>
          <cell r="IA588" t="b">
            <v>0</v>
          </cell>
          <cell r="IB588" t="b">
            <v>0</v>
          </cell>
        </row>
        <row r="589">
          <cell r="C589" t="str">
            <v>Net increase in beginning net deferred tax assets (financing) from change in consolidation of investments</v>
          </cell>
          <cell r="HX589" t="str">
            <v>mstag:adjustmentToNetDeferredTaxAssetsFinancingFor1stTimeConsolidationOfInvestments</v>
          </cell>
          <cell r="HY589">
            <v>6</v>
          </cell>
          <cell r="HZ589" t="str">
            <v>ISO4217:USD</v>
          </cell>
          <cell r="IA589" t="b">
            <v>0</v>
          </cell>
          <cell r="IB589" t="b">
            <v>0</v>
          </cell>
        </row>
        <row r="590">
          <cell r="C590" t="str">
            <v>Net increase in beginning net debt from change in consolidation of investments</v>
          </cell>
          <cell r="HX590" t="str">
            <v>mstag:adjustmentToNetDebtFor1stTimeConsolidationOfInvestments</v>
          </cell>
          <cell r="HY590">
            <v>6</v>
          </cell>
          <cell r="HZ590" t="str">
            <v>ISO4217:USD</v>
          </cell>
          <cell r="IA590" t="b">
            <v>0</v>
          </cell>
          <cell r="IB590" t="b">
            <v>0</v>
          </cell>
        </row>
        <row r="591">
          <cell r="C591" t="str">
            <v>Net decrease in beginning net operating assets from discontinued operations</v>
          </cell>
          <cell r="HX591" t="str">
            <v>mstag:adjustmentToNetOperatingAssetsForDiscontinuedOperations</v>
          </cell>
          <cell r="HY591">
            <v>6</v>
          </cell>
          <cell r="HZ591" t="str">
            <v>ISO4217:USD</v>
          </cell>
          <cell r="IA591" t="b">
            <v>0</v>
          </cell>
          <cell r="IB591" t="b">
            <v>0</v>
          </cell>
        </row>
        <row r="592">
          <cell r="C592" t="str">
            <v>Net decrease in beginning net deferred tax assets (operating) from discontinued operations</v>
          </cell>
          <cell r="HX592" t="str">
            <v>mstag:adjustmentToNetDeferredTaxAssetsOperatingForDiscontinuedOperations</v>
          </cell>
          <cell r="HY592">
            <v>6</v>
          </cell>
          <cell r="HZ592" t="str">
            <v>ISO4217:USD</v>
          </cell>
          <cell r="IA592" t="b">
            <v>0</v>
          </cell>
          <cell r="IB592" t="b">
            <v>0</v>
          </cell>
        </row>
        <row r="593">
          <cell r="C593" t="str">
            <v>Net decrease in beginning net deferred tax assets (financing) from discontinued operations</v>
          </cell>
          <cell r="HX593" t="str">
            <v>mstag:adjustmentToNetDeferredTaxAssetsFinancingForDiscontinuedOperations</v>
          </cell>
          <cell r="HY593">
            <v>6</v>
          </cell>
          <cell r="HZ593" t="str">
            <v>ISO4217:USD</v>
          </cell>
          <cell r="IA593" t="b">
            <v>0</v>
          </cell>
          <cell r="IB593" t="b">
            <v>0</v>
          </cell>
        </row>
        <row r="594">
          <cell r="C594" t="str">
            <v>Net decrease in beginning net debt from discontinued operations</v>
          </cell>
          <cell r="HX594" t="str">
            <v>mstag:adjustmentToNetDebtForDiscontinuedOperations</v>
          </cell>
          <cell r="HY594">
            <v>6</v>
          </cell>
          <cell r="HZ594" t="str">
            <v>ISO4217:USD</v>
          </cell>
          <cell r="IA594" t="b">
            <v>0</v>
          </cell>
          <cell r="IB594" t="b">
            <v>0</v>
          </cell>
        </row>
        <row r="595">
          <cell r="C595" t="str">
            <v>Risk free rate</v>
          </cell>
          <cell r="HX595" t="str">
            <v>mstag:riskFreeRate</v>
          </cell>
          <cell r="HY595">
            <v>0</v>
          </cell>
          <cell r="HZ595" t="str">
            <v>ms_eqr_gcim_Decimal:ms_eqr_gcim_decimal</v>
          </cell>
          <cell r="IA595" t="b">
            <v>0</v>
          </cell>
          <cell r="IB595" t="b">
            <v>0</v>
          </cell>
        </row>
        <row r="596">
          <cell r="C596" t="str">
            <v>Beta</v>
          </cell>
          <cell r="HX596" t="str">
            <v>mstag:beta</v>
          </cell>
          <cell r="HY596">
            <v>0</v>
          </cell>
          <cell r="HZ596" t="str">
            <v>ms_eqr_gcim_Decimal:ms_eqr_gcim_decimal</v>
          </cell>
          <cell r="IA596" t="b">
            <v>0</v>
          </cell>
          <cell r="IB596" t="b">
            <v>0</v>
          </cell>
        </row>
        <row r="597">
          <cell r="C597" t="str">
            <v>Equity risk premium</v>
          </cell>
          <cell r="HX597" t="str">
            <v>mstag:equityRiskPremium</v>
          </cell>
          <cell r="HY597">
            <v>0</v>
          </cell>
          <cell r="HZ597" t="str">
            <v>ms_eqr_gcim_Decimal:ms_eqr_gcim_decimal</v>
          </cell>
          <cell r="IA597" t="b">
            <v>0</v>
          </cell>
          <cell r="IB597" t="b">
            <v>0</v>
          </cell>
        </row>
        <row r="598">
          <cell r="C598" t="str">
            <v>Weighted average cost of capital (WACC)</v>
          </cell>
          <cell r="HX598" t="str">
            <v>mstag:weightedAverageCostOfCapitalWacc</v>
          </cell>
          <cell r="HY598">
            <v>0</v>
          </cell>
          <cell r="HZ598" t="str">
            <v>ms_eqr_gcim_Decimal:ms_eqr_gcim_decimal</v>
          </cell>
          <cell r="IA598" t="b">
            <v>0</v>
          </cell>
          <cell r="IB598" t="b">
            <v>0</v>
          </cell>
        </row>
        <row r="599">
          <cell r="C599" t="str">
            <v>Market value of investments, nonoperating</v>
          </cell>
          <cell r="HX599" t="str">
            <v>mstag:marketValueOfInvestmentsNonOperating</v>
          </cell>
          <cell r="HY599">
            <v>6</v>
          </cell>
          <cell r="HZ599" t="str">
            <v>ISO4217:USD</v>
          </cell>
          <cell r="IA599" t="b">
            <v>0</v>
          </cell>
          <cell r="IB599" t="b">
            <v>0</v>
          </cell>
        </row>
        <row r="600">
          <cell r="C600" t="str">
            <v>Market value of short- and long-term debt</v>
          </cell>
          <cell r="G600" t="str">
            <v/>
          </cell>
          <cell r="H600" t="str">
            <v/>
          </cell>
          <cell r="I600" t="str">
            <v/>
          </cell>
          <cell r="J600" t="str">
            <v/>
          </cell>
          <cell r="K600" t="str">
            <v/>
          </cell>
          <cell r="L600" t="str">
            <v/>
          </cell>
          <cell r="M600" t="str">
            <v/>
          </cell>
          <cell r="HX600" t="str">
            <v>mstag:marketValueOfShortAndLongTermDebt</v>
          </cell>
          <cell r="HY600">
            <v>6</v>
          </cell>
          <cell r="HZ600" t="str">
            <v>ISO4217:USD</v>
          </cell>
          <cell r="IA600" t="b">
            <v>0</v>
          </cell>
          <cell r="IB600" t="b">
            <v>0</v>
          </cell>
        </row>
        <row r="601">
          <cell r="D601" t="str">
            <v>Market value of short-term borrowings</v>
          </cell>
          <cell r="HX601" t="str">
            <v>mstag:marketValueOfShortTermBorrowings</v>
          </cell>
          <cell r="HY601">
            <v>6</v>
          </cell>
          <cell r="HZ601" t="str">
            <v>ISO4217:USD</v>
          </cell>
          <cell r="IA601" t="b">
            <v>0</v>
          </cell>
          <cell r="IB601" t="b">
            <v>0</v>
          </cell>
        </row>
        <row r="602">
          <cell r="D602" t="str">
            <v>Market value of long-term debt</v>
          </cell>
          <cell r="HX602" t="str">
            <v>mstag:marketValueOfLongTermDebt</v>
          </cell>
          <cell r="HY602">
            <v>6</v>
          </cell>
          <cell r="HZ602" t="str">
            <v>ISO4217:USD</v>
          </cell>
          <cell r="IA602" t="b">
            <v>0</v>
          </cell>
          <cell r="IB602" t="b">
            <v>0</v>
          </cell>
        </row>
        <row r="603">
          <cell r="C603" t="str">
            <v>Market value of preferred equity</v>
          </cell>
          <cell r="HX603" t="str">
            <v>mstag:marketValueOfPreferredEquity</v>
          </cell>
          <cell r="HY603">
            <v>6</v>
          </cell>
          <cell r="HZ603" t="str">
            <v>ISO4217:USD</v>
          </cell>
          <cell r="IA603" t="b">
            <v>0</v>
          </cell>
          <cell r="IB603" t="b">
            <v>0</v>
          </cell>
        </row>
        <row r="604">
          <cell r="C604" t="str">
            <v>Market value of trust preferred securities</v>
          </cell>
          <cell r="HX604" t="str">
            <v>mstag:marketValueOfTrustPreferredSecurities</v>
          </cell>
          <cell r="HY604">
            <v>6</v>
          </cell>
          <cell r="HZ604" t="str">
            <v>ISO4217:USD</v>
          </cell>
          <cell r="IA604" t="b">
            <v>0</v>
          </cell>
          <cell r="IB604" t="b">
            <v>0</v>
          </cell>
        </row>
        <row r="605">
          <cell r="C605" t="str">
            <v>Market value of minority interests in shareholders' equity</v>
          </cell>
          <cell r="HX605" t="str">
            <v>mstag:marketValueOfMinorityInterestsInShareholdersEquity</v>
          </cell>
          <cell r="HY605">
            <v>6</v>
          </cell>
          <cell r="HZ605" t="str">
            <v>ISO4217:USD</v>
          </cell>
          <cell r="IA605" t="b">
            <v>0</v>
          </cell>
          <cell r="IB605" t="b">
            <v>0</v>
          </cell>
        </row>
        <row r="606">
          <cell r="C606" t="str">
            <v>Share of market value of associates accounted for under the equity method (operating)</v>
          </cell>
          <cell r="HX606" t="str">
            <v>mstag:shareOfMarketValueOfAssociatesAccountedForUnderTheEquityMethodOperating</v>
          </cell>
          <cell r="HY606">
            <v>6</v>
          </cell>
          <cell r="HZ606" t="str">
            <v>ISO4217:USD</v>
          </cell>
          <cell r="IA606" t="b">
            <v>0</v>
          </cell>
          <cell r="IB606" t="b">
            <v>0</v>
          </cell>
        </row>
        <row r="607">
          <cell r="C607" t="str">
            <v>Share of market value of associates accounted for under the equity method (nonoperating)</v>
          </cell>
          <cell r="HX607" t="str">
            <v>mstag:shareOfMarketValueOfAssociatesAccountedForUnderTheEquityMethodNonOperating</v>
          </cell>
          <cell r="HY607">
            <v>6</v>
          </cell>
          <cell r="HZ607" t="str">
            <v>ISO4217:USD</v>
          </cell>
          <cell r="IA607" t="b">
            <v>0</v>
          </cell>
          <cell r="IB607" t="b">
            <v>0</v>
          </cell>
        </row>
        <row r="608">
          <cell r="C608" t="str">
            <v>Equity share of market value of excluded significant investments</v>
          </cell>
          <cell r="HX608" t="str">
            <v>mstag:equityShareOfMarketValueOfExcludedSignificantInvestments</v>
          </cell>
          <cell r="HY608">
            <v>6</v>
          </cell>
          <cell r="HZ608" t="str">
            <v>ISO4217:USD</v>
          </cell>
          <cell r="IA608" t="b">
            <v>0</v>
          </cell>
          <cell r="IB608" t="b">
            <v>0</v>
          </cell>
        </row>
        <row r="609">
          <cell r="C609" t="str">
            <v>Equity share of book value of excluded significant investments</v>
          </cell>
          <cell r="HX609" t="str">
            <v>mstag:equityShareOfBookValueOfExcludedSignificantInvestments</v>
          </cell>
          <cell r="HY609">
            <v>6</v>
          </cell>
          <cell r="HZ609" t="str">
            <v>ISO4217:USD</v>
          </cell>
          <cell r="IA609" t="b">
            <v>0</v>
          </cell>
          <cell r="IB609" t="b">
            <v>0</v>
          </cell>
        </row>
        <row r="610">
          <cell r="C610" t="str">
            <v>After tax earnings from excluded significant investments</v>
          </cell>
          <cell r="HX610" t="str">
            <v>mstag:afterTaxEarningsFromExcludedSignificantInvestments</v>
          </cell>
          <cell r="HY610">
            <v>6</v>
          </cell>
          <cell r="HZ610" t="str">
            <v>ISO4217:USD</v>
          </cell>
          <cell r="IA610" t="b">
            <v>0</v>
          </cell>
          <cell r="IB610" t="b">
            <v>0</v>
          </cell>
        </row>
        <row r="611">
          <cell r="C611" t="str">
            <v>Current market value of investments, nonoperating</v>
          </cell>
          <cell r="HX611" t="str">
            <v>mstag:currentMarketValueOfInvestmentsNonOperating</v>
          </cell>
          <cell r="HY611">
            <v>6</v>
          </cell>
          <cell r="HZ611" t="str">
            <v>ISO4217:USD</v>
          </cell>
          <cell r="IA611" t="b">
            <v>0</v>
          </cell>
          <cell r="IB611" t="b">
            <v>0</v>
          </cell>
        </row>
        <row r="612">
          <cell r="C612" t="str">
            <v>Current market value of short- and long-term debt</v>
          </cell>
          <cell r="G612" t="str">
            <v/>
          </cell>
          <cell r="H612" t="str">
            <v/>
          </cell>
          <cell r="I612" t="str">
            <v/>
          </cell>
          <cell r="J612" t="str">
            <v/>
          </cell>
          <cell r="K612" t="str">
            <v/>
          </cell>
          <cell r="L612" t="str">
            <v/>
          </cell>
          <cell r="M612" t="str">
            <v/>
          </cell>
          <cell r="HX612" t="str">
            <v>mstag:currentMarketValueOfShortAndLongTermDebt</v>
          </cell>
          <cell r="HY612">
            <v>6</v>
          </cell>
          <cell r="HZ612" t="str">
            <v>ISO4217:USD</v>
          </cell>
          <cell r="IA612" t="b">
            <v>0</v>
          </cell>
          <cell r="IB612" t="b">
            <v>0</v>
          </cell>
        </row>
        <row r="613">
          <cell r="D613" t="str">
            <v>Current market value of short-term borrowings</v>
          </cell>
          <cell r="HX613" t="str">
            <v>mstag:currentMarketValueOfShortTermBorrowings</v>
          </cell>
          <cell r="HY613">
            <v>6</v>
          </cell>
          <cell r="HZ613" t="str">
            <v>ISO4217:USD</v>
          </cell>
          <cell r="IA613" t="b">
            <v>0</v>
          </cell>
          <cell r="IB613" t="b">
            <v>0</v>
          </cell>
        </row>
        <row r="614">
          <cell r="D614" t="str">
            <v>Current market value of long-term debt</v>
          </cell>
          <cell r="HX614" t="str">
            <v>mstag:currentMarketValueOfLongTermDebt</v>
          </cell>
          <cell r="HY614">
            <v>6</v>
          </cell>
          <cell r="HZ614" t="str">
            <v>ISO4217:USD</v>
          </cell>
          <cell r="IA614" t="b">
            <v>0</v>
          </cell>
          <cell r="IB614" t="b">
            <v>0</v>
          </cell>
        </row>
        <row r="615">
          <cell r="C615" t="str">
            <v>Current market value of preferred equity</v>
          </cell>
          <cell r="HX615" t="str">
            <v>mstag:currentMarketValueOfPreferredEquity</v>
          </cell>
          <cell r="HY615">
            <v>6</v>
          </cell>
          <cell r="HZ615" t="str">
            <v>ISO4217:USD</v>
          </cell>
          <cell r="IA615" t="b">
            <v>0</v>
          </cell>
          <cell r="IB615" t="b">
            <v>0</v>
          </cell>
        </row>
        <row r="616">
          <cell r="C616" t="str">
            <v>Current market value of trust preferred securities</v>
          </cell>
          <cell r="HX616" t="str">
            <v>mstag:currentMarketValueOfTrustPreferredSecurities</v>
          </cell>
          <cell r="HY616">
            <v>6</v>
          </cell>
          <cell r="HZ616" t="str">
            <v>ISO4217:USD</v>
          </cell>
          <cell r="IA616" t="b">
            <v>0</v>
          </cell>
          <cell r="IB616" t="b">
            <v>0</v>
          </cell>
        </row>
        <row r="617">
          <cell r="C617" t="str">
            <v>Current market value of minority interests in shareholders equity</v>
          </cell>
          <cell r="HX617" t="str">
            <v>mstag:currentMarketValueOfMinorityInterestsInShareholdersEquity</v>
          </cell>
          <cell r="HY617">
            <v>6</v>
          </cell>
          <cell r="HZ617" t="str">
            <v>ISO4217:USD</v>
          </cell>
          <cell r="IA617" t="b">
            <v>0</v>
          </cell>
          <cell r="IB617" t="b">
            <v>0</v>
          </cell>
        </row>
        <row r="618">
          <cell r="C618" t="str">
            <v>Current share of market value of associates accounted for under the equity method, operating</v>
          </cell>
          <cell r="HX618" t="str">
            <v>mstag:currentShareOfMarketValueOfAssociatesAccountedForUnderTheEquityMethodOperating</v>
          </cell>
          <cell r="HY618">
            <v>6</v>
          </cell>
          <cell r="HZ618" t="str">
            <v>ISO4217:USD</v>
          </cell>
          <cell r="IA618" t="b">
            <v>0</v>
          </cell>
          <cell r="IB618" t="b">
            <v>0</v>
          </cell>
        </row>
        <row r="619">
          <cell r="C619" t="str">
            <v>Current share of market value of associates accounted for under the equity method, nonoperating</v>
          </cell>
          <cell r="HX619" t="str">
            <v>mstag:currentShareOfMarketValueOfAssociatesAccountedForUnderTheEquityMethodNonOperating</v>
          </cell>
          <cell r="HY619">
            <v>6</v>
          </cell>
          <cell r="HZ619" t="str">
            <v>ISO4217:USD</v>
          </cell>
          <cell r="IA619" t="b">
            <v>0</v>
          </cell>
          <cell r="IB619" t="b">
            <v>0</v>
          </cell>
        </row>
        <row r="620">
          <cell r="C620" t="str">
            <v>Market value of convertible debt included in dilutive securities</v>
          </cell>
          <cell r="HX620" t="str">
            <v>mstag:convertibleDebtIncludedInDilutiveSecurities</v>
          </cell>
          <cell r="HY620">
            <v>6</v>
          </cell>
          <cell r="HZ620" t="str">
            <v>ISO4217:USD</v>
          </cell>
          <cell r="IA620" t="b">
            <v>0</v>
          </cell>
          <cell r="IB620" t="b">
            <v>0</v>
          </cell>
        </row>
        <row r="621">
          <cell r="C621" t="str">
            <v>Market value of convertible preferred equity included in dilutive securities</v>
          </cell>
          <cell r="HX621" t="str">
            <v>mstag:convertiblePreferredEquityIncludedInDilutiveSecurities</v>
          </cell>
          <cell r="HY621">
            <v>6</v>
          </cell>
          <cell r="HZ621" t="str">
            <v>ISO4217:USD</v>
          </cell>
          <cell r="IA621" t="b">
            <v>0</v>
          </cell>
          <cell r="IB621" t="b">
            <v>0</v>
          </cell>
        </row>
        <row r="622">
          <cell r="C622" t="str">
            <v>Book value of convertible debt included in dilutive securities</v>
          </cell>
          <cell r="HX622" t="str">
            <v>mstag:bookValueOfConvertibleDebtIncludedInDilutiveSecurities</v>
          </cell>
          <cell r="HY622">
            <v>6</v>
          </cell>
          <cell r="HZ622" t="str">
            <v>ISO4217:USD</v>
          </cell>
          <cell r="IA622" t="b">
            <v>0</v>
          </cell>
          <cell r="IB622" t="b">
            <v>0</v>
          </cell>
        </row>
        <row r="623">
          <cell r="C623" t="str">
            <v>Book value of convertible preferred equity included in dilutive securities</v>
          </cell>
          <cell r="HX623" t="str">
            <v>mstag:bookValueOfConvertiblePreferredEquityIncludedInDilutiveSecurities</v>
          </cell>
          <cell r="HY623">
            <v>6</v>
          </cell>
          <cell r="HZ623" t="str">
            <v>ISO4217:USD</v>
          </cell>
          <cell r="IA623" t="b">
            <v>0</v>
          </cell>
          <cell r="IB623" t="b">
            <v>0</v>
          </cell>
        </row>
        <row r="624">
          <cell r="C624" t="str">
            <v>Market value of excluded minority interests in shareholders' equity</v>
          </cell>
          <cell r="HX624" t="str">
            <v>mstag:marketValueOfExcludedMinorityInterestsInShareholdersEquity</v>
          </cell>
          <cell r="HY624">
            <v>6</v>
          </cell>
          <cell r="HZ624" t="str">
            <v>ISO4217:USD</v>
          </cell>
          <cell r="IA624" t="b">
            <v>0</v>
          </cell>
          <cell r="IB624" t="b">
            <v>0</v>
          </cell>
        </row>
        <row r="625">
          <cell r="C625" t="str">
            <v>Book value of excluded minority interests in shareholders' equity</v>
          </cell>
          <cell r="HX625" t="str">
            <v>mstag:bookValueOfExcludedMinorityInterestsInShareholdersEquity</v>
          </cell>
          <cell r="HY625">
            <v>6</v>
          </cell>
          <cell r="HZ625" t="str">
            <v>ISO4217:USD</v>
          </cell>
          <cell r="IA625" t="b">
            <v>0</v>
          </cell>
          <cell r="IB625" t="b">
            <v>0</v>
          </cell>
        </row>
        <row r="626">
          <cell r="C626" t="str">
            <v>Percentage of EBITDA attributable to entities with excluded minority interest</v>
          </cell>
          <cell r="HX626" t="str">
            <v>mstag:percentageOfEbitdaAttributableToEntitiesWithExcludedMinorityInterest</v>
          </cell>
          <cell r="HY626">
            <v>0</v>
          </cell>
          <cell r="HZ626" t="str">
            <v>ms_eqr_gcim_Decimal:ms_eqr_gcim_decimal</v>
          </cell>
          <cell r="IA626" t="b">
            <v>0</v>
          </cell>
          <cell r="IB626" t="b">
            <v>0</v>
          </cell>
        </row>
        <row r="627">
          <cell r="C627" t="str">
            <v>Minority share in entities with excluded minority interest (%)</v>
          </cell>
          <cell r="HX627" t="str">
            <v>mstag:minorityShareInEntitiesWithExcludedMinorityInterestPercent</v>
          </cell>
          <cell r="HY627">
            <v>6</v>
          </cell>
          <cell r="HZ627" t="str">
            <v>ms_eqr_gcim_Decimal:ms_eqr_gcim_decimal</v>
          </cell>
          <cell r="IA627" t="b">
            <v>0</v>
          </cell>
          <cell r="IB627" t="b">
            <v>0</v>
          </cell>
        </row>
        <row r="628">
          <cell r="C628" t="str">
            <v>Net financial obligations of entities with excluded minority interest</v>
          </cell>
          <cell r="HX628" t="str">
            <v>mstag:netFinancialObligationsOfEntitiesWithExcludedMinorityInterest</v>
          </cell>
          <cell r="HY628">
            <v>6</v>
          </cell>
          <cell r="HZ628" t="str">
            <v>ISO4217:USD</v>
          </cell>
          <cell r="IA628" t="b">
            <v>0</v>
          </cell>
          <cell r="IB628" t="b">
            <v>0</v>
          </cell>
        </row>
        <row r="629">
          <cell r="C629" t="str">
            <v>Net financial obligations of entities consolidated using the equity method included in majority EV</v>
          </cell>
          <cell r="HX629" t="str">
            <v>mstag:netFinancialObligationsOfEntitiesConsolidatedUsingTheEquityMethodIncludedInMajorityEv</v>
          </cell>
          <cell r="HY629">
            <v>6</v>
          </cell>
          <cell r="HZ629" t="str">
            <v>ISO4217:USD</v>
          </cell>
          <cell r="IA629" t="b">
            <v>0</v>
          </cell>
          <cell r="IB629" t="b">
            <v>0</v>
          </cell>
        </row>
        <row r="630">
          <cell r="C630" t="str">
            <v>Majority share of entities consolidated using the equity method included in majority EV (%)</v>
          </cell>
          <cell r="HX630" t="str">
            <v>mstag:majorityShareOfEntitiesConsolidatedUsingTheEquityMethodIncludedInMajorityEvPercent</v>
          </cell>
          <cell r="HY630">
            <v>0</v>
          </cell>
          <cell r="HZ630" t="str">
            <v>ms_eqr_gcim_Decimal:ms_eqr_gcim_decimal</v>
          </cell>
          <cell r="IA630" t="b">
            <v>0</v>
          </cell>
          <cell r="IB630" t="b">
            <v>0</v>
          </cell>
        </row>
        <row r="631">
          <cell r="C631" t="str">
            <v>EBITDA of entities consolidated using the equity method included in majority EBITDA</v>
          </cell>
          <cell r="HX631" t="str">
            <v>mstag:ebitdaOfEntitiesConsolidatedUsingTheEquityMethodIncludedInMajorityEbitda</v>
          </cell>
          <cell r="HY631">
            <v>6</v>
          </cell>
          <cell r="HZ631" t="str">
            <v>ISO4217:USD</v>
          </cell>
          <cell r="IA631" t="b">
            <v>0</v>
          </cell>
          <cell r="IB631" t="b">
            <v>0</v>
          </cell>
        </row>
        <row r="632">
          <cell r="C632" t="str">
            <v>Market value of investments accounted for using the equity method excluded from majority EV</v>
          </cell>
          <cell r="HX632" t="str">
            <v>mstag:marketValueOfInvestmentsAccountedForUsingTheEquityMethodExcludedFromMajorityEv</v>
          </cell>
          <cell r="HY632">
            <v>6</v>
          </cell>
          <cell r="HZ632" t="str">
            <v>ISO4217:USD</v>
          </cell>
          <cell r="IA632" t="b">
            <v>0</v>
          </cell>
          <cell r="IB632" t="b">
            <v>0</v>
          </cell>
        </row>
        <row r="633">
          <cell r="C633" t="str">
            <v>Book value of investments accounted for using the equity method excluded from majority EV</v>
          </cell>
          <cell r="HX633" t="str">
            <v>mstag:bookValueOfInvestmentsAccountedForUsingTheEquityMethodExcludedFromMajorityEv</v>
          </cell>
          <cell r="HY633">
            <v>6</v>
          </cell>
          <cell r="HZ633" t="str">
            <v>ISO4217:USD</v>
          </cell>
          <cell r="IA633" t="b">
            <v>0</v>
          </cell>
          <cell r="IB633" t="b">
            <v>0</v>
          </cell>
        </row>
        <row r="634">
          <cell r="C634" t="str">
            <v>Current market value of investments accounted for using the equity method excluded from majority EV</v>
          </cell>
          <cell r="HX634" t="str">
            <v>mstag:currentMarketValueOfInvestmentsAccountedForUsingTheEquityMethodExcludedFromMajorityEv</v>
          </cell>
          <cell r="HY634">
            <v>6</v>
          </cell>
          <cell r="HZ634" t="str">
            <v>ISO4217:USD</v>
          </cell>
          <cell r="IA634" t="b">
            <v>0</v>
          </cell>
          <cell r="IB634" t="b">
            <v>0</v>
          </cell>
        </row>
        <row r="635">
          <cell r="C635" t="str">
            <v>Current market value of excluded minority interests in shareholders' equity</v>
          </cell>
          <cell r="HX635" t="str">
            <v>mstag:currentMarketValueOfExcludedMinorityInterestsInShareholdersEquity</v>
          </cell>
          <cell r="HY635">
            <v>6</v>
          </cell>
          <cell r="HZ635" t="str">
            <v>ISO4217:USD</v>
          </cell>
          <cell r="IA635" t="b">
            <v>0</v>
          </cell>
          <cell r="IB635" t="b">
            <v>0</v>
          </cell>
        </row>
        <row r="636">
          <cell r="C636" t="str">
            <v>LIFO reserve</v>
          </cell>
          <cell r="HX636" t="str">
            <v>mstag:lifoReserve</v>
          </cell>
          <cell r="HY636">
            <v>6</v>
          </cell>
          <cell r="HZ636" t="str">
            <v>ISO4217:USD</v>
          </cell>
          <cell r="IA636" t="b">
            <v>0</v>
          </cell>
          <cell r="IB636" t="b">
            <v>0</v>
          </cell>
        </row>
        <row r="637">
          <cell r="C637" t="str">
            <v>Change in LIFO reserve</v>
          </cell>
          <cell r="HX637" t="str">
            <v>mstag:changeInLifoReserve</v>
          </cell>
          <cell r="HY637">
            <v>6</v>
          </cell>
          <cell r="HZ637" t="str">
            <v>ISO4217:USD</v>
          </cell>
          <cell r="IA637" t="b">
            <v>0</v>
          </cell>
          <cell r="IB637" t="b">
            <v>0</v>
          </cell>
        </row>
        <row r="638">
          <cell r="C638" t="str">
            <v>Inventory obsolescence reserve</v>
          </cell>
          <cell r="HX638" t="str">
            <v>mstag:inventoryObsolescenceReserve</v>
          </cell>
          <cell r="HY638">
            <v>6</v>
          </cell>
          <cell r="HZ638" t="str">
            <v>ISO4217:USD</v>
          </cell>
          <cell r="IA638" t="b">
            <v>0</v>
          </cell>
          <cell r="IB638" t="b">
            <v>0</v>
          </cell>
        </row>
        <row r="639">
          <cell r="C639" t="str">
            <v>Taxes</v>
          </cell>
          <cell r="HY639">
            <v>0</v>
          </cell>
          <cell r="HZ639" t="str">
            <v>ms_eqr_gcim_String:ms_eqr_gcim_string</v>
          </cell>
          <cell r="IA639" t="b">
            <v>0</v>
          </cell>
          <cell r="IB639" t="b">
            <v>0</v>
          </cell>
        </row>
        <row r="640">
          <cell r="D640" t="str">
            <v>Deferred tax assets, operating</v>
          </cell>
          <cell r="G640">
            <v>202.113</v>
          </cell>
          <cell r="H640">
            <v>221.36500000000001</v>
          </cell>
          <cell r="I640">
            <v>337.589</v>
          </cell>
          <cell r="J640">
            <v>546.26900000000001</v>
          </cell>
          <cell r="K640">
            <v>511.61599999999999</v>
          </cell>
          <cell r="L640">
            <v>683.36400000000003</v>
          </cell>
          <cell r="HX640" t="str">
            <v>mstag:deferredTaxAssetsOperating</v>
          </cell>
          <cell r="HY640">
            <v>6</v>
          </cell>
          <cell r="HZ640" t="str">
            <v>ISO4217:USD</v>
          </cell>
          <cell r="IA640" t="b">
            <v>0</v>
          </cell>
          <cell r="IB640" t="b">
            <v>0</v>
          </cell>
        </row>
        <row r="641">
          <cell r="D641" t="str">
            <v>Deferred tax assets, financing</v>
          </cell>
          <cell r="HX641" t="str">
            <v>mstag:deferredTaxAssetsFinancing</v>
          </cell>
          <cell r="HY641">
            <v>6</v>
          </cell>
          <cell r="HZ641" t="str">
            <v>ISO4217:USD</v>
          </cell>
          <cell r="IA641" t="b">
            <v>0</v>
          </cell>
          <cell r="IB641" t="b">
            <v>0</v>
          </cell>
        </row>
        <row r="642">
          <cell r="D642" t="str">
            <v>Deferred tax assets, other</v>
          </cell>
          <cell r="HX642" t="str">
            <v>mstag:deferredTaxAssetsOther</v>
          </cell>
          <cell r="HY642">
            <v>6</v>
          </cell>
          <cell r="HZ642" t="str">
            <v>ISO4217:USD</v>
          </cell>
          <cell r="IA642" t="b">
            <v>0</v>
          </cell>
          <cell r="IB642" t="b">
            <v>0</v>
          </cell>
        </row>
        <row r="643">
          <cell r="D643" t="str">
            <v>Valuation allowance in deferred taxes</v>
          </cell>
          <cell r="G643">
            <v>48.508000000000003</v>
          </cell>
          <cell r="H643">
            <v>62.844000000000001</v>
          </cell>
          <cell r="I643">
            <v>0</v>
          </cell>
          <cell r="J643">
            <v>0</v>
          </cell>
          <cell r="K643">
            <v>0</v>
          </cell>
          <cell r="L643">
            <v>0</v>
          </cell>
          <cell r="HX643" t="str">
            <v>mstag:valuationAllowanceInDeferredTaxes</v>
          </cell>
          <cell r="HY643">
            <v>6</v>
          </cell>
          <cell r="HZ643" t="str">
            <v>ISO4217:USD</v>
          </cell>
          <cell r="IA643" t="b">
            <v>0</v>
          </cell>
          <cell r="IB643" t="b">
            <v>0</v>
          </cell>
        </row>
        <row r="644">
          <cell r="D644" t="str">
            <v>Deferred tax liabilities, operating</v>
          </cell>
          <cell r="G644">
            <v>82.396000000000001</v>
          </cell>
          <cell r="H644">
            <v>117.104</v>
          </cell>
          <cell r="I644">
            <v>882.13300000000004</v>
          </cell>
          <cell r="J644">
            <v>855.49800000000005</v>
          </cell>
          <cell r="K644">
            <v>819.85799999999995</v>
          </cell>
          <cell r="L644">
            <v>768.57899999999995</v>
          </cell>
          <cell r="HX644" t="str">
            <v>mstag:deferredTaxLiabilitiesOperating</v>
          </cell>
          <cell r="HY644">
            <v>6</v>
          </cell>
          <cell r="HZ644" t="str">
            <v>ISO4217:USD</v>
          </cell>
          <cell r="IA644" t="b">
            <v>0</v>
          </cell>
          <cell r="IB644" t="b">
            <v>0</v>
          </cell>
        </row>
        <row r="645">
          <cell r="D645" t="str">
            <v>Deferred tax liabilities, financing</v>
          </cell>
          <cell r="HX645" t="str">
            <v>mstag:deferredTaxLiabilitiesFinancing</v>
          </cell>
          <cell r="HY645">
            <v>6</v>
          </cell>
          <cell r="HZ645" t="str">
            <v>ISO4217:USD</v>
          </cell>
          <cell r="IA645" t="b">
            <v>0</v>
          </cell>
          <cell r="IB645" t="b">
            <v>0</v>
          </cell>
        </row>
        <row r="646">
          <cell r="D646" t="str">
            <v>Deferred tax liabilities, other</v>
          </cell>
          <cell r="HX646" t="str">
            <v>mstag:deferredTaxLiabilitiesOther</v>
          </cell>
          <cell r="HY646">
            <v>6</v>
          </cell>
          <cell r="HZ646" t="str">
            <v>ISO4217:USD</v>
          </cell>
          <cell r="IA646" t="b">
            <v>0</v>
          </cell>
          <cell r="IB646" t="b">
            <v>0</v>
          </cell>
        </row>
        <row r="647">
          <cell r="D647" t="str">
            <v>Cash taxes paid</v>
          </cell>
          <cell r="G647">
            <v>15.474</v>
          </cell>
          <cell r="H647">
            <v>26.189</v>
          </cell>
          <cell r="I647">
            <v>18.739999999999998</v>
          </cell>
          <cell r="J647">
            <v>-5.0049999999999999</v>
          </cell>
          <cell r="K647">
            <v>36.450000000000003</v>
          </cell>
          <cell r="L647">
            <v>128.108</v>
          </cell>
          <cell r="HX647" t="str">
            <v>mstag:cashTaxesPaid</v>
          </cell>
          <cell r="HY647">
            <v>6</v>
          </cell>
          <cell r="HZ647" t="str">
            <v>ISO4217:USD</v>
          </cell>
          <cell r="IA647" t="b">
            <v>0</v>
          </cell>
          <cell r="IB647" t="b">
            <v>0</v>
          </cell>
        </row>
        <row r="648">
          <cell r="D648" t="str">
            <v>Fair value of NOL</v>
          </cell>
          <cell r="HX648" t="str">
            <v>mstag:fairValueOfNol</v>
          </cell>
          <cell r="HY648">
            <v>6</v>
          </cell>
          <cell r="HZ648" t="str">
            <v>ISO4217:USD</v>
          </cell>
          <cell r="IA648" t="b">
            <v>0</v>
          </cell>
          <cell r="IB648" t="b">
            <v>0</v>
          </cell>
        </row>
        <row r="649">
          <cell r="D649" t="str">
            <v>Dividend tax credit (%)</v>
          </cell>
          <cell r="HX649" t="str">
            <v>mstag:dividendTaxCreditPercent</v>
          </cell>
          <cell r="HY649">
            <v>0</v>
          </cell>
          <cell r="HZ649" t="str">
            <v>ms_eqr_gcim_Decimal:ms_eqr_gcim_decimal</v>
          </cell>
          <cell r="IA649" t="b">
            <v>0</v>
          </cell>
          <cell r="IB649" t="b">
            <v>0</v>
          </cell>
        </row>
        <row r="650">
          <cell r="C650" t="str">
            <v>Dividend franking percentage</v>
          </cell>
          <cell r="HX650" t="str">
            <v>mstag:dividendFrankingPercentage</v>
          </cell>
          <cell r="HY650">
            <v>0</v>
          </cell>
          <cell r="HZ650" t="str">
            <v>ms_eqr_gcim_Decimal:ms_eqr_gcim_decimal</v>
          </cell>
          <cell r="IA650" t="b">
            <v>0</v>
          </cell>
          <cell r="IB650" t="b">
            <v>0</v>
          </cell>
        </row>
        <row r="651">
          <cell r="C651" t="str">
            <v>Tax withheld on dividends paid</v>
          </cell>
          <cell r="HX651" t="str">
            <v>mstag:taxWithheldOnDividendsPaid</v>
          </cell>
          <cell r="HY651">
            <v>6</v>
          </cell>
          <cell r="HZ651" t="str">
            <v>ISO4217:USD</v>
          </cell>
          <cell r="IA651" t="b">
            <v>0</v>
          </cell>
          <cell r="IB651" t="b">
            <v>0</v>
          </cell>
        </row>
        <row r="652">
          <cell r="C652" t="str">
            <v>Special dividends paid</v>
          </cell>
          <cell r="HX652" t="str">
            <v>mstag:specialDividendsPaid</v>
          </cell>
          <cell r="HY652">
            <v>6</v>
          </cell>
          <cell r="HZ652" t="str">
            <v>ISO4217:USD</v>
          </cell>
          <cell r="IA652" t="b">
            <v>0</v>
          </cell>
          <cell r="IB652" t="b">
            <v>0</v>
          </cell>
        </row>
        <row r="653">
          <cell r="C653" t="str">
            <v>Off balance sheet</v>
          </cell>
          <cell r="HY653">
            <v>0</v>
          </cell>
          <cell r="HZ653" t="str">
            <v>ms_eqr_gcim_String:ms_eqr_gcim_string</v>
          </cell>
          <cell r="IA653" t="b">
            <v>0</v>
          </cell>
          <cell r="IB653" t="b">
            <v>0</v>
          </cell>
        </row>
        <row r="654">
          <cell r="D654" t="str">
            <v>Securitized assets</v>
          </cell>
          <cell r="G654" t="str">
            <v/>
          </cell>
          <cell r="H654" t="str">
            <v/>
          </cell>
          <cell r="I654" t="str">
            <v/>
          </cell>
          <cell r="J654" t="str">
            <v/>
          </cell>
          <cell r="K654" t="str">
            <v/>
          </cell>
          <cell r="L654" t="str">
            <v/>
          </cell>
          <cell r="M654" t="str">
            <v/>
          </cell>
          <cell r="HX654" t="str">
            <v>mstag:securitizedAssetsNonFinancialServices</v>
          </cell>
          <cell r="HY654">
            <v>6</v>
          </cell>
          <cell r="HZ654" t="str">
            <v>ISO4217:USD</v>
          </cell>
          <cell r="IA654" t="b">
            <v>0</v>
          </cell>
          <cell r="IB654" t="b">
            <v>0</v>
          </cell>
        </row>
        <row r="655">
          <cell r="E655" t="str">
            <v>Securitized receivables</v>
          </cell>
          <cell r="HX655" t="str">
            <v>mstag:securitizedReceivablesNonFinancialServices</v>
          </cell>
          <cell r="HY655">
            <v>6</v>
          </cell>
          <cell r="HZ655" t="str">
            <v>ISO4217:USD</v>
          </cell>
          <cell r="IA655" t="b">
            <v>0</v>
          </cell>
          <cell r="IB655" t="b">
            <v>0</v>
          </cell>
        </row>
        <row r="656">
          <cell r="D656" t="str">
            <v>Commitments and contingencies</v>
          </cell>
          <cell r="HX656" t="str">
            <v>mstag:commitmentsAndContingencies</v>
          </cell>
          <cell r="HY656">
            <v>6</v>
          </cell>
          <cell r="HZ656" t="str">
            <v>ISO4217:USD</v>
          </cell>
          <cell r="IA656" t="b">
            <v>0</v>
          </cell>
          <cell r="IB656" t="b">
            <v>0</v>
          </cell>
        </row>
        <row r="657">
          <cell r="D657" t="str">
            <v>Unguaranteed residual value in sales-financed leases</v>
          </cell>
          <cell r="HX657" t="str">
            <v>mstag:unguaranteedResidualValueInSalesFinancedLeases</v>
          </cell>
          <cell r="HY657">
            <v>6</v>
          </cell>
          <cell r="HZ657" t="str">
            <v>ISO4217:USD</v>
          </cell>
          <cell r="IA657" t="b">
            <v>0</v>
          </cell>
          <cell r="IB657" t="b">
            <v>0</v>
          </cell>
        </row>
        <row r="658">
          <cell r="C658" t="str">
            <v>Total number of employees</v>
          </cell>
          <cell r="G658">
            <v>3242</v>
          </cell>
          <cell r="H658">
            <v>3389</v>
          </cell>
          <cell r="I658">
            <v>3883</v>
          </cell>
          <cell r="J658">
            <v>4459</v>
          </cell>
          <cell r="K658">
            <v>4950</v>
          </cell>
          <cell r="L658">
            <v>5252</v>
          </cell>
          <cell r="HX658" t="str">
            <v>mstag:totalNumberOfEmployees</v>
          </cell>
          <cell r="HY658">
            <v>0</v>
          </cell>
          <cell r="HZ658" t="str">
            <v>ms_eqr_gcim_Decimal:ms_eqr_gcim_decimal</v>
          </cell>
          <cell r="IA658" t="b">
            <v>0</v>
          </cell>
          <cell r="IB658" t="b">
            <v>0</v>
          </cell>
        </row>
        <row r="659">
          <cell r="C659" t="str">
            <v>Average number of employees</v>
          </cell>
          <cell r="G659" t="str">
            <v>ND</v>
          </cell>
          <cell r="H659">
            <v>3315.5</v>
          </cell>
          <cell r="I659">
            <v>3636</v>
          </cell>
          <cell r="J659">
            <v>4171</v>
          </cell>
          <cell r="K659">
            <v>4704.5</v>
          </cell>
          <cell r="L659">
            <v>5101</v>
          </cell>
          <cell r="HX659" t="str">
            <v>mstag:averageNumberOfEmployees</v>
          </cell>
          <cell r="HY659">
            <v>0</v>
          </cell>
          <cell r="HZ659" t="str">
            <v>ms_eqr_gcim_Decimal:ms_eqr_gcim_decimal</v>
          </cell>
          <cell r="IA659" t="b">
            <v>0</v>
          </cell>
          <cell r="IB659" t="b">
            <v>0</v>
          </cell>
        </row>
        <row r="660">
          <cell r="C660" t="str">
            <v>Net effect of revaluation reserves on book value</v>
          </cell>
          <cell r="HX660" t="str">
            <v>mstag:netEffectOfRevaluationReservesOnBookValue</v>
          </cell>
          <cell r="HY660">
            <v>6</v>
          </cell>
          <cell r="HZ660" t="str">
            <v>ISO4217:USD</v>
          </cell>
          <cell r="IA660" t="b">
            <v>0</v>
          </cell>
          <cell r="IB660" t="b">
            <v>0</v>
          </cell>
        </row>
        <row r="661">
          <cell r="C661" t="str">
            <v>Interest on other interest-bearing liabilities</v>
          </cell>
          <cell r="G661" t="str">
            <v/>
          </cell>
          <cell r="H661" t="str">
            <v/>
          </cell>
          <cell r="I661" t="str">
            <v/>
          </cell>
          <cell r="J661" t="str">
            <v/>
          </cell>
          <cell r="K661" t="str">
            <v/>
          </cell>
          <cell r="L661" t="str">
            <v/>
          </cell>
          <cell r="M661" t="str">
            <v/>
          </cell>
          <cell r="HX661" t="str">
            <v>mstag:interestOnOtherInterestBearingLiabilities</v>
          </cell>
          <cell r="HY661">
            <v>6</v>
          </cell>
          <cell r="HZ661" t="str">
            <v>ISO4217:USD</v>
          </cell>
          <cell r="IA661" t="b">
            <v>0</v>
          </cell>
          <cell r="IB661" t="b">
            <v>0</v>
          </cell>
        </row>
        <row r="662">
          <cell r="D662" t="str">
            <v>Interest on other interest-bearing liabilities reported as finance costs</v>
          </cell>
          <cell r="HX662" t="str">
            <v>mstag:interestOnOtherInterestBearingLiabilitiesReportedAsFinanceCosts</v>
          </cell>
          <cell r="HY662">
            <v>6</v>
          </cell>
          <cell r="HZ662" t="str">
            <v>ISO4217:USD</v>
          </cell>
          <cell r="IA662" t="b">
            <v>0</v>
          </cell>
          <cell r="IB662" t="b">
            <v>0</v>
          </cell>
        </row>
        <row r="663">
          <cell r="D663" t="str">
            <v>Interest on other interest-bearing liabilities reported as operating costs</v>
          </cell>
          <cell r="HX663" t="str">
            <v>mstag:interestOnOtherInterestBearingLiabilitiesReportedAsOperatingCosts</v>
          </cell>
          <cell r="HY663">
            <v>6</v>
          </cell>
          <cell r="HZ663" t="str">
            <v>ISO4217:USD</v>
          </cell>
          <cell r="IA663" t="b">
            <v>0</v>
          </cell>
          <cell r="IB663" t="b">
            <v>0</v>
          </cell>
        </row>
        <row r="664">
          <cell r="B664" t="str">
            <v>Pensions and other postretirement benefit plans</v>
          </cell>
          <cell r="HY664">
            <v>0</v>
          </cell>
          <cell r="HZ664" t="str">
            <v>ms_eqr_gcim_String:ms_eqr_gcim_string</v>
          </cell>
          <cell r="IA664" t="b">
            <v>0</v>
          </cell>
          <cell r="IB664" t="b">
            <v>0</v>
          </cell>
        </row>
        <row r="665">
          <cell r="C665" t="str">
            <v>Pensions (interest and returns classified by company as operating)</v>
          </cell>
          <cell r="HY665">
            <v>0</v>
          </cell>
          <cell r="HZ665" t="str">
            <v>ms_eqr_gcim_String:ms_eqr_gcim_string</v>
          </cell>
          <cell r="IA665" t="b">
            <v>0</v>
          </cell>
          <cell r="IB665" t="b">
            <v>0</v>
          </cell>
        </row>
        <row r="666">
          <cell r="D666" t="str">
            <v>Net periodic pension expense (pensions)</v>
          </cell>
          <cell r="G666" t="str">
            <v/>
          </cell>
          <cell r="H666" t="str">
            <v/>
          </cell>
          <cell r="I666" t="str">
            <v/>
          </cell>
          <cell r="J666" t="str">
            <v/>
          </cell>
          <cell r="K666" t="str">
            <v/>
          </cell>
          <cell r="L666" t="str">
            <v/>
          </cell>
          <cell r="M666" t="str">
            <v/>
          </cell>
          <cell r="HX666" t="str">
            <v>mstag:netPeriodicPensionExpensePensions</v>
          </cell>
          <cell r="HY666">
            <v>6</v>
          </cell>
          <cell r="HZ666" t="str">
            <v>ISO4217:USD</v>
          </cell>
          <cell r="IA666" t="b">
            <v>0</v>
          </cell>
          <cell r="IB666" t="b">
            <v>0</v>
          </cell>
        </row>
        <row r="667">
          <cell r="E667" t="str">
            <v>Service cost (pensions)</v>
          </cell>
          <cell r="HX667" t="str">
            <v>mstag:serviceCostPensions</v>
          </cell>
          <cell r="HY667">
            <v>6</v>
          </cell>
          <cell r="HZ667" t="str">
            <v>ISO4217:USD</v>
          </cell>
          <cell r="IA667" t="b">
            <v>0</v>
          </cell>
          <cell r="IB667" t="b">
            <v>0</v>
          </cell>
        </row>
        <row r="668">
          <cell r="E668" t="str">
            <v>Interest cost (pensions)</v>
          </cell>
          <cell r="HX668" t="str">
            <v>mstag:interestCostPensions</v>
          </cell>
          <cell r="HY668">
            <v>6</v>
          </cell>
          <cell r="HZ668" t="str">
            <v>ISO4217:USD</v>
          </cell>
          <cell r="IA668" t="b">
            <v>0</v>
          </cell>
          <cell r="IB668" t="b">
            <v>0</v>
          </cell>
        </row>
        <row r="669">
          <cell r="E669" t="str">
            <v>Expected return on plan assets (pensions)</v>
          </cell>
          <cell r="HX669" t="str">
            <v>mstag:expectedReturnOnPlanAssetsPensions</v>
          </cell>
          <cell r="HY669">
            <v>6</v>
          </cell>
          <cell r="HZ669" t="str">
            <v>ISO4217:USD</v>
          </cell>
          <cell r="IA669" t="b">
            <v>0</v>
          </cell>
          <cell r="IB669" t="b">
            <v>0</v>
          </cell>
        </row>
        <row r="670">
          <cell r="E670" t="str">
            <v>Amortization of prior service cost (pensions)</v>
          </cell>
          <cell r="HX670" t="str">
            <v>mstag:amortizationOfPriorServiceCostPensions</v>
          </cell>
          <cell r="HY670">
            <v>6</v>
          </cell>
          <cell r="HZ670" t="str">
            <v>ISO4217:USD</v>
          </cell>
          <cell r="IA670" t="b">
            <v>0</v>
          </cell>
          <cell r="IB670" t="b">
            <v>0</v>
          </cell>
        </row>
        <row r="671">
          <cell r="E671" t="str">
            <v>Net actuarial gain (loss) recognized (pensions)</v>
          </cell>
          <cell r="HX671" t="str">
            <v>mstag:netActuarialGainLossRecognizedPensions</v>
          </cell>
          <cell r="HY671">
            <v>6</v>
          </cell>
          <cell r="HZ671" t="str">
            <v>ISO4217:USD</v>
          </cell>
          <cell r="IA671" t="b">
            <v>0</v>
          </cell>
          <cell r="IB671" t="b">
            <v>0</v>
          </cell>
        </row>
        <row r="672">
          <cell r="E672" t="str">
            <v>Nonrecurring pension items</v>
          </cell>
          <cell r="HX672" t="str">
            <v>mstag:nonRecurringPensionItems</v>
          </cell>
          <cell r="HY672">
            <v>6</v>
          </cell>
          <cell r="HZ672" t="str">
            <v>ISO4217:USD</v>
          </cell>
          <cell r="IA672" t="b">
            <v>0</v>
          </cell>
          <cell r="IB672" t="b">
            <v>0</v>
          </cell>
        </row>
        <row r="673">
          <cell r="E673" t="str">
            <v>Other net pension expense</v>
          </cell>
          <cell r="HX673" t="str">
            <v>mstag:otherNetPensionExpense</v>
          </cell>
          <cell r="HY673">
            <v>6</v>
          </cell>
          <cell r="HZ673" t="str">
            <v>ISO4217:USD</v>
          </cell>
          <cell r="IA673" t="b">
            <v>0</v>
          </cell>
          <cell r="IB673" t="b">
            <v>0</v>
          </cell>
        </row>
        <row r="674">
          <cell r="D674" t="str">
            <v>Net benefits paid to retirees (pensions)</v>
          </cell>
          <cell r="G674" t="str">
            <v/>
          </cell>
          <cell r="H674" t="str">
            <v/>
          </cell>
          <cell r="I674" t="str">
            <v/>
          </cell>
          <cell r="J674" t="str">
            <v/>
          </cell>
          <cell r="K674" t="str">
            <v/>
          </cell>
          <cell r="L674" t="str">
            <v/>
          </cell>
          <cell r="M674" t="str">
            <v/>
          </cell>
          <cell r="HX674" t="str">
            <v>mstag:netBenefitsPaidToRetireesPensions</v>
          </cell>
          <cell r="HY674">
            <v>6</v>
          </cell>
          <cell r="HZ674" t="str">
            <v>ISO4217:USD</v>
          </cell>
          <cell r="IA674" t="b">
            <v>0</v>
          </cell>
          <cell r="IB674" t="b">
            <v>0</v>
          </cell>
        </row>
        <row r="675">
          <cell r="E675" t="str">
            <v>Benefits paid to retirees, in obligation (pensions)</v>
          </cell>
          <cell r="HX675" t="str">
            <v>mstag:benefitsPaidToRetireesPensions</v>
          </cell>
          <cell r="HY675">
            <v>6</v>
          </cell>
          <cell r="HZ675" t="str">
            <v>ISO4217:USD</v>
          </cell>
          <cell r="IA675" t="b">
            <v>0</v>
          </cell>
          <cell r="IB675" t="b">
            <v>0</v>
          </cell>
        </row>
        <row r="676">
          <cell r="E676" t="str">
            <v>Benefits paid to retirees, in assets (pensions)</v>
          </cell>
          <cell r="HX676" t="str">
            <v>mstag:benefitsPaidToRetireesInAssetsPensions</v>
          </cell>
          <cell r="HY676">
            <v>6</v>
          </cell>
          <cell r="HZ676" t="str">
            <v>ISO4217:USD</v>
          </cell>
          <cell r="IA676" t="b">
            <v>0</v>
          </cell>
          <cell r="IB676" t="b">
            <v>0</v>
          </cell>
        </row>
        <row r="677">
          <cell r="D677" t="str">
            <v>Actual return on plan assets (pensions)</v>
          </cell>
          <cell r="HX677" t="str">
            <v>mstag:actualReturnOnPlanAssetsPensions</v>
          </cell>
          <cell r="HY677">
            <v>6</v>
          </cell>
          <cell r="HZ677" t="str">
            <v>ISO4217:USD</v>
          </cell>
          <cell r="IA677" t="b">
            <v>0</v>
          </cell>
          <cell r="IB677" t="b">
            <v>0</v>
          </cell>
        </row>
        <row r="678">
          <cell r="D678" t="str">
            <v>Contribution to plan assets (pensions)</v>
          </cell>
          <cell r="HX678" t="str">
            <v>mstag:contributionToPlanAssetsPensions</v>
          </cell>
          <cell r="HY678">
            <v>6</v>
          </cell>
          <cell r="HZ678" t="str">
            <v>ISO4217:USD</v>
          </cell>
          <cell r="IA678" t="b">
            <v>0</v>
          </cell>
          <cell r="IB678" t="b">
            <v>0</v>
          </cell>
        </row>
        <row r="679">
          <cell r="D679" t="str">
            <v>Projected benefit obligation (pensions)</v>
          </cell>
          <cell r="HX679" t="str">
            <v>mstag:projectedBenefitObligationPensions</v>
          </cell>
          <cell r="HY679">
            <v>6</v>
          </cell>
          <cell r="HZ679" t="str">
            <v>ISO4217:USD</v>
          </cell>
          <cell r="IA679" t="b">
            <v>0</v>
          </cell>
          <cell r="IB679" t="b">
            <v>0</v>
          </cell>
        </row>
        <row r="680">
          <cell r="D680" t="str">
            <v>Plan assets at fair value (pensions)</v>
          </cell>
          <cell r="HX680" t="str">
            <v>mstag:planAssetsAtFairValuePensions</v>
          </cell>
          <cell r="HY680">
            <v>6</v>
          </cell>
          <cell r="HZ680" t="str">
            <v>ISO4217:USD</v>
          </cell>
          <cell r="IA680" t="b">
            <v>0</v>
          </cell>
          <cell r="IB680" t="b">
            <v>0</v>
          </cell>
        </row>
        <row r="681">
          <cell r="D681" t="str">
            <v>Net pension prepaid asset (accrued liability)</v>
          </cell>
          <cell r="HX681" t="str">
            <v>mstag:netPensionPrepaidAssetAccruedLiability</v>
          </cell>
          <cell r="HY681">
            <v>6</v>
          </cell>
          <cell r="HZ681" t="str">
            <v>ISO4217:USD</v>
          </cell>
          <cell r="IA681" t="b">
            <v>0</v>
          </cell>
          <cell r="IB681" t="b">
            <v>0</v>
          </cell>
        </row>
        <row r="682">
          <cell r="D682" t="str">
            <v>Intangible asset (pensions)</v>
          </cell>
          <cell r="HX682" t="str">
            <v>mstag:intangibleAssetPensions</v>
          </cell>
          <cell r="HY682">
            <v>6</v>
          </cell>
          <cell r="HZ682" t="str">
            <v>ISO4217:USD</v>
          </cell>
          <cell r="IA682" t="b">
            <v>0</v>
          </cell>
          <cell r="IB682" t="b">
            <v>0</v>
          </cell>
        </row>
        <row r="683">
          <cell r="D683" t="str">
            <v>Accumulated other comprehensive income (pensions)</v>
          </cell>
          <cell r="HX683" t="str">
            <v>mstag:accumulatedOtherComprehensiveIncomePensions</v>
          </cell>
          <cell r="HY683">
            <v>6</v>
          </cell>
          <cell r="HZ683" t="str">
            <v>ISO4217:USD</v>
          </cell>
          <cell r="IA683" t="b">
            <v>0</v>
          </cell>
          <cell r="IB683" t="b">
            <v>0</v>
          </cell>
        </row>
        <row r="684">
          <cell r="D684" t="str">
            <v>Weighted average discount rate (pensions)</v>
          </cell>
          <cell r="HX684" t="str">
            <v>mstag:weightedAverageDiscountRatePensions</v>
          </cell>
          <cell r="HY684">
            <v>0</v>
          </cell>
          <cell r="HZ684" t="str">
            <v>ms_eqr_gcim_Decimal:ms_eqr_gcim_decimal</v>
          </cell>
          <cell r="IA684" t="b">
            <v>0</v>
          </cell>
          <cell r="IB684" t="b">
            <v>0</v>
          </cell>
        </row>
        <row r="685">
          <cell r="D685" t="str">
            <v>Expected long-term rate of return on plan assets (pensions)</v>
          </cell>
          <cell r="HX685" t="str">
            <v>mstag:expectedLongTermRateOfReturnOnPlanAssetsPensions</v>
          </cell>
          <cell r="HY685">
            <v>0</v>
          </cell>
          <cell r="HZ685" t="str">
            <v>ms_eqr_gcim_Decimal:ms_eqr_gcim_decimal</v>
          </cell>
          <cell r="IA685" t="b">
            <v>0</v>
          </cell>
          <cell r="IB685" t="b">
            <v>0</v>
          </cell>
        </row>
        <row r="686">
          <cell r="D686" t="str">
            <v>Rate of increase in future compensation levels</v>
          </cell>
          <cell r="HX686" t="str">
            <v>mstag:rateOfIncreaseInFutureCompensationLevels</v>
          </cell>
          <cell r="HY686">
            <v>0</v>
          </cell>
          <cell r="HZ686" t="str">
            <v>ms_eqr_gcim_Decimal:ms_eqr_gcim_decimal</v>
          </cell>
          <cell r="IA686" t="b">
            <v>0</v>
          </cell>
          <cell r="IB686" t="b">
            <v>0</v>
          </cell>
        </row>
        <row r="687">
          <cell r="C687" t="str">
            <v>Pensions (interest and returns classified by company as financing)</v>
          </cell>
          <cell r="HY687">
            <v>0</v>
          </cell>
          <cell r="HZ687" t="str">
            <v>ms_eqr_gcim_String:ms_eqr_gcim_string</v>
          </cell>
          <cell r="IA687" t="b">
            <v>0</v>
          </cell>
          <cell r="IB687" t="b">
            <v>0</v>
          </cell>
        </row>
        <row r="688">
          <cell r="D688" t="str">
            <v>Net periodic pension expense (pensions)</v>
          </cell>
          <cell r="G688" t="str">
            <v/>
          </cell>
          <cell r="H688" t="str">
            <v/>
          </cell>
          <cell r="I688" t="str">
            <v/>
          </cell>
          <cell r="J688" t="str">
            <v/>
          </cell>
          <cell r="K688" t="str">
            <v/>
          </cell>
          <cell r="L688" t="str">
            <v/>
          </cell>
          <cell r="M688" t="str">
            <v/>
          </cell>
          <cell r="HX688" t="str">
            <v>mstag:netPeriodicPensionExpensePensionsClassifiedAsFinancing</v>
          </cell>
          <cell r="HY688">
            <v>0</v>
          </cell>
          <cell r="HZ688" t="str">
            <v>ISO4217:USD</v>
          </cell>
          <cell r="IA688" t="b">
            <v>0</v>
          </cell>
          <cell r="IB688" t="b">
            <v>0</v>
          </cell>
        </row>
        <row r="689">
          <cell r="E689" t="str">
            <v>Service cost (pensions)</v>
          </cell>
          <cell r="HX689" t="str">
            <v>mstag:serviceCostPensionsClassifiedAsFinancing</v>
          </cell>
          <cell r="HY689">
            <v>0</v>
          </cell>
          <cell r="HZ689" t="str">
            <v>ISO4217:USD</v>
          </cell>
          <cell r="IA689" t="b">
            <v>0</v>
          </cell>
          <cell r="IB689" t="b">
            <v>0</v>
          </cell>
        </row>
        <row r="690">
          <cell r="E690" t="str">
            <v>Interest cost (pensions)</v>
          </cell>
          <cell r="HX690" t="str">
            <v>mstag:interestCostPensionsClassifiedAsFinancing</v>
          </cell>
          <cell r="HY690">
            <v>0</v>
          </cell>
          <cell r="HZ690" t="str">
            <v>ISO4217:USD</v>
          </cell>
          <cell r="IA690" t="b">
            <v>0</v>
          </cell>
          <cell r="IB690" t="b">
            <v>0</v>
          </cell>
        </row>
        <row r="691">
          <cell r="E691" t="str">
            <v>Expected return on plan assets (pensions)</v>
          </cell>
          <cell r="HX691" t="str">
            <v>mstag:expectedReturnOnPlanAssetsPensionsClassifiedAsFinancing</v>
          </cell>
          <cell r="HY691">
            <v>0</v>
          </cell>
          <cell r="HZ691" t="str">
            <v>ISO4217:USD</v>
          </cell>
          <cell r="IA691" t="b">
            <v>0</v>
          </cell>
          <cell r="IB691" t="b">
            <v>0</v>
          </cell>
        </row>
        <row r="692">
          <cell r="E692" t="str">
            <v>Amortization of prior service cost (pensions)</v>
          </cell>
          <cell r="HX692" t="str">
            <v>mstag:amortizationOfPriorServiceCostPensionsClassifiedAsFinancing</v>
          </cell>
          <cell r="HY692">
            <v>0</v>
          </cell>
          <cell r="HZ692" t="str">
            <v>ISO4217:USD</v>
          </cell>
          <cell r="IA692" t="b">
            <v>0</v>
          </cell>
          <cell r="IB692" t="b">
            <v>0</v>
          </cell>
        </row>
        <row r="693">
          <cell r="E693" t="str">
            <v>Net actuarial gain (loss) recognized (pensions)</v>
          </cell>
          <cell r="HX693" t="str">
            <v>mstag:netActuarialGainLossRecognizedPensionsClassifiedAsFinancing</v>
          </cell>
          <cell r="HY693">
            <v>0</v>
          </cell>
          <cell r="HZ693" t="str">
            <v>ISO4217:USD</v>
          </cell>
          <cell r="IA693" t="b">
            <v>0</v>
          </cell>
          <cell r="IB693" t="b">
            <v>0</v>
          </cell>
        </row>
        <row r="694">
          <cell r="E694" t="str">
            <v>Nonrecurring pension items</v>
          </cell>
          <cell r="HX694" t="str">
            <v>mstag:nonRecurringPensionItemsClassifiedAsFinancing</v>
          </cell>
          <cell r="HY694">
            <v>0</v>
          </cell>
          <cell r="HZ694" t="str">
            <v>ISO4217:USD</v>
          </cell>
          <cell r="IA694" t="b">
            <v>0</v>
          </cell>
          <cell r="IB694" t="b">
            <v>0</v>
          </cell>
        </row>
        <row r="695">
          <cell r="E695" t="str">
            <v>Other net pension expense</v>
          </cell>
          <cell r="HX695" t="str">
            <v>mstag:otherNetPensionExpenseClassifiedAsFinancing</v>
          </cell>
          <cell r="HY695">
            <v>0</v>
          </cell>
          <cell r="HZ695" t="str">
            <v>ISO4217:USD</v>
          </cell>
          <cell r="IA695" t="b">
            <v>0</v>
          </cell>
          <cell r="IB695" t="b">
            <v>0</v>
          </cell>
        </row>
        <row r="696">
          <cell r="D696" t="str">
            <v>Net benefits paid to retirees (pensions)</v>
          </cell>
          <cell r="G696" t="str">
            <v/>
          </cell>
          <cell r="H696" t="str">
            <v/>
          </cell>
          <cell r="I696" t="str">
            <v/>
          </cell>
          <cell r="J696" t="str">
            <v/>
          </cell>
          <cell r="K696" t="str">
            <v/>
          </cell>
          <cell r="L696" t="str">
            <v/>
          </cell>
          <cell r="M696" t="str">
            <v/>
          </cell>
          <cell r="HX696" t="str">
            <v>mstag:netBenefitsPaidToRetireesPensionsAsFinancing</v>
          </cell>
          <cell r="HY696">
            <v>6</v>
          </cell>
          <cell r="HZ696" t="str">
            <v>ISO4217:USD</v>
          </cell>
          <cell r="IA696" t="b">
            <v>0</v>
          </cell>
          <cell r="IB696" t="b">
            <v>0</v>
          </cell>
        </row>
        <row r="697">
          <cell r="E697" t="str">
            <v>Benefits paid to retirees, in obligation (pensions)</v>
          </cell>
          <cell r="HX697" t="str">
            <v>mstag:benefitsPaidToRetireesPensionsClassifiedAsFinancing</v>
          </cell>
          <cell r="HY697">
            <v>0</v>
          </cell>
          <cell r="HZ697" t="str">
            <v>ISO4217:USD</v>
          </cell>
          <cell r="IA697" t="b">
            <v>0</v>
          </cell>
          <cell r="IB697" t="b">
            <v>0</v>
          </cell>
        </row>
        <row r="698">
          <cell r="E698" t="str">
            <v>Benefits paid to retirees, in assets (pensions)</v>
          </cell>
          <cell r="HX698" t="str">
            <v>mstag:benefitsPaidToRetireesInAssetsPensionsAsFinancing</v>
          </cell>
          <cell r="HY698">
            <v>6</v>
          </cell>
          <cell r="HZ698" t="str">
            <v>ISO4217:USD</v>
          </cell>
          <cell r="IA698" t="b">
            <v>0</v>
          </cell>
          <cell r="IB698" t="b">
            <v>0</v>
          </cell>
        </row>
        <row r="699">
          <cell r="D699" t="str">
            <v>Actual return on plan assets (pensions)</v>
          </cell>
          <cell r="HX699" t="str">
            <v>mstag:actualReturnOnPlanAssetsPensionsClassifiedAsFinancing</v>
          </cell>
          <cell r="HY699">
            <v>0</v>
          </cell>
          <cell r="HZ699" t="str">
            <v>ISO4217:USD</v>
          </cell>
          <cell r="IA699" t="b">
            <v>0</v>
          </cell>
          <cell r="IB699" t="b">
            <v>0</v>
          </cell>
        </row>
        <row r="700">
          <cell r="D700" t="str">
            <v>Contribution to plan assets (pensions)</v>
          </cell>
          <cell r="HX700" t="str">
            <v>mstag:contributionToPlanAssetsPensionsClassifiedAsFinancing</v>
          </cell>
          <cell r="HY700">
            <v>0</v>
          </cell>
          <cell r="HZ700" t="str">
            <v>ISO4217:USD</v>
          </cell>
          <cell r="IA700" t="b">
            <v>0</v>
          </cell>
          <cell r="IB700" t="b">
            <v>0</v>
          </cell>
        </row>
        <row r="701">
          <cell r="D701" t="str">
            <v>Projected benefit obligation (pensions)</v>
          </cell>
          <cell r="HX701" t="str">
            <v>mstag:projectedBenefitObligationPensionsClassifiedAsFinancing</v>
          </cell>
          <cell r="HY701">
            <v>0</v>
          </cell>
          <cell r="HZ701" t="str">
            <v>ISO4217:USD</v>
          </cell>
          <cell r="IA701" t="b">
            <v>0</v>
          </cell>
          <cell r="IB701" t="b">
            <v>0</v>
          </cell>
        </row>
        <row r="702">
          <cell r="D702" t="str">
            <v>Plan assets at fair value (pensions)</v>
          </cell>
          <cell r="HX702" t="str">
            <v>mstag:planAssetsAtFairValuePensionsClassifiedAsFinancing</v>
          </cell>
          <cell r="HY702">
            <v>0</v>
          </cell>
          <cell r="HZ702" t="str">
            <v>ISO4217:USD</v>
          </cell>
          <cell r="IA702" t="b">
            <v>0</v>
          </cell>
          <cell r="IB702" t="b">
            <v>0</v>
          </cell>
        </row>
        <row r="703">
          <cell r="D703" t="str">
            <v>Net pension prepaid asset (accrued liability)</v>
          </cell>
          <cell r="HX703" t="str">
            <v>mstag:netPensionPrepaidAssetAccruedLiabilityClassifiedAsFinancing</v>
          </cell>
          <cell r="HY703">
            <v>0</v>
          </cell>
          <cell r="HZ703" t="str">
            <v>ISO4217:USD</v>
          </cell>
          <cell r="IA703" t="b">
            <v>0</v>
          </cell>
          <cell r="IB703" t="b">
            <v>0</v>
          </cell>
        </row>
        <row r="704">
          <cell r="D704" t="str">
            <v>Intangible asset (pensions)</v>
          </cell>
          <cell r="HX704" t="str">
            <v>mstag:intangibleAssetPensionsClassifiedAsFinancing</v>
          </cell>
          <cell r="HY704">
            <v>0</v>
          </cell>
          <cell r="HZ704" t="str">
            <v>ISO4217:USD</v>
          </cell>
          <cell r="IA704" t="b">
            <v>0</v>
          </cell>
          <cell r="IB704" t="b">
            <v>0</v>
          </cell>
        </row>
        <row r="705">
          <cell r="D705" t="str">
            <v>Accumulated other comprehensive income (pensions)</v>
          </cell>
          <cell r="HX705" t="str">
            <v>mstag:accumulatedOtherComprehensiveIncomePensionsClassifiedAsFinancing</v>
          </cell>
          <cell r="HY705">
            <v>0</v>
          </cell>
          <cell r="HZ705" t="str">
            <v>ISO4217:USD</v>
          </cell>
          <cell r="IA705" t="b">
            <v>0</v>
          </cell>
          <cell r="IB705" t="b">
            <v>0</v>
          </cell>
        </row>
        <row r="706">
          <cell r="D706" t="str">
            <v>Weighted average discount rate (pensions)</v>
          </cell>
          <cell r="HX706" t="str">
            <v>mstag:weightedAverageDiscountRatePensionsClassifiedAsFinancing</v>
          </cell>
          <cell r="HY706">
            <v>0</v>
          </cell>
          <cell r="HZ706" t="str">
            <v>ms_eqr_gcim_Decimal:ms_eqr_gcim_decimal</v>
          </cell>
          <cell r="IA706" t="b">
            <v>0</v>
          </cell>
          <cell r="IB706" t="b">
            <v>0</v>
          </cell>
        </row>
        <row r="707">
          <cell r="D707" t="str">
            <v>Expected long-term rate of return on plan assets (pensions)</v>
          </cell>
          <cell r="HX707" t="str">
            <v>mstag:expectedLongTermRateOfReturnOnPlanAssetsPensionsClassifiedAsFinancing</v>
          </cell>
          <cell r="HY707">
            <v>0</v>
          </cell>
          <cell r="HZ707" t="str">
            <v>ms_eqr_gcim_Decimal:ms_eqr_gcim_decimal</v>
          </cell>
          <cell r="IA707" t="b">
            <v>0</v>
          </cell>
          <cell r="IB707" t="b">
            <v>0</v>
          </cell>
        </row>
        <row r="708">
          <cell r="D708" t="str">
            <v>Rate of increase in future compensation levels</v>
          </cell>
          <cell r="HX708" t="str">
            <v>mstag:rateOfIncreaseInFutureCompensationLevelsClassifiedAsFinancing</v>
          </cell>
          <cell r="HY708">
            <v>0</v>
          </cell>
          <cell r="HZ708" t="str">
            <v>ms_eqr_gcim_Decimal:ms_eqr_gcim_decimal</v>
          </cell>
          <cell r="IA708" t="b">
            <v>0</v>
          </cell>
          <cell r="IB708" t="b">
            <v>0</v>
          </cell>
        </row>
        <row r="709">
          <cell r="C709" t="str">
            <v>Pensions (companies reporting under SSAP 24)</v>
          </cell>
          <cell r="HY709">
            <v>0</v>
          </cell>
          <cell r="HZ709" t="str">
            <v>ms_eqr_gcim_String:ms_eqr_gcim_string</v>
          </cell>
          <cell r="IA709" t="b">
            <v>0</v>
          </cell>
          <cell r="IB709" t="b">
            <v>0</v>
          </cell>
        </row>
        <row r="710">
          <cell r="D710" t="str">
            <v>Net periodic pension expense (pensions)</v>
          </cell>
          <cell r="HX710" t="str">
            <v>mstag:netPeriodicPensionExpensePensionsUnderSSAP24</v>
          </cell>
          <cell r="HY710">
            <v>0</v>
          </cell>
          <cell r="HZ710" t="str">
            <v>ISO4217:USD</v>
          </cell>
          <cell r="IA710" t="b">
            <v>0</v>
          </cell>
          <cell r="IB710" t="b">
            <v>0</v>
          </cell>
        </row>
        <row r="711">
          <cell r="D711" t="str">
            <v>Service cost (pensions)</v>
          </cell>
          <cell r="HX711" t="str">
            <v>mstag:serviceCostPensionsUnderSSAP24</v>
          </cell>
          <cell r="HY711">
            <v>0</v>
          </cell>
          <cell r="HZ711" t="str">
            <v>ISO4217:USD</v>
          </cell>
          <cell r="IA711" t="b">
            <v>0</v>
          </cell>
          <cell r="IB711" t="b">
            <v>0</v>
          </cell>
        </row>
        <row r="712">
          <cell r="D712" t="str">
            <v>Prior service cost (pensions)</v>
          </cell>
          <cell r="HX712" t="str">
            <v>mstag:priorServiceCostPensionsUnderSSAP24</v>
          </cell>
          <cell r="HY712">
            <v>0</v>
          </cell>
          <cell r="HZ712" t="str">
            <v>ISO4217:USD</v>
          </cell>
          <cell r="IA712" t="b">
            <v>0</v>
          </cell>
          <cell r="IB712" t="b">
            <v>0</v>
          </cell>
        </row>
        <row r="713">
          <cell r="D713" t="str">
            <v>Interest cost (pensions)</v>
          </cell>
          <cell r="HX713" t="str">
            <v>mstag:interestCostPensionsUnderSSAP24</v>
          </cell>
          <cell r="HY713">
            <v>0</v>
          </cell>
          <cell r="HZ713" t="str">
            <v>ISO4217:USD</v>
          </cell>
          <cell r="IA713" t="b">
            <v>0</v>
          </cell>
          <cell r="IB713" t="b">
            <v>0</v>
          </cell>
        </row>
        <row r="714">
          <cell r="D714" t="str">
            <v>Expected return on plan assets (pensions)</v>
          </cell>
          <cell r="HX714" t="str">
            <v>mstag:expectedReturnOnPlanAssetsPensionsUnderSSAP24</v>
          </cell>
          <cell r="HY714">
            <v>0</v>
          </cell>
          <cell r="HZ714" t="str">
            <v>ISO4217:USD</v>
          </cell>
          <cell r="IA714" t="b">
            <v>0</v>
          </cell>
          <cell r="IB714" t="b">
            <v>0</v>
          </cell>
        </row>
        <row r="715">
          <cell r="C715" t="str">
            <v>Other postemployment benefits</v>
          </cell>
          <cell r="HY715">
            <v>0</v>
          </cell>
          <cell r="HZ715" t="str">
            <v>ms_eqr_gcim_String:ms_eqr_gcim_string</v>
          </cell>
          <cell r="IA715" t="b">
            <v>0</v>
          </cell>
          <cell r="IB715" t="b">
            <v>0</v>
          </cell>
        </row>
        <row r="716">
          <cell r="D716" t="str">
            <v>Net periodic expense (OPEB)</v>
          </cell>
          <cell r="G716" t="str">
            <v/>
          </cell>
          <cell r="H716" t="str">
            <v/>
          </cell>
          <cell r="I716" t="str">
            <v/>
          </cell>
          <cell r="J716" t="str">
            <v/>
          </cell>
          <cell r="K716" t="str">
            <v/>
          </cell>
          <cell r="L716" t="str">
            <v/>
          </cell>
          <cell r="M716" t="str">
            <v/>
          </cell>
          <cell r="HX716" t="str">
            <v>mstag:netPeriodicExpenseOpeb</v>
          </cell>
          <cell r="HY716">
            <v>6</v>
          </cell>
          <cell r="HZ716" t="str">
            <v>ISO4217:USD</v>
          </cell>
          <cell r="IA716" t="b">
            <v>0</v>
          </cell>
          <cell r="IB716" t="b">
            <v>0</v>
          </cell>
        </row>
        <row r="717">
          <cell r="E717" t="str">
            <v>Service cost (OPEB)</v>
          </cell>
          <cell r="HX717" t="str">
            <v>mstag:serviceCostOpeb</v>
          </cell>
          <cell r="HY717">
            <v>6</v>
          </cell>
          <cell r="HZ717" t="str">
            <v>ISO4217:USD</v>
          </cell>
          <cell r="IA717" t="b">
            <v>0</v>
          </cell>
          <cell r="IB717" t="b">
            <v>0</v>
          </cell>
        </row>
        <row r="718">
          <cell r="E718" t="str">
            <v>Interest cost (OPEB)</v>
          </cell>
          <cell r="HX718" t="str">
            <v>mstag:interestCostOpeb</v>
          </cell>
          <cell r="HY718">
            <v>6</v>
          </cell>
          <cell r="HZ718" t="str">
            <v>ISO4217:USD</v>
          </cell>
          <cell r="IA718" t="b">
            <v>0</v>
          </cell>
          <cell r="IB718" t="b">
            <v>0</v>
          </cell>
        </row>
        <row r="719">
          <cell r="E719" t="str">
            <v>Expected return on plan assets (OPEB)</v>
          </cell>
          <cell r="HX719" t="str">
            <v>mstag:expectedReturnOnPlanAssetsOpeb</v>
          </cell>
          <cell r="HY719">
            <v>6</v>
          </cell>
          <cell r="HZ719" t="str">
            <v>ISO4217:USD</v>
          </cell>
          <cell r="IA719" t="b">
            <v>0</v>
          </cell>
          <cell r="IB719" t="b">
            <v>0</v>
          </cell>
        </row>
        <row r="720">
          <cell r="E720" t="str">
            <v>Amortization of prior service cost (OPEB)</v>
          </cell>
          <cell r="HX720" t="str">
            <v>mstag:amortizationOfPriorServiceCostOpeb</v>
          </cell>
          <cell r="HY720">
            <v>6</v>
          </cell>
          <cell r="HZ720" t="str">
            <v>ISO4217:USD</v>
          </cell>
          <cell r="IA720" t="b">
            <v>0</v>
          </cell>
          <cell r="IB720" t="b">
            <v>0</v>
          </cell>
        </row>
        <row r="721">
          <cell r="E721" t="str">
            <v>Net actuarial gain (loss) recognized (OPEB)</v>
          </cell>
          <cell r="HX721" t="str">
            <v>mstag:netActuarialGainLossRecognizedOpeb</v>
          </cell>
          <cell r="HY721">
            <v>6</v>
          </cell>
          <cell r="HZ721" t="str">
            <v>ISO4217:USD</v>
          </cell>
          <cell r="IA721" t="b">
            <v>0</v>
          </cell>
          <cell r="IB721" t="b">
            <v>0</v>
          </cell>
        </row>
        <row r="722">
          <cell r="E722" t="str">
            <v>Nonrecurring OPEB items</v>
          </cell>
          <cell r="HX722" t="str">
            <v>mstag:nonRecurringOpebItems</v>
          </cell>
          <cell r="HY722">
            <v>6</v>
          </cell>
          <cell r="HZ722" t="str">
            <v>ISO4217:USD</v>
          </cell>
          <cell r="IA722" t="b">
            <v>0</v>
          </cell>
          <cell r="IB722" t="b">
            <v>0</v>
          </cell>
        </row>
        <row r="723">
          <cell r="E723" t="str">
            <v>Other net expense (OPEB)</v>
          </cell>
          <cell r="HX723" t="str">
            <v>mstag:otherNetExpenseOpeb</v>
          </cell>
          <cell r="HY723">
            <v>6</v>
          </cell>
          <cell r="HZ723" t="str">
            <v>ISO4217:USD</v>
          </cell>
          <cell r="IA723" t="b">
            <v>0</v>
          </cell>
          <cell r="IB723" t="b">
            <v>0</v>
          </cell>
        </row>
        <row r="724">
          <cell r="D724" t="str">
            <v>Net benefits paid to retirees (OPEB)</v>
          </cell>
          <cell r="G724" t="str">
            <v/>
          </cell>
          <cell r="H724" t="str">
            <v/>
          </cell>
          <cell r="I724" t="str">
            <v/>
          </cell>
          <cell r="J724" t="str">
            <v/>
          </cell>
          <cell r="K724" t="str">
            <v/>
          </cell>
          <cell r="L724" t="str">
            <v/>
          </cell>
          <cell r="M724" t="str">
            <v/>
          </cell>
          <cell r="HX724" t="str">
            <v>mstag:netBenefitsPaidToRetireesOpeb</v>
          </cell>
          <cell r="HY724">
            <v>6</v>
          </cell>
          <cell r="HZ724" t="str">
            <v>ISO4217:USD</v>
          </cell>
          <cell r="IA724" t="b">
            <v>0</v>
          </cell>
          <cell r="IB724" t="b">
            <v>0</v>
          </cell>
        </row>
        <row r="725">
          <cell r="E725" t="str">
            <v>Benefits paid to retirees, in obligation (OPEB)</v>
          </cell>
          <cell r="HX725" t="str">
            <v>mstag:benefitsPaidToRetireesOpeb</v>
          </cell>
          <cell r="HY725">
            <v>6</v>
          </cell>
          <cell r="HZ725" t="str">
            <v>ISO4217:USD</v>
          </cell>
          <cell r="IA725" t="b">
            <v>0</v>
          </cell>
          <cell r="IB725" t="b">
            <v>0</v>
          </cell>
        </row>
        <row r="726">
          <cell r="E726" t="str">
            <v>Benefits paid to retirees, in assets (OPEB)</v>
          </cell>
          <cell r="HX726" t="str">
            <v>mstag:benefitsPaidToRetireesInAssetsOpeb</v>
          </cell>
          <cell r="HY726">
            <v>6</v>
          </cell>
          <cell r="HZ726" t="str">
            <v>ISO4217:USD</v>
          </cell>
          <cell r="IA726" t="b">
            <v>0</v>
          </cell>
          <cell r="IB726" t="b">
            <v>0</v>
          </cell>
        </row>
        <row r="727">
          <cell r="D727" t="str">
            <v>Actual return on plan assets (OPEB)</v>
          </cell>
          <cell r="HX727" t="str">
            <v>mstag:actualReturnOnPlanAssetsOpeb</v>
          </cell>
          <cell r="HY727">
            <v>6</v>
          </cell>
          <cell r="HZ727" t="str">
            <v>ISO4217:USD</v>
          </cell>
          <cell r="IA727" t="b">
            <v>0</v>
          </cell>
          <cell r="IB727" t="b">
            <v>0</v>
          </cell>
        </row>
        <row r="728">
          <cell r="D728" t="str">
            <v>Contribution to plan assets (OPEB)</v>
          </cell>
          <cell r="HX728" t="str">
            <v>mstag:contributionToPlanAssetsOpeb</v>
          </cell>
          <cell r="HY728">
            <v>6</v>
          </cell>
          <cell r="HZ728" t="str">
            <v>ISO4217:USD</v>
          </cell>
          <cell r="IA728" t="b">
            <v>0</v>
          </cell>
          <cell r="IB728" t="b">
            <v>0</v>
          </cell>
        </row>
        <row r="729">
          <cell r="D729" t="str">
            <v>Projected benefit obligation (OPEB)</v>
          </cell>
          <cell r="HX729" t="str">
            <v>mstag:projectedBenefitObligationOpeb</v>
          </cell>
          <cell r="HY729">
            <v>6</v>
          </cell>
          <cell r="HZ729" t="str">
            <v>ISO4217:USD</v>
          </cell>
          <cell r="IA729" t="b">
            <v>0</v>
          </cell>
          <cell r="IB729" t="b">
            <v>0</v>
          </cell>
        </row>
        <row r="730">
          <cell r="D730" t="str">
            <v>Plan assets at fair value (OPEB)</v>
          </cell>
          <cell r="HX730" t="str">
            <v>mstag:planAssetsAtFairValueOpeb</v>
          </cell>
          <cell r="HY730">
            <v>6</v>
          </cell>
          <cell r="HZ730" t="str">
            <v>ISO4217:USD</v>
          </cell>
          <cell r="IA730" t="b">
            <v>0</v>
          </cell>
          <cell r="IB730" t="b">
            <v>0</v>
          </cell>
        </row>
        <row r="731">
          <cell r="D731" t="str">
            <v>Net OPEB assets (liabilities) recognized in the balance sheet</v>
          </cell>
          <cell r="HX731" t="str">
            <v>mstag:netOpebAssetsLiabilitiesRecognizedInTheBalanceSheet</v>
          </cell>
          <cell r="HY731">
            <v>6</v>
          </cell>
          <cell r="HZ731" t="str">
            <v>ISO4217:USD</v>
          </cell>
          <cell r="IA731" t="b">
            <v>0</v>
          </cell>
          <cell r="IB731" t="b">
            <v>0</v>
          </cell>
        </row>
        <row r="732">
          <cell r="D732" t="str">
            <v>Weighted average discount rate (OPEB)</v>
          </cell>
          <cell r="HX732" t="str">
            <v>mstag:weightedAverageDiscountRateOpeb</v>
          </cell>
          <cell r="HY732">
            <v>0</v>
          </cell>
          <cell r="HZ732" t="str">
            <v>ms_eqr_gcim_Decimal:ms_eqr_gcim_decimal</v>
          </cell>
          <cell r="IA732" t="b">
            <v>0</v>
          </cell>
          <cell r="IB732" t="b">
            <v>0</v>
          </cell>
        </row>
        <row r="733">
          <cell r="D733" t="str">
            <v>Expected long term rate of return on plan assets (OPEB)</v>
          </cell>
          <cell r="HX733" t="str">
            <v>mstag:expectedLongTermRateOfReturnOnPlanAssetsOpeb</v>
          </cell>
          <cell r="HY733">
            <v>0</v>
          </cell>
          <cell r="HZ733" t="str">
            <v>ms_eqr_gcim_Decimal:ms_eqr_gcim_decimal</v>
          </cell>
          <cell r="IA733" t="b">
            <v>0</v>
          </cell>
          <cell r="IB733" t="b">
            <v>0</v>
          </cell>
        </row>
        <row r="734">
          <cell r="D734" t="str">
            <v>Expected rate of healthcare cost increase, short term</v>
          </cell>
          <cell r="HX734" t="str">
            <v>mstag:expectedRateOfHealthCareCostIncreaseShortTerm</v>
          </cell>
          <cell r="HY734">
            <v>0</v>
          </cell>
          <cell r="HZ734" t="str">
            <v>ms_eqr_gcim_Decimal:ms_eqr_gcim_decimal</v>
          </cell>
          <cell r="IA734" t="b">
            <v>0</v>
          </cell>
          <cell r="IB734" t="b">
            <v>0</v>
          </cell>
        </row>
        <row r="735">
          <cell r="D735" t="str">
            <v>Expected rate of healthcare cost increase, long term</v>
          </cell>
          <cell r="HX735" t="str">
            <v>mstag:expectedRateOfHealthCareCostIncreaseLongTerm</v>
          </cell>
          <cell r="HY735">
            <v>0</v>
          </cell>
          <cell r="HZ735" t="str">
            <v>ms_eqr_gcim_Decimal:ms_eqr_gcim_decimal</v>
          </cell>
          <cell r="IA735" t="b">
            <v>0</v>
          </cell>
          <cell r="IB735" t="b">
            <v>0</v>
          </cell>
        </row>
        <row r="737">
          <cell r="M737" t="str">
            <v>Values in the System :</v>
          </cell>
        </row>
        <row r="738">
          <cell r="M738">
            <v>63</v>
          </cell>
        </row>
        <row r="741">
          <cell r="A741" t="str">
            <v>Additional Data Items to be collected (these items are not in the taxonomy)</v>
          </cell>
        </row>
        <row r="742">
          <cell r="B742" t="str">
            <v>Leases</v>
          </cell>
        </row>
        <row r="743">
          <cell r="C743" t="str">
            <v>Year 1 Minimum Rental Payment</v>
          </cell>
          <cell r="G743">
            <v>15.068</v>
          </cell>
          <cell r="H743">
            <v>25.855</v>
          </cell>
          <cell r="I743">
            <v>33.090000000000003</v>
          </cell>
          <cell r="J743">
            <v>47.545000000000002</v>
          </cell>
          <cell r="K743">
            <v>4.8</v>
          </cell>
          <cell r="L743">
            <v>4.8</v>
          </cell>
          <cell r="M743">
            <v>6.5</v>
          </cell>
        </row>
        <row r="744">
          <cell r="C744" t="str">
            <v>Year 2 Minimum Rental Payment</v>
          </cell>
          <cell r="G744">
            <v>15.622</v>
          </cell>
          <cell r="H744">
            <v>23.591000000000001</v>
          </cell>
          <cell r="I744">
            <v>31.873000000000001</v>
          </cell>
          <cell r="J744">
            <v>48.029000000000003</v>
          </cell>
          <cell r="K744">
            <v>3</v>
          </cell>
          <cell r="L744">
            <v>3.3</v>
          </cell>
          <cell r="M744">
            <v>6.9</v>
          </cell>
        </row>
        <row r="745">
          <cell r="C745" t="str">
            <v>Year 3 Minimum Rental Payment</v>
          </cell>
          <cell r="G745">
            <v>15.196</v>
          </cell>
          <cell r="H745">
            <v>22.47</v>
          </cell>
          <cell r="I745">
            <v>28.492999999999999</v>
          </cell>
          <cell r="J745">
            <v>46.418999999999997</v>
          </cell>
          <cell r="K745">
            <v>1.7</v>
          </cell>
          <cell r="L745">
            <v>3.1</v>
          </cell>
          <cell r="M745">
            <v>5.8</v>
          </cell>
        </row>
        <row r="746">
          <cell r="C746" t="str">
            <v>Year 4 Minimum Rental Payment</v>
          </cell>
          <cell r="G746">
            <v>14.95</v>
          </cell>
          <cell r="H746">
            <v>19.626999999999999</v>
          </cell>
          <cell r="I746">
            <v>27.497</v>
          </cell>
          <cell r="J746">
            <v>41.847999999999999</v>
          </cell>
          <cell r="K746">
            <v>1.6</v>
          </cell>
          <cell r="L746">
            <v>2.6</v>
          </cell>
          <cell r="M746">
            <v>5.8</v>
          </cell>
        </row>
        <row r="747">
          <cell r="C747" t="str">
            <v>Year 5 Minimum Rental Payment</v>
          </cell>
          <cell r="G747">
            <v>14.968999999999999</v>
          </cell>
          <cell r="H747">
            <v>18.637</v>
          </cell>
          <cell r="I747">
            <v>24.611000000000001</v>
          </cell>
          <cell r="J747">
            <v>32.972999999999999</v>
          </cell>
          <cell r="K747">
            <v>1.6</v>
          </cell>
          <cell r="L747">
            <v>2.4</v>
          </cell>
          <cell r="M747">
            <v>5.8</v>
          </cell>
        </row>
        <row r="748">
          <cell r="C748" t="str">
            <v>Reported Cummulative Payments beyond Year 5</v>
          </cell>
          <cell r="G748">
            <v>14.759</v>
          </cell>
          <cell r="H748">
            <v>36.707000000000001</v>
          </cell>
          <cell r="I748">
            <v>23.83</v>
          </cell>
          <cell r="J748">
            <v>1.7310000000000001</v>
          </cell>
          <cell r="K748">
            <v>4.3</v>
          </cell>
          <cell r="L748">
            <v>5.2</v>
          </cell>
          <cell r="M748">
            <v>24.1</v>
          </cell>
        </row>
        <row r="749">
          <cell r="C749" t="str">
            <v>Current year minmum rental payment</v>
          </cell>
        </row>
        <row r="751">
          <cell r="C751" t="str">
            <v>Foot Working:</v>
          </cell>
        </row>
        <row r="752">
          <cell r="B752" t="str">
            <v>A</v>
          </cell>
          <cell r="C752" t="str">
            <v>Income statement</v>
          </cell>
        </row>
        <row r="753">
          <cell r="C753">
            <v>1</v>
          </cell>
          <cell r="D753" t="str">
            <v>Revenue, gross</v>
          </cell>
        </row>
        <row r="754">
          <cell r="F754" t="str">
            <v>Product sales</v>
          </cell>
          <cell r="G754">
            <v>584.88900000000001</v>
          </cell>
          <cell r="H754">
            <v>717.79499999999996</v>
          </cell>
          <cell r="I754">
            <v>1039.095</v>
          </cell>
          <cell r="J754">
            <v>1278.3440000000001</v>
          </cell>
          <cell r="K754">
            <v>1742.8969999999999</v>
          </cell>
          <cell r="L754">
            <v>2163.665</v>
          </cell>
        </row>
        <row r="755">
          <cell r="F755" t="str">
            <v>Contract revenue</v>
          </cell>
          <cell r="G755">
            <v>121.587</v>
          </cell>
          <cell r="H755">
            <v>114.795</v>
          </cell>
          <cell r="I755">
            <v>83.242000000000004</v>
          </cell>
          <cell r="J755">
            <v>160.363</v>
          </cell>
          <cell r="K755">
            <v>36.659999999999997</v>
          </cell>
          <cell r="L755">
            <v>54.442999999999998</v>
          </cell>
        </row>
        <row r="756">
          <cell r="G756">
            <v>706.476</v>
          </cell>
          <cell r="H756">
            <v>832.58999999999992</v>
          </cell>
          <cell r="I756">
            <v>1122.337</v>
          </cell>
          <cell r="J756">
            <v>1438.7070000000001</v>
          </cell>
          <cell r="K756">
            <v>1779.557</v>
          </cell>
          <cell r="L756">
            <v>2218.1080000000002</v>
          </cell>
        </row>
        <row r="759">
          <cell r="C759">
            <v>2</v>
          </cell>
          <cell r="D759" t="str">
            <v>Cost of sales, without depreciation</v>
          </cell>
          <cell r="G759">
            <v>102.536</v>
          </cell>
          <cell r="H759">
            <v>138.62299999999999</v>
          </cell>
          <cell r="I759">
            <v>285.54899999999998</v>
          </cell>
          <cell r="J759">
            <v>364.892</v>
          </cell>
          <cell r="K759">
            <v>354.44200000000001</v>
          </cell>
          <cell r="L759">
            <v>441.63</v>
          </cell>
        </row>
        <row r="760">
          <cell r="F760" t="str">
            <v>Less: Depreciation</v>
          </cell>
          <cell r="G760">
            <v>-65.533000000000001</v>
          </cell>
          <cell r="H760">
            <v>-78.100999999999999</v>
          </cell>
          <cell r="I760">
            <v>-90.281999999999996</v>
          </cell>
          <cell r="J760">
            <v>-88.804000000000002</v>
          </cell>
          <cell r="K760">
            <v>-96.290999999999997</v>
          </cell>
          <cell r="L760">
            <v>-104.55500000000001</v>
          </cell>
        </row>
        <row r="761">
          <cell r="G761">
            <v>37.003</v>
          </cell>
          <cell r="H761">
            <v>60.521999999999991</v>
          </cell>
          <cell r="I761">
            <v>195.267</v>
          </cell>
          <cell r="J761">
            <v>276.08799999999997</v>
          </cell>
          <cell r="K761">
            <v>258.15100000000001</v>
          </cell>
          <cell r="L761">
            <v>337.07499999999999</v>
          </cell>
        </row>
        <row r="764">
          <cell r="C764">
            <v>2</v>
          </cell>
          <cell r="D764" t="str">
            <v>General and administrative expenses</v>
          </cell>
          <cell r="G764">
            <v>470.923</v>
          </cell>
          <cell r="H764">
            <v>358.93099999999998</v>
          </cell>
          <cell r="I764">
            <v>393.65700000000004</v>
          </cell>
          <cell r="J764">
            <v>368.22399999999999</v>
          </cell>
          <cell r="K764">
            <v>446.90600000000001</v>
          </cell>
          <cell r="L764">
            <v>546.27599999999995</v>
          </cell>
        </row>
        <row r="765">
          <cell r="F765" t="str">
            <v>Less: Advertisement charges</v>
          </cell>
          <cell r="G765">
            <v>-41.8</v>
          </cell>
          <cell r="H765">
            <v>-47.7</v>
          </cell>
          <cell r="I765">
            <v>-80</v>
          </cell>
          <cell r="J765">
            <v>-86.5</v>
          </cell>
          <cell r="K765">
            <v>-91.9</v>
          </cell>
          <cell r="L765">
            <v>-111.7</v>
          </cell>
        </row>
        <row r="766">
          <cell r="G766">
            <v>429.12299999999999</v>
          </cell>
          <cell r="H766">
            <v>311.23099999999999</v>
          </cell>
          <cell r="I766">
            <v>313.65700000000004</v>
          </cell>
          <cell r="J766">
            <v>281.72399999999999</v>
          </cell>
          <cell r="K766">
            <v>355.00599999999997</v>
          </cell>
          <cell r="L766">
            <v>434.57599999999996</v>
          </cell>
        </row>
        <row r="767">
          <cell r="C767">
            <v>3</v>
          </cell>
          <cell r="D767" t="str">
            <v>Statutory Tax Rate</v>
          </cell>
        </row>
        <row r="768">
          <cell r="E768" t="str">
            <v>For 2002 , the statutory tax rate is as follows:</v>
          </cell>
        </row>
        <row r="769">
          <cell r="E769">
            <v>1</v>
          </cell>
          <cell r="F769" t="str">
            <v>Tax at U.S. statutory rate of 35%</v>
          </cell>
          <cell r="H769">
            <v>88.427999999999997</v>
          </cell>
          <cell r="I769">
            <v>-578.83100000000002</v>
          </cell>
          <cell r="J769">
            <v>1.391</v>
          </cell>
          <cell r="K769">
            <v>99.045000000000002</v>
          </cell>
          <cell r="L769">
            <v>10412</v>
          </cell>
        </row>
        <row r="770">
          <cell r="E770">
            <v>2</v>
          </cell>
          <cell r="F770" t="str">
            <v>State taxes</v>
          </cell>
          <cell r="H770">
            <v>7.4909999999999997</v>
          </cell>
          <cell r="I770">
            <v>-17.552999999999997</v>
          </cell>
          <cell r="J770">
            <v>0.95899999999999996</v>
          </cell>
          <cell r="K770">
            <v>16.219000000000001</v>
          </cell>
          <cell r="L770">
            <v>837</v>
          </cell>
        </row>
        <row r="771">
          <cell r="F771" t="str">
            <v>Total (A)</v>
          </cell>
          <cell r="H771">
            <v>95.918999999999997</v>
          </cell>
          <cell r="I771">
            <v>-596.38400000000001</v>
          </cell>
          <cell r="J771">
            <v>2.35</v>
          </cell>
          <cell r="K771">
            <v>115.26400000000001</v>
          </cell>
          <cell r="L771">
            <v>11249</v>
          </cell>
        </row>
        <row r="773">
          <cell r="F773" t="str">
            <v>Profit before taxes                                                                            (B)</v>
          </cell>
          <cell r="H773">
            <v>252.65100000000001</v>
          </cell>
          <cell r="I773">
            <v>-1157.5</v>
          </cell>
          <cell r="J773">
            <v>3.9729999999999999</v>
          </cell>
          <cell r="K773">
            <v>282.98599999999999</v>
          </cell>
          <cell r="L773">
            <v>29749</v>
          </cell>
        </row>
        <row r="775">
          <cell r="F775" t="str">
            <v>statutory tax rate  (A/B)*100</v>
          </cell>
          <cell r="H775">
            <v>0.37965018939169048</v>
          </cell>
          <cell r="I775">
            <v>0.51523455723542122</v>
          </cell>
          <cell r="J775">
            <v>0.59149257488044304</v>
          </cell>
          <cell r="K775">
            <v>0.40731343600036757</v>
          </cell>
          <cell r="L775">
            <v>0.37813035732293521</v>
          </cell>
        </row>
        <row r="777">
          <cell r="C777" t="str">
            <v>Reclassification</v>
          </cell>
        </row>
        <row r="778">
          <cell r="C778">
            <v>4</v>
          </cell>
          <cell r="D778" t="str">
            <v>Contract and other  (as disclosed in the respective year's financials)</v>
          </cell>
          <cell r="I778">
            <v>83.242000000000004</v>
          </cell>
        </row>
        <row r="779">
          <cell r="F779" t="str">
            <v>Add: Reclassification in 2000</v>
          </cell>
          <cell r="I779">
            <v>-20.337</v>
          </cell>
        </row>
        <row r="780">
          <cell r="I780">
            <v>103.57899999999999</v>
          </cell>
        </row>
        <row r="782">
          <cell r="C782">
            <v>5</v>
          </cell>
          <cell r="D782" t="str">
            <v>Amortization of taxable other intangible(as disclosed in the respective year's financials)</v>
          </cell>
          <cell r="I782">
            <v>197.74199999999999</v>
          </cell>
        </row>
        <row r="783">
          <cell r="F783" t="str">
            <v>Add: Reclassification in 2000</v>
          </cell>
          <cell r="I783">
            <v>-0.67799999999999727</v>
          </cell>
        </row>
        <row r="784">
          <cell r="I784">
            <v>198.42</v>
          </cell>
          <cell r="K784">
            <v>0</v>
          </cell>
          <cell r="L784">
            <v>0</v>
          </cell>
        </row>
        <row r="786">
          <cell r="C786">
            <v>6</v>
          </cell>
          <cell r="D786" t="str">
            <v>Current Tax (as disclosed in the respective year's financials)</v>
          </cell>
          <cell r="I786">
            <v>-203.10900000000004</v>
          </cell>
        </row>
        <row r="787">
          <cell r="F787" t="str">
            <v>Add: Reclassification in 2000</v>
          </cell>
          <cell r="I787">
            <v>-6.7</v>
          </cell>
        </row>
        <row r="788">
          <cell r="I788">
            <v>-196.40900000000005</v>
          </cell>
        </row>
        <row r="790">
          <cell r="B790" t="str">
            <v>B</v>
          </cell>
          <cell r="C790" t="str">
            <v>Balance Sheet Validation</v>
          </cell>
        </row>
        <row r="791">
          <cell r="C791">
            <v>6</v>
          </cell>
          <cell r="D791" t="str">
            <v>Other receivables, current</v>
          </cell>
        </row>
        <row r="792">
          <cell r="F792" t="str">
            <v>Accounts receivable − royalties</v>
          </cell>
          <cell r="L792">
            <v>116.423</v>
          </cell>
        </row>
        <row r="793">
          <cell r="F793" t="str">
            <v>Accounts receivable − related parties</v>
          </cell>
          <cell r="G793">
            <v>73.444000000000003</v>
          </cell>
          <cell r="H793">
            <v>22.85</v>
          </cell>
          <cell r="I793">
            <v>33.234000000000002</v>
          </cell>
          <cell r="J793">
            <v>36.298999999999999</v>
          </cell>
          <cell r="K793">
            <v>66.867000000000004</v>
          </cell>
          <cell r="L793">
            <v>0</v>
          </cell>
        </row>
        <row r="794">
          <cell r="F794" t="str">
            <v>Accounts receivable − other</v>
          </cell>
          <cell r="G794">
            <v>44.386000000000003</v>
          </cell>
          <cell r="H794">
            <v>47.48</v>
          </cell>
          <cell r="I794">
            <v>61.054000000000002</v>
          </cell>
          <cell r="J794">
            <v>63.262</v>
          </cell>
          <cell r="K794">
            <v>55.27</v>
          </cell>
          <cell r="L794">
            <v>59.151000000000003</v>
          </cell>
        </row>
        <row r="795">
          <cell r="G795">
            <v>117.83000000000001</v>
          </cell>
          <cell r="H795">
            <v>70.33</v>
          </cell>
          <cell r="I795">
            <v>94.288000000000011</v>
          </cell>
          <cell r="J795">
            <v>99.561000000000007</v>
          </cell>
          <cell r="K795">
            <v>122.137</v>
          </cell>
          <cell r="L795">
            <v>175.57400000000001</v>
          </cell>
        </row>
        <row r="796">
          <cell r="C796">
            <v>7</v>
          </cell>
          <cell r="D796" t="str">
            <v>Other assets, operating, noncurrent</v>
          </cell>
        </row>
        <row r="797">
          <cell r="F797" t="str">
            <v>Leasehold improvements</v>
          </cell>
          <cell r="G797">
            <v>3.27</v>
          </cell>
          <cell r="H797">
            <v>3.5649999999999999</v>
          </cell>
          <cell r="I797">
            <v>4.6550000000000002</v>
          </cell>
          <cell r="J797">
            <v>18.456</v>
          </cell>
          <cell r="K797">
            <v>30.632000000000001</v>
          </cell>
          <cell r="L797">
            <v>53.588999999999999</v>
          </cell>
        </row>
        <row r="798">
          <cell r="F798" t="str">
            <v>Other long−term assets</v>
          </cell>
          <cell r="G798">
            <v>177.202</v>
          </cell>
          <cell r="H798">
            <v>131.274</v>
          </cell>
          <cell r="I798">
            <v>201.101</v>
          </cell>
          <cell r="J798">
            <v>168.458</v>
          </cell>
          <cell r="K798">
            <v>70.622</v>
          </cell>
          <cell r="L798">
            <v>110.158</v>
          </cell>
        </row>
        <row r="799">
          <cell r="G799">
            <v>180.47200000000001</v>
          </cell>
          <cell r="H799">
            <v>134.839</v>
          </cell>
          <cell r="I799">
            <v>205.756</v>
          </cell>
          <cell r="J799">
            <v>186.91399999999999</v>
          </cell>
          <cell r="K799">
            <v>101.254</v>
          </cell>
          <cell r="L799">
            <v>163.74700000000001</v>
          </cell>
        </row>
        <row r="800">
          <cell r="C800">
            <v>8</v>
          </cell>
          <cell r="D800" t="str">
            <v>Other accrued expenses</v>
          </cell>
        </row>
        <row r="801">
          <cell r="F801" t="str">
            <v>Accrued royalties</v>
          </cell>
          <cell r="G801">
            <v>23.905000000000001</v>
          </cell>
          <cell r="H801">
            <v>23.391999999999999</v>
          </cell>
          <cell r="I801">
            <v>37.692</v>
          </cell>
          <cell r="J801">
            <v>34.811</v>
          </cell>
          <cell r="K801">
            <v>69.66</v>
          </cell>
          <cell r="L801">
            <v>87.081999999999994</v>
          </cell>
        </row>
        <row r="802">
          <cell r="F802" t="str">
            <v>Accrued clinical and other studies</v>
          </cell>
          <cell r="G802">
            <v>47.268999999999998</v>
          </cell>
          <cell r="H802">
            <v>35.534999999999997</v>
          </cell>
          <cell r="I802">
            <v>18.012</v>
          </cell>
          <cell r="J802">
            <v>35.625999999999998</v>
          </cell>
          <cell r="K802">
            <v>42.433999999999997</v>
          </cell>
          <cell r="L802">
            <v>59.33</v>
          </cell>
        </row>
        <row r="803">
          <cell r="F803" t="str">
            <v>Accrued marketing and promotion costs</v>
          </cell>
          <cell r="G803">
            <v>13.369</v>
          </cell>
          <cell r="H803">
            <v>9.4169999999999998</v>
          </cell>
          <cell r="I803">
            <v>17.896999999999998</v>
          </cell>
          <cell r="J803">
            <v>21.228999999999999</v>
          </cell>
          <cell r="K803">
            <v>28.395</v>
          </cell>
          <cell r="L803">
            <v>39.100999999999999</v>
          </cell>
        </row>
        <row r="804">
          <cell r="F804" t="str">
            <v>Accrued collaborations</v>
          </cell>
          <cell r="G804">
            <v>0</v>
          </cell>
          <cell r="H804">
            <v>0</v>
          </cell>
          <cell r="I804">
            <v>20.707999999999998</v>
          </cell>
          <cell r="J804">
            <v>111.254</v>
          </cell>
          <cell r="K804">
            <v>71.046000000000006</v>
          </cell>
          <cell r="L804">
            <v>103.432</v>
          </cell>
        </row>
        <row r="805">
          <cell r="F805" t="str">
            <v>Accrued legal settlement</v>
          </cell>
          <cell r="H805">
            <v>0</v>
          </cell>
          <cell r="I805">
            <v>200</v>
          </cell>
          <cell r="J805">
            <v>0</v>
          </cell>
          <cell r="K805">
            <v>0</v>
          </cell>
          <cell r="L805">
            <v>0</v>
          </cell>
        </row>
        <row r="806">
          <cell r="G806">
            <v>84.543000000000006</v>
          </cell>
          <cell r="H806">
            <v>68.343999999999994</v>
          </cell>
          <cell r="I806">
            <v>294.30899999999997</v>
          </cell>
          <cell r="J806">
            <v>202.92000000000002</v>
          </cell>
          <cell r="K806">
            <v>211.53500000000003</v>
          </cell>
          <cell r="L806">
            <v>288.94499999999999</v>
          </cell>
        </row>
        <row r="807">
          <cell r="C807">
            <v>9</v>
          </cell>
          <cell r="D807" t="str">
            <v>Other liabilities, operating, current</v>
          </cell>
        </row>
        <row r="808">
          <cell r="F808" t="str">
            <v>Hedge payable</v>
          </cell>
          <cell r="G808">
            <v>0</v>
          </cell>
          <cell r="H808">
            <v>5.42</v>
          </cell>
          <cell r="I808">
            <v>33.499000000000002</v>
          </cell>
          <cell r="J808">
            <v>32.171999999999997</v>
          </cell>
        </row>
        <row r="809">
          <cell r="F809" t="str">
            <v>Other</v>
          </cell>
          <cell r="G809">
            <v>55.677999999999997</v>
          </cell>
          <cell r="H809">
            <v>72.218999999999994</v>
          </cell>
          <cell r="I809">
            <v>47.52</v>
          </cell>
          <cell r="J809">
            <v>66.337999999999994</v>
          </cell>
        </row>
        <row r="810">
          <cell r="F810" t="str">
            <v>Accrued liabilities − related parties</v>
          </cell>
          <cell r="G810">
            <v>15.427</v>
          </cell>
          <cell r="H810">
            <v>10.945</v>
          </cell>
          <cell r="I810">
            <v>14.96</v>
          </cell>
          <cell r="J810">
            <v>12.265000000000001</v>
          </cell>
        </row>
        <row r="811">
          <cell r="G811">
            <v>71.10499999999999</v>
          </cell>
          <cell r="H811">
            <v>88.584000000000003</v>
          </cell>
          <cell r="I811">
            <v>95.979000000000013</v>
          </cell>
          <cell r="J811">
            <v>110.77499999999999</v>
          </cell>
        </row>
        <row r="812">
          <cell r="B812" t="str">
            <v>C</v>
          </cell>
          <cell r="C812" t="str">
            <v>Cash Flow Validation</v>
          </cell>
        </row>
        <row r="813">
          <cell r="C813">
            <v>10</v>
          </cell>
          <cell r="D813" t="str">
            <v>Net decrease in investments, nonoperating</v>
          </cell>
        </row>
        <row r="814">
          <cell r="F814" t="str">
            <v>Gain on sales of securities available−for−sale and other</v>
          </cell>
          <cell r="G814">
            <v>-13.202999999999999</v>
          </cell>
          <cell r="H814">
            <v>-9.5419999999999998</v>
          </cell>
          <cell r="I814">
            <v>-19.375</v>
          </cell>
          <cell r="J814">
            <v>-132.30699999999999</v>
          </cell>
          <cell r="K814">
            <v>-39.398000000000003</v>
          </cell>
          <cell r="L814">
            <v>-53.71</v>
          </cell>
        </row>
        <row r="815">
          <cell r="F815" t="str">
            <v>Loss on sales of securities available−for−sale</v>
          </cell>
          <cell r="G815">
            <v>2.0960000000000001</v>
          </cell>
          <cell r="H815">
            <v>1.8089999999999999</v>
          </cell>
          <cell r="I815">
            <v>1.8050000000000002</v>
          </cell>
          <cell r="J815">
            <v>3.9569999999999999</v>
          </cell>
          <cell r="K815">
            <v>2.0110000000000001</v>
          </cell>
          <cell r="L815">
            <v>5.8680000000000003</v>
          </cell>
        </row>
        <row r="816">
          <cell r="F816" t="str">
            <v>Write−down of securities available−for−sale</v>
          </cell>
          <cell r="G816">
            <v>4</v>
          </cell>
          <cell r="H816">
            <v>20.248999999999999</v>
          </cell>
          <cell r="I816">
            <v>13.422000000000001</v>
          </cell>
          <cell r="J816">
            <v>4.8</v>
          </cell>
          <cell r="K816">
            <v>27.504000000000001</v>
          </cell>
          <cell r="L816">
            <v>40.759</v>
          </cell>
        </row>
        <row r="817">
          <cell r="F817" t="str">
            <v>Investments in trading securities</v>
          </cell>
          <cell r="G817">
            <v>-109.13200000000001</v>
          </cell>
          <cell r="H817">
            <v>12.725</v>
          </cell>
          <cell r="I817">
            <v>-10.158999999999999</v>
          </cell>
          <cell r="J817">
            <v>-20.963000000000001</v>
          </cell>
          <cell r="K817">
            <v>-85.712000000000003</v>
          </cell>
          <cell r="L817">
            <v>-121.986</v>
          </cell>
        </row>
        <row r="818">
          <cell r="F818" t="str">
            <v>Purchases of securities available−for−sale</v>
          </cell>
          <cell r="G818">
            <v>-512.72699999999998</v>
          </cell>
          <cell r="H818">
            <v>-800.78800000000001</v>
          </cell>
          <cell r="I818">
            <v>-595.06799999999998</v>
          </cell>
          <cell r="J818">
            <v>-560.40499999999997</v>
          </cell>
          <cell r="K818">
            <v>-1559.23</v>
          </cell>
          <cell r="L818">
            <v>-806.44399999999996</v>
          </cell>
        </row>
        <row r="819">
          <cell r="F819" t="str">
            <v>Proceeds from sales and maturities of securities available−for−sale</v>
          </cell>
          <cell r="G819">
            <v>410.39499999999998</v>
          </cell>
          <cell r="H819">
            <v>430.93599999999998</v>
          </cell>
          <cell r="I819">
            <v>627.06299999999999</v>
          </cell>
          <cell r="J819">
            <v>574.14499999999998</v>
          </cell>
          <cell r="K819">
            <v>1084.546</v>
          </cell>
          <cell r="L819">
            <v>1746.1980000000001</v>
          </cell>
        </row>
        <row r="820">
          <cell r="F820" t="str">
            <v>Purchases of nonmarketable equity securities</v>
          </cell>
          <cell r="G820">
            <v>0</v>
          </cell>
          <cell r="H820">
            <v>-29.044</v>
          </cell>
          <cell r="I820">
            <v>-52.957999999999998</v>
          </cell>
          <cell r="J820">
            <v>-5.6630000000000003</v>
          </cell>
          <cell r="K820">
            <v>-5.83</v>
          </cell>
          <cell r="L820">
            <v>-6.29</v>
          </cell>
        </row>
        <row r="821">
          <cell r="F821" t="str">
            <v>Transfer to restricted cash</v>
          </cell>
          <cell r="G821">
            <v>0</v>
          </cell>
          <cell r="H821">
            <v>0</v>
          </cell>
          <cell r="I821">
            <v>-56.6</v>
          </cell>
          <cell r="J821">
            <v>0</v>
          </cell>
          <cell r="K821">
            <v>0</v>
          </cell>
          <cell r="L821">
            <v>-630</v>
          </cell>
        </row>
        <row r="822">
          <cell r="F822" t="str">
            <v>Write−down of nonmarketable securities</v>
          </cell>
          <cell r="G822">
            <v>0</v>
          </cell>
          <cell r="H822">
            <v>16.689</v>
          </cell>
          <cell r="I822">
            <v>0.432</v>
          </cell>
          <cell r="J822">
            <v>0</v>
          </cell>
          <cell r="K822">
            <v>0</v>
          </cell>
          <cell r="L822">
            <v>0</v>
          </cell>
        </row>
        <row r="823">
          <cell r="F823" t="str">
            <v>Purchases of securities held−to−maturity</v>
          </cell>
          <cell r="G823">
            <v>-304.93200000000002</v>
          </cell>
          <cell r="H823">
            <v>-327.69</v>
          </cell>
          <cell r="I823">
            <v>-186.61199999999999</v>
          </cell>
          <cell r="J823">
            <v>0</v>
          </cell>
          <cell r="K823">
            <v>0</v>
          </cell>
          <cell r="L823">
            <v>0</v>
          </cell>
        </row>
        <row r="824">
          <cell r="F824" t="str">
            <v>Proceeds from maturities of securities held−to−maturity</v>
          </cell>
          <cell r="G824">
            <v>455.31700000000001</v>
          </cell>
          <cell r="H824">
            <v>410.72899999999998</v>
          </cell>
          <cell r="I824">
            <v>286.49699999999996</v>
          </cell>
          <cell r="J824">
            <v>0</v>
          </cell>
          <cell r="K824">
            <v>0</v>
          </cell>
          <cell r="L824">
            <v>0</v>
          </cell>
        </row>
        <row r="825">
          <cell r="G825">
            <v>-68.186000000000035</v>
          </cell>
          <cell r="H825">
            <v>-273.92699999999996</v>
          </cell>
          <cell r="I825">
            <v>8.4469999999999459</v>
          </cell>
          <cell r="J825">
            <v>-136.43600000000004</v>
          </cell>
          <cell r="K825">
            <v>-576.10900000000004</v>
          </cell>
          <cell r="L825">
            <v>174.39500000000021</v>
          </cell>
        </row>
        <row r="827">
          <cell r="B827" t="str">
            <v>D</v>
          </cell>
          <cell r="C827" t="str">
            <v>Changes in Shareholders Equity Validation</v>
          </cell>
        </row>
        <row r="828">
          <cell r="C828">
            <v>11</v>
          </cell>
          <cell r="D828" t="str">
            <v>Other changes in share capital</v>
          </cell>
        </row>
        <row r="829">
          <cell r="E829" t="str">
            <v>A</v>
          </cell>
          <cell r="F829" t="str">
            <v>Period from January 1 to June 30, 1999</v>
          </cell>
        </row>
        <row r="830">
          <cell r="F830" t="str">
            <v xml:space="preserve"> - Change in Special common Stock</v>
          </cell>
          <cell r="I830">
            <v>-4.1619999999999999</v>
          </cell>
        </row>
        <row r="831">
          <cell r="F831" t="str">
            <v xml:space="preserve"> - Change in common stock</v>
          </cell>
          <cell r="I831">
            <v>4.0540000000000003</v>
          </cell>
        </row>
        <row r="832">
          <cell r="F832" t="str">
            <v xml:space="preserve"> - Changes in Additional Paid - Capital</v>
          </cell>
          <cell r="I832">
            <v>5361.9719999999998</v>
          </cell>
        </row>
        <row r="833">
          <cell r="F833" t="str">
            <v xml:space="preserve"> - Amortization of good−will, intangibles and fair value adjustment to inventories, net of tax</v>
          </cell>
          <cell r="I833">
            <v>-500.5</v>
          </cell>
        </row>
        <row r="834">
          <cell r="F834" t="str">
            <v xml:space="preserve"> - In−process research and development</v>
          </cell>
          <cell r="I834">
            <v>-1221.644</v>
          </cell>
        </row>
        <row r="835">
          <cell r="F835" t="str">
            <v>Total (A + B)</v>
          </cell>
          <cell r="I835">
            <v>3639.7199999999993</v>
          </cell>
        </row>
        <row r="837">
          <cell r="D837" t="str">
            <v>Calculation of Top 3 drugs as percent of total sales</v>
          </cell>
        </row>
        <row r="838">
          <cell r="F838" t="str">
            <v>Rituxan</v>
          </cell>
          <cell r="G838">
            <v>5.5</v>
          </cell>
          <cell r="H838">
            <v>162.6</v>
          </cell>
          <cell r="I838">
            <v>279.39999999999998</v>
          </cell>
          <cell r="J838">
            <v>444.1</v>
          </cell>
          <cell r="K838">
            <v>818.6</v>
          </cell>
          <cell r="L838">
            <v>1162.9000000000001</v>
          </cell>
        </row>
        <row r="839">
          <cell r="F839" t="str">
            <v>Herceptin</v>
          </cell>
          <cell r="G839">
            <v>0</v>
          </cell>
          <cell r="H839">
            <v>30.5</v>
          </cell>
          <cell r="I839">
            <v>188.4</v>
          </cell>
          <cell r="J839">
            <v>275.89999999999998</v>
          </cell>
          <cell r="K839">
            <v>346.7</v>
          </cell>
          <cell r="L839">
            <v>385.2</v>
          </cell>
        </row>
        <row r="840">
          <cell r="F840" t="str">
            <v>Growth Hormone</v>
          </cell>
          <cell r="G840">
            <v>223.6</v>
          </cell>
          <cell r="H840">
            <v>214</v>
          </cell>
          <cell r="I840">
            <v>221.2</v>
          </cell>
          <cell r="J840">
            <v>226.6</v>
          </cell>
          <cell r="K840">
            <v>250.2</v>
          </cell>
          <cell r="L840">
            <v>297.2</v>
          </cell>
        </row>
        <row r="841">
          <cell r="F841" t="str">
            <v>Total (A)</v>
          </cell>
          <cell r="G841">
            <v>229.1</v>
          </cell>
          <cell r="H841">
            <v>407.1</v>
          </cell>
          <cell r="I841">
            <v>689</v>
          </cell>
          <cell r="J841">
            <v>946.6</v>
          </cell>
          <cell r="K841">
            <v>1415.5</v>
          </cell>
          <cell r="L841">
            <v>1845.3000000000002</v>
          </cell>
        </row>
        <row r="843">
          <cell r="F843" t="str">
            <v>Total Product sales (B)</v>
          </cell>
          <cell r="G843">
            <v>584.9</v>
          </cell>
          <cell r="H843">
            <v>717.8</v>
          </cell>
          <cell r="I843">
            <v>1039.0999999999999</v>
          </cell>
          <cell r="J843">
            <v>1278.3</v>
          </cell>
          <cell r="K843">
            <v>1742.9</v>
          </cell>
          <cell r="L843">
            <v>2163.6</v>
          </cell>
        </row>
        <row r="845">
          <cell r="F845" t="str">
            <v>Percent       (A/B)*100</v>
          </cell>
          <cell r="G845">
            <v>0.39169088733116775</v>
          </cell>
          <cell r="H845">
            <v>0.56714962385065482</v>
          </cell>
          <cell r="I845">
            <v>0.66307381387739395</v>
          </cell>
          <cell r="J845">
            <v>0.74051474614722679</v>
          </cell>
          <cell r="K845">
            <v>0.81215216019278214</v>
          </cell>
          <cell r="L845">
            <v>0.85288408208541333</v>
          </cell>
        </row>
      </sheetData>
      <sheetData sheetId="18" refreshError="1">
        <row r="2">
          <cell r="B2" t="str">
            <v>Rituxan - Adoption Rates</v>
          </cell>
        </row>
        <row r="3">
          <cell r="B3" t="str">
            <v>Rolling 4 Quarter Averages</v>
          </cell>
          <cell r="C3" t="str">
            <v>3Q03</v>
          </cell>
          <cell r="D3" t="str">
            <v>1Q04</v>
          </cell>
          <cell r="E3" t="str">
            <v>2Q04</v>
          </cell>
          <cell r="F3" t="str">
            <v>3Q04</v>
          </cell>
          <cell r="G3" t="str">
            <v>4Q04</v>
          </cell>
          <cell r="H3" t="str">
            <v>2Q05</v>
          </cell>
          <cell r="I3" t="str">
            <v>3Q05</v>
          </cell>
          <cell r="L3" t="str">
            <v>Phase I/II PTK787 with FOLFOX4</v>
          </cell>
          <cell r="O3" t="str">
            <v>Phase I/II PTK787 with FOLFIRI</v>
          </cell>
        </row>
        <row r="4">
          <cell r="B4" t="str">
            <v>Overall NHL &amp; CLL</v>
          </cell>
          <cell r="C4">
            <v>0.7</v>
          </cell>
          <cell r="D4">
            <v>0.68</v>
          </cell>
          <cell r="E4">
            <v>0.7</v>
          </cell>
          <cell r="F4">
            <v>0.72</v>
          </cell>
          <cell r="G4">
            <v>0.75</v>
          </cell>
          <cell r="H4">
            <v>0.78</v>
          </cell>
          <cell r="I4">
            <v>0.8</v>
          </cell>
          <cell r="L4" t="str">
            <v>n=28</v>
          </cell>
          <cell r="O4" t="str">
            <v>n=16</v>
          </cell>
        </row>
        <row r="5">
          <cell r="B5" t="str">
            <v>NHL</v>
          </cell>
          <cell r="L5" t="str">
            <v>Dose ranges</v>
          </cell>
          <cell r="M5" t="str">
            <v>500-2,000 mg</v>
          </cell>
          <cell r="O5" t="str">
            <v>Dose ranges</v>
          </cell>
          <cell r="P5" t="str">
            <v>500-1,250 mg</v>
          </cell>
        </row>
        <row r="6">
          <cell r="B6" t="str">
            <v>Front-line Indolent</v>
          </cell>
          <cell r="C6">
            <v>0.8</v>
          </cell>
          <cell r="D6">
            <v>0.76</v>
          </cell>
          <cell r="E6">
            <v>0.8</v>
          </cell>
          <cell r="F6">
            <v>0.85</v>
          </cell>
          <cell r="G6">
            <v>0.85</v>
          </cell>
          <cell r="H6">
            <v>0.87</v>
          </cell>
          <cell r="I6">
            <v>0.89</v>
          </cell>
          <cell r="L6" t="str">
            <v>MTD</v>
          </cell>
          <cell r="M6" t="str">
            <v>1,250 mg</v>
          </cell>
          <cell r="O6" t="str">
            <v>MTD</v>
          </cell>
          <cell r="P6" t="str">
            <v>1,250 mg</v>
          </cell>
        </row>
        <row r="7">
          <cell r="B7" t="str">
            <v>Relapsed indolent</v>
          </cell>
          <cell r="C7">
            <v>0.76</v>
          </cell>
          <cell r="D7">
            <v>0.75</v>
          </cell>
          <cell r="E7">
            <v>0.76</v>
          </cell>
          <cell r="F7">
            <v>0.77</v>
          </cell>
          <cell r="G7">
            <v>0.77</v>
          </cell>
          <cell r="H7">
            <v>0.75</v>
          </cell>
          <cell r="I7">
            <v>0.77</v>
          </cell>
          <cell r="L7" t="str">
            <v>CR</v>
          </cell>
          <cell r="M7" t="str">
            <v>1 (4%)</v>
          </cell>
          <cell r="O7" t="str">
            <v>CR</v>
          </cell>
          <cell r="P7">
            <v>0</v>
          </cell>
        </row>
        <row r="8">
          <cell r="B8" t="str">
            <v>Front-line aggressive</v>
          </cell>
          <cell r="C8">
            <v>0.81</v>
          </cell>
          <cell r="D8">
            <v>0.82</v>
          </cell>
          <cell r="E8">
            <v>0.81</v>
          </cell>
          <cell r="F8">
            <v>0.83</v>
          </cell>
          <cell r="G8">
            <v>0.83</v>
          </cell>
          <cell r="H8">
            <v>0.87</v>
          </cell>
          <cell r="I8">
            <v>0.87</v>
          </cell>
          <cell r="L8" t="str">
            <v>PR</v>
          </cell>
          <cell r="M8" t="str">
            <v>14 (50%)</v>
          </cell>
          <cell r="O8" t="str">
            <v>PR</v>
          </cell>
          <cell r="P8" t="str">
            <v>4 (33%)</v>
          </cell>
        </row>
        <row r="9">
          <cell r="B9" t="str">
            <v>Relapsed aggressive</v>
          </cell>
          <cell r="C9">
            <v>0.55000000000000004</v>
          </cell>
          <cell r="D9">
            <v>0.55000000000000004</v>
          </cell>
          <cell r="E9">
            <v>0.55000000000000004</v>
          </cell>
          <cell r="F9">
            <v>0.56000000000000005</v>
          </cell>
          <cell r="G9">
            <v>0.64</v>
          </cell>
          <cell r="H9">
            <v>0.64</v>
          </cell>
          <cell r="I9">
            <v>0.67</v>
          </cell>
          <cell r="L9" t="str">
            <v>SD</v>
          </cell>
          <cell r="M9" t="str">
            <v>9 (32%)</v>
          </cell>
          <cell r="O9" t="str">
            <v>SD</v>
          </cell>
          <cell r="P9" t="str">
            <v>5 (42%)</v>
          </cell>
        </row>
        <row r="10">
          <cell r="B10" t="str">
            <v>CLL</v>
          </cell>
          <cell r="L10" t="str">
            <v>median PFS</v>
          </cell>
          <cell r="M10" t="str">
            <v>11 months</v>
          </cell>
          <cell r="O10" t="str">
            <v>median TTP</v>
          </cell>
          <cell r="P10" t="str">
            <v>6.7 months</v>
          </cell>
        </row>
        <row r="11">
          <cell r="B11" t="str">
            <v>Front-line CLL</v>
          </cell>
          <cell r="C11">
            <v>0.52</v>
          </cell>
          <cell r="D11">
            <v>0.46</v>
          </cell>
          <cell r="E11">
            <v>0.52</v>
          </cell>
          <cell r="F11">
            <v>0.56999999999999995</v>
          </cell>
          <cell r="G11">
            <v>0.63</v>
          </cell>
          <cell r="H11">
            <v>0.65</v>
          </cell>
          <cell r="I11">
            <v>0.69</v>
          </cell>
          <cell r="L11" t="str">
            <v>median OS</v>
          </cell>
          <cell r="M11" t="str">
            <v>16.6 months</v>
          </cell>
          <cell r="O11" t="str">
            <v>median OS</v>
          </cell>
          <cell r="P11" t="str">
            <v>&gt;9 months</v>
          </cell>
        </row>
        <row r="12">
          <cell r="B12" t="str">
            <v>Relapsed CLL</v>
          </cell>
          <cell r="C12">
            <v>0.55000000000000004</v>
          </cell>
          <cell r="D12">
            <v>0.57999999999999996</v>
          </cell>
          <cell r="E12">
            <v>0.55000000000000004</v>
          </cell>
          <cell r="F12">
            <v>0.55000000000000004</v>
          </cell>
          <cell r="G12">
            <v>0.56999999999999995</v>
          </cell>
          <cell r="H12">
            <v>0.67</v>
          </cell>
          <cell r="I12">
            <v>0.68</v>
          </cell>
          <cell r="L12" t="str">
            <v>Adverse events:</v>
          </cell>
          <cell r="M12" t="str">
            <v>Ataxia</v>
          </cell>
          <cell r="O12" t="str">
            <v>Adverse events:</v>
          </cell>
          <cell r="P12" t="str">
            <v>hypertension</v>
          </cell>
        </row>
        <row r="13">
          <cell r="B13" t="str">
            <v>MDs using maintenance</v>
          </cell>
          <cell r="C13">
            <v>0.59</v>
          </cell>
          <cell r="D13">
            <v>0.55000000000000004</v>
          </cell>
          <cell r="E13">
            <v>0.59</v>
          </cell>
          <cell r="F13">
            <v>0.62</v>
          </cell>
          <cell r="G13">
            <v>0.65</v>
          </cell>
          <cell r="H13">
            <v>0.7</v>
          </cell>
          <cell r="I13">
            <v>0.75</v>
          </cell>
          <cell r="M13" t="str">
            <v>neutropenia</v>
          </cell>
          <cell r="P13" t="str">
            <v>fatigue</v>
          </cell>
        </row>
        <row r="14">
          <cell r="B14" t="str">
            <v>Patients receiving maint.</v>
          </cell>
          <cell r="C14">
            <v>0.09</v>
          </cell>
          <cell r="F14">
            <v>0.1</v>
          </cell>
          <cell r="G14">
            <v>0.15</v>
          </cell>
          <cell r="H14">
            <v>0.19</v>
          </cell>
          <cell r="I14">
            <v>0.2</v>
          </cell>
          <cell r="M14" t="str">
            <v>thrombocytopenia</v>
          </cell>
          <cell r="P14" t="str">
            <v>dizziness</v>
          </cell>
        </row>
        <row r="15">
          <cell r="S15" t="str">
            <v>AC + Taxotere + Herceptin</v>
          </cell>
          <cell r="T15" t="str">
            <v>Taxotere + carboplatin + Herceptin</v>
          </cell>
          <cell r="U15" t="str">
            <v>AC + Taxotere (control)</v>
          </cell>
        </row>
        <row r="16">
          <cell r="R16" t="str">
            <v>Reduction in Disease Recurrence (Primary Endpoint)</v>
          </cell>
          <cell r="S16" t="str">
            <v>51%*</v>
          </cell>
          <cell r="T16" t="str">
            <v>39%*</v>
          </cell>
          <cell r="U16" t="str">
            <v>-</v>
          </cell>
        </row>
        <row r="17">
          <cell r="R17" t="str">
            <v>Clinicallly Significant Cardiac Adverse Events</v>
          </cell>
          <cell r="S17">
            <v>2.3E-2</v>
          </cell>
          <cell r="T17">
            <v>1.2999999999999999E-2</v>
          </cell>
          <cell r="U17">
            <v>1.2999999999999999E-2</v>
          </cell>
        </row>
        <row r="18">
          <cell r="L18" t="str">
            <v>Ph II RCC data</v>
          </cell>
          <cell r="R18" t="str">
            <v>Note: * Statistically significant; AC = doxorubicin plus cyclophosphamide</v>
          </cell>
        </row>
        <row r="19">
          <cell r="B19" t="str">
            <v>Avastin - Adoption Rates</v>
          </cell>
          <cell r="L19" t="str">
            <v>Avastin</v>
          </cell>
          <cell r="M19" t="str">
            <v>10mg</v>
          </cell>
          <cell r="N19" t="str">
            <v>3mg</v>
          </cell>
          <cell r="O19" t="str">
            <v>Placebo</v>
          </cell>
        </row>
        <row r="20">
          <cell r="B20" t="str">
            <v>Colorectal cancer</v>
          </cell>
          <cell r="C20" t="str">
            <v>3Q04</v>
          </cell>
          <cell r="D20" t="str">
            <v>4Q04</v>
          </cell>
          <cell r="E20" t="str">
            <v>1Q05</v>
          </cell>
          <cell r="F20" t="str">
            <v>2Q05</v>
          </cell>
          <cell r="G20" t="str">
            <v>3Q05</v>
          </cell>
          <cell r="H20" t="str">
            <v>3Q05</v>
          </cell>
          <cell r="I20" t="str">
            <v>3Q05</v>
          </cell>
          <cell r="L20" t="str">
            <v>n=</v>
          </cell>
          <cell r="M20">
            <v>39</v>
          </cell>
          <cell r="N20">
            <v>37</v>
          </cell>
          <cell r="O20">
            <v>40</v>
          </cell>
        </row>
        <row r="21">
          <cell r="B21" t="str">
            <v xml:space="preserve">Front-line </v>
          </cell>
          <cell r="C21">
            <v>0.4</v>
          </cell>
          <cell r="D21">
            <v>0.55000000000000004</v>
          </cell>
          <cell r="E21">
            <v>0.61</v>
          </cell>
          <cell r="F21">
            <v>0.64</v>
          </cell>
          <cell r="G21">
            <v>0.67</v>
          </cell>
          <cell r="H21">
            <v>0.67</v>
          </cell>
          <cell r="I21">
            <v>0.67</v>
          </cell>
          <cell r="L21" t="str">
            <v>TTP</v>
          </cell>
          <cell r="M21">
            <v>4.8</v>
          </cell>
          <cell r="N21">
            <v>3</v>
          </cell>
          <cell r="O21">
            <v>2.5</v>
          </cell>
        </row>
        <row r="22">
          <cell r="B22" t="str">
            <v>Refractory</v>
          </cell>
          <cell r="D22">
            <v>0.37</v>
          </cell>
          <cell r="E22">
            <v>0.47</v>
          </cell>
          <cell r="F22">
            <v>0.35</v>
          </cell>
          <cell r="G22">
            <v>0.4</v>
          </cell>
          <cell r="H22">
            <v>0.4</v>
          </cell>
          <cell r="I22">
            <v>0.4</v>
          </cell>
          <cell r="L22" t="str">
            <v>progression free</v>
          </cell>
        </row>
        <row r="23">
          <cell r="L23" t="str">
            <v>4 months</v>
          </cell>
          <cell r="M23">
            <v>0.64</v>
          </cell>
          <cell r="N23">
            <v>0.39</v>
          </cell>
          <cell r="O23">
            <v>0.2</v>
          </cell>
        </row>
        <row r="24">
          <cell r="B24" t="str">
            <v>Avastin - Off label use</v>
          </cell>
          <cell r="L24" t="str">
            <v>8 months</v>
          </cell>
          <cell r="M24">
            <v>0.3</v>
          </cell>
          <cell r="N24">
            <v>0.14000000000000001</v>
          </cell>
          <cell r="O24">
            <v>0.05</v>
          </cell>
        </row>
        <row r="25">
          <cell r="C25" t="str">
            <v>2Q05</v>
          </cell>
          <cell r="D25" t="str">
            <v>3Q05</v>
          </cell>
          <cell r="L25" t="str">
            <v>RR</v>
          </cell>
          <cell r="M25">
            <v>0.1</v>
          </cell>
          <cell r="N25">
            <v>0</v>
          </cell>
          <cell r="O25">
            <v>0</v>
          </cell>
        </row>
        <row r="26">
          <cell r="B26" t="str">
            <v>Avastin sales</v>
          </cell>
          <cell r="C26">
            <v>245</v>
          </cell>
          <cell r="D26">
            <v>325</v>
          </cell>
        </row>
        <row r="27">
          <cell r="B27" t="str">
            <v>% of Avastin sales</v>
          </cell>
          <cell r="C27">
            <v>0.1</v>
          </cell>
          <cell r="D27">
            <v>0.15</v>
          </cell>
        </row>
        <row r="28">
          <cell r="B28" t="str">
            <v>Off-label sales</v>
          </cell>
          <cell r="C28">
            <v>24.5</v>
          </cell>
          <cell r="D28">
            <v>48.75</v>
          </cell>
          <cell r="L28" t="str">
            <v>Ph II pancreatic data</v>
          </cell>
        </row>
        <row r="29">
          <cell r="L29" t="str">
            <v>Pancreatic CA</v>
          </cell>
          <cell r="M29" t="str">
            <v>Gem + 10mg Avastin</v>
          </cell>
        </row>
        <row r="30">
          <cell r="L30" t="str">
            <v>n=</v>
          </cell>
          <cell r="M30">
            <v>52</v>
          </cell>
        </row>
        <row r="31">
          <cell r="B31" t="str">
            <v>Lucentis Phase III results</v>
          </cell>
          <cell r="L31" t="str">
            <v>PFS</v>
          </cell>
          <cell r="M31" t="str">
            <v>5.4 mos</v>
          </cell>
        </row>
        <row r="32">
          <cell r="B32" t="str">
            <v>ANCHOR</v>
          </cell>
          <cell r="C32" t="str">
            <v>0.3 mg</v>
          </cell>
          <cell r="D32" t="str">
            <v>0.5 mg</v>
          </cell>
          <cell r="E32" t="str">
            <v>Visudyne</v>
          </cell>
          <cell r="L32" t="str">
            <v>median survival</v>
          </cell>
          <cell r="M32" t="str">
            <v>8.8 mos</v>
          </cell>
        </row>
        <row r="33">
          <cell r="B33" t="str">
            <v>Maintenance of vision</v>
          </cell>
          <cell r="C33">
            <v>0.94</v>
          </cell>
          <cell r="D33">
            <v>0.96</v>
          </cell>
          <cell r="E33">
            <v>0.64</v>
          </cell>
          <cell r="L33" t="str">
            <v>6-month survival</v>
          </cell>
          <cell r="M33">
            <v>0.77</v>
          </cell>
        </row>
        <row r="34">
          <cell r="B34" t="str">
            <v>Change in visual acuity</v>
          </cell>
          <cell r="C34" t="str">
            <v>improved</v>
          </cell>
          <cell r="D34" t="str">
            <v>improved</v>
          </cell>
          <cell r="E34" t="str">
            <v>declined</v>
          </cell>
        </row>
        <row r="35">
          <cell r="B35" t="str">
            <v>Cererbrovascular events</v>
          </cell>
          <cell r="C35" t="str">
            <v>equal</v>
          </cell>
          <cell r="D35" t="str">
            <v>equal</v>
          </cell>
          <cell r="E35" t="str">
            <v>equal</v>
          </cell>
          <cell r="L35" t="str">
            <v>PR</v>
          </cell>
          <cell r="M35">
            <v>0.21</v>
          </cell>
        </row>
        <row r="36">
          <cell r="B36" t="str">
            <v>Myocardial infarction</v>
          </cell>
          <cell r="C36" t="str">
            <v>-</v>
          </cell>
          <cell r="D36" t="str">
            <v>higher</v>
          </cell>
          <cell r="E36" t="str">
            <v>-</v>
          </cell>
          <cell r="L36" t="str">
            <v>SD</v>
          </cell>
          <cell r="M36">
            <v>0.46</v>
          </cell>
        </row>
        <row r="38">
          <cell r="B38" t="str">
            <v>MARINA</v>
          </cell>
          <cell r="C38" t="str">
            <v>0.3 mg</v>
          </cell>
          <cell r="D38" t="str">
            <v>0.5 mg</v>
          </cell>
          <cell r="E38" t="str">
            <v>Sham</v>
          </cell>
        </row>
        <row r="39">
          <cell r="B39" t="str">
            <v>Maintenance of vision</v>
          </cell>
          <cell r="C39">
            <v>0.95</v>
          </cell>
          <cell r="D39">
            <v>0.95</v>
          </cell>
          <cell r="E39">
            <v>0.62</v>
          </cell>
        </row>
        <row r="40">
          <cell r="B40" t="str">
            <v>Letters gained</v>
          </cell>
          <cell r="C40" t="str">
            <v>+6.5</v>
          </cell>
          <cell r="D40" t="str">
            <v>+7.2</v>
          </cell>
          <cell r="E40" t="str">
            <v>-10.5</v>
          </cell>
        </row>
        <row r="41">
          <cell r="B41" t="str">
            <v>Cererbrovascular events</v>
          </cell>
          <cell r="C41">
            <v>1</v>
          </cell>
          <cell r="D41">
            <v>3</v>
          </cell>
          <cell r="E41">
            <v>1</v>
          </cell>
        </row>
        <row r="42">
          <cell r="B42" t="str">
            <v>Myocardial infarction</v>
          </cell>
          <cell r="C42">
            <v>1</v>
          </cell>
          <cell r="D42">
            <v>1</v>
          </cell>
          <cell r="E42">
            <v>1</v>
          </cell>
        </row>
        <row r="46">
          <cell r="B46" t="str">
            <v>Macugen + Visudyne Phase II data</v>
          </cell>
        </row>
        <row r="48">
          <cell r="C48" t="str">
            <v>Macugen + Visudyne</v>
          </cell>
          <cell r="D48" t="str">
            <v>Lucentis + Visudyne</v>
          </cell>
        </row>
        <row r="49">
          <cell r="B49" t="str">
            <v>Patients</v>
          </cell>
          <cell r="C49" t="str">
            <v>10* (100%)</v>
          </cell>
        </row>
        <row r="50">
          <cell r="B50" t="str">
            <v>Stable vision or better</v>
          </cell>
          <cell r="C50" t="str">
            <v>9 (90%)</v>
          </cell>
        </row>
        <row r="51">
          <cell r="B51" t="str">
            <v>At least 15 letter gain</v>
          </cell>
          <cell r="C51" t="str">
            <v>6 (60%)</v>
          </cell>
        </row>
        <row r="52">
          <cell r="B52" t="str">
            <v>Patients needing further Visudyne therapy after 3 months</v>
          </cell>
          <cell r="C52" t="str">
            <v>4 (40%)</v>
          </cell>
        </row>
        <row r="53">
          <cell r="B53" t="str">
            <v>Note: * 11 patients treated q monthly for 3 months; 10 patients were evaluated</v>
          </cell>
        </row>
      </sheetData>
      <sheetData sheetId="19" refreshError="1"/>
      <sheetData sheetId="20" refreshError="1"/>
      <sheetData sheetId="21" refreshError="1">
        <row r="4">
          <cell r="D4" t="str">
            <v>(For Marketing Pack)</v>
          </cell>
        </row>
        <row r="6">
          <cell r="F6" t="str">
            <v>2005A</v>
          </cell>
          <cell r="H6" t="str">
            <v>2006E</v>
          </cell>
          <cell r="J6" t="str">
            <v>2007E</v>
          </cell>
          <cell r="L6" t="str">
            <v>2008E</v>
          </cell>
        </row>
        <row r="7">
          <cell r="D7" t="str">
            <v>Rituxan</v>
          </cell>
          <cell r="F7">
            <v>1989.431</v>
          </cell>
          <cell r="H7">
            <v>2357</v>
          </cell>
          <cell r="J7">
            <v>2711.0807564833267</v>
          </cell>
          <cell r="L7">
            <v>2933.6966005063991</v>
          </cell>
        </row>
        <row r="8">
          <cell r="D8" t="str">
            <v>Avastin</v>
          </cell>
          <cell r="F8">
            <v>1216.7529999999999</v>
          </cell>
          <cell r="H8">
            <v>1993.36</v>
          </cell>
          <cell r="J8">
            <v>2925.9611602894643</v>
          </cell>
          <cell r="L8">
            <v>3882.0494573955039</v>
          </cell>
        </row>
        <row r="9">
          <cell r="D9" t="str">
            <v>Herceptin</v>
          </cell>
          <cell r="F9">
            <v>763.86799999999994</v>
          </cell>
          <cell r="H9">
            <v>1380</v>
          </cell>
          <cell r="J9">
            <v>1581.6482618585742</v>
          </cell>
          <cell r="L9">
            <v>1676.8953104490511</v>
          </cell>
        </row>
        <row r="10">
          <cell r="D10" t="str">
            <v>Xolair</v>
          </cell>
          <cell r="F10">
            <v>323.79700000000003</v>
          </cell>
          <cell r="H10">
            <v>423</v>
          </cell>
          <cell r="J10">
            <v>496.67639851943272</v>
          </cell>
          <cell r="L10">
            <v>549.18117450569844</v>
          </cell>
        </row>
        <row r="11">
          <cell r="D11" t="str">
            <v>Total Revenues</v>
          </cell>
          <cell r="F11">
            <v>6633.4230000000007</v>
          </cell>
          <cell r="H11">
            <v>9120.36</v>
          </cell>
          <cell r="J11">
            <v>11279.125121683228</v>
          </cell>
          <cell r="L11">
            <v>13104.186311101828</v>
          </cell>
        </row>
        <row r="12">
          <cell r="D12" t="str">
            <v>EPS</v>
          </cell>
          <cell r="F12">
            <v>1.2834315032439099</v>
          </cell>
          <cell r="H12">
            <v>1.9766562870511628</v>
          </cell>
          <cell r="J12">
            <v>2.6131703146035923</v>
          </cell>
          <cell r="L12">
            <v>3.2657035401917991</v>
          </cell>
        </row>
        <row r="13">
          <cell r="D13" t="str">
            <v>Consensus</v>
          </cell>
          <cell r="F13">
            <v>1.28</v>
          </cell>
          <cell r="H13">
            <v>1.81</v>
          </cell>
          <cell r="J13">
            <v>2.4500000000000002</v>
          </cell>
          <cell r="L13">
            <v>3.12</v>
          </cell>
        </row>
      </sheetData>
      <sheetData sheetId="22" refreshError="1"/>
      <sheetData sheetId="23" refreshError="1"/>
      <sheetData sheetId="24" refreshError="1">
        <row r="6">
          <cell r="D6" t="str">
            <v>Biogen Idec Oceanside Plant</v>
          </cell>
          <cell r="E6" t="str">
            <v>Vacaville Expansion</v>
          </cell>
        </row>
        <row r="7">
          <cell r="C7" t="str">
            <v>Current</v>
          </cell>
          <cell r="D7">
            <v>2007</v>
          </cell>
          <cell r="E7">
            <v>2009</v>
          </cell>
          <cell r="F7" t="str">
            <v>Total</v>
          </cell>
        </row>
        <row r="8">
          <cell r="B8" t="str">
            <v>clear</v>
          </cell>
          <cell r="D8">
            <v>280</v>
          </cell>
          <cell r="E8">
            <v>370</v>
          </cell>
          <cell r="F8">
            <v>0</v>
          </cell>
        </row>
        <row r="9">
          <cell r="B9" t="str">
            <v>green</v>
          </cell>
          <cell r="C9">
            <v>280</v>
          </cell>
          <cell r="D9">
            <v>90</v>
          </cell>
          <cell r="E9">
            <v>200</v>
          </cell>
          <cell r="F9">
            <v>570</v>
          </cell>
        </row>
        <row r="12">
          <cell r="I12" t="str">
            <v>Ex-US Exposure</v>
          </cell>
        </row>
        <row r="13">
          <cell r="I13" t="str">
            <v>Sales to Collab.</v>
          </cell>
          <cell r="J13">
            <v>2005</v>
          </cell>
          <cell r="K13" t="str">
            <v>1Q06</v>
          </cell>
        </row>
        <row r="14">
          <cell r="I14" t="str">
            <v>Total</v>
          </cell>
          <cell r="J14">
            <v>326.39999999999998</v>
          </cell>
          <cell r="K14">
            <v>75</v>
          </cell>
        </row>
        <row r="15">
          <cell r="I15" t="str">
            <v>Avastin</v>
          </cell>
          <cell r="J15">
            <v>84.031999999999996</v>
          </cell>
          <cell r="K15">
            <v>18</v>
          </cell>
        </row>
        <row r="16">
          <cell r="I16" t="str">
            <v>Herceptin</v>
          </cell>
          <cell r="J16">
            <v>16.621000000000002</v>
          </cell>
          <cell r="K16">
            <v>5</v>
          </cell>
        </row>
        <row r="17">
          <cell r="I17" t="str">
            <v>Rituxan</v>
          </cell>
          <cell r="J17">
            <v>157.9</v>
          </cell>
          <cell r="K17">
            <v>32</v>
          </cell>
        </row>
        <row r="18">
          <cell r="I18" t="str">
            <v>Nutropin</v>
          </cell>
          <cell r="J18">
            <v>4.8</v>
          </cell>
          <cell r="K18">
            <v>1</v>
          </cell>
        </row>
        <row r="19">
          <cell r="I19" t="str">
            <v>Pulmozyme</v>
          </cell>
          <cell r="J19">
            <v>35.4</v>
          </cell>
          <cell r="K19">
            <v>13</v>
          </cell>
        </row>
        <row r="20">
          <cell r="I20" t="str">
            <v>Raptiva</v>
          </cell>
          <cell r="J20">
            <v>14.9</v>
          </cell>
          <cell r="K20">
            <v>2</v>
          </cell>
        </row>
        <row r="21">
          <cell r="I21" t="str">
            <v>Thrombolytics</v>
          </cell>
          <cell r="J21">
            <v>8.3000000000000007</v>
          </cell>
          <cell r="K21">
            <v>3</v>
          </cell>
        </row>
        <row r="22">
          <cell r="I22" t="str">
            <v>Xolair</v>
          </cell>
          <cell r="J22">
            <v>7</v>
          </cell>
          <cell r="K22">
            <v>1</v>
          </cell>
        </row>
        <row r="23">
          <cell r="I23" t="str">
            <v>Other</v>
          </cell>
          <cell r="J23">
            <v>27</v>
          </cell>
          <cell r="K23">
            <v>0</v>
          </cell>
        </row>
        <row r="24">
          <cell r="I24" t="str">
            <v>Royalties</v>
          </cell>
        </row>
        <row r="25">
          <cell r="I25" t="str">
            <v>% Roche</v>
          </cell>
          <cell r="J25">
            <v>0.53</v>
          </cell>
          <cell r="K25">
            <v>0.57999999999999996</v>
          </cell>
        </row>
        <row r="26">
          <cell r="I26" t="str">
            <v>ex-US Royalties</v>
          </cell>
          <cell r="J26">
            <v>495.60140999999999</v>
          </cell>
          <cell r="K26">
            <v>165.88</v>
          </cell>
        </row>
        <row r="27">
          <cell r="I27" t="str">
            <v>Total</v>
          </cell>
          <cell r="J27">
            <v>822.00140999999996</v>
          </cell>
          <cell r="K27">
            <v>240.88</v>
          </cell>
        </row>
        <row r="28">
          <cell r="I28" t="str">
            <v>Total Rev</v>
          </cell>
          <cell r="J28">
            <v>6633.4230000000007</v>
          </cell>
          <cell r="K28">
            <v>1986</v>
          </cell>
        </row>
        <row r="29">
          <cell r="I29" t="str">
            <v>% ex-US</v>
          </cell>
          <cell r="J29">
            <v>0.12391813547847015</v>
          </cell>
          <cell r="K29">
            <v>0.12128902316213494</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LOG"/>
      <sheetName val="Changes to Model"/>
      <sheetName val="MS Est. Vs Actual"/>
      <sheetName val="Quarterly"/>
      <sheetName val="mwareValPrintout"/>
      <sheetName val="Annual"/>
      <sheetName val="Balance Sheet "/>
      <sheetName val="Model_Template"/>
      <sheetName val="Cashflow"/>
      <sheetName val="DCF Valuation"/>
      <sheetName val="US RA Model"/>
      <sheetName val="US Epo Model"/>
      <sheetName val="Int'l Epo Model"/>
      <sheetName val="ProcritAranesp"/>
      <sheetName val="__FDSCACHE__"/>
      <sheetName val="CSFs"/>
      <sheetName val="ESO"/>
      <sheetName val="Figures"/>
      <sheetName val="Marketing"/>
      <sheetName val="mwareDates"/>
      <sheetName val="NY UPLOAD shadow"/>
      <sheetName val="mwareSettings"/>
      <sheetName val="mStartup"/>
      <sheetName val="MainCode"/>
    </sheetNames>
    <sheetDataSet>
      <sheetData sheetId="0" refreshError="1"/>
      <sheetData sheetId="1" refreshError="1"/>
      <sheetData sheetId="2" refreshError="1">
        <row r="2">
          <cell r="B2" t="str">
            <v>Changes To Model</v>
          </cell>
        </row>
        <row r="3">
          <cell r="C3">
            <v>2003</v>
          </cell>
          <cell r="E3">
            <v>2004</v>
          </cell>
          <cell r="G3">
            <v>2005</v>
          </cell>
          <cell r="I3">
            <v>2006</v>
          </cell>
          <cell r="K3">
            <v>2007</v>
          </cell>
          <cell r="M3">
            <v>2008</v>
          </cell>
          <cell r="O3" t="str">
            <v>Comments</v>
          </cell>
        </row>
        <row r="4">
          <cell r="B4" t="str">
            <v>Aranesp</v>
          </cell>
          <cell r="O4" t="str">
            <v>Modestly decreasing estimates in outer years due to slowing EU growth (FOBs are likely to mute growth further)</v>
          </cell>
        </row>
        <row r="5">
          <cell r="B5" t="str">
            <v xml:space="preserve">   Current</v>
          </cell>
          <cell r="E5">
            <v>2472.9</v>
          </cell>
          <cell r="G5">
            <v>3273</v>
          </cell>
          <cell r="I5">
            <v>3913</v>
          </cell>
          <cell r="K5">
            <v>4350</v>
          </cell>
          <cell r="M5">
            <v>4725</v>
          </cell>
        </row>
        <row r="6">
          <cell r="B6" t="str">
            <v xml:space="preserve">   Prior</v>
          </cell>
          <cell r="E6">
            <v>2472.9</v>
          </cell>
          <cell r="G6">
            <v>3273</v>
          </cell>
          <cell r="I6">
            <v>3950</v>
          </cell>
          <cell r="K6">
            <v>4525</v>
          </cell>
          <cell r="M6">
            <v>4915</v>
          </cell>
        </row>
        <row r="7">
          <cell r="B7" t="str">
            <v>Epogen</v>
          </cell>
          <cell r="O7" t="str">
            <v>Company expects product to stabilize in mid 2006</v>
          </cell>
        </row>
        <row r="8">
          <cell r="B8" t="str">
            <v xml:space="preserve">   Current</v>
          </cell>
          <cell r="E8">
            <v>2600.6</v>
          </cell>
          <cell r="G8">
            <v>2455</v>
          </cell>
          <cell r="I8">
            <v>2514</v>
          </cell>
          <cell r="K8">
            <v>2572.1174973954289</v>
          </cell>
          <cell r="M8">
            <v>2632.2299063233218</v>
          </cell>
        </row>
        <row r="9">
          <cell r="B9" t="str">
            <v xml:space="preserve">   Prior</v>
          </cell>
          <cell r="E9">
            <v>2600.6</v>
          </cell>
          <cell r="G9">
            <v>2455</v>
          </cell>
          <cell r="I9">
            <v>2520</v>
          </cell>
          <cell r="K9">
            <v>2626.2090016806937</v>
          </cell>
          <cell r="M9">
            <v>2700.9100577285003</v>
          </cell>
        </row>
        <row r="10">
          <cell r="B10" t="str">
            <v>Neulasta</v>
          </cell>
        </row>
        <row r="11">
          <cell r="B11" t="str">
            <v xml:space="preserve">   Current</v>
          </cell>
          <cell r="E11">
            <v>1739.6</v>
          </cell>
          <cell r="G11">
            <v>2288</v>
          </cell>
          <cell r="I11">
            <v>2603</v>
          </cell>
          <cell r="K11">
            <v>2889.3300000000004</v>
          </cell>
          <cell r="M11">
            <v>3149.3697000000006</v>
          </cell>
        </row>
        <row r="12">
          <cell r="B12" t="str">
            <v xml:space="preserve">   Prior</v>
          </cell>
          <cell r="E12">
            <v>1739.6</v>
          </cell>
          <cell r="G12">
            <v>2288</v>
          </cell>
          <cell r="I12">
            <v>2675</v>
          </cell>
          <cell r="K12">
            <v>3022.75</v>
          </cell>
          <cell r="M12">
            <v>3234.3424999999997</v>
          </cell>
        </row>
        <row r="13">
          <cell r="B13" t="str">
            <v>Neupogen</v>
          </cell>
        </row>
        <row r="14">
          <cell r="B14" t="str">
            <v xml:space="preserve">   Current</v>
          </cell>
          <cell r="E14">
            <v>1175.1999999999998</v>
          </cell>
          <cell r="G14">
            <v>1216</v>
          </cell>
          <cell r="I14">
            <v>1188</v>
          </cell>
          <cell r="K14">
            <v>1188</v>
          </cell>
          <cell r="M14">
            <v>1188</v>
          </cell>
        </row>
        <row r="15">
          <cell r="B15" t="str">
            <v xml:space="preserve">   Prior</v>
          </cell>
          <cell r="E15">
            <v>1175.2</v>
          </cell>
          <cell r="G15">
            <v>1216</v>
          </cell>
          <cell r="I15">
            <v>1240</v>
          </cell>
          <cell r="K15">
            <v>1240</v>
          </cell>
          <cell r="M15">
            <v>1240</v>
          </cell>
        </row>
        <row r="16">
          <cell r="B16" t="str">
            <v>Enbrel</v>
          </cell>
          <cell r="O16" t="str">
            <v xml:space="preserve">Weak trends of past several quarters continue into 2006.  lowering forward estimates as Humira compeition grows in derm and multiple new entrants begin to crowd rheumatology. </v>
          </cell>
        </row>
        <row r="17">
          <cell r="B17" t="str">
            <v xml:space="preserve">   Current</v>
          </cell>
          <cell r="E17">
            <v>1900.3</v>
          </cell>
          <cell r="G17">
            <v>2573</v>
          </cell>
          <cell r="I17">
            <v>2793</v>
          </cell>
          <cell r="K17">
            <v>3016.8307284116399</v>
          </cell>
          <cell r="M17">
            <v>3233.3473223083402</v>
          </cell>
        </row>
        <row r="18">
          <cell r="B18" t="str">
            <v xml:space="preserve">   Prior</v>
          </cell>
          <cell r="E18">
            <v>1900.3</v>
          </cell>
          <cell r="G18">
            <v>2573</v>
          </cell>
          <cell r="I18">
            <v>3020</v>
          </cell>
          <cell r="K18">
            <v>3292.3139849108829</v>
          </cell>
          <cell r="M18">
            <v>3541.0791290486823</v>
          </cell>
        </row>
        <row r="19">
          <cell r="B19" t="str">
            <v>Panitumumab</v>
          </cell>
        </row>
        <row r="20">
          <cell r="B20" t="str">
            <v xml:space="preserve">   Current</v>
          </cell>
          <cell r="E20">
            <v>0</v>
          </cell>
          <cell r="G20">
            <v>0</v>
          </cell>
          <cell r="I20">
            <v>35</v>
          </cell>
          <cell r="K20">
            <v>225</v>
          </cell>
          <cell r="M20">
            <v>475</v>
          </cell>
        </row>
        <row r="21">
          <cell r="B21" t="str">
            <v xml:space="preserve">   Prior</v>
          </cell>
          <cell r="E21">
            <v>0</v>
          </cell>
          <cell r="G21">
            <v>0</v>
          </cell>
          <cell r="I21">
            <v>40</v>
          </cell>
          <cell r="K21">
            <v>260</v>
          </cell>
          <cell r="M21">
            <v>500</v>
          </cell>
        </row>
        <row r="22">
          <cell r="B22" t="str">
            <v>Total Revenues ($MM)</v>
          </cell>
          <cell r="O22" t="str">
            <v>2006 guidance: $13.9B-$14.4B</v>
          </cell>
        </row>
        <row r="23">
          <cell r="B23" t="str">
            <v xml:space="preserve">   Current</v>
          </cell>
          <cell r="C23">
            <v>8356</v>
          </cell>
          <cell r="E23">
            <v>10549.9</v>
          </cell>
          <cell r="G23">
            <v>12430</v>
          </cell>
          <cell r="I23">
            <v>13779</v>
          </cell>
          <cell r="K23">
            <v>15089.778225807069</v>
          </cell>
          <cell r="M23">
            <v>16371.308428631663</v>
          </cell>
        </row>
        <row r="24">
          <cell r="B24" t="str">
            <v xml:space="preserve">   Prior</v>
          </cell>
          <cell r="C24">
            <v>8356</v>
          </cell>
          <cell r="E24">
            <v>10549.9</v>
          </cell>
          <cell r="G24">
            <v>12430</v>
          </cell>
          <cell r="I24">
            <v>14220</v>
          </cell>
          <cell r="K24">
            <v>15846.422986591579</v>
          </cell>
          <cell r="M24">
            <v>17265.642986777184</v>
          </cell>
        </row>
        <row r="25">
          <cell r="B25" t="str">
            <v>SG&amp;A ($MM)</v>
          </cell>
          <cell r="O25" t="str">
            <v>2006 Guidance: ~10% growth</v>
          </cell>
        </row>
        <row r="26">
          <cell r="B26" t="str">
            <v xml:space="preserve">   Current</v>
          </cell>
          <cell r="C26">
            <v>1952.6</v>
          </cell>
          <cell r="E26">
            <v>2556</v>
          </cell>
          <cell r="G26">
            <v>2792</v>
          </cell>
          <cell r="I26">
            <v>3027.1130000000003</v>
          </cell>
          <cell r="K26">
            <v>3266.9369858872305</v>
          </cell>
          <cell r="M26">
            <v>3544.388274798755</v>
          </cell>
        </row>
        <row r="27">
          <cell r="B27" t="str">
            <v xml:space="preserve">   Prior</v>
          </cell>
          <cell r="C27">
            <v>1952.6</v>
          </cell>
          <cell r="E27">
            <v>2556</v>
          </cell>
          <cell r="G27">
            <v>2792</v>
          </cell>
          <cell r="I27">
            <v>3075.85</v>
          </cell>
          <cell r="K27">
            <v>3422.8273651037807</v>
          </cell>
          <cell r="M27">
            <v>4100.5902093595814</v>
          </cell>
        </row>
        <row r="28">
          <cell r="B28" t="str">
            <v>R&amp;D ($MM)</v>
          </cell>
          <cell r="O28" t="str">
            <v xml:space="preserve">2006 Guidance: 30-40% YoY growth.  </v>
          </cell>
        </row>
        <row r="29">
          <cell r="B29" t="str">
            <v xml:space="preserve">   Current</v>
          </cell>
          <cell r="C29">
            <v>1655.4</v>
          </cell>
          <cell r="E29">
            <v>2028</v>
          </cell>
          <cell r="G29">
            <v>2302</v>
          </cell>
          <cell r="I29">
            <v>3009</v>
          </cell>
          <cell r="K29">
            <v>3327.2960987904589</v>
          </cell>
          <cell r="M29">
            <v>3601.6878542989657</v>
          </cell>
        </row>
        <row r="30">
          <cell r="B30" t="str">
            <v xml:space="preserve">   Prior</v>
          </cell>
          <cell r="C30">
            <v>1655.4</v>
          </cell>
          <cell r="E30">
            <v>2028</v>
          </cell>
          <cell r="G30">
            <v>2302</v>
          </cell>
          <cell r="I30">
            <v>3085</v>
          </cell>
          <cell r="K30">
            <v>3406.9809421171894</v>
          </cell>
          <cell r="M30">
            <v>3712.1132421570946</v>
          </cell>
        </row>
        <row r="31">
          <cell r="B31" t="str">
            <v>Interest, Other Income</v>
          </cell>
        </row>
        <row r="32">
          <cell r="B32" t="str">
            <v xml:space="preserve">   Current</v>
          </cell>
          <cell r="C32">
            <v>113.4</v>
          </cell>
          <cell r="D32">
            <v>-0.21359223300970864</v>
          </cell>
          <cell r="E32">
            <v>99.7</v>
          </cell>
          <cell r="F32">
            <v>0</v>
          </cell>
          <cell r="G32">
            <v>157</v>
          </cell>
          <cell r="H32">
            <v>0</v>
          </cell>
          <cell r="I32">
            <v>329</v>
          </cell>
          <cell r="J32">
            <v>0</v>
          </cell>
          <cell r="K32">
            <v>210.7171588806757</v>
          </cell>
          <cell r="L32">
            <v>0</v>
          </cell>
          <cell r="M32">
            <v>265.32581027251831</v>
          </cell>
        </row>
        <row r="33">
          <cell r="B33" t="str">
            <v xml:space="preserve">   Prior</v>
          </cell>
          <cell r="C33">
            <v>113.4</v>
          </cell>
          <cell r="E33">
            <v>99.7</v>
          </cell>
          <cell r="F33">
            <v>0</v>
          </cell>
          <cell r="G33">
            <v>157</v>
          </cell>
          <cell r="H33">
            <v>0</v>
          </cell>
          <cell r="I33">
            <v>150</v>
          </cell>
          <cell r="J33">
            <v>0</v>
          </cell>
          <cell r="K33">
            <v>315.22233834199102</v>
          </cell>
          <cell r="L33">
            <v>0</v>
          </cell>
          <cell r="M33">
            <v>365.3511463110907</v>
          </cell>
        </row>
        <row r="34">
          <cell r="B34" t="str">
            <v xml:space="preserve">Net Income ($MM) </v>
          </cell>
        </row>
        <row r="35">
          <cell r="B35" t="str">
            <v xml:space="preserve">   Current</v>
          </cell>
          <cell r="C35">
            <v>2595.2999999999993</v>
          </cell>
          <cell r="E35">
            <v>3106.7999999999993</v>
          </cell>
          <cell r="G35">
            <v>4023</v>
          </cell>
          <cell r="I35">
            <v>4335.4931825000003</v>
          </cell>
          <cell r="K35">
            <v>4671.2119694975627</v>
          </cell>
          <cell r="M35">
            <v>5157.5244034755797</v>
          </cell>
        </row>
        <row r="36">
          <cell r="B36" t="str">
            <v xml:space="preserve">   Prior</v>
          </cell>
          <cell r="C36">
            <v>2595.2999999999993</v>
          </cell>
          <cell r="E36">
            <v>3106.8</v>
          </cell>
          <cell r="G36">
            <v>4023</v>
          </cell>
          <cell r="I36">
            <v>4374.7203599999993</v>
          </cell>
          <cell r="K36">
            <v>5087.6113248185175</v>
          </cell>
          <cell r="M36">
            <v>5324.9044680685165</v>
          </cell>
        </row>
        <row r="37">
          <cell r="B37" t="str">
            <v>EPS, diluted</v>
          </cell>
          <cell r="O37" t="str">
            <v>2006 guidance: $3.60-$3.70;  Our number increases as we include the accretive effects of recent convertible debt deal (and corresponding increase in the share buyback program)</v>
          </cell>
        </row>
        <row r="38">
          <cell r="B38" t="str">
            <v xml:space="preserve">   Current</v>
          </cell>
          <cell r="C38">
            <v>1.9281575037147096</v>
          </cell>
          <cell r="D38">
            <v>0.26723815197704903</v>
          </cell>
          <cell r="E38">
            <v>2.36950115525927</v>
          </cell>
          <cell r="F38">
            <v>0.22889398334642563</v>
          </cell>
          <cell r="G38">
            <v>3.2027027027027026</v>
          </cell>
          <cell r="H38">
            <v>0.35163584773701628</v>
          </cell>
          <cell r="I38">
            <v>3.6698689952539394</v>
          </cell>
          <cell r="J38">
            <v>0.14586626856030183</v>
          </cell>
          <cell r="K38">
            <v>4.1013211403748855</v>
          </cell>
          <cell r="L38">
            <v>0.11756608905629107</v>
          </cell>
          <cell r="M38">
            <v>4.6347096976234399</v>
          </cell>
        </row>
        <row r="39">
          <cell r="B39" t="str">
            <v xml:space="preserve">   Prior</v>
          </cell>
          <cell r="C39">
            <v>1.93</v>
          </cell>
          <cell r="E39">
            <v>2.36950115525927</v>
          </cell>
          <cell r="F39">
            <v>0.22889398334642563</v>
          </cell>
          <cell r="G39">
            <v>3.2027027027027026</v>
          </cell>
          <cell r="H39">
            <v>0.35163584773701628</v>
          </cell>
          <cell r="I39">
            <v>3.5527748531150061</v>
          </cell>
          <cell r="J39">
            <v>0.10930522839877832</v>
          </cell>
          <cell r="K39">
            <v>4.2311682835580111</v>
          </cell>
          <cell r="L39">
            <v>0.19094748710242704</v>
          </cell>
          <cell r="M39">
            <v>4.52644990794027</v>
          </cell>
        </row>
        <row r="40">
          <cell r="B40" t="str">
            <v>EPS, diluted (incl options expense)</v>
          </cell>
        </row>
        <row r="41">
          <cell r="B41" t="str">
            <v xml:space="preserve">   Current</v>
          </cell>
          <cell r="C41">
            <v>1288.4000000000001</v>
          </cell>
          <cell r="D41">
            <v>0.11694841785869103</v>
          </cell>
          <cell r="E41">
            <v>1270.6500000000001</v>
          </cell>
          <cell r="F41">
            <v>-1.3776777398323503E-2</v>
          </cell>
          <cell r="H41">
            <v>0</v>
          </cell>
          <cell r="I41">
            <v>3.4469575326902331</v>
          </cell>
          <cell r="J41">
            <v>0</v>
          </cell>
          <cell r="K41">
            <v>3.8627394026015285</v>
          </cell>
          <cell r="L41">
            <v>0</v>
          </cell>
          <cell r="M41">
            <v>4.3704543642262941</v>
          </cell>
        </row>
        <row r="42">
          <cell r="B42" t="str">
            <v xml:space="preserve">   Prior</v>
          </cell>
          <cell r="C42">
            <v>1.93</v>
          </cell>
          <cell r="E42">
            <v>2.36950115525927</v>
          </cell>
          <cell r="F42">
            <v>0.22889398334642563</v>
          </cell>
          <cell r="H42">
            <v>0</v>
          </cell>
          <cell r="I42">
            <v>3.445528989912801</v>
          </cell>
          <cell r="J42">
            <v>0</v>
          </cell>
          <cell r="K42">
            <v>4.0830286251359063</v>
          </cell>
          <cell r="L42">
            <v>0</v>
          </cell>
          <cell r="M42">
            <v>4.3555918887894087</v>
          </cell>
        </row>
        <row r="43">
          <cell r="B43" t="str">
            <v>Basic Shares Outstanding</v>
          </cell>
        </row>
        <row r="44">
          <cell r="B44" t="str">
            <v xml:space="preserve">   Current</v>
          </cell>
          <cell r="C44">
            <v>1288.4000000000001</v>
          </cell>
          <cell r="D44">
            <v>0.11694841785869103</v>
          </cell>
          <cell r="E44">
            <v>1270.6500000000001</v>
          </cell>
          <cell r="F44">
            <v>-1.3776777398323503E-2</v>
          </cell>
          <cell r="G44">
            <v>1236</v>
          </cell>
          <cell r="H44">
            <v>-2.726950773226311E-2</v>
          </cell>
          <cell r="I44">
            <v>1161.7770232500002</v>
          </cell>
          <cell r="J44">
            <v>-6.0050952063106622E-2</v>
          </cell>
          <cell r="K44">
            <v>1120.8980000000001</v>
          </cell>
          <cell r="L44">
            <v>-3.5186634295489405E-2</v>
          </cell>
          <cell r="M44">
            <v>1095.4242875</v>
          </cell>
        </row>
        <row r="45">
          <cell r="B45" t="str">
            <v xml:space="preserve">   Prior</v>
          </cell>
          <cell r="C45">
            <v>1288.4000000000001</v>
          </cell>
          <cell r="D45">
            <v>1288.8</v>
          </cell>
          <cell r="E45">
            <v>1270.6500000000001</v>
          </cell>
          <cell r="F45">
            <v>-1.3776777398323503E-2</v>
          </cell>
          <cell r="G45">
            <v>1236</v>
          </cell>
          <cell r="H45">
            <v>-2.726950773226311E-2</v>
          </cell>
          <cell r="I45">
            <v>1210.68759275</v>
          </cell>
          <cell r="J45">
            <v>-2.0479293891585759E-2</v>
          </cell>
          <cell r="K45">
            <v>1186.1795999999999</v>
          </cell>
          <cell r="L45">
            <v>-2.0243036186016972E-2</v>
          </cell>
          <cell r="M45">
            <v>1161.278558</v>
          </cell>
        </row>
        <row r="46">
          <cell r="B46" t="str">
            <v>Diluted Shares Outstanding</v>
          </cell>
        </row>
        <row r="47">
          <cell r="B47" t="str">
            <v xml:space="preserve">   Current</v>
          </cell>
          <cell r="C47">
            <v>1346</v>
          </cell>
          <cell r="D47">
            <v>0.16688339835283927</v>
          </cell>
          <cell r="E47">
            <v>1320.05</v>
          </cell>
          <cell r="F47">
            <v>-1.9279346210995585E-2</v>
          </cell>
          <cell r="G47">
            <v>1258</v>
          </cell>
          <cell r="H47">
            <v>-4.7005795235028902E-2</v>
          </cell>
          <cell r="I47">
            <v>1173.37546275</v>
          </cell>
          <cell r="J47">
            <v>-6.726910751192372E-2</v>
          </cell>
          <cell r="K47">
            <v>1139.9282839554037</v>
          </cell>
          <cell r="L47">
            <v>-2.8505094793960795E-2</v>
          </cell>
          <cell r="M47">
            <v>1113.6672499945955</v>
          </cell>
        </row>
        <row r="48">
          <cell r="B48" t="str">
            <v xml:space="preserve">   Prior</v>
          </cell>
          <cell r="C48">
            <v>1346</v>
          </cell>
          <cell r="D48">
            <v>1321.4</v>
          </cell>
          <cell r="E48">
            <v>1320.05</v>
          </cell>
          <cell r="F48">
            <v>-1.9279346210995585E-2</v>
          </cell>
          <cell r="G48">
            <v>1258</v>
          </cell>
          <cell r="H48">
            <v>-4.7005795235028902E-2</v>
          </cell>
          <cell r="I48">
            <v>1224.4789892499998</v>
          </cell>
          <cell r="J48">
            <v>-2.6646272456279929E-2</v>
          </cell>
          <cell r="K48">
            <v>1203.3582650456426</v>
          </cell>
          <cell r="L48">
            <v>-1.724874366141127E-2</v>
          </cell>
          <cell r="M48">
            <v>1177.2812195978543</v>
          </cell>
        </row>
        <row r="49">
          <cell r="B49" t="str">
            <v>Cash Flow (Burn)</v>
          </cell>
          <cell r="O49" t="str">
            <v>Expect major future use of cash to remain share buybacks.</v>
          </cell>
        </row>
        <row r="50">
          <cell r="B50" t="str">
            <v xml:space="preserve">   Current</v>
          </cell>
          <cell r="C50">
            <v>2209.7999999999993</v>
          </cell>
          <cell r="E50">
            <v>2361</v>
          </cell>
          <cell r="G50">
            <v>4044</v>
          </cell>
          <cell r="I50">
            <v>1546.8396302380957</v>
          </cell>
          <cell r="K50">
            <v>3846.2174306950965</v>
          </cell>
          <cell r="M50">
            <v>4301.980800635979</v>
          </cell>
        </row>
        <row r="51">
          <cell r="B51" t="str">
            <v xml:space="preserve">   Prior</v>
          </cell>
          <cell r="C51">
            <v>2209.8000000000002</v>
          </cell>
          <cell r="E51">
            <v>2361</v>
          </cell>
          <cell r="G51">
            <v>4044</v>
          </cell>
          <cell r="I51">
            <v>1991.8408502380951</v>
          </cell>
          <cell r="K51">
            <v>4169.2864625840475</v>
          </cell>
          <cell r="M51">
            <v>4542.0155215014902</v>
          </cell>
        </row>
      </sheetData>
      <sheetData sheetId="3" refreshError="1">
        <row r="2">
          <cell r="B2" t="str">
            <v>Earnings Snapshot</v>
          </cell>
        </row>
        <row r="3">
          <cell r="C3" t="str">
            <v>1Q05</v>
          </cell>
          <cell r="D3" t="str">
            <v>1Q06</v>
          </cell>
          <cell r="E3" t="str">
            <v>1Q06</v>
          </cell>
          <cell r="F3" t="str">
            <v>% var.</v>
          </cell>
          <cell r="G3" t="str">
            <v>Y/Y</v>
          </cell>
        </row>
        <row r="4">
          <cell r="C4" t="str">
            <v>Actual</v>
          </cell>
          <cell r="D4" t="str">
            <v>MS Est</v>
          </cell>
          <cell r="E4" t="str">
            <v>Actual</v>
          </cell>
          <cell r="F4" t="str">
            <v>from est.</v>
          </cell>
          <cell r="G4" t="str">
            <v>% chg.</v>
          </cell>
          <cell r="H4" t="str">
            <v>Comments</v>
          </cell>
        </row>
        <row r="5">
          <cell r="B5" t="str">
            <v>Revenues:</v>
          </cell>
        </row>
        <row r="6">
          <cell r="B6" t="str">
            <v>Epogen</v>
          </cell>
          <cell r="C6">
            <v>583</v>
          </cell>
          <cell r="D6">
            <v>610</v>
          </cell>
          <cell r="E6">
            <v>604</v>
          </cell>
          <cell r="F6">
            <v>-9.8360655737704805E-3</v>
          </cell>
          <cell r="G6">
            <v>3.6020583190394584E-2</v>
          </cell>
        </row>
        <row r="7">
          <cell r="B7" t="str">
            <v xml:space="preserve">Aranesp - US </v>
          </cell>
          <cell r="C7">
            <v>447</v>
          </cell>
          <cell r="D7">
            <v>615</v>
          </cell>
          <cell r="E7">
            <v>596</v>
          </cell>
          <cell r="F7">
            <v>-3.0894308943089421E-2</v>
          </cell>
          <cell r="G7">
            <v>0.33333333333333326</v>
          </cell>
          <cell r="H7" t="str">
            <v xml:space="preserve">Consistent with weak IMS trends for 1Q, as physician inventory drawdowns likely weighed on early quarter results.  Wholesale inventories ended 1Q modestly below trend. </v>
          </cell>
        </row>
        <row r="8">
          <cell r="B8" t="str">
            <v>Aranesp - ex US</v>
          </cell>
          <cell r="C8">
            <v>276</v>
          </cell>
          <cell r="D8">
            <v>310</v>
          </cell>
          <cell r="E8">
            <v>297</v>
          </cell>
          <cell r="F8">
            <v>-4.1935483870967794E-2</v>
          </cell>
          <cell r="G8">
            <v>7.6086956521739024E-2</v>
          </cell>
        </row>
        <row r="9">
          <cell r="B9" t="str">
            <v>Neupogen -WW</v>
          </cell>
          <cell r="C9">
            <v>294</v>
          </cell>
          <cell r="D9">
            <v>310</v>
          </cell>
          <cell r="E9">
            <v>288</v>
          </cell>
          <cell r="F9">
            <v>-7.096774193548383E-2</v>
          </cell>
          <cell r="G9">
            <v>-2.0408163265306145E-2</v>
          </cell>
        </row>
        <row r="10">
          <cell r="B10" t="str">
            <v>Neulasta - WW</v>
          </cell>
          <cell r="C10">
            <v>501</v>
          </cell>
          <cell r="D10">
            <v>640</v>
          </cell>
          <cell r="E10">
            <v>608</v>
          </cell>
          <cell r="F10">
            <v>-5.0000000000000044E-2</v>
          </cell>
          <cell r="G10">
            <v>0.21357285429141726</v>
          </cell>
          <cell r="H10" t="str">
            <v xml:space="preserve">Consistent with weak IMS trends for 1Q, as physician inventory drawdowns likely weighed on early quarter results.  Wholesale inventories ended 1Q modestly below trend. </v>
          </cell>
        </row>
        <row r="11">
          <cell r="B11" t="str">
            <v>Enbrel</v>
          </cell>
          <cell r="C11">
            <v>592</v>
          </cell>
          <cell r="D11">
            <v>710</v>
          </cell>
          <cell r="E11">
            <v>658</v>
          </cell>
          <cell r="F11">
            <v>-7.3239436619718323E-2</v>
          </cell>
          <cell r="G11">
            <v>0.1114864864864864</v>
          </cell>
          <cell r="H11" t="str">
            <v>Weakness due to competitive pressures in anti-TNF market with slowing market growth and meaningful share loss</v>
          </cell>
        </row>
        <row r="12">
          <cell r="B12" t="str">
            <v>Sensipar</v>
          </cell>
          <cell r="C12">
            <v>25</v>
          </cell>
          <cell r="D12">
            <v>56</v>
          </cell>
          <cell r="E12">
            <v>61</v>
          </cell>
          <cell r="F12">
            <v>8.9285714285714191E-2</v>
          </cell>
        </row>
        <row r="13">
          <cell r="B13" t="str">
            <v>Other Revenue</v>
          </cell>
          <cell r="C13">
            <v>111</v>
          </cell>
          <cell r="D13">
            <v>110</v>
          </cell>
          <cell r="E13">
            <v>92</v>
          </cell>
          <cell r="F13">
            <v>-0.16363636363636369</v>
          </cell>
          <cell r="G13">
            <v>-0.1711711711711712</v>
          </cell>
        </row>
        <row r="14">
          <cell r="B14" t="str">
            <v>Total Revenues</v>
          </cell>
          <cell r="C14">
            <v>2833</v>
          </cell>
          <cell r="D14">
            <v>3376</v>
          </cell>
          <cell r="E14">
            <v>3217</v>
          </cell>
          <cell r="F14">
            <v>-4.7097156398104301E-2</v>
          </cell>
          <cell r="G14">
            <v>0.13554535827744441</v>
          </cell>
        </row>
        <row r="15">
          <cell r="B15" t="str">
            <v>Operating Expenses:</v>
          </cell>
        </row>
        <row r="16">
          <cell r="B16" t="str">
            <v xml:space="preserve">   Cost of Product Revenue</v>
          </cell>
          <cell r="C16">
            <v>489</v>
          </cell>
          <cell r="D16">
            <v>559.34100000000001</v>
          </cell>
          <cell r="E16">
            <v>552</v>
          </cell>
          <cell r="F16">
            <v>-1.312437314625603E-2</v>
          </cell>
          <cell r="G16">
            <v>0.12883435582822078</v>
          </cell>
        </row>
        <row r="17">
          <cell r="B17" t="str">
            <v xml:space="preserve">   R&amp;D</v>
          </cell>
          <cell r="C17">
            <v>521</v>
          </cell>
          <cell r="D17">
            <v>675</v>
          </cell>
          <cell r="E17">
            <v>624</v>
          </cell>
          <cell r="F17">
            <v>-7.5555555555555598E-2</v>
          </cell>
          <cell r="G17">
            <v>0.19769673704414581</v>
          </cell>
          <cell r="H17" t="str">
            <v>R&amp;D expected to ramp significantly over rest of year</v>
          </cell>
        </row>
        <row r="18">
          <cell r="B18" t="str">
            <v xml:space="preserve">   SG&amp;A</v>
          </cell>
          <cell r="C18">
            <v>577</v>
          </cell>
          <cell r="D18">
            <v>666.76</v>
          </cell>
          <cell r="E18">
            <v>652</v>
          </cell>
          <cell r="F18">
            <v>-2.21369008338832E-2</v>
          </cell>
          <cell r="G18">
            <v>0.12998266897746968</v>
          </cell>
        </row>
        <row r="19">
          <cell r="B19" t="str">
            <v>Total Operating Expenses</v>
          </cell>
          <cell r="C19">
            <v>1587</v>
          </cell>
          <cell r="D19">
            <v>1901.1009999999999</v>
          </cell>
          <cell r="E19">
            <v>1828</v>
          </cell>
          <cell r="F19">
            <v>-3.8451928645558464E-2</v>
          </cell>
          <cell r="G19">
            <v>0.15185885318210457</v>
          </cell>
        </row>
        <row r="20">
          <cell r="B20" t="str">
            <v>Operating Income (Loss)</v>
          </cell>
          <cell r="C20">
            <v>1246</v>
          </cell>
          <cell r="D20">
            <v>1474.8990000000001</v>
          </cell>
          <cell r="E20">
            <v>1389</v>
          </cell>
          <cell r="F20">
            <v>-5.8240598169773006E-2</v>
          </cell>
          <cell r="G20">
            <v>0.1147672552166934</v>
          </cell>
        </row>
        <row r="21">
          <cell r="B21" t="str">
            <v xml:space="preserve">   Net Other Income</v>
          </cell>
          <cell r="C21">
            <v>10</v>
          </cell>
          <cell r="D21">
            <v>-4</v>
          </cell>
          <cell r="E21">
            <v>80</v>
          </cell>
          <cell r="F21">
            <v>-21</v>
          </cell>
          <cell r="G21">
            <v>7</v>
          </cell>
          <cell r="H21" t="str">
            <v>Significant increase to interest income following debt offering</v>
          </cell>
        </row>
        <row r="22">
          <cell r="B22" t="str">
            <v xml:space="preserve">   Tax Rate</v>
          </cell>
          <cell r="C22">
            <v>332</v>
          </cell>
          <cell r="D22">
            <v>353.01576</v>
          </cell>
          <cell r="E22">
            <v>368</v>
          </cell>
          <cell r="F22">
            <v>4.2446376898300553E-2</v>
          </cell>
          <cell r="G22">
            <v>0.10843373493975905</v>
          </cell>
        </row>
        <row r="23">
          <cell r="B23" t="str">
            <v xml:space="preserve">Net Income (Loss)                   </v>
          </cell>
          <cell r="C23">
            <v>924</v>
          </cell>
          <cell r="D23">
            <v>1117.8832400000001</v>
          </cell>
          <cell r="E23">
            <v>1101</v>
          </cell>
          <cell r="F23">
            <v>-1.5102865304609248E-2</v>
          </cell>
          <cell r="G23">
            <v>0.19155844155844148</v>
          </cell>
        </row>
        <row r="24">
          <cell r="B24" t="str">
            <v>EPS, Basic</v>
          </cell>
          <cell r="C24">
            <v>0.73979183346677346</v>
          </cell>
          <cell r="D24">
            <v>0.90958766476810426</v>
          </cell>
          <cell r="E24">
            <v>0.91597337770382692</v>
          </cell>
          <cell r="F24">
            <v>7.0204480371340861E-3</v>
          </cell>
          <cell r="G24">
            <v>0.23815016098709929</v>
          </cell>
        </row>
        <row r="25">
          <cell r="B25" t="str">
            <v>EPS, Diluted</v>
          </cell>
          <cell r="C25">
            <v>0.72024709302325585</v>
          </cell>
          <cell r="D25">
            <v>0.90014741753821415</v>
          </cell>
          <cell r="E25">
            <v>0.90691927512355852</v>
          </cell>
          <cell r="F25">
            <v>7.5230539502790794E-3</v>
          </cell>
          <cell r="G25">
            <v>0.25917797365448769</v>
          </cell>
        </row>
        <row r="26">
          <cell r="B26" t="str">
            <v>Consensus EPS</v>
          </cell>
          <cell r="D26">
            <v>0.88</v>
          </cell>
        </row>
        <row r="27">
          <cell r="B27" t="str">
            <v xml:space="preserve">Basic Shares Outstanding </v>
          </cell>
          <cell r="C27">
            <v>1249</v>
          </cell>
          <cell r="D27">
            <v>1229</v>
          </cell>
          <cell r="E27">
            <v>1202</v>
          </cell>
          <cell r="F27">
            <v>-2.1969080553295384E-2</v>
          </cell>
          <cell r="G27">
            <v>-3.7630104083266613E-2</v>
          </cell>
          <cell r="H27" t="str">
            <v>Company purchased 47 M shares in 1Q</v>
          </cell>
        </row>
        <row r="28">
          <cell r="B28" t="str">
            <v>Diluted Shares Outstanding</v>
          </cell>
          <cell r="C28">
            <v>1290</v>
          </cell>
          <cell r="D28">
            <v>1243</v>
          </cell>
          <cell r="E28">
            <v>1214</v>
          </cell>
          <cell r="F28">
            <v>-2.3330651649235756E-2</v>
          </cell>
          <cell r="G28">
            <v>-5.8914728682170514E-2</v>
          </cell>
        </row>
        <row r="30">
          <cell r="B30" t="str">
            <v>Source: Company data and Morgan Stanley Research</v>
          </cell>
        </row>
      </sheetData>
      <sheetData sheetId="4" refreshError="1">
        <row r="1">
          <cell r="B1" t="str">
            <v>Amgen Quarterly Income Statement</v>
          </cell>
        </row>
        <row r="2">
          <cell r="B2" t="str">
            <v>(Dollars in millions except per-share data)</v>
          </cell>
        </row>
        <row r="4">
          <cell r="C4" t="str">
            <v>1Q02A</v>
          </cell>
          <cell r="D4" t="str">
            <v>2Q02A</v>
          </cell>
          <cell r="E4" t="str">
            <v>3Q02A</v>
          </cell>
          <cell r="F4" t="str">
            <v>4Q02A</v>
          </cell>
          <cell r="G4" t="str">
            <v>2002A</v>
          </cell>
          <cell r="I4" t="str">
            <v>1Q03A</v>
          </cell>
          <cell r="K4" t="str">
            <v>2Q03A</v>
          </cell>
          <cell r="M4" t="str">
            <v>3Q03A</v>
          </cell>
          <cell r="O4" t="str">
            <v>4Q03A</v>
          </cell>
          <cell r="Q4" t="str">
            <v>2003A</v>
          </cell>
          <cell r="T4" t="str">
            <v>1Q04A</v>
          </cell>
          <cell r="U4" t="str">
            <v>% chg</v>
          </cell>
          <cell r="V4" t="str">
            <v>2Q04A</v>
          </cell>
          <cell r="W4" t="str">
            <v>% chg</v>
          </cell>
          <cell r="X4" t="str">
            <v>3Q04A</v>
          </cell>
          <cell r="Y4" t="str">
            <v>% chg</v>
          </cell>
          <cell r="Z4" t="str">
            <v>4Q04A</v>
          </cell>
          <cell r="AA4" t="str">
            <v>% chg</v>
          </cell>
          <cell r="AB4" t="str">
            <v>2004A</v>
          </cell>
          <cell r="AC4" t="str">
            <v>% chg</v>
          </cell>
          <cell r="AF4" t="str">
            <v>1Q05A</v>
          </cell>
          <cell r="AG4" t="str">
            <v>% chg</v>
          </cell>
          <cell r="AH4" t="str">
            <v>2Q05A</v>
          </cell>
          <cell r="AI4" t="str">
            <v>% chg</v>
          </cell>
          <cell r="AJ4" t="str">
            <v>3Q05A</v>
          </cell>
          <cell r="AK4" t="str">
            <v>% chg</v>
          </cell>
          <cell r="AL4" t="str">
            <v>4Q05A</v>
          </cell>
          <cell r="AM4" t="str">
            <v>% chg</v>
          </cell>
          <cell r="AN4" t="str">
            <v>2005A</v>
          </cell>
          <cell r="AO4" t="str">
            <v>% chg</v>
          </cell>
          <cell r="AR4" t="str">
            <v>1Q06A</v>
          </cell>
          <cell r="AS4" t="str">
            <v>% chg</v>
          </cell>
          <cell r="AT4" t="str">
            <v>2Q06E</v>
          </cell>
          <cell r="AU4" t="str">
            <v>% chg</v>
          </cell>
          <cell r="AV4" t="str">
            <v>3Q06E</v>
          </cell>
          <cell r="AW4" t="str">
            <v>% chg</v>
          </cell>
          <cell r="AX4" t="str">
            <v>4Q06E</v>
          </cell>
          <cell r="AY4" t="str">
            <v>% chg</v>
          </cell>
          <cell r="AZ4" t="str">
            <v>2006E</v>
          </cell>
          <cell r="BA4" t="str">
            <v>% chg</v>
          </cell>
          <cell r="BB4" t="str">
            <v>guidance</v>
          </cell>
        </row>
        <row r="5">
          <cell r="B5" t="str">
            <v>Epogen</v>
          </cell>
          <cell r="C5">
            <v>512</v>
          </cell>
          <cell r="D5">
            <v>570</v>
          </cell>
          <cell r="E5">
            <v>558</v>
          </cell>
          <cell r="F5">
            <v>620</v>
          </cell>
          <cell r="G5">
            <v>2260</v>
          </cell>
          <cell r="I5">
            <v>547.1</v>
          </cell>
          <cell r="K5">
            <v>611.1</v>
          </cell>
          <cell r="M5">
            <v>625.9</v>
          </cell>
          <cell r="O5">
            <v>650.59999999999991</v>
          </cell>
          <cell r="Q5">
            <v>2434.6999999999998</v>
          </cell>
          <cell r="T5">
            <v>590</v>
          </cell>
          <cell r="U5">
            <v>7.8413452750868196E-2</v>
          </cell>
          <cell r="V5">
            <v>632.6</v>
          </cell>
          <cell r="W5">
            <v>3.5182457862870331E-2</v>
          </cell>
          <cell r="X5">
            <v>681</v>
          </cell>
          <cell r="Y5">
            <v>8.8033232145710238E-2</v>
          </cell>
          <cell r="Z5">
            <v>697</v>
          </cell>
          <cell r="AA5">
            <v>7.1318782662158187E-2</v>
          </cell>
          <cell r="AB5">
            <v>2600.6</v>
          </cell>
          <cell r="AC5">
            <v>6.8139811886474666E-2</v>
          </cell>
          <cell r="AF5">
            <v>583</v>
          </cell>
          <cell r="AG5">
            <v>-1.1864406779661052E-2</v>
          </cell>
          <cell r="AH5">
            <v>647</v>
          </cell>
          <cell r="AI5">
            <v>2.2763199494151065E-2</v>
          </cell>
          <cell r="AJ5">
            <v>599</v>
          </cell>
          <cell r="AK5">
            <v>-0.1204111600587372</v>
          </cell>
          <cell r="AL5">
            <v>626</v>
          </cell>
          <cell r="AM5">
            <v>-0.10186513629842175</v>
          </cell>
          <cell r="AN5">
            <v>2455</v>
          </cell>
          <cell r="AO5">
            <v>-5.598707990463736E-2</v>
          </cell>
          <cell r="AR5">
            <v>604</v>
          </cell>
          <cell r="AS5">
            <v>3.6020583190394584E-2</v>
          </cell>
          <cell r="AT5">
            <v>630</v>
          </cell>
          <cell r="AU5">
            <v>-2.6275115919629055E-2</v>
          </cell>
          <cell r="AV5">
            <v>640</v>
          </cell>
          <cell r="AW5">
            <v>6.8447412353923154E-2</v>
          </cell>
          <cell r="AX5">
            <v>640</v>
          </cell>
          <cell r="AY5">
            <v>2.2364217252396124E-2</v>
          </cell>
          <cell r="AZ5">
            <v>2514</v>
          </cell>
          <cell r="BA5">
            <v>2.4032586558044855E-2</v>
          </cell>
        </row>
        <row r="6">
          <cell r="B6" t="str">
            <v xml:space="preserve">Aranesp - US </v>
          </cell>
          <cell r="F6">
            <v>150</v>
          </cell>
          <cell r="I6">
            <v>157.9</v>
          </cell>
          <cell r="K6">
            <v>216.6</v>
          </cell>
          <cell r="M6">
            <v>283.89999999999998</v>
          </cell>
          <cell r="O6">
            <v>321.5</v>
          </cell>
          <cell r="Q6">
            <v>979.9</v>
          </cell>
          <cell r="T6">
            <v>329.6</v>
          </cell>
          <cell r="V6">
            <v>380.7</v>
          </cell>
          <cell r="X6">
            <v>374</v>
          </cell>
          <cell r="Z6">
            <v>449</v>
          </cell>
          <cell r="AA6">
            <v>0.39657853810264387</v>
          </cell>
          <cell r="AB6">
            <v>1533.3</v>
          </cell>
          <cell r="AF6">
            <v>447</v>
          </cell>
          <cell r="AG6">
            <v>0.3561893203883495</v>
          </cell>
          <cell r="AH6">
            <v>536</v>
          </cell>
          <cell r="AI6">
            <v>0.40793275545048591</v>
          </cell>
          <cell r="AJ6">
            <v>542</v>
          </cell>
          <cell r="AK6">
            <v>0.44919786096256686</v>
          </cell>
          <cell r="AL6">
            <v>579</v>
          </cell>
          <cell r="AM6">
            <v>0.28953229398663693</v>
          </cell>
          <cell r="AN6">
            <v>2104</v>
          </cell>
          <cell r="AO6">
            <v>0.37220374355964259</v>
          </cell>
          <cell r="AR6">
            <v>596</v>
          </cell>
          <cell r="AS6">
            <v>0.33333333333333326</v>
          </cell>
          <cell r="AT6">
            <v>645</v>
          </cell>
          <cell r="AU6">
            <v>0.20335820895522394</v>
          </cell>
          <cell r="AV6">
            <v>665</v>
          </cell>
          <cell r="AW6">
            <v>0.22693726937269365</v>
          </cell>
          <cell r="AX6">
            <v>690</v>
          </cell>
          <cell r="AY6">
            <v>0.19170984455958551</v>
          </cell>
          <cell r="AZ6">
            <v>2596</v>
          </cell>
          <cell r="BA6">
            <v>0.23384030418250945</v>
          </cell>
        </row>
        <row r="7">
          <cell r="B7" t="str">
            <v>Aranesp - ex US</v>
          </cell>
          <cell r="F7">
            <v>57</v>
          </cell>
          <cell r="I7">
            <v>96.9</v>
          </cell>
          <cell r="K7">
            <v>131.1</v>
          </cell>
          <cell r="M7">
            <v>154.4</v>
          </cell>
          <cell r="O7">
            <v>181.5</v>
          </cell>
          <cell r="Q7">
            <v>563.9</v>
          </cell>
          <cell r="T7">
            <v>213</v>
          </cell>
          <cell r="V7">
            <v>236.6</v>
          </cell>
          <cell r="X7">
            <v>234</v>
          </cell>
          <cell r="Z7">
            <v>256</v>
          </cell>
          <cell r="AA7">
            <v>0.41046831955922869</v>
          </cell>
          <cell r="AB7">
            <v>939.6</v>
          </cell>
          <cell r="AF7">
            <v>276</v>
          </cell>
          <cell r="AG7">
            <v>0.29577464788732399</v>
          </cell>
          <cell r="AH7">
            <v>301</v>
          </cell>
          <cell r="AI7">
            <v>0.27218934911242609</v>
          </cell>
          <cell r="AJ7">
            <v>298</v>
          </cell>
          <cell r="AK7">
            <v>0.27350427350427342</v>
          </cell>
          <cell r="AL7">
            <v>294</v>
          </cell>
          <cell r="AM7">
            <v>0.1484375</v>
          </cell>
          <cell r="AN7">
            <v>1169</v>
          </cell>
          <cell r="AO7">
            <v>0.2441464452958706</v>
          </cell>
          <cell r="AR7">
            <v>297</v>
          </cell>
          <cell r="AS7">
            <v>7.6086956521739024E-2</v>
          </cell>
          <cell r="AT7">
            <v>320</v>
          </cell>
          <cell r="AU7">
            <v>6.3122923588039948E-2</v>
          </cell>
          <cell r="AV7">
            <v>340</v>
          </cell>
          <cell r="AW7">
            <v>0.14093959731543615</v>
          </cell>
          <cell r="AX7">
            <v>360</v>
          </cell>
          <cell r="AY7">
            <v>0.22448979591836737</v>
          </cell>
          <cell r="AZ7">
            <v>1317</v>
          </cell>
          <cell r="BA7">
            <v>0.1266039349871686</v>
          </cell>
        </row>
        <row r="8">
          <cell r="B8" t="str">
            <v>Aranesp-WW</v>
          </cell>
          <cell r="C8">
            <v>39</v>
          </cell>
          <cell r="D8">
            <v>56</v>
          </cell>
          <cell r="E8">
            <v>114</v>
          </cell>
          <cell r="F8">
            <v>207</v>
          </cell>
          <cell r="G8">
            <v>416</v>
          </cell>
          <cell r="I8">
            <v>254.8</v>
          </cell>
          <cell r="K8">
            <v>347.7</v>
          </cell>
          <cell r="M8">
            <v>438.29999999999995</v>
          </cell>
          <cell r="O8">
            <v>503</v>
          </cell>
          <cell r="Q8">
            <v>1543.8</v>
          </cell>
          <cell r="T8">
            <v>542.6</v>
          </cell>
          <cell r="U8">
            <v>1.1295133437990579</v>
          </cell>
          <cell r="V8">
            <v>617.29999999999995</v>
          </cell>
          <cell r="W8">
            <v>0.77538107563991931</v>
          </cell>
          <cell r="X8">
            <v>608</v>
          </cell>
          <cell r="Y8">
            <v>0.38717773214693141</v>
          </cell>
          <cell r="Z8">
            <v>705</v>
          </cell>
          <cell r="AA8">
            <v>0.40159045725646125</v>
          </cell>
          <cell r="AB8">
            <v>2472.9</v>
          </cell>
          <cell r="AC8">
            <v>0.60182666148464836</v>
          </cell>
          <cell r="AF8">
            <v>723</v>
          </cell>
          <cell r="AG8">
            <v>0.33247327681533356</v>
          </cell>
          <cell r="AH8">
            <v>837</v>
          </cell>
          <cell r="AI8">
            <v>0.35590474647659165</v>
          </cell>
          <cell r="AJ8">
            <v>840</v>
          </cell>
          <cell r="AK8">
            <v>0.38157894736842102</v>
          </cell>
          <cell r="AL8">
            <v>873</v>
          </cell>
          <cell r="AM8">
            <v>0.23829787234042543</v>
          </cell>
          <cell r="AN8">
            <v>3273</v>
          </cell>
          <cell r="AO8">
            <v>0.32354725221399971</v>
          </cell>
          <cell r="AR8">
            <v>893</v>
          </cell>
          <cell r="AS8">
            <v>0.23513139695712315</v>
          </cell>
          <cell r="AT8">
            <v>965</v>
          </cell>
          <cell r="AU8">
            <v>0.15292712066905612</v>
          </cell>
          <cell r="AV8">
            <v>1005</v>
          </cell>
          <cell r="AW8">
            <v>0.1964285714285714</v>
          </cell>
          <cell r="AX8">
            <v>1050</v>
          </cell>
          <cell r="AY8">
            <v>0.20274914089347074</v>
          </cell>
          <cell r="AZ8">
            <v>3913</v>
          </cell>
          <cell r="BA8">
            <v>0.19553926061717086</v>
          </cell>
        </row>
        <row r="9">
          <cell r="B9" t="str">
            <v xml:space="preserve">    Neupogen - US</v>
          </cell>
          <cell r="M9">
            <v>227.9</v>
          </cell>
          <cell r="O9">
            <v>225.3</v>
          </cell>
          <cell r="Q9">
            <v>880.5</v>
          </cell>
          <cell r="T9">
            <v>172.3</v>
          </cell>
          <cell r="V9">
            <v>194.5</v>
          </cell>
          <cell r="X9">
            <v>207</v>
          </cell>
          <cell r="Y9">
            <v>-9.1706888986397561E-2</v>
          </cell>
          <cell r="Z9">
            <v>204</v>
          </cell>
          <cell r="AA9">
            <v>-9.4540612516644473E-2</v>
          </cell>
          <cell r="AB9">
            <v>777.8</v>
          </cell>
          <cell r="AC9">
            <v>-0.11663827370812041</v>
          </cell>
          <cell r="AF9">
            <v>182</v>
          </cell>
          <cell r="AG9">
            <v>5.6297156123041203E-2</v>
          </cell>
          <cell r="AH9">
            <v>208</v>
          </cell>
          <cell r="AI9">
            <v>6.9408740359897081E-2</v>
          </cell>
          <cell r="AJ9">
            <v>205</v>
          </cell>
          <cell r="AK9">
            <v>-9.6618357487923134E-3</v>
          </cell>
          <cell r="AL9">
            <v>210</v>
          </cell>
          <cell r="AM9">
            <v>2.9411764705882248E-2</v>
          </cell>
          <cell r="AN9">
            <v>805</v>
          </cell>
          <cell r="AO9">
            <v>3.4970429416302462E-2</v>
          </cell>
          <cell r="AR9">
            <v>191</v>
          </cell>
          <cell r="AS9">
            <v>4.9450549450549497E-2</v>
          </cell>
          <cell r="AT9">
            <v>201</v>
          </cell>
          <cell r="AV9">
            <v>210</v>
          </cell>
          <cell r="AX9">
            <v>206.99999999999997</v>
          </cell>
          <cell r="AZ9">
            <v>809</v>
          </cell>
        </row>
        <row r="10">
          <cell r="B10" t="str">
            <v xml:space="preserve">    Neupogen - ex US</v>
          </cell>
          <cell r="M10">
            <v>102.5</v>
          </cell>
          <cell r="O10">
            <v>96.2</v>
          </cell>
          <cell r="Q10">
            <v>386.2</v>
          </cell>
          <cell r="T10">
            <v>96.7</v>
          </cell>
          <cell r="V10">
            <v>100.7</v>
          </cell>
          <cell r="X10">
            <v>95</v>
          </cell>
          <cell r="Y10">
            <v>-7.3170731707317027E-2</v>
          </cell>
          <cell r="Z10">
            <v>105</v>
          </cell>
          <cell r="AA10">
            <v>9.1476091476091481E-2</v>
          </cell>
          <cell r="AB10">
            <v>397.4</v>
          </cell>
          <cell r="AC10">
            <v>2.9000517866390352E-2</v>
          </cell>
          <cell r="AF10">
            <v>112</v>
          </cell>
          <cell r="AG10">
            <v>0.15822130299896586</v>
          </cell>
          <cell r="AH10">
            <v>104</v>
          </cell>
          <cell r="AI10">
            <v>3.2770605759682159E-2</v>
          </cell>
          <cell r="AJ10">
            <v>100</v>
          </cell>
          <cell r="AK10">
            <v>5.2631578947368363E-2</v>
          </cell>
          <cell r="AL10">
            <v>95</v>
          </cell>
          <cell r="AM10">
            <v>-9.5238095238095233E-2</v>
          </cell>
          <cell r="AN10">
            <v>411</v>
          </cell>
          <cell r="AO10">
            <v>3.4222445898339338E-2</v>
          </cell>
          <cell r="AR10">
            <v>97</v>
          </cell>
          <cell r="AS10">
            <v>-0.1339285714285714</v>
          </cell>
          <cell r="AT10">
            <v>98.999999999999986</v>
          </cell>
          <cell r="AV10">
            <v>90.000000000000014</v>
          </cell>
          <cell r="AX10">
            <v>93.000000000000014</v>
          </cell>
          <cell r="AZ10">
            <v>379</v>
          </cell>
        </row>
        <row r="11">
          <cell r="B11" t="str">
            <v>Neupogen -WW</v>
          </cell>
          <cell r="C11">
            <v>355</v>
          </cell>
          <cell r="D11">
            <v>363</v>
          </cell>
          <cell r="E11">
            <v>332</v>
          </cell>
          <cell r="F11">
            <v>329</v>
          </cell>
          <cell r="G11">
            <v>1379</v>
          </cell>
          <cell r="I11">
            <v>284</v>
          </cell>
          <cell r="K11">
            <v>330.8</v>
          </cell>
          <cell r="M11">
            <v>330.4</v>
          </cell>
          <cell r="O11">
            <v>321.5</v>
          </cell>
          <cell r="Q11">
            <v>1266.7</v>
          </cell>
          <cell r="T11">
            <v>269</v>
          </cell>
          <cell r="U11">
            <v>-5.2816901408450745E-2</v>
          </cell>
          <cell r="V11">
            <v>295.2</v>
          </cell>
          <cell r="W11">
            <v>-0.10761789600967353</v>
          </cell>
          <cell r="X11">
            <v>302</v>
          </cell>
          <cell r="Y11">
            <v>-8.5956416464890939E-2</v>
          </cell>
          <cell r="Z11">
            <v>309</v>
          </cell>
          <cell r="AA11">
            <v>-3.8880248833592534E-2</v>
          </cell>
          <cell r="AB11">
            <v>1175.1999999999998</v>
          </cell>
          <cell r="AC11">
            <v>-7.2234941185758461E-2</v>
          </cell>
          <cell r="AF11">
            <v>294</v>
          </cell>
          <cell r="AG11">
            <v>9.2936802973977661E-2</v>
          </cell>
          <cell r="AH11">
            <v>312</v>
          </cell>
          <cell r="AI11">
            <v>5.6910569105691033E-2</v>
          </cell>
          <cell r="AJ11">
            <v>305</v>
          </cell>
          <cell r="AK11">
            <v>9.9337748344370258E-3</v>
          </cell>
          <cell r="AL11">
            <v>305</v>
          </cell>
          <cell r="AM11">
            <v>-1.2944983818770184E-2</v>
          </cell>
          <cell r="AN11">
            <v>1216</v>
          </cell>
          <cell r="AO11">
            <v>3.4717494894486167E-2</v>
          </cell>
          <cell r="AR11">
            <v>288</v>
          </cell>
          <cell r="AS11">
            <v>-2.0408163265306145E-2</v>
          </cell>
          <cell r="AT11">
            <v>300</v>
          </cell>
          <cell r="AU11">
            <v>-3.8461538461538436E-2</v>
          </cell>
          <cell r="AV11">
            <v>300</v>
          </cell>
          <cell r="AW11">
            <v>-1.6393442622950838E-2</v>
          </cell>
          <cell r="AX11">
            <v>300</v>
          </cell>
          <cell r="AY11">
            <v>-1.6393442622950838E-2</v>
          </cell>
          <cell r="AZ11">
            <v>1188</v>
          </cell>
          <cell r="BA11">
            <v>-2.3026315789473673E-2</v>
          </cell>
        </row>
        <row r="12">
          <cell r="B12" t="str">
            <v xml:space="preserve">    Neulasta - US</v>
          </cell>
          <cell r="M12">
            <v>304.3</v>
          </cell>
          <cell r="O12">
            <v>328</v>
          </cell>
          <cell r="Q12">
            <v>1175.7</v>
          </cell>
          <cell r="T12">
            <v>336.3</v>
          </cell>
          <cell r="V12">
            <v>362.2</v>
          </cell>
          <cell r="X12">
            <v>384</v>
          </cell>
          <cell r="Y12">
            <v>0.26191258626355562</v>
          </cell>
          <cell r="Z12">
            <v>394</v>
          </cell>
          <cell r="AA12">
            <v>0.20121951219512191</v>
          </cell>
          <cell r="AB12">
            <v>1476.5</v>
          </cell>
          <cell r="AC12">
            <v>0.25584758016500797</v>
          </cell>
          <cell r="AF12">
            <v>416</v>
          </cell>
          <cell r="AG12">
            <v>0.23699078203984536</v>
          </cell>
          <cell r="AH12">
            <v>490</v>
          </cell>
          <cell r="AI12">
            <v>0.35284373274434011</v>
          </cell>
          <cell r="AJ12">
            <v>475</v>
          </cell>
          <cell r="AK12">
            <v>0.23697916666666674</v>
          </cell>
          <cell r="AL12">
            <v>519</v>
          </cell>
          <cell r="AM12">
            <v>0.31725888324873086</v>
          </cell>
          <cell r="AN12">
            <v>1900</v>
          </cell>
          <cell r="AO12">
            <v>0.28682695563833382</v>
          </cell>
          <cell r="AR12">
            <v>497</v>
          </cell>
          <cell r="AS12">
            <v>0.19471153846153855</v>
          </cell>
          <cell r="AT12">
            <v>531.19999999999993</v>
          </cell>
          <cell r="AV12">
            <v>543.59375</v>
          </cell>
          <cell r="AX12">
            <v>572.69999999999993</v>
          </cell>
          <cell r="AZ12">
            <v>2144.4937499999996</v>
          </cell>
        </row>
        <row r="13">
          <cell r="B13" t="str">
            <v xml:space="preserve">    Neulasta - ex US</v>
          </cell>
          <cell r="M13">
            <v>22.6</v>
          </cell>
          <cell r="O13">
            <v>38.700000000000003</v>
          </cell>
          <cell r="Q13">
            <v>79.3</v>
          </cell>
          <cell r="T13">
            <v>58.4</v>
          </cell>
          <cell r="V13">
            <v>63.7</v>
          </cell>
          <cell r="X13">
            <v>66</v>
          </cell>
          <cell r="Y13">
            <v>1.9203539823008846</v>
          </cell>
          <cell r="Z13">
            <v>75</v>
          </cell>
          <cell r="AA13">
            <v>0.9379844961240309</v>
          </cell>
          <cell r="AB13">
            <v>263.10000000000002</v>
          </cell>
          <cell r="AC13">
            <v>2.3177805800756626</v>
          </cell>
          <cell r="AF13">
            <v>85</v>
          </cell>
          <cell r="AG13">
            <v>0.45547945205479445</v>
          </cell>
          <cell r="AH13">
            <v>97</v>
          </cell>
          <cell r="AI13">
            <v>0.52276295133437989</v>
          </cell>
          <cell r="AJ13">
            <v>102</v>
          </cell>
          <cell r="AK13">
            <v>0.54545454545454541</v>
          </cell>
          <cell r="AL13">
            <v>104</v>
          </cell>
          <cell r="AM13">
            <v>0.38666666666666671</v>
          </cell>
          <cell r="AN13">
            <v>388</v>
          </cell>
          <cell r="AO13">
            <v>0.47472443937666275</v>
          </cell>
          <cell r="AR13">
            <v>111</v>
          </cell>
          <cell r="AS13">
            <v>0.30588235294117649</v>
          </cell>
          <cell r="AT13">
            <v>108.80000000000003</v>
          </cell>
          <cell r="AV13">
            <v>121.40624999999999</v>
          </cell>
          <cell r="AX13">
            <v>117.30000000000003</v>
          </cell>
          <cell r="AZ13">
            <v>458.50625000000002</v>
          </cell>
        </row>
        <row r="14">
          <cell r="B14" t="str">
            <v>Neulasta - WW</v>
          </cell>
          <cell r="C14">
            <v>0</v>
          </cell>
          <cell r="D14">
            <v>110</v>
          </cell>
          <cell r="E14">
            <v>142</v>
          </cell>
          <cell r="F14">
            <v>212</v>
          </cell>
          <cell r="G14">
            <v>464</v>
          </cell>
          <cell r="I14">
            <v>257.89999999999998</v>
          </cell>
          <cell r="K14">
            <v>303.5</v>
          </cell>
          <cell r="M14">
            <v>326.90000000000003</v>
          </cell>
          <cell r="O14">
            <v>366.7</v>
          </cell>
          <cell r="Q14">
            <v>1255</v>
          </cell>
          <cell r="T14">
            <v>394.7</v>
          </cell>
          <cell r="U14">
            <v>0.53043815432338115</v>
          </cell>
          <cell r="V14">
            <v>425.9</v>
          </cell>
          <cell r="W14">
            <v>0.40329489291598009</v>
          </cell>
          <cell r="X14">
            <v>450</v>
          </cell>
          <cell r="Y14">
            <v>0.37656775772407447</v>
          </cell>
          <cell r="Z14">
            <v>469</v>
          </cell>
          <cell r="AA14">
            <v>0.27897463866921202</v>
          </cell>
          <cell r="AB14">
            <v>1739.6</v>
          </cell>
          <cell r="AC14">
            <v>0.38613545816733064</v>
          </cell>
          <cell r="AF14">
            <v>501</v>
          </cell>
          <cell r="AG14">
            <v>0.26931846972384088</v>
          </cell>
          <cell r="AH14">
            <v>587</v>
          </cell>
          <cell r="AI14">
            <v>0.37825780699694778</v>
          </cell>
          <cell r="AJ14">
            <v>577</v>
          </cell>
          <cell r="AK14">
            <v>0.28222222222222215</v>
          </cell>
          <cell r="AL14">
            <v>623</v>
          </cell>
          <cell r="AM14">
            <v>0.32835820895522394</v>
          </cell>
          <cell r="AN14">
            <v>2288</v>
          </cell>
          <cell r="AO14">
            <v>0.31524488388135219</v>
          </cell>
          <cell r="AR14">
            <v>608</v>
          </cell>
          <cell r="AS14">
            <v>0.21357285429141726</v>
          </cell>
          <cell r="AT14">
            <v>640</v>
          </cell>
          <cell r="AU14">
            <v>9.028960817717202E-2</v>
          </cell>
          <cell r="AV14">
            <v>665</v>
          </cell>
          <cell r="AW14">
            <v>0.15251299826689779</v>
          </cell>
          <cell r="AX14">
            <v>690</v>
          </cell>
          <cell r="AY14">
            <v>0.1075441412520064</v>
          </cell>
          <cell r="AZ14">
            <v>2603</v>
          </cell>
          <cell r="BA14">
            <v>0.13767482517482521</v>
          </cell>
        </row>
        <row r="15">
          <cell r="B15" t="str">
            <v>Enbrel</v>
          </cell>
          <cell r="C15">
            <v>0</v>
          </cell>
          <cell r="D15">
            <v>0</v>
          </cell>
          <cell r="E15">
            <v>158</v>
          </cell>
          <cell r="F15">
            <v>204</v>
          </cell>
          <cell r="G15">
            <v>362</v>
          </cell>
          <cell r="I15">
            <v>274</v>
          </cell>
          <cell r="K15">
            <v>304</v>
          </cell>
          <cell r="M15">
            <v>341.6</v>
          </cell>
          <cell r="O15">
            <v>380.4</v>
          </cell>
          <cell r="Q15">
            <v>1300</v>
          </cell>
          <cell r="T15">
            <v>397.3</v>
          </cell>
          <cell r="U15">
            <v>0.44999999999999996</v>
          </cell>
          <cell r="V15">
            <v>440</v>
          </cell>
          <cell r="W15">
            <v>0.44736842105263164</v>
          </cell>
          <cell r="X15">
            <v>496</v>
          </cell>
          <cell r="Y15">
            <v>0.45199063231850101</v>
          </cell>
          <cell r="Z15">
            <v>567</v>
          </cell>
          <cell r="AA15">
            <v>0.49053627760252372</v>
          </cell>
          <cell r="AB15">
            <v>1900.3</v>
          </cell>
          <cell r="AC15">
            <v>0.46176923076923071</v>
          </cell>
          <cell r="AF15">
            <v>592</v>
          </cell>
          <cell r="AG15">
            <v>0.49005789076264783</v>
          </cell>
          <cell r="AH15">
            <v>639</v>
          </cell>
          <cell r="AI15">
            <v>0.45227272727272738</v>
          </cell>
          <cell r="AJ15">
            <v>668</v>
          </cell>
          <cell r="AK15">
            <v>0.34677419354838701</v>
          </cell>
          <cell r="AL15">
            <v>674</v>
          </cell>
          <cell r="AM15">
            <v>0.18871252204585542</v>
          </cell>
          <cell r="AN15">
            <v>2573</v>
          </cell>
          <cell r="AO15">
            <v>0.35399673735725945</v>
          </cell>
          <cell r="AR15">
            <v>658</v>
          </cell>
          <cell r="AS15">
            <v>0.1114864864864864</v>
          </cell>
          <cell r="AT15">
            <v>680</v>
          </cell>
          <cell r="AU15">
            <v>6.4162754303599412E-2</v>
          </cell>
          <cell r="AV15">
            <v>715</v>
          </cell>
          <cell r="AW15">
            <v>7.0359281437125665E-2</v>
          </cell>
          <cell r="AX15">
            <v>740</v>
          </cell>
          <cell r="AY15">
            <v>9.7922848664688367E-2</v>
          </cell>
          <cell r="AZ15">
            <v>2793</v>
          </cell>
          <cell r="BA15">
            <v>8.5503303536727637E-2</v>
          </cell>
        </row>
        <row r="16">
          <cell r="B16" t="str">
            <v>Sensipar</v>
          </cell>
          <cell r="I16">
            <v>0</v>
          </cell>
          <cell r="K16">
            <v>0</v>
          </cell>
          <cell r="M16">
            <v>0</v>
          </cell>
          <cell r="O16">
            <v>0</v>
          </cell>
          <cell r="Q16">
            <v>0</v>
          </cell>
          <cell r="T16">
            <v>0</v>
          </cell>
          <cell r="V16">
            <v>7</v>
          </cell>
          <cell r="X16">
            <v>10</v>
          </cell>
          <cell r="Z16">
            <v>18</v>
          </cell>
          <cell r="AB16">
            <v>35</v>
          </cell>
          <cell r="AF16">
            <v>25</v>
          </cell>
          <cell r="AH16">
            <v>35</v>
          </cell>
          <cell r="AI16">
            <v>4</v>
          </cell>
          <cell r="AJ16">
            <v>40</v>
          </cell>
          <cell r="AK16">
            <v>3</v>
          </cell>
          <cell r="AL16">
            <v>51</v>
          </cell>
          <cell r="AM16">
            <v>1.8333333333333335</v>
          </cell>
          <cell r="AN16">
            <v>151</v>
          </cell>
          <cell r="AO16">
            <v>3.3142857142857141</v>
          </cell>
          <cell r="AR16">
            <v>61</v>
          </cell>
          <cell r="AS16">
            <v>1.44</v>
          </cell>
          <cell r="AT16">
            <v>65</v>
          </cell>
          <cell r="AU16">
            <v>0.85714285714285721</v>
          </cell>
          <cell r="AV16">
            <v>73</v>
          </cell>
          <cell r="AW16">
            <v>0.82499999999999996</v>
          </cell>
          <cell r="AX16">
            <v>84</v>
          </cell>
          <cell r="AY16">
            <v>0.64705882352941169</v>
          </cell>
          <cell r="AZ16">
            <v>283</v>
          </cell>
          <cell r="BA16">
            <v>0.8741721854304636</v>
          </cell>
        </row>
        <row r="17">
          <cell r="B17" t="str">
            <v>Panitumumab</v>
          </cell>
          <cell r="AX17">
            <v>35</v>
          </cell>
          <cell r="AZ17">
            <v>35</v>
          </cell>
        </row>
        <row r="18">
          <cell r="B18" t="str">
            <v>Palifermin</v>
          </cell>
          <cell r="AF18">
            <v>4</v>
          </cell>
          <cell r="AH18">
            <v>7</v>
          </cell>
          <cell r="AJ18">
            <v>8</v>
          </cell>
          <cell r="AL18">
            <v>13</v>
          </cell>
          <cell r="AN18">
            <v>32</v>
          </cell>
          <cell r="AR18">
            <v>13</v>
          </cell>
          <cell r="AT18">
            <v>18</v>
          </cell>
          <cell r="AU18">
            <v>1.5714285714285716</v>
          </cell>
          <cell r="AV18">
            <v>20</v>
          </cell>
          <cell r="AW18">
            <v>1.5</v>
          </cell>
          <cell r="AX18">
            <v>22</v>
          </cell>
          <cell r="AY18">
            <v>0.69230769230769229</v>
          </cell>
          <cell r="AZ18">
            <v>73</v>
          </cell>
        </row>
        <row r="19">
          <cell r="B19" t="str">
            <v xml:space="preserve">Other </v>
          </cell>
          <cell r="C19">
            <v>2.6</v>
          </cell>
          <cell r="D19">
            <v>16.2</v>
          </cell>
          <cell r="E19">
            <v>41.8</v>
          </cell>
          <cell r="F19">
            <v>49.6</v>
          </cell>
          <cell r="G19">
            <v>110.19999999999999</v>
          </cell>
          <cell r="I19">
            <v>18.100000000000001</v>
          </cell>
          <cell r="K19">
            <v>19.399999999999999</v>
          </cell>
          <cell r="M19">
            <v>15</v>
          </cell>
          <cell r="O19">
            <v>15.5</v>
          </cell>
          <cell r="Q19">
            <v>68</v>
          </cell>
          <cell r="T19">
            <v>14.2</v>
          </cell>
          <cell r="U19">
            <v>-0.21546961325966862</v>
          </cell>
          <cell r="V19">
            <v>13</v>
          </cell>
          <cell r="W19">
            <v>-0.32989690721649478</v>
          </cell>
          <cell r="X19">
            <v>13</v>
          </cell>
          <cell r="Y19">
            <v>-0.1333333333333333</v>
          </cell>
          <cell r="Z19">
            <v>13</v>
          </cell>
          <cell r="AA19">
            <v>-0.16129032258064513</v>
          </cell>
          <cell r="AB19">
            <v>53.2</v>
          </cell>
          <cell r="AC19">
            <v>-0.21764705882352942</v>
          </cell>
          <cell r="AF19">
            <v>13</v>
          </cell>
          <cell r="AG19">
            <v>-8.4507042253521125E-2</v>
          </cell>
          <cell r="AH19">
            <v>8</v>
          </cell>
          <cell r="AI19">
            <v>-0.38461538461538458</v>
          </cell>
          <cell r="AJ19">
            <v>12</v>
          </cell>
          <cell r="AK19">
            <v>-7.6923076923076872E-2</v>
          </cell>
          <cell r="AL19">
            <v>3</v>
          </cell>
          <cell r="AM19">
            <v>-0.76923076923076916</v>
          </cell>
          <cell r="AN19">
            <v>34</v>
          </cell>
          <cell r="AO19">
            <v>-0.36090225563909772</v>
          </cell>
          <cell r="AR19">
            <v>2</v>
          </cell>
          <cell r="AS19">
            <v>-0.84615384615384615</v>
          </cell>
          <cell r="AT19">
            <v>5</v>
          </cell>
          <cell r="AU19">
            <v>-0.375</v>
          </cell>
          <cell r="AV19">
            <v>5</v>
          </cell>
          <cell r="AW19">
            <v>-0.58333333333333326</v>
          </cell>
          <cell r="AX19">
            <v>5</v>
          </cell>
          <cell r="AY19">
            <v>0.66666666666666674</v>
          </cell>
          <cell r="AZ19">
            <v>17</v>
          </cell>
          <cell r="BA19">
            <v>-0.5</v>
          </cell>
        </row>
        <row r="20">
          <cell r="B20" t="str">
            <v>Total Product Sales</v>
          </cell>
          <cell r="C20">
            <v>908.6</v>
          </cell>
          <cell r="D20">
            <v>1115.2</v>
          </cell>
          <cell r="E20">
            <v>1345.8</v>
          </cell>
          <cell r="F20">
            <v>1621.6</v>
          </cell>
          <cell r="G20">
            <v>4991.2</v>
          </cell>
          <cell r="I20">
            <v>1635.8999999999996</v>
          </cell>
          <cell r="K20">
            <v>1916.5</v>
          </cell>
          <cell r="M20">
            <v>2078.1000000000004</v>
          </cell>
          <cell r="O20">
            <v>2237.6999999999998</v>
          </cell>
          <cell r="Q20">
            <v>7868.2</v>
          </cell>
          <cell r="T20">
            <v>2207.8000000000002</v>
          </cell>
          <cell r="U20">
            <v>0.34959349593495981</v>
          </cell>
          <cell r="V20">
            <v>2431</v>
          </cell>
          <cell r="W20">
            <v>0.26845812679363412</v>
          </cell>
          <cell r="X20">
            <v>2560</v>
          </cell>
          <cell r="Y20">
            <v>0.23189451903180758</v>
          </cell>
          <cell r="Z20">
            <v>2778</v>
          </cell>
          <cell r="AA20">
            <v>0.24145327791929216</v>
          </cell>
          <cell r="AB20">
            <v>9976.7999999999993</v>
          </cell>
          <cell r="AC20">
            <v>0.26799013751556888</v>
          </cell>
          <cell r="AF20">
            <v>2735</v>
          </cell>
          <cell r="AG20">
            <v>0.23878974544795706</v>
          </cell>
          <cell r="AH20">
            <v>3072</v>
          </cell>
          <cell r="AI20">
            <v>0.26367749897161663</v>
          </cell>
          <cell r="AJ20">
            <v>3049</v>
          </cell>
          <cell r="AK20">
            <v>0.19101562499999991</v>
          </cell>
          <cell r="AL20">
            <v>3168</v>
          </cell>
          <cell r="AM20">
            <v>0.14038876889848817</v>
          </cell>
          <cell r="AN20">
            <v>12022</v>
          </cell>
          <cell r="AO20">
            <v>0.20499558976826249</v>
          </cell>
          <cell r="AR20">
            <v>3127</v>
          </cell>
          <cell r="AS20">
            <v>0.1433272394881171</v>
          </cell>
          <cell r="AT20">
            <v>3303</v>
          </cell>
          <cell r="AU20">
            <v>7.51953125E-2</v>
          </cell>
          <cell r="AV20">
            <v>3423</v>
          </cell>
          <cell r="AW20">
            <v>0.12266316825188595</v>
          </cell>
          <cell r="AX20">
            <v>3566</v>
          </cell>
          <cell r="AY20">
            <v>0.12563131313131315</v>
          </cell>
          <cell r="AZ20">
            <v>13419</v>
          </cell>
          <cell r="BA20">
            <v>0.11620362668441198</v>
          </cell>
        </row>
        <row r="21">
          <cell r="B21" t="str">
            <v>Corporate Partner Rev.</v>
          </cell>
          <cell r="C21">
            <v>31.5</v>
          </cell>
          <cell r="D21">
            <v>53.9</v>
          </cell>
          <cell r="E21">
            <v>62.8</v>
          </cell>
          <cell r="F21">
            <v>52.1</v>
          </cell>
          <cell r="G21">
            <v>200.3</v>
          </cell>
          <cell r="I21">
            <v>33.9</v>
          </cell>
          <cell r="K21">
            <v>32.700000000000003</v>
          </cell>
          <cell r="M21">
            <v>28.8</v>
          </cell>
          <cell r="O21">
            <v>9.3000000000000007</v>
          </cell>
          <cell r="Q21">
            <v>104.69999999999999</v>
          </cell>
          <cell r="T21">
            <v>35</v>
          </cell>
          <cell r="U21">
            <v>3.2448377581121068E-2</v>
          </cell>
          <cell r="V21">
            <v>43.9</v>
          </cell>
          <cell r="W21">
            <v>0.34250764525993871</v>
          </cell>
          <cell r="X21">
            <v>38</v>
          </cell>
          <cell r="Y21">
            <v>0.31944444444444442</v>
          </cell>
          <cell r="Z21">
            <v>21</v>
          </cell>
          <cell r="AA21">
            <v>1.258064516129032</v>
          </cell>
          <cell r="AB21">
            <v>137.9</v>
          </cell>
          <cell r="AC21">
            <v>0.31709646609360087</v>
          </cell>
          <cell r="AF21">
            <v>0</v>
          </cell>
          <cell r="AG21">
            <v>-1</v>
          </cell>
          <cell r="AH21">
            <v>0</v>
          </cell>
          <cell r="AI21">
            <v>-1</v>
          </cell>
          <cell r="AK21">
            <v>-1</v>
          </cell>
          <cell r="AM21">
            <v>-1</v>
          </cell>
          <cell r="AN21">
            <v>0</v>
          </cell>
          <cell r="AO21">
            <v>-1</v>
          </cell>
          <cell r="AR21">
            <v>0</v>
          </cell>
          <cell r="AS21" t="e">
            <v>#DIV/0!</v>
          </cell>
          <cell r="AT21">
            <v>0</v>
          </cell>
          <cell r="AU21" t="e">
            <v>#DIV/0!</v>
          </cell>
          <cell r="AW21" t="e">
            <v>#DIV/0!</v>
          </cell>
          <cell r="AY21" t="e">
            <v>#DIV/0!</v>
          </cell>
          <cell r="AZ21">
            <v>0</v>
          </cell>
          <cell r="BA21" t="e">
            <v>#DIV/0!</v>
          </cell>
        </row>
        <row r="22">
          <cell r="B22" t="str">
            <v>Royalties/Corporate Partner</v>
          </cell>
          <cell r="C22">
            <v>68.400000000000006</v>
          </cell>
          <cell r="D22">
            <v>80</v>
          </cell>
          <cell r="E22">
            <v>90.7</v>
          </cell>
          <cell r="F22">
            <v>92.4</v>
          </cell>
          <cell r="G22">
            <v>331.5</v>
          </cell>
          <cell r="I22">
            <v>91.4</v>
          </cell>
          <cell r="K22">
            <v>91.9</v>
          </cell>
          <cell r="M22">
            <v>100.5</v>
          </cell>
          <cell r="O22">
            <v>99.3</v>
          </cell>
          <cell r="Q22">
            <v>383.1</v>
          </cell>
          <cell r="T22">
            <v>100.2</v>
          </cell>
          <cell r="U22">
            <v>9.6280087527352176E-2</v>
          </cell>
          <cell r="V22">
            <v>110</v>
          </cell>
          <cell r="W22">
            <v>0.19695321001088129</v>
          </cell>
          <cell r="X22">
            <v>115</v>
          </cell>
          <cell r="Y22">
            <v>0.14427860696517403</v>
          </cell>
          <cell r="Z22">
            <v>110</v>
          </cell>
          <cell r="AA22">
            <v>0.10775427995971798</v>
          </cell>
          <cell r="AB22">
            <v>435.2</v>
          </cell>
          <cell r="AC22">
            <v>0.13599582354476625</v>
          </cell>
          <cell r="AF22">
            <v>98</v>
          </cell>
          <cell r="AG22">
            <v>-2.1956087824351322E-2</v>
          </cell>
          <cell r="AH22">
            <v>100</v>
          </cell>
          <cell r="AI22">
            <v>-9.0909090909090939E-2</v>
          </cell>
          <cell r="AJ22">
            <v>107</v>
          </cell>
          <cell r="AK22">
            <v>-6.956521739130439E-2</v>
          </cell>
          <cell r="AL22">
            <v>103</v>
          </cell>
          <cell r="AM22">
            <v>-6.3636363636363602E-2</v>
          </cell>
          <cell r="AN22">
            <v>408</v>
          </cell>
          <cell r="AO22">
            <v>-6.25E-2</v>
          </cell>
          <cell r="AR22">
            <v>90</v>
          </cell>
          <cell r="AS22">
            <v>-8.1632653061224469E-2</v>
          </cell>
          <cell r="AT22">
            <v>90</v>
          </cell>
          <cell r="AU22">
            <v>-9.9999999999999978E-2</v>
          </cell>
          <cell r="AV22">
            <v>90</v>
          </cell>
          <cell r="AW22">
            <v>-0.15887850467289721</v>
          </cell>
          <cell r="AX22">
            <v>90</v>
          </cell>
          <cell r="AY22">
            <v>-0.12621359223300976</v>
          </cell>
          <cell r="AZ22">
            <v>360</v>
          </cell>
          <cell r="BA22">
            <v>-0.11764705882352944</v>
          </cell>
        </row>
        <row r="23">
          <cell r="B23" t="str">
            <v>Total Revenues</v>
          </cell>
          <cell r="C23">
            <v>1008.5</v>
          </cell>
          <cell r="D23">
            <v>1249.1000000000001</v>
          </cell>
          <cell r="E23">
            <v>1499.3</v>
          </cell>
          <cell r="F23">
            <v>1766.1</v>
          </cell>
          <cell r="G23">
            <v>5523</v>
          </cell>
          <cell r="I23">
            <v>1761.1999999999998</v>
          </cell>
          <cell r="K23">
            <v>2041.1000000000001</v>
          </cell>
          <cell r="M23">
            <v>2207.4000000000005</v>
          </cell>
          <cell r="O23">
            <v>2346.3000000000002</v>
          </cell>
          <cell r="Q23">
            <v>8356</v>
          </cell>
          <cell r="T23">
            <v>2343</v>
          </cell>
          <cell r="U23">
            <v>0.33034294799000685</v>
          </cell>
          <cell r="V23">
            <v>2584.9</v>
          </cell>
          <cell r="W23">
            <v>0.26642496692959683</v>
          </cell>
          <cell r="X23">
            <v>2713</v>
          </cell>
          <cell r="Y23">
            <v>0.22904774848237719</v>
          </cell>
          <cell r="Z23">
            <v>2909</v>
          </cell>
          <cell r="AA23">
            <v>0.23982440438136621</v>
          </cell>
          <cell r="AB23">
            <v>10549.9</v>
          </cell>
          <cell r="AC23">
            <v>0.26255385351842975</v>
          </cell>
          <cell r="AF23">
            <v>2833</v>
          </cell>
          <cell r="AG23">
            <v>8574.9360605018901</v>
          </cell>
          <cell r="AH23">
            <v>3172</v>
          </cell>
          <cell r="AI23">
            <v>0.22712677473016352</v>
          </cell>
          <cell r="AJ23">
            <v>3156</v>
          </cell>
          <cell r="AK23">
            <v>0.16328787320309623</v>
          </cell>
          <cell r="AL23">
            <v>3271</v>
          </cell>
          <cell r="AM23">
            <v>0.12444138879339972</v>
          </cell>
          <cell r="AN23">
            <v>12430</v>
          </cell>
          <cell r="AO23">
            <v>0.17821022000208542</v>
          </cell>
          <cell r="AR23">
            <v>3217</v>
          </cell>
          <cell r="AS23">
            <v>0.13554535827744441</v>
          </cell>
          <cell r="AT23">
            <v>3393</v>
          </cell>
          <cell r="AU23">
            <v>6.9672131147541005E-2</v>
          </cell>
          <cell r="AV23">
            <v>3513</v>
          </cell>
          <cell r="AW23">
            <v>0.1131178707224334</v>
          </cell>
          <cell r="AX23">
            <v>3656</v>
          </cell>
          <cell r="AY23">
            <v>0.11770100886579038</v>
          </cell>
          <cell r="AZ23">
            <v>13779</v>
          </cell>
          <cell r="BA23">
            <v>0.10852775543041027</v>
          </cell>
        </row>
        <row r="24">
          <cell r="B24" t="str">
            <v>Operating Expenses:</v>
          </cell>
          <cell r="AC24">
            <v>11921.386999999999</v>
          </cell>
        </row>
        <row r="25">
          <cell r="B25" t="str">
            <v xml:space="preserve">   Cost of Sales</v>
          </cell>
          <cell r="C25">
            <v>103.6</v>
          </cell>
          <cell r="D25">
            <v>131.9</v>
          </cell>
          <cell r="E25">
            <v>226.4</v>
          </cell>
          <cell r="F25">
            <v>278.39999999999998</v>
          </cell>
          <cell r="G25">
            <v>740.3</v>
          </cell>
          <cell r="I25">
            <v>283.3</v>
          </cell>
          <cell r="K25">
            <v>329.1</v>
          </cell>
          <cell r="M25">
            <v>340</v>
          </cell>
          <cell r="O25">
            <v>388.3</v>
          </cell>
          <cell r="Q25">
            <v>1340.7</v>
          </cell>
          <cell r="T25">
            <v>371.5</v>
          </cell>
          <cell r="U25">
            <v>0.31133074479350498</v>
          </cell>
          <cell r="V25">
            <v>435</v>
          </cell>
          <cell r="W25">
            <v>0.32178669097538726</v>
          </cell>
          <cell r="X25">
            <v>447</v>
          </cell>
          <cell r="Y25">
            <v>0.31470588235294117</v>
          </cell>
          <cell r="Z25">
            <v>476</v>
          </cell>
          <cell r="AA25">
            <v>0.22585629667782636</v>
          </cell>
          <cell r="AB25">
            <v>1729.5</v>
          </cell>
          <cell r="AC25">
            <v>0.28999776236294461</v>
          </cell>
          <cell r="AF25">
            <v>489</v>
          </cell>
          <cell r="AG25">
            <v>0.31628532974428003</v>
          </cell>
          <cell r="AH25">
            <v>530</v>
          </cell>
          <cell r="AI25">
            <v>0.21839080459770122</v>
          </cell>
          <cell r="AJ25">
            <v>505</v>
          </cell>
          <cell r="AK25">
            <v>0.12975391498881428</v>
          </cell>
          <cell r="AL25">
            <v>511</v>
          </cell>
          <cell r="AM25">
            <v>7.3529411764705843E-2</v>
          </cell>
          <cell r="AN25">
            <v>2035</v>
          </cell>
          <cell r="AO25">
            <v>0.17664064758600762</v>
          </cell>
          <cell r="AR25">
            <v>552</v>
          </cell>
          <cell r="AS25">
            <v>0.12883435582822078</v>
          </cell>
          <cell r="AT25">
            <v>561.51</v>
          </cell>
          <cell r="AU25">
            <v>5.9452830188679195E-2</v>
          </cell>
          <cell r="AV25">
            <v>573.35250000000008</v>
          </cell>
          <cell r="AW25">
            <v>0.13535148514851492</v>
          </cell>
          <cell r="AX25">
            <v>588.39</v>
          </cell>
          <cell r="AY25">
            <v>0.15144814090019576</v>
          </cell>
          <cell r="AZ25">
            <v>2275.2525000000001</v>
          </cell>
          <cell r="BA25">
            <v>0.11806019656019662</v>
          </cell>
        </row>
        <row r="26">
          <cell r="B26" t="str">
            <v xml:space="preserve">   % of Product Revenues</v>
          </cell>
          <cell r="C26">
            <v>0.11402157164869028</v>
          </cell>
          <cell r="D26">
            <v>0.11827474892395982</v>
          </cell>
          <cell r="E26">
            <v>0.16822707683162433</v>
          </cell>
          <cell r="F26">
            <v>0.17168228909718797</v>
          </cell>
          <cell r="G26">
            <v>0.1483210450392691</v>
          </cell>
          <cell r="I26">
            <v>0.17018155143957453</v>
          </cell>
          <cell r="K26">
            <v>0.16916253587268457</v>
          </cell>
          <cell r="M26">
            <v>0.16149367210432608</v>
          </cell>
          <cell r="O26">
            <v>0.17138132904321401</v>
          </cell>
          <cell r="Q26">
            <v>0.1679799700058463</v>
          </cell>
          <cell r="T26">
            <v>0.16826705317510643</v>
          </cell>
          <cell r="V26">
            <v>0.17893870835047307</v>
          </cell>
          <cell r="X26">
            <v>0.17460937500000001</v>
          </cell>
          <cell r="Z26">
            <v>0.17134629229661627</v>
          </cell>
          <cell r="AB26">
            <v>0.17335217705075778</v>
          </cell>
          <cell r="AF26">
            <v>0.17879341864716636</v>
          </cell>
          <cell r="AH26">
            <v>0.17252604166666666</v>
          </cell>
          <cell r="AJ26">
            <v>0.16562807477861594</v>
          </cell>
          <cell r="AL26">
            <v>0.16130050505050506</v>
          </cell>
          <cell r="AN26">
            <v>0.16927299950091498</v>
          </cell>
          <cell r="AR26">
            <v>0.17652702270546849</v>
          </cell>
          <cell r="AT26">
            <v>0.17</v>
          </cell>
          <cell r="AV26">
            <v>0.16750000000000001</v>
          </cell>
          <cell r="AX26">
            <v>0.16500000000000001</v>
          </cell>
          <cell r="AZ26">
            <v>0.16955454951933827</v>
          </cell>
        </row>
        <row r="27">
          <cell r="B27" t="str">
            <v xml:space="preserve">   R&amp;D</v>
          </cell>
          <cell r="C27">
            <v>203.4</v>
          </cell>
          <cell r="D27">
            <v>233.6</v>
          </cell>
          <cell r="E27">
            <v>312.60000000000002</v>
          </cell>
          <cell r="F27">
            <v>367</v>
          </cell>
          <cell r="G27">
            <v>1116.5999999999999</v>
          </cell>
          <cell r="I27">
            <v>351.3</v>
          </cell>
          <cell r="K27">
            <v>393.7</v>
          </cell>
          <cell r="M27">
            <v>407.5</v>
          </cell>
          <cell r="O27">
            <v>502.9</v>
          </cell>
          <cell r="Q27">
            <v>1655.4</v>
          </cell>
          <cell r="T27">
            <v>432.9</v>
          </cell>
          <cell r="U27">
            <v>0.23228010247651576</v>
          </cell>
          <cell r="V27">
            <v>460.4</v>
          </cell>
          <cell r="W27">
            <v>0.16941833883667767</v>
          </cell>
          <cell r="X27">
            <v>495</v>
          </cell>
          <cell r="Y27">
            <v>0.21472392638036819</v>
          </cell>
          <cell r="Z27">
            <v>608</v>
          </cell>
          <cell r="AA27">
            <v>0.20898787035195876</v>
          </cell>
          <cell r="AB27">
            <v>1996.3</v>
          </cell>
          <cell r="AC27">
            <v>0.20593210100277859</v>
          </cell>
          <cell r="AF27">
            <v>521</v>
          </cell>
          <cell r="AG27">
            <v>0.20351120351120366</v>
          </cell>
          <cell r="AH27">
            <v>564</v>
          </cell>
          <cell r="AI27">
            <v>0.22502172024326672</v>
          </cell>
          <cell r="AJ27">
            <v>559</v>
          </cell>
          <cell r="AK27">
            <v>0.12929292929292924</v>
          </cell>
          <cell r="AL27">
            <v>658</v>
          </cell>
          <cell r="AM27">
            <v>8.2236842105263053E-2</v>
          </cell>
          <cell r="AN27">
            <v>2302</v>
          </cell>
          <cell r="AO27">
            <v>0.15313329659870756</v>
          </cell>
          <cell r="AR27">
            <v>624</v>
          </cell>
          <cell r="AS27">
            <v>0.19769673704414581</v>
          </cell>
          <cell r="AT27">
            <v>725</v>
          </cell>
          <cell r="AU27">
            <v>0.28546099290780136</v>
          </cell>
          <cell r="AV27">
            <v>785</v>
          </cell>
          <cell r="AW27">
            <v>0.40429338103756707</v>
          </cell>
          <cell r="AX27">
            <v>875</v>
          </cell>
          <cell r="AY27">
            <v>0.32978723404255317</v>
          </cell>
          <cell r="AZ27">
            <v>3009</v>
          </cell>
          <cell r="BA27">
            <v>0.30712423979148573</v>
          </cell>
        </row>
        <row r="28">
          <cell r="B28" t="str">
            <v xml:space="preserve">   % of Total Revenues</v>
          </cell>
          <cell r="G28">
            <v>0.20217273221075502</v>
          </cell>
          <cell r="Q28">
            <v>0.19810914313068456</v>
          </cell>
          <cell r="T28">
            <v>0.18476312419974392</v>
          </cell>
          <cell r="V28">
            <v>0.17811133892993924</v>
          </cell>
          <cell r="X28">
            <v>0.18245484703280501</v>
          </cell>
          <cell r="Z28">
            <v>0.20900653145410794</v>
          </cell>
          <cell r="AB28">
            <v>0.18922454241272429</v>
          </cell>
          <cell r="AF28">
            <v>0.18390398870455349</v>
          </cell>
          <cell r="AH28">
            <v>0.17780580075662042</v>
          </cell>
          <cell r="AJ28">
            <v>0.17712294043092522</v>
          </cell>
          <cell r="AL28">
            <v>0.20116172424335066</v>
          </cell>
          <cell r="AN28">
            <v>0.18519710378117457</v>
          </cell>
          <cell r="AR28">
            <v>0.19396953683556109</v>
          </cell>
          <cell r="AT28">
            <v>0.21367521367521367</v>
          </cell>
          <cell r="AV28">
            <v>0.22345573583831482</v>
          </cell>
          <cell r="AX28">
            <v>0.23933260393873085</v>
          </cell>
          <cell r="AZ28">
            <v>0.21837578924450252</v>
          </cell>
        </row>
        <row r="29">
          <cell r="B29" t="str">
            <v xml:space="preserve">   SG&amp;A</v>
          </cell>
          <cell r="C29">
            <v>245.8</v>
          </cell>
          <cell r="D29">
            <v>320.5</v>
          </cell>
          <cell r="E29">
            <v>394.9</v>
          </cell>
          <cell r="F29">
            <v>500.9</v>
          </cell>
          <cell r="G29">
            <v>1462.1</v>
          </cell>
          <cell r="I29">
            <v>390.1</v>
          </cell>
          <cell r="K29">
            <v>453.5</v>
          </cell>
          <cell r="M29">
            <v>483</v>
          </cell>
          <cell r="O29">
            <v>626</v>
          </cell>
          <cell r="Q29">
            <v>1952.6</v>
          </cell>
          <cell r="T29">
            <v>512.4</v>
          </cell>
          <cell r="U29">
            <v>0.31350935657523693</v>
          </cell>
          <cell r="V29">
            <v>586.70000000000005</v>
          </cell>
          <cell r="W29">
            <v>0.29371554575523717</v>
          </cell>
          <cell r="X29">
            <v>635</v>
          </cell>
          <cell r="Y29">
            <v>0.31469979296066253</v>
          </cell>
          <cell r="Z29">
            <v>813</v>
          </cell>
          <cell r="AA29">
            <v>0.29872204472843444</v>
          </cell>
          <cell r="AB29">
            <v>2547.1</v>
          </cell>
          <cell r="AC29">
            <v>0.30446584041790437</v>
          </cell>
          <cell r="AF29">
            <v>577</v>
          </cell>
          <cell r="AG29">
            <v>0.12607338017174086</v>
          </cell>
          <cell r="AH29">
            <v>646</v>
          </cell>
          <cell r="AI29">
            <v>0.10107380262485077</v>
          </cell>
          <cell r="AJ29">
            <v>656</v>
          </cell>
          <cell r="AK29">
            <v>3.3070866141732269E-2</v>
          </cell>
          <cell r="AL29">
            <v>913</v>
          </cell>
          <cell r="AM29">
            <v>0.12300123001230023</v>
          </cell>
          <cell r="AN29">
            <v>2792</v>
          </cell>
          <cell r="AO29">
            <v>9.6148561108711839E-2</v>
          </cell>
          <cell r="AR29">
            <v>652</v>
          </cell>
          <cell r="AS29">
            <v>0.12998266897746968</v>
          </cell>
          <cell r="AT29">
            <v>695.56499999999994</v>
          </cell>
          <cell r="AU29">
            <v>7.6726006191950358E-2</v>
          </cell>
          <cell r="AV29">
            <v>772.86</v>
          </cell>
          <cell r="AW29">
            <v>0.1781402439024391</v>
          </cell>
          <cell r="AX29">
            <v>906.68799999999999</v>
          </cell>
          <cell r="AY29">
            <v>-6.9134720700986252E-3</v>
          </cell>
          <cell r="AZ29">
            <v>3027.1130000000003</v>
          </cell>
          <cell r="BA29">
            <v>8.4209527220630465E-2</v>
          </cell>
        </row>
        <row r="30">
          <cell r="B30" t="str">
            <v xml:space="preserve">   % of Total Revenues</v>
          </cell>
          <cell r="G30">
            <v>0.26472931377874342</v>
          </cell>
          <cell r="Q30">
            <v>0.23367640019147917</v>
          </cell>
          <cell r="T30">
            <v>0.21869398207426374</v>
          </cell>
          <cell r="V30">
            <v>0.22697202986575885</v>
          </cell>
          <cell r="X30">
            <v>0.23405823811279028</v>
          </cell>
          <cell r="Z30">
            <v>0.27947748367136471</v>
          </cell>
          <cell r="AB30">
            <v>0.2414335680906928</v>
          </cell>
          <cell r="AF30">
            <v>0.20367102012001412</v>
          </cell>
          <cell r="AH30">
            <v>0.20365699873896595</v>
          </cell>
          <cell r="AJ30">
            <v>0.20785804816223066</v>
          </cell>
          <cell r="AL30">
            <v>0.27911953531030265</v>
          </cell>
          <cell r="AN30">
            <v>0.2246178600160901</v>
          </cell>
          <cell r="AR30">
            <v>0.20267329810382345</v>
          </cell>
          <cell r="AT30">
            <v>0.20499999999999999</v>
          </cell>
          <cell r="AV30">
            <v>0.22</v>
          </cell>
          <cell r="AX30">
            <v>0.248</v>
          </cell>
          <cell r="AZ30">
            <v>0.21969032585819001</v>
          </cell>
        </row>
        <row r="31">
          <cell r="B31" t="str">
            <v xml:space="preserve">   Loss of Affiliates, Net</v>
          </cell>
          <cell r="C31">
            <v>-1.7</v>
          </cell>
          <cell r="D31">
            <v>-1.7</v>
          </cell>
          <cell r="E31">
            <v>-3.4</v>
          </cell>
          <cell r="F31">
            <v>-5.8</v>
          </cell>
          <cell r="G31">
            <v>-12.6</v>
          </cell>
          <cell r="I31">
            <v>-9.6</v>
          </cell>
          <cell r="K31">
            <v>-12.3</v>
          </cell>
          <cell r="M31">
            <v>36.200000000000003</v>
          </cell>
          <cell r="O31">
            <v>-10</v>
          </cell>
          <cell r="Q31">
            <v>4.3000000000000043</v>
          </cell>
          <cell r="T31">
            <v>0</v>
          </cell>
          <cell r="U31">
            <v>-1</v>
          </cell>
          <cell r="V31">
            <v>0</v>
          </cell>
          <cell r="W31">
            <v>-1</v>
          </cell>
          <cell r="X31">
            <v>0</v>
          </cell>
          <cell r="Y31">
            <v>-1</v>
          </cell>
          <cell r="Z31">
            <v>0</v>
          </cell>
          <cell r="AA31">
            <v>-1</v>
          </cell>
          <cell r="AB31">
            <v>0</v>
          </cell>
          <cell r="AC31">
            <v>-1</v>
          </cell>
          <cell r="AF31">
            <v>0</v>
          </cell>
          <cell r="AH31">
            <v>0</v>
          </cell>
          <cell r="AJ31">
            <v>0</v>
          </cell>
          <cell r="AL31">
            <v>0</v>
          </cell>
          <cell r="AN31">
            <v>0</v>
          </cell>
          <cell r="AR31">
            <v>0</v>
          </cell>
          <cell r="AT31">
            <v>0</v>
          </cell>
          <cell r="AV31">
            <v>0</v>
          </cell>
          <cell r="AX31">
            <v>0</v>
          </cell>
          <cell r="AZ31">
            <v>0</v>
          </cell>
        </row>
        <row r="32">
          <cell r="B32" t="str">
            <v xml:space="preserve">   Other </v>
          </cell>
          <cell r="C32">
            <v>0</v>
          </cell>
          <cell r="D32">
            <v>0</v>
          </cell>
          <cell r="E32">
            <v>-35.5</v>
          </cell>
          <cell r="F32">
            <v>0</v>
          </cell>
          <cell r="G32">
            <v>0</v>
          </cell>
          <cell r="K32">
            <v>-24</v>
          </cell>
          <cell r="Q32">
            <v>-24</v>
          </cell>
          <cell r="T32">
            <v>0</v>
          </cell>
          <cell r="V32">
            <v>0</v>
          </cell>
          <cell r="X32">
            <v>0</v>
          </cell>
          <cell r="Z32">
            <v>0</v>
          </cell>
          <cell r="AB32">
            <v>0</v>
          </cell>
          <cell r="AF32">
            <v>0</v>
          </cell>
          <cell r="AH32">
            <v>0</v>
          </cell>
          <cell r="AJ32">
            <v>0</v>
          </cell>
          <cell r="AL32">
            <v>0</v>
          </cell>
          <cell r="AN32">
            <v>0</v>
          </cell>
          <cell r="AR32">
            <v>0</v>
          </cell>
          <cell r="AT32">
            <v>0</v>
          </cell>
          <cell r="AV32">
            <v>0</v>
          </cell>
          <cell r="AX32">
            <v>0</v>
          </cell>
          <cell r="AZ32">
            <v>0</v>
          </cell>
        </row>
        <row r="33">
          <cell r="B33" t="str">
            <v xml:space="preserve">   Options Expense</v>
          </cell>
        </row>
        <row r="34">
          <cell r="B34" t="str">
            <v>Total Operating Expenses</v>
          </cell>
          <cell r="C34">
            <v>551.1</v>
          </cell>
          <cell r="D34">
            <v>684.3</v>
          </cell>
          <cell r="E34">
            <v>895</v>
          </cell>
          <cell r="F34">
            <v>1140.5</v>
          </cell>
          <cell r="G34">
            <v>3461.6</v>
          </cell>
          <cell r="I34">
            <v>1015.1</v>
          </cell>
          <cell r="K34">
            <v>1140</v>
          </cell>
          <cell r="M34">
            <v>1266.7</v>
          </cell>
          <cell r="O34">
            <v>1507.2</v>
          </cell>
          <cell r="Q34">
            <v>4929.0000000000009</v>
          </cell>
          <cell r="T34">
            <v>1316.8</v>
          </cell>
          <cell r="U34">
            <v>0.76491086985658807</v>
          </cell>
          <cell r="V34">
            <v>1482.1</v>
          </cell>
          <cell r="W34">
            <v>0.64476750638108937</v>
          </cell>
          <cell r="X34">
            <v>1577</v>
          </cell>
          <cell r="Y34">
            <v>0.67641118316147453</v>
          </cell>
          <cell r="Z34">
            <v>1897</v>
          </cell>
          <cell r="AA34">
            <v>1.2607555714455962</v>
          </cell>
          <cell r="AB34">
            <v>6272.9</v>
          </cell>
          <cell r="AC34">
            <v>0.83043478260869508</v>
          </cell>
          <cell r="AF34">
            <v>1587</v>
          </cell>
          <cell r="AG34">
            <v>0.20519441069258804</v>
          </cell>
          <cell r="AH34">
            <v>1740</v>
          </cell>
          <cell r="AI34">
            <v>0.17400985088725474</v>
          </cell>
          <cell r="AJ34">
            <v>1720</v>
          </cell>
          <cell r="AK34">
            <v>9.0678503487634732E-2</v>
          </cell>
          <cell r="AL34">
            <v>2082</v>
          </cell>
          <cell r="AM34">
            <v>9.7522403795466506E-2</v>
          </cell>
          <cell r="AN34">
            <v>7129</v>
          </cell>
          <cell r="AO34">
            <v>0.13647595211146357</v>
          </cell>
          <cell r="AR34">
            <v>1828</v>
          </cell>
          <cell r="AS34">
            <v>0.15185885318210457</v>
          </cell>
          <cell r="AT34">
            <v>1982.0749999999998</v>
          </cell>
          <cell r="AU34">
            <v>0.1391235632183907</v>
          </cell>
          <cell r="AV34">
            <v>2131.2125000000001</v>
          </cell>
          <cell r="AW34">
            <v>0.23907703488372101</v>
          </cell>
          <cell r="AX34">
            <v>2370.078</v>
          </cell>
          <cell r="AY34">
            <v>0.13836599423631113</v>
          </cell>
          <cell r="AZ34">
            <v>8311.3654999999999</v>
          </cell>
          <cell r="BA34">
            <v>0.16585292467386736</v>
          </cell>
        </row>
        <row r="35">
          <cell r="B35" t="str">
            <v xml:space="preserve">Operating Income (Loss) </v>
          </cell>
          <cell r="C35">
            <v>457.4</v>
          </cell>
          <cell r="D35">
            <v>564.80000000000018</v>
          </cell>
          <cell r="E35">
            <v>604.29999999999995</v>
          </cell>
          <cell r="F35">
            <v>625.59999999999991</v>
          </cell>
          <cell r="G35">
            <v>2061.4</v>
          </cell>
          <cell r="I35">
            <v>746.0999999999998</v>
          </cell>
          <cell r="K35">
            <v>901.10000000000014</v>
          </cell>
          <cell r="M35">
            <v>940.7000000000005</v>
          </cell>
          <cell r="O35">
            <v>839.10000000000014</v>
          </cell>
          <cell r="Q35">
            <v>3427.0000000000009</v>
          </cell>
          <cell r="T35">
            <v>1026.2</v>
          </cell>
          <cell r="U35">
            <v>0.3754188446588933</v>
          </cell>
          <cell r="V35">
            <v>1102.8000000000002</v>
          </cell>
          <cell r="W35">
            <v>0.22383753190544886</v>
          </cell>
          <cell r="X35">
            <v>1136</v>
          </cell>
          <cell r="Y35">
            <v>0.20761135324758095</v>
          </cell>
          <cell r="Z35">
            <v>1012</v>
          </cell>
          <cell r="AA35">
            <v>0.20605410558932169</v>
          </cell>
          <cell r="AB35">
            <v>4277</v>
          </cell>
          <cell r="AC35">
            <v>0.24803034724248585</v>
          </cell>
          <cell r="AF35">
            <v>1246</v>
          </cell>
          <cell r="AG35">
            <v>0.2141882673942701</v>
          </cell>
          <cell r="AH35">
            <v>1432</v>
          </cell>
          <cell r="AI35">
            <v>0.29851287631483481</v>
          </cell>
          <cell r="AJ35">
            <v>1436</v>
          </cell>
          <cell r="AK35">
            <v>0.2640845070422535</v>
          </cell>
          <cell r="AL35">
            <v>1189</v>
          </cell>
          <cell r="AM35">
            <v>0.17490118577075098</v>
          </cell>
          <cell r="AN35">
            <v>5301</v>
          </cell>
          <cell r="AO35">
            <v>0.23942015431377128</v>
          </cell>
          <cell r="AR35">
            <v>1389</v>
          </cell>
          <cell r="AS35">
            <v>0.1147672552166934</v>
          </cell>
          <cell r="AT35">
            <v>1410.9250000000002</v>
          </cell>
          <cell r="AU35">
            <v>-1.4717178770949579E-2</v>
          </cell>
          <cell r="AV35">
            <v>1381.7874999999999</v>
          </cell>
          <cell r="AW35">
            <v>-3.7752437325905386E-2</v>
          </cell>
          <cell r="AX35">
            <v>1285.922</v>
          </cell>
          <cell r="AY35">
            <v>8.1515559293523943E-2</v>
          </cell>
          <cell r="AZ35">
            <v>5467.6345000000001</v>
          </cell>
          <cell r="BA35">
            <v>3.143454065270701E-2</v>
          </cell>
        </row>
        <row r="36">
          <cell r="B36" t="str">
            <v xml:space="preserve">   Interest, Other Income</v>
          </cell>
          <cell r="C36">
            <v>43.7</v>
          </cell>
          <cell r="D36">
            <v>45.5</v>
          </cell>
          <cell r="E36">
            <v>23.7</v>
          </cell>
          <cell r="F36">
            <v>31.299999999999983</v>
          </cell>
          <cell r="G36">
            <v>144.19999999999999</v>
          </cell>
          <cell r="I36">
            <v>32.799999999999997</v>
          </cell>
          <cell r="K36">
            <v>40.4</v>
          </cell>
          <cell r="M36">
            <v>17.2</v>
          </cell>
          <cell r="O36">
            <v>23</v>
          </cell>
          <cell r="Q36">
            <v>113.39999999999999</v>
          </cell>
          <cell r="T36">
            <v>28.6</v>
          </cell>
          <cell r="U36">
            <v>-0.12804878048780477</v>
          </cell>
          <cell r="V36">
            <v>17.600000000000001</v>
          </cell>
          <cell r="W36">
            <v>-0.5643564356435643</v>
          </cell>
          <cell r="X36">
            <v>22.5</v>
          </cell>
          <cell r="Y36">
            <v>0.30813953488372103</v>
          </cell>
          <cell r="Z36">
            <v>31</v>
          </cell>
          <cell r="AA36">
            <v>0.34782608695652173</v>
          </cell>
          <cell r="AB36">
            <v>99.7</v>
          </cell>
          <cell r="AC36">
            <v>-0.120811287477954</v>
          </cell>
          <cell r="AF36">
            <v>45</v>
          </cell>
          <cell r="AH36">
            <v>20</v>
          </cell>
          <cell r="AJ36">
            <v>48</v>
          </cell>
          <cell r="AL36">
            <v>44</v>
          </cell>
          <cell r="AN36">
            <v>157</v>
          </cell>
          <cell r="AR36">
            <v>114</v>
          </cell>
          <cell r="AT36">
            <v>80</v>
          </cell>
          <cell r="AV36">
            <v>70</v>
          </cell>
          <cell r="AX36">
            <v>65</v>
          </cell>
          <cell r="AZ36">
            <v>329</v>
          </cell>
        </row>
        <row r="37">
          <cell r="B37" t="str">
            <v xml:space="preserve">   Interest, Other Expense</v>
          </cell>
          <cell r="C37">
            <v>-7</v>
          </cell>
          <cell r="D37">
            <v>-12.7</v>
          </cell>
          <cell r="E37">
            <v>-11.6</v>
          </cell>
          <cell r="F37">
            <v>-12.900000000000002</v>
          </cell>
          <cell r="G37">
            <v>-44.2</v>
          </cell>
          <cell r="I37">
            <v>-6.9</v>
          </cell>
          <cell r="K37">
            <v>-8.8000000000000007</v>
          </cell>
          <cell r="M37">
            <v>-7.8</v>
          </cell>
          <cell r="O37">
            <v>-8</v>
          </cell>
          <cell r="Q37">
            <v>-31.5</v>
          </cell>
          <cell r="T37">
            <v>-7.5</v>
          </cell>
          <cell r="U37">
            <v>8.6956521739130377E-2</v>
          </cell>
          <cell r="V37">
            <v>-7.5</v>
          </cell>
          <cell r="W37">
            <v>-0.14772727272727282</v>
          </cell>
          <cell r="X37">
            <v>-7.5</v>
          </cell>
          <cell r="Y37">
            <v>-3.8461538461538436E-2</v>
          </cell>
          <cell r="Z37">
            <v>-30</v>
          </cell>
          <cell r="AA37">
            <v>2.75</v>
          </cell>
          <cell r="AB37">
            <v>-52.5</v>
          </cell>
          <cell r="AC37">
            <v>0.66666666666666674</v>
          </cell>
          <cell r="AF37">
            <v>-35</v>
          </cell>
          <cell r="AH37">
            <v>-34</v>
          </cell>
          <cell r="AJ37">
            <v>-34</v>
          </cell>
          <cell r="AL37">
            <v>-34</v>
          </cell>
          <cell r="AN37">
            <v>-137</v>
          </cell>
          <cell r="AR37">
            <v>-34</v>
          </cell>
          <cell r="AT37">
            <v>-34</v>
          </cell>
          <cell r="AV37">
            <v>-34</v>
          </cell>
          <cell r="AX37">
            <v>-34</v>
          </cell>
          <cell r="AZ37">
            <v>-136</v>
          </cell>
        </row>
        <row r="38">
          <cell r="B38" t="str">
            <v xml:space="preserve">  One-Time Gains / (Charges)</v>
          </cell>
          <cell r="C38">
            <v>0</v>
          </cell>
          <cell r="D38">
            <v>0</v>
          </cell>
          <cell r="E38">
            <v>-2991.8</v>
          </cell>
          <cell r="F38">
            <v>0</v>
          </cell>
          <cell r="G38">
            <v>-2991.8</v>
          </cell>
          <cell r="I38" t="e">
            <v>#REF!</v>
          </cell>
          <cell r="K38" t="e">
            <v>#REF!</v>
          </cell>
          <cell r="M38" t="e">
            <v>#REF!</v>
          </cell>
          <cell r="O38" t="e">
            <v>#REF!</v>
          </cell>
          <cell r="Q38" t="e">
            <v>#REF!</v>
          </cell>
          <cell r="V38">
            <v>0</v>
          </cell>
          <cell r="X38">
            <v>0</v>
          </cell>
          <cell r="AH38">
            <v>0</v>
          </cell>
          <cell r="AJ38">
            <v>0</v>
          </cell>
          <cell r="AO38" t="e">
            <v>#DIV/0!</v>
          </cell>
          <cell r="AT38">
            <v>0</v>
          </cell>
          <cell r="AV38">
            <v>0</v>
          </cell>
          <cell r="BA38" t="e">
            <v>#DIV/0!</v>
          </cell>
        </row>
        <row r="39">
          <cell r="B39" t="str">
            <v xml:space="preserve">  Other Adjustments</v>
          </cell>
          <cell r="E39">
            <v>-11.5</v>
          </cell>
          <cell r="F39">
            <v>-36.5</v>
          </cell>
          <cell r="G39">
            <v>-48</v>
          </cell>
          <cell r="I39" t="e">
            <v>#REF!</v>
          </cell>
          <cell r="K39" t="e">
            <v>#REF!</v>
          </cell>
          <cell r="M39" t="e">
            <v>#REF!</v>
          </cell>
          <cell r="O39" t="e">
            <v>#REF!</v>
          </cell>
          <cell r="Q39" t="e">
            <v>#REF!</v>
          </cell>
          <cell r="T39">
            <v>0</v>
          </cell>
          <cell r="V39">
            <v>0</v>
          </cell>
          <cell r="X39">
            <v>0</v>
          </cell>
          <cell r="Z39">
            <v>0</v>
          </cell>
          <cell r="AB39">
            <v>0</v>
          </cell>
          <cell r="AF39">
            <v>0</v>
          </cell>
          <cell r="AH39">
            <v>0</v>
          </cell>
          <cell r="AJ39">
            <v>0</v>
          </cell>
          <cell r="AL39">
            <v>0</v>
          </cell>
          <cell r="AN39">
            <v>0</v>
          </cell>
          <cell r="AO39" t="e">
            <v>#DIV/0!</v>
          </cell>
          <cell r="AR39">
            <v>0</v>
          </cell>
          <cell r="AT39">
            <v>0</v>
          </cell>
          <cell r="AV39">
            <v>0</v>
          </cell>
          <cell r="AX39">
            <v>0</v>
          </cell>
          <cell r="AZ39">
            <v>0</v>
          </cell>
          <cell r="BA39" t="e">
            <v>#DIV/0!</v>
          </cell>
        </row>
        <row r="40">
          <cell r="B40" t="str">
            <v xml:space="preserve">Pretax Income (Loss) </v>
          </cell>
          <cell r="C40">
            <v>494.09999999999997</v>
          </cell>
          <cell r="D40">
            <v>597.60000000000014</v>
          </cell>
          <cell r="E40">
            <v>616.4</v>
          </cell>
          <cell r="F40">
            <v>643.99999999999989</v>
          </cell>
          <cell r="G40">
            <v>2161.4</v>
          </cell>
          <cell r="I40">
            <v>771.99999999999977</v>
          </cell>
          <cell r="K40">
            <v>932.70000000000016</v>
          </cell>
          <cell r="M40">
            <v>950.10000000000059</v>
          </cell>
          <cell r="O40">
            <v>854.10000000000014</v>
          </cell>
          <cell r="Q40">
            <v>3508.900000000001</v>
          </cell>
          <cell r="T40">
            <v>1047.3</v>
          </cell>
          <cell r="U40">
            <v>0.35660621761658073</v>
          </cell>
          <cell r="V40">
            <v>1112.9000000000001</v>
          </cell>
          <cell r="W40">
            <v>0.19320253028840995</v>
          </cell>
          <cell r="X40">
            <v>1151</v>
          </cell>
          <cell r="Y40">
            <v>0.21145142616566592</v>
          </cell>
          <cell r="Z40">
            <v>1013</v>
          </cell>
          <cell r="AA40">
            <v>0.18604378878351469</v>
          </cell>
          <cell r="AB40">
            <v>4324.2</v>
          </cell>
          <cell r="AC40">
            <v>0.23235201915130066</v>
          </cell>
          <cell r="AF40">
            <v>1256</v>
          </cell>
          <cell r="AG40">
            <v>0.19927432445335636</v>
          </cell>
          <cell r="AH40">
            <v>1418</v>
          </cell>
          <cell r="AI40">
            <v>0.27414862072063961</v>
          </cell>
          <cell r="AJ40">
            <v>1450</v>
          </cell>
          <cell r="AK40">
            <v>0.2597741094700261</v>
          </cell>
          <cell r="AL40">
            <v>1199</v>
          </cell>
          <cell r="AM40">
            <v>0.18361303060217171</v>
          </cell>
          <cell r="AN40">
            <v>5321</v>
          </cell>
          <cell r="AO40">
            <v>0.23051662735303635</v>
          </cell>
          <cell r="AR40">
            <v>1469</v>
          </cell>
          <cell r="AS40">
            <v>0.16958598726114649</v>
          </cell>
          <cell r="AT40">
            <v>1456.9250000000002</v>
          </cell>
          <cell r="AU40">
            <v>2.7450634696756016E-2</v>
          </cell>
          <cell r="AV40">
            <v>1417.7874999999999</v>
          </cell>
          <cell r="AW40">
            <v>-2.2215517241379379E-2</v>
          </cell>
          <cell r="AX40">
            <v>1316.922</v>
          </cell>
          <cell r="AY40">
            <v>9.8350291909925058E-2</v>
          </cell>
          <cell r="AZ40">
            <v>5660.6345000000001</v>
          </cell>
          <cell r="BA40">
            <v>6.3829073482428056E-2</v>
          </cell>
        </row>
        <row r="41">
          <cell r="B41" t="str">
            <v xml:space="preserve">   Provision For Income Taxes</v>
          </cell>
          <cell r="C41">
            <v>153.19999999999999</v>
          </cell>
          <cell r="D41">
            <v>185.2</v>
          </cell>
          <cell r="E41">
            <v>155.6</v>
          </cell>
          <cell r="F41">
            <v>172.7</v>
          </cell>
          <cell r="G41">
            <v>707.4</v>
          </cell>
          <cell r="I41">
            <v>194.8</v>
          </cell>
          <cell r="K41">
            <v>241.5</v>
          </cell>
          <cell r="M41">
            <v>254.1</v>
          </cell>
          <cell r="O41">
            <v>223.2</v>
          </cell>
          <cell r="Q41">
            <v>913.59999999999991</v>
          </cell>
          <cell r="T41">
            <v>295</v>
          </cell>
          <cell r="U41">
            <v>0.51437371663244336</v>
          </cell>
          <cell r="V41">
            <v>304.3</v>
          </cell>
          <cell r="W41">
            <v>0.26004140786749486</v>
          </cell>
          <cell r="X41">
            <v>312</v>
          </cell>
          <cell r="Y41">
            <v>0.22786304604486429</v>
          </cell>
          <cell r="Z41">
            <v>264</v>
          </cell>
          <cell r="AA41">
            <v>0.18279569892473124</v>
          </cell>
          <cell r="AB41">
            <v>1175.3</v>
          </cell>
          <cell r="AC41">
            <v>0.28644921190893169</v>
          </cell>
          <cell r="AF41">
            <v>332</v>
          </cell>
          <cell r="AG41">
            <v>0.12542372881355934</v>
          </cell>
          <cell r="AH41">
            <v>314</v>
          </cell>
          <cell r="AI41">
            <v>3.1876437725928408E-2</v>
          </cell>
          <cell r="AJ41">
            <v>381</v>
          </cell>
          <cell r="AK41">
            <v>0.22115384615384626</v>
          </cell>
          <cell r="AL41">
            <v>271</v>
          </cell>
          <cell r="AM41">
            <v>2.6515151515151603E-2</v>
          </cell>
          <cell r="AN41">
            <v>1298</v>
          </cell>
          <cell r="AO41">
            <v>0.10439887688249816</v>
          </cell>
          <cell r="AR41">
            <v>368</v>
          </cell>
          <cell r="AS41">
            <v>0.10843373493975905</v>
          </cell>
          <cell r="AT41">
            <v>331.45043750000008</v>
          </cell>
          <cell r="AU41">
            <v>5.5574641719745577E-2</v>
          </cell>
          <cell r="AV41">
            <v>326.09112499999998</v>
          </cell>
          <cell r="AW41">
            <v>-0.14411778215223103</v>
          </cell>
          <cell r="AX41">
            <v>299.59975500000002</v>
          </cell>
          <cell r="AY41">
            <v>0.10553415129151289</v>
          </cell>
          <cell r="AZ41">
            <v>1325.1413175</v>
          </cell>
          <cell r="BA41">
            <v>2.0910105932203438E-2</v>
          </cell>
        </row>
        <row r="42">
          <cell r="B42" t="str">
            <v xml:space="preserve">   Effective Tax Rate</v>
          </cell>
          <cell r="C42">
            <v>0.3100586925723538</v>
          </cell>
          <cell r="D42">
            <v>0.30990629183400259</v>
          </cell>
          <cell r="E42">
            <v>0.25243348475016225</v>
          </cell>
          <cell r="F42">
            <v>0.26816770186335409</v>
          </cell>
          <cell r="G42">
            <v>0.32728786897381323</v>
          </cell>
          <cell r="I42">
            <v>0.25233160621761669</v>
          </cell>
          <cell r="K42">
            <v>0.25892569958185907</v>
          </cell>
          <cell r="M42">
            <v>0.26744553204925781</v>
          </cell>
          <cell r="O42">
            <v>0.26132771338250788</v>
          </cell>
          <cell r="Q42">
            <v>0.26036649662287314</v>
          </cell>
          <cell r="T42">
            <v>0.2816766924472453</v>
          </cell>
          <cell r="V42">
            <v>0.27342977805732771</v>
          </cell>
          <cell r="X42">
            <v>0.27106863596872283</v>
          </cell>
          <cell r="Z42">
            <v>0.26061204343534056</v>
          </cell>
          <cell r="AB42">
            <v>0.27179593913325006</v>
          </cell>
          <cell r="AF42">
            <v>0.2643312101910828</v>
          </cell>
          <cell r="AH42">
            <v>0.22143864598025387</v>
          </cell>
          <cell r="AJ42">
            <v>0.26275862068965516</v>
          </cell>
          <cell r="AL42">
            <v>0.22602168473728107</v>
          </cell>
          <cell r="AN42">
            <v>0.24393910919000189</v>
          </cell>
          <cell r="AR42">
            <v>0.25051055139550715</v>
          </cell>
          <cell r="AT42">
            <v>0.22750000000000001</v>
          </cell>
          <cell r="AV42">
            <v>0.23</v>
          </cell>
          <cell r="AX42">
            <v>0.22750000000000001</v>
          </cell>
          <cell r="AZ42">
            <v>0.2340976647582528</v>
          </cell>
          <cell r="BB42" t="str">
            <v>&lt;24%</v>
          </cell>
        </row>
        <row r="43">
          <cell r="B43" t="str">
            <v>Net Income (Loss), pro forma</v>
          </cell>
          <cell r="C43">
            <v>340.9</v>
          </cell>
          <cell r="D43">
            <v>412.40000000000015</v>
          </cell>
          <cell r="E43">
            <v>460.79999999999995</v>
          </cell>
          <cell r="F43">
            <v>471.2999999999999</v>
          </cell>
          <cell r="G43">
            <v>1454</v>
          </cell>
          <cell r="I43">
            <v>577.19999999999982</v>
          </cell>
          <cell r="K43">
            <v>691.20000000000016</v>
          </cell>
          <cell r="M43">
            <v>696.00000000000057</v>
          </cell>
          <cell r="O43">
            <v>630.90000000000009</v>
          </cell>
          <cell r="Q43">
            <v>2595.3000000000011</v>
          </cell>
          <cell r="T43">
            <v>752.3</v>
          </cell>
          <cell r="U43">
            <v>0.30336105336105379</v>
          </cell>
          <cell r="V43">
            <v>808.60000000000014</v>
          </cell>
          <cell r="W43">
            <v>0.16984953703703698</v>
          </cell>
          <cell r="X43">
            <v>839</v>
          </cell>
          <cell r="Y43">
            <v>0.20545977011494165</v>
          </cell>
          <cell r="Z43">
            <v>749</v>
          </cell>
          <cell r="AA43">
            <v>0.18719289903312708</v>
          </cell>
          <cell r="AB43">
            <v>3148.8999999999996</v>
          </cell>
          <cell r="AC43">
            <v>0.21330867337109316</v>
          </cell>
          <cell r="AF43">
            <v>924</v>
          </cell>
          <cell r="AG43">
            <v>0.22823341751960657</v>
          </cell>
          <cell r="AH43">
            <v>1104</v>
          </cell>
          <cell r="AI43">
            <v>0.36532278011377661</v>
          </cell>
          <cell r="AJ43">
            <v>1069</v>
          </cell>
          <cell r="AK43">
            <v>0.27413587604290823</v>
          </cell>
          <cell r="AL43">
            <v>928</v>
          </cell>
          <cell r="AM43">
            <v>0.23898531375166887</v>
          </cell>
          <cell r="AN43">
            <v>4023</v>
          </cell>
          <cell r="AO43">
            <v>0.27758899933310066</v>
          </cell>
          <cell r="AR43">
            <v>1101</v>
          </cell>
          <cell r="AS43">
            <v>0.19155844155844148</v>
          </cell>
          <cell r="AT43">
            <v>1125.4745625</v>
          </cell>
          <cell r="AU43">
            <v>1.9451596467391363E-2</v>
          </cell>
          <cell r="AV43">
            <v>1091.696375</v>
          </cell>
          <cell r="AW43">
            <v>2.123140785781108E-2</v>
          </cell>
          <cell r="AX43">
            <v>1017.3222450000001</v>
          </cell>
          <cell r="AY43">
            <v>9.6252419181034554E-2</v>
          </cell>
          <cell r="AZ43">
            <v>4335.4931825000003</v>
          </cell>
          <cell r="BA43">
            <v>7.7676654859557548E-2</v>
          </cell>
        </row>
        <row r="45">
          <cell r="B45" t="str">
            <v>EPS, basic</v>
          </cell>
          <cell r="C45">
            <v>0.32665772326561904</v>
          </cell>
          <cell r="D45">
            <v>0.39707298286154458</v>
          </cell>
          <cell r="E45">
            <v>0.37110413143271315</v>
          </cell>
          <cell r="F45">
            <v>0.36654223051796542</v>
          </cell>
          <cell r="G45">
            <v>1.2605114867793672</v>
          </cell>
          <cell r="I45">
            <v>0.44726850058116996</v>
          </cell>
          <cell r="K45">
            <v>0.53668763102725381</v>
          </cell>
          <cell r="M45">
            <v>0.53978594695207116</v>
          </cell>
          <cell r="O45">
            <v>0.49081997821689749</v>
          </cell>
          <cell r="Q45">
            <v>2.0143588947531827</v>
          </cell>
          <cell r="T45">
            <v>0.58801000468969822</v>
          </cell>
          <cell r="V45">
            <v>0.63759659359722454</v>
          </cell>
          <cell r="X45">
            <v>0.65959119496855345</v>
          </cell>
          <cell r="Z45">
            <v>0.59303246239113228</v>
          </cell>
          <cell r="AB45">
            <v>2.4781804588202885</v>
          </cell>
          <cell r="AF45">
            <v>0.73979183346677346</v>
          </cell>
          <cell r="AH45">
            <v>0.89537712895377131</v>
          </cell>
          <cell r="AJ45">
            <v>0.86699107866991076</v>
          </cell>
          <cell r="AL45">
            <v>0.75508543531326278</v>
          </cell>
          <cell r="AM45">
            <v>3.2572454764037184</v>
          </cell>
          <cell r="AN45">
            <v>3.2548543689320391</v>
          </cell>
          <cell r="AR45">
            <v>0.91597337770382692</v>
          </cell>
          <cell r="AT45">
            <v>0.97029524410955836</v>
          </cell>
          <cell r="AV45">
            <v>0.95068117137336827</v>
          </cell>
          <cell r="AX45">
            <v>0.89486262735353794</v>
          </cell>
          <cell r="AZ45">
            <v>3.731777351192334</v>
          </cell>
        </row>
        <row r="46">
          <cell r="B46" t="str">
            <v>EPS, diluted</v>
          </cell>
          <cell r="C46">
            <v>0.3187350313190862</v>
          </cell>
          <cell r="D46">
            <v>0.37997702038587561</v>
          </cell>
          <cell r="E46">
            <v>0.37522650398647012</v>
          </cell>
          <cell r="F46">
            <v>0.35358375389639296</v>
          </cell>
          <cell r="G46">
            <v>1.2782618118768962</v>
          </cell>
          <cell r="I46">
            <v>0.4313791762352765</v>
          </cell>
          <cell r="K46">
            <v>0.5169404231625836</v>
          </cell>
          <cell r="M46">
            <v>0.52015635432895657</v>
          </cell>
          <cell r="O46">
            <v>0.4746408582089553</v>
          </cell>
          <cell r="Q46">
            <v>1.9433692421991091</v>
          </cell>
          <cell r="T46">
            <v>0.56841932457786115</v>
          </cell>
          <cell r="V46">
            <v>0.61752959702511956</v>
          </cell>
          <cell r="X46">
            <v>0.63948390151515144</v>
          </cell>
          <cell r="Z46">
            <v>0.57566316793893124</v>
          </cell>
          <cell r="AB46">
            <v>2.4009507215635768</v>
          </cell>
          <cell r="AF46">
            <v>0.72024709302325585</v>
          </cell>
          <cell r="AH46">
            <v>0.88400000000000001</v>
          </cell>
          <cell r="AJ46">
            <v>0.85652522017614086</v>
          </cell>
          <cell r="AL46">
            <v>0.74658085277554309</v>
          </cell>
          <cell r="AN46">
            <v>3.2027027027027026</v>
          </cell>
          <cell r="AR46">
            <v>0.90691927512355852</v>
          </cell>
          <cell r="AS46">
            <v>0.25917797365448769</v>
          </cell>
          <cell r="AT46">
            <v>0.9607041873308807</v>
          </cell>
          <cell r="AU46">
            <v>8.6769442681991826E-2</v>
          </cell>
          <cell r="AV46">
            <v>0.9412839934026267</v>
          </cell>
          <cell r="AW46">
            <v>9.8956541185156954E-2</v>
          </cell>
          <cell r="AX46">
            <v>0.8860171977586101</v>
          </cell>
          <cell r="AY46">
            <v>0.18676656984262108</v>
          </cell>
          <cell r="AZ46">
            <v>3.6698689952539394</v>
          </cell>
          <cell r="BA46">
            <v>0.14586626856030183</v>
          </cell>
          <cell r="BB46" t="str">
            <v>3.60-3.70</v>
          </cell>
        </row>
        <row r="48">
          <cell r="B48" t="str">
            <v xml:space="preserve">  Options expense</v>
          </cell>
          <cell r="AR48">
            <v>68</v>
          </cell>
          <cell r="AT48">
            <v>69.372624999999999</v>
          </cell>
          <cell r="AV48">
            <v>74.592437500000017</v>
          </cell>
          <cell r="AX48">
            <v>82.952730000000003</v>
          </cell>
          <cell r="AZ48">
            <v>294.91779250000002</v>
          </cell>
        </row>
        <row r="49">
          <cell r="B49" t="str">
            <v>% of operating expense</v>
          </cell>
          <cell r="AR49">
            <v>3.7199124726477024E-2</v>
          </cell>
          <cell r="AT49">
            <v>3.5000000000000003E-2</v>
          </cell>
          <cell r="AV49">
            <v>3.5000000000000003E-2</v>
          </cell>
          <cell r="AX49">
            <v>3.5000000000000003E-2</v>
          </cell>
          <cell r="AZ49">
            <v>3.5483675035107048E-2</v>
          </cell>
        </row>
        <row r="50">
          <cell r="B50" t="str">
            <v>Net Income (incl options exp)</v>
          </cell>
          <cell r="AR50">
            <v>1050.0347174948945</v>
          </cell>
          <cell r="AT50">
            <v>1071.8842096875001</v>
          </cell>
          <cell r="AV50">
            <v>1034.260198125</v>
          </cell>
          <cell r="AX50">
            <v>953.24126107500001</v>
          </cell>
          <cell r="AZ50">
            <v>4040.5753900000004</v>
          </cell>
        </row>
        <row r="52">
          <cell r="B52" t="str">
            <v>EPS, diluted (incl option exp)</v>
          </cell>
          <cell r="AR52">
            <v>0.8676518883415435</v>
          </cell>
          <cell r="AT52">
            <v>0.92221351610314906</v>
          </cell>
          <cell r="AV52">
            <v>0.8994791153375481</v>
          </cell>
          <cell r="AX52">
            <v>0.83905724506666113</v>
          </cell>
          <cell r="AZ52">
            <v>3.5315180425397048</v>
          </cell>
        </row>
        <row r="53">
          <cell r="B53" t="str">
            <v>EPS, Reported GAAP</v>
          </cell>
          <cell r="C53">
            <v>0.32665772326561904</v>
          </cell>
          <cell r="D53">
            <v>0.39707298286154458</v>
          </cell>
          <cell r="E53">
            <v>-2.0951920753805271</v>
          </cell>
          <cell r="F53">
            <v>0.30074661689220716</v>
          </cell>
          <cell r="G53">
            <v>-1.467706978760295</v>
          </cell>
          <cell r="I53">
            <v>0.38225493994575732</v>
          </cell>
          <cell r="K53">
            <v>0.47146517586769165</v>
          </cell>
          <cell r="M53">
            <v>0.4747169225996592</v>
          </cell>
          <cell r="O53">
            <v>0.42547067060837096</v>
          </cell>
          <cell r="Q53">
            <v>1.7537255510710965</v>
          </cell>
          <cell r="T53">
            <v>0.53947162732530862</v>
          </cell>
          <cell r="V53">
            <v>0.58989118435577992</v>
          </cell>
          <cell r="X53">
            <v>0.18600628930817609</v>
          </cell>
          <cell r="Z53">
            <v>0.54758511480601746</v>
          </cell>
          <cell r="AB53">
            <v>1.8498406327470192</v>
          </cell>
          <cell r="AF53">
            <v>0.68374699759807844</v>
          </cell>
          <cell r="AH53">
            <v>0.85482562854825628</v>
          </cell>
          <cell r="AJ53">
            <v>0.78588807785888082</v>
          </cell>
          <cell r="AL53">
            <v>0.67046379170056958</v>
          </cell>
          <cell r="AN53">
            <v>2.9724919093851132</v>
          </cell>
          <cell r="AR53">
            <v>0.8327787021630616</v>
          </cell>
          <cell r="AT53">
            <v>0.38232872888881225</v>
          </cell>
          <cell r="AV53">
            <v>0.92281463432093214</v>
          </cell>
          <cell r="AX53">
            <v>0.86671461012885487</v>
          </cell>
          <cell r="AZ53">
            <v>3.1196891571852658</v>
          </cell>
        </row>
        <row r="54">
          <cell r="B54" t="str">
            <v>EPS, Reported GAAP -Diluted</v>
          </cell>
          <cell r="C54">
            <v>0.3187350313190862</v>
          </cell>
          <cell r="D54">
            <v>0.37997702038587561</v>
          </cell>
          <cell r="E54">
            <v>-2.0910697028267697</v>
          </cell>
          <cell r="F54">
            <v>0.29079616298055505</v>
          </cell>
          <cell r="G54">
            <v>-1.4499566536627657</v>
          </cell>
          <cell r="I54">
            <v>0.36922642417956869</v>
          </cell>
          <cell r="K54">
            <v>0.4545796213808464</v>
          </cell>
          <cell r="M54">
            <v>0.45791138066622195</v>
          </cell>
          <cell r="O54">
            <v>0.41195429104477616</v>
          </cell>
          <cell r="Q54">
            <v>1.6938893016344732</v>
          </cell>
          <cell r="T54">
            <v>0.52181519699812373</v>
          </cell>
          <cell r="V54">
            <v>0.57161626318585423</v>
          </cell>
          <cell r="X54">
            <v>0.18312026515151514</v>
          </cell>
          <cell r="Z54">
            <v>0.53184637404580148</v>
          </cell>
          <cell r="AB54">
            <v>1.7961251467747434</v>
          </cell>
          <cell r="AF54">
            <v>0.66598352713178288</v>
          </cell>
          <cell r="AH54">
            <v>0.84399999999999997</v>
          </cell>
          <cell r="AJ54">
            <v>0.77646116893514805</v>
          </cell>
          <cell r="AL54">
            <v>0.66291230893000808</v>
          </cell>
          <cell r="AN54">
            <v>2.9252782193958664</v>
          </cell>
          <cell r="AR54">
            <v>0.82183908045977017</v>
          </cell>
          <cell r="AS54">
            <v>0.23402313567606758</v>
          </cell>
          <cell r="AT54">
            <v>0.31933311495420447</v>
          </cell>
          <cell r="AU54">
            <v>-0.62164322872724587</v>
          </cell>
          <cell r="AV54">
            <v>0.9136929081167714</v>
          </cell>
          <cell r="AW54">
            <v>0.17673998993384976</v>
          </cell>
          <cell r="AX54">
            <v>0.85814741464158462</v>
          </cell>
          <cell r="AY54">
            <v>0.29451120922268159</v>
          </cell>
          <cell r="AZ54">
            <v>3.0888520320730564</v>
          </cell>
          <cell r="BA54">
            <v>5.5917352268452403E-2</v>
          </cell>
        </row>
        <row r="55">
          <cell r="B55" t="str">
            <v xml:space="preserve">Basic Shares Outstanding </v>
          </cell>
          <cell r="C55">
            <v>1043.5999999999999</v>
          </cell>
          <cell r="D55">
            <v>1038.5999999999999</v>
          </cell>
          <cell r="E55">
            <v>1241.7</v>
          </cell>
          <cell r="F55">
            <v>1285.8</v>
          </cell>
          <cell r="G55">
            <v>1153.5</v>
          </cell>
          <cell r="I55">
            <v>1290.5</v>
          </cell>
          <cell r="K55">
            <v>1287.9000000000001</v>
          </cell>
          <cell r="M55">
            <v>1289.4000000000001</v>
          </cell>
          <cell r="O55">
            <v>1285.4000000000001</v>
          </cell>
          <cell r="Q55">
            <v>1288.4000000000001</v>
          </cell>
          <cell r="T55">
            <v>1279.4000000000001</v>
          </cell>
          <cell r="U55">
            <v>-8.6013173188685954E-3</v>
          </cell>
          <cell r="V55">
            <v>1268.2</v>
          </cell>
          <cell r="W55">
            <v>-1.5296218650516336E-2</v>
          </cell>
          <cell r="X55">
            <v>1272</v>
          </cell>
          <cell r="Y55">
            <v>-1.349464867380179E-2</v>
          </cell>
          <cell r="Z55">
            <v>1263</v>
          </cell>
          <cell r="AA55">
            <v>-1.7426482028940482E-2</v>
          </cell>
          <cell r="AB55">
            <v>1270.6500000000001</v>
          </cell>
          <cell r="AC55">
            <v>-1.3776777398323503E-2</v>
          </cell>
          <cell r="AF55">
            <v>1249</v>
          </cell>
          <cell r="AG55">
            <v>-2.3761138033453255E-2</v>
          </cell>
          <cell r="AH55">
            <v>1233</v>
          </cell>
          <cell r="AI55">
            <v>-2.7755874467749631E-2</v>
          </cell>
          <cell r="AJ55">
            <v>1233</v>
          </cell>
          <cell r="AK55">
            <v>-3.0660377358490587E-2</v>
          </cell>
          <cell r="AL55">
            <v>1229</v>
          </cell>
          <cell r="AM55">
            <v>-2.6920031670625511E-2</v>
          </cell>
          <cell r="AN55">
            <v>1236</v>
          </cell>
          <cell r="AO55">
            <v>-2.726950773226311E-2</v>
          </cell>
          <cell r="AR55">
            <v>1202</v>
          </cell>
          <cell r="AS55">
            <v>-3.7630104083266613E-2</v>
          </cell>
          <cell r="AT55">
            <v>1159.93</v>
          </cell>
          <cell r="AU55">
            <v>-5.926196269261963E-2</v>
          </cell>
          <cell r="AV55">
            <v>1148.3307</v>
          </cell>
          <cell r="AW55">
            <v>-6.86693430656935E-2</v>
          </cell>
          <cell r="AX55">
            <v>1136.847393</v>
          </cell>
          <cell r="AY55">
            <v>-7.4981779495524759E-2</v>
          </cell>
          <cell r="AZ55">
            <v>1161.7770232500002</v>
          </cell>
          <cell r="BA55">
            <v>-6.0050952063106622E-2</v>
          </cell>
        </row>
        <row r="56">
          <cell r="B56" t="str">
            <v>Diluted Shares Outstanding</v>
          </cell>
          <cell r="C56">
            <v>1085.5999999999999</v>
          </cell>
          <cell r="D56">
            <v>1098.8</v>
          </cell>
          <cell r="E56">
            <v>1241.7</v>
          </cell>
          <cell r="F56">
            <v>1347.4</v>
          </cell>
          <cell r="G56">
            <v>1153.5</v>
          </cell>
          <cell r="I56">
            <v>1349.9</v>
          </cell>
          <cell r="K56">
            <v>1347</v>
          </cell>
          <cell r="M56">
            <v>1347.9</v>
          </cell>
          <cell r="O56">
            <v>1340</v>
          </cell>
          <cell r="Q56">
            <v>1346</v>
          </cell>
          <cell r="T56">
            <v>1332.5</v>
          </cell>
          <cell r="U56">
            <v>-1.2889843692125424E-2</v>
          </cell>
          <cell r="V56">
            <v>1317.7</v>
          </cell>
          <cell r="W56">
            <v>-2.1752041573867786E-2</v>
          </cell>
          <cell r="X56">
            <v>1320</v>
          </cell>
          <cell r="Y56">
            <v>-2.069886490095707E-2</v>
          </cell>
          <cell r="Z56">
            <v>1310</v>
          </cell>
          <cell r="AA56">
            <v>-2.2388059701492491E-2</v>
          </cell>
          <cell r="AB56">
            <v>1320.05</v>
          </cell>
          <cell r="AC56">
            <v>-1.9279346210995585E-2</v>
          </cell>
          <cell r="AF56">
            <v>1290</v>
          </cell>
          <cell r="AG56">
            <v>-3.1894934333958735E-2</v>
          </cell>
          <cell r="AH56">
            <v>1250</v>
          </cell>
          <cell r="AI56">
            <v>-5.1377400015177987E-2</v>
          </cell>
          <cell r="AJ56">
            <v>1249</v>
          </cell>
          <cell r="AK56">
            <v>-5.3787878787878829E-2</v>
          </cell>
          <cell r="AL56">
            <v>1243</v>
          </cell>
          <cell r="AM56">
            <v>-5.1145038167938917E-2</v>
          </cell>
          <cell r="AN56">
            <v>1258</v>
          </cell>
          <cell r="AO56">
            <v>-4.7005795235028902E-2</v>
          </cell>
          <cell r="AR56">
            <v>1214</v>
          </cell>
          <cell r="AS56">
            <v>-5.8914728682170514E-2</v>
          </cell>
          <cell r="AT56">
            <v>1171.51</v>
          </cell>
          <cell r="AU56">
            <v>-6.2791999999999959E-2</v>
          </cell>
          <cell r="AV56">
            <v>1159.7948999999999</v>
          </cell>
          <cell r="AW56">
            <v>-7.1421216973578949E-2</v>
          </cell>
          <cell r="AX56">
            <v>1148.1969509999999</v>
          </cell>
          <cell r="AY56">
            <v>-7.6269548672566412E-2</v>
          </cell>
          <cell r="AZ56">
            <v>1173.37546275</v>
          </cell>
          <cell r="BA56">
            <v>-6.726910751192372E-2</v>
          </cell>
        </row>
        <row r="58">
          <cell r="B58" t="str">
            <v>Amortization of Acquired Intangibles</v>
          </cell>
          <cell r="E58">
            <v>70.599999999999994</v>
          </cell>
          <cell r="F58">
            <v>84.6</v>
          </cell>
          <cell r="G58">
            <v>155.19999999999999</v>
          </cell>
          <cell r="I58">
            <v>83.9</v>
          </cell>
          <cell r="K58">
            <v>84</v>
          </cell>
          <cell r="M58">
            <v>83.9</v>
          </cell>
          <cell r="O58">
            <v>84</v>
          </cell>
          <cell r="Q58">
            <v>335.8</v>
          </cell>
          <cell r="T58">
            <v>-98.1</v>
          </cell>
          <cell r="V58">
            <v>-96.100000000000009</v>
          </cell>
          <cell r="X58">
            <v>-100</v>
          </cell>
          <cell r="Z58">
            <v>-93</v>
          </cell>
          <cell r="AB58">
            <v>-387.2</v>
          </cell>
          <cell r="AF58">
            <v>-87</v>
          </cell>
          <cell r="AH58">
            <v>-87</v>
          </cell>
          <cell r="AJ58">
            <v>-86</v>
          </cell>
          <cell r="AL58">
            <v>-87</v>
          </cell>
          <cell r="AN58">
            <v>-347</v>
          </cell>
          <cell r="AR58">
            <v>-87</v>
          </cell>
          <cell r="AT58">
            <v>-87</v>
          </cell>
          <cell r="AV58">
            <v>-87</v>
          </cell>
          <cell r="AX58">
            <v>-87</v>
          </cell>
          <cell r="AZ58">
            <v>-97</v>
          </cell>
        </row>
        <row r="59">
          <cell r="B59" t="str">
            <v>Write off of IPR&amp;D</v>
          </cell>
          <cell r="E59">
            <v>2991.8</v>
          </cell>
          <cell r="G59">
            <v>2991.8</v>
          </cell>
          <cell r="X59">
            <v>-554</v>
          </cell>
          <cell r="AB59">
            <v>-554</v>
          </cell>
          <cell r="AN59">
            <v>0</v>
          </cell>
          <cell r="AT59">
            <v>-650</v>
          </cell>
          <cell r="AZ59">
            <v>-650</v>
          </cell>
        </row>
        <row r="60">
          <cell r="B60" t="str">
            <v>legal settlements</v>
          </cell>
          <cell r="AN60">
            <v>-49</v>
          </cell>
        </row>
        <row r="61">
          <cell r="B61" t="str">
            <v>COGS</v>
          </cell>
          <cell r="X61">
            <v>4</v>
          </cell>
          <cell r="AJ61">
            <v>-47</v>
          </cell>
          <cell r="AN61">
            <v>-47</v>
          </cell>
        </row>
        <row r="62">
          <cell r="B62" t="str">
            <v>R&amp;D</v>
          </cell>
          <cell r="X62">
            <v>8</v>
          </cell>
          <cell r="AF62">
            <v>-3</v>
          </cell>
          <cell r="AH62">
            <v>-3</v>
          </cell>
          <cell r="AJ62">
            <v>-3</v>
          </cell>
          <cell r="AL62">
            <v>-3</v>
          </cell>
          <cell r="AN62">
            <v>-12</v>
          </cell>
        </row>
        <row r="63">
          <cell r="B63" t="str">
            <v>SG&amp;A</v>
          </cell>
          <cell r="X63">
            <v>4</v>
          </cell>
          <cell r="AL63">
            <v>2</v>
          </cell>
          <cell r="AN63">
            <v>2</v>
          </cell>
        </row>
        <row r="64">
          <cell r="B64" t="str">
            <v>Interest expense</v>
          </cell>
          <cell r="AF64">
            <v>-20</v>
          </cell>
          <cell r="AN64">
            <v>0</v>
          </cell>
        </row>
        <row r="65">
          <cell r="B65" t="str">
            <v>Tax provision</v>
          </cell>
          <cell r="T65">
            <v>36</v>
          </cell>
          <cell r="V65">
            <v>35.6</v>
          </cell>
          <cell r="X65">
            <v>35.6</v>
          </cell>
          <cell r="Z65">
            <v>35.6</v>
          </cell>
          <cell r="AB65">
            <v>142.79999999999998</v>
          </cell>
          <cell r="AF65">
            <v>40</v>
          </cell>
          <cell r="AH65">
            <v>40</v>
          </cell>
          <cell r="AJ65">
            <v>36</v>
          </cell>
          <cell r="AL65">
            <v>-16</v>
          </cell>
          <cell r="AN65">
            <v>104</v>
          </cell>
          <cell r="AR65">
            <v>55</v>
          </cell>
          <cell r="AT65">
            <v>55</v>
          </cell>
          <cell r="AV65">
            <v>55</v>
          </cell>
          <cell r="AX65">
            <v>55</v>
          </cell>
          <cell r="AZ65">
            <v>35.89</v>
          </cell>
        </row>
        <row r="66">
          <cell r="B66" t="str">
            <v>implied tax rate</v>
          </cell>
          <cell r="T66">
            <v>-0.3669724770642202</v>
          </cell>
          <cell r="V66">
            <v>-0.37044745057232048</v>
          </cell>
          <cell r="X66">
            <v>-0.35600000000000004</v>
          </cell>
          <cell r="Z66">
            <v>-0.3827956989247312</v>
          </cell>
          <cell r="AB66">
            <v>-0.36880165289256195</v>
          </cell>
          <cell r="AF66">
            <v>-0.45977011494252873</v>
          </cell>
          <cell r="AH66">
            <v>-0.45977011494252873</v>
          </cell>
          <cell r="AJ66">
            <v>-0.41860465116279072</v>
          </cell>
          <cell r="AL66">
            <v>0.18390804597701149</v>
          </cell>
          <cell r="AN66">
            <v>-0.29971181556195964</v>
          </cell>
          <cell r="AR66">
            <v>-0.63218390804597702</v>
          </cell>
          <cell r="AT66">
            <v>-0.63218390804597702</v>
          </cell>
          <cell r="AV66">
            <v>-0.63218390804597702</v>
          </cell>
          <cell r="AX66">
            <v>-0.63218390804597702</v>
          </cell>
        </row>
        <row r="67">
          <cell r="B67" t="str">
            <v>GAAP net income</v>
          </cell>
          <cell r="AR67">
            <v>1001</v>
          </cell>
          <cell r="AT67">
            <v>374.10193750000008</v>
          </cell>
          <cell r="AV67">
            <v>985.10393750000003</v>
          </cell>
          <cell r="AX67">
            <v>902.36951500000009</v>
          </cell>
          <cell r="AZ67">
            <v>3329.4653900000003</v>
          </cell>
        </row>
        <row r="68">
          <cell r="B68" t="str">
            <v>GAAP diluted share count</v>
          </cell>
          <cell r="AR68">
            <v>1218</v>
          </cell>
          <cell r="AT68">
            <v>1171.51</v>
          </cell>
          <cell r="AV68">
            <v>1159.7948999999999</v>
          </cell>
          <cell r="AX68">
            <v>1148.1969509999999</v>
          </cell>
          <cell r="AZ68">
            <v>1173.37546275</v>
          </cell>
        </row>
        <row r="69">
          <cell r="AR69">
            <v>1.0133111480865225</v>
          </cell>
        </row>
        <row r="70">
          <cell r="B70" t="str">
            <v>Convertible interest add-back</v>
          </cell>
          <cell r="C70">
            <v>5.1187500000000004</v>
          </cell>
          <cell r="D70">
            <v>5.1187500000000004</v>
          </cell>
          <cell r="E70">
            <v>5.1187500000000004</v>
          </cell>
          <cell r="F70">
            <v>5.1187500000000004</v>
          </cell>
          <cell r="G70">
            <v>20.475000000000001</v>
          </cell>
          <cell r="I70">
            <v>5.1187500000000004</v>
          </cell>
          <cell r="K70">
            <v>5.1187500000000004</v>
          </cell>
          <cell r="M70">
            <v>5.1187500000000004</v>
          </cell>
          <cell r="O70">
            <v>5.1187500000000004</v>
          </cell>
          <cell r="Q70">
            <v>20.475000000000001</v>
          </cell>
          <cell r="T70">
            <v>5.1187500000000004</v>
          </cell>
          <cell r="V70">
            <v>5.1187500000000004</v>
          </cell>
          <cell r="X70">
            <v>5.1187500000000004</v>
          </cell>
          <cell r="Z70">
            <v>5.1187500000000004</v>
          </cell>
          <cell r="AB70">
            <v>20.475000000000001</v>
          </cell>
          <cell r="AF70">
            <v>5.1187500000000004</v>
          </cell>
          <cell r="AH70">
            <v>1</v>
          </cell>
          <cell r="AJ70">
            <v>0.8</v>
          </cell>
          <cell r="AN70">
            <v>6</v>
          </cell>
          <cell r="AR70">
            <v>0</v>
          </cell>
          <cell r="AT70">
            <v>0</v>
          </cell>
          <cell r="AV70">
            <v>0</v>
          </cell>
          <cell r="AX70">
            <v>0</v>
          </cell>
          <cell r="AZ70">
            <v>0</v>
          </cell>
        </row>
        <row r="72">
          <cell r="B72" t="str">
            <v>EPS, GAAP</v>
          </cell>
          <cell r="Q72">
            <v>1.6938893016344732</v>
          </cell>
        </row>
        <row r="74">
          <cell r="B74" t="str">
            <v>CHECK GAAP</v>
          </cell>
          <cell r="E74">
            <v>3957.4</v>
          </cell>
        </row>
      </sheetData>
      <sheetData sheetId="5" refreshError="1"/>
      <sheetData sheetId="6" refreshError="1">
        <row r="1">
          <cell r="B1" t="str">
            <v>Amgen Annual Income Statement</v>
          </cell>
          <cell r="AO1" t="str">
            <v>ElementName</v>
          </cell>
          <cell r="AP1" t="str">
            <v>ScaleOverride</v>
          </cell>
          <cell r="AQ1" t="str">
            <v>UnitOverride</v>
          </cell>
          <cell r="AR1" t="str">
            <v>ReverseSign</v>
          </cell>
          <cell r="AS1" t="str">
            <v>IsDrivingAssumption</v>
          </cell>
          <cell r="AT1" t="str">
            <v>SegmentID</v>
          </cell>
        </row>
        <row r="2">
          <cell r="B2" t="str">
            <v>(Dollars in thousands except per-share data)</v>
          </cell>
        </row>
        <row r="4">
          <cell r="C4" t="str">
            <v>1993</v>
          </cell>
          <cell r="E4" t="str">
            <v>1994</v>
          </cell>
          <cell r="G4" t="str">
            <v>1995</v>
          </cell>
          <cell r="I4" t="str">
            <v>1996</v>
          </cell>
          <cell r="K4" t="str">
            <v>1997</v>
          </cell>
          <cell r="M4" t="str">
            <v>1998</v>
          </cell>
          <cell r="O4" t="str">
            <v>1999</v>
          </cell>
          <cell r="Q4" t="str">
            <v>2000</v>
          </cell>
          <cell r="S4" t="str">
            <v>2001A</v>
          </cell>
          <cell r="U4" t="str">
            <v>2002A</v>
          </cell>
          <cell r="W4" t="str">
            <v>2003A</v>
          </cell>
          <cell r="X4" t="str">
            <v>% chg</v>
          </cell>
          <cell r="Y4" t="str">
            <v>2004A</v>
          </cell>
          <cell r="Z4" t="str">
            <v>% chg</v>
          </cell>
          <cell r="AA4" t="str">
            <v>2005A</v>
          </cell>
          <cell r="AB4" t="str">
            <v>% chg</v>
          </cell>
          <cell r="AC4" t="str">
            <v>2006E</v>
          </cell>
          <cell r="AD4" t="str">
            <v>% chg</v>
          </cell>
          <cell r="AE4" t="str">
            <v>2007E</v>
          </cell>
          <cell r="AF4" t="str">
            <v>% chg</v>
          </cell>
          <cell r="AG4" t="str">
            <v>2008E</v>
          </cell>
          <cell r="AH4" t="str">
            <v>% chg</v>
          </cell>
          <cell r="AI4" t="str">
            <v>2009E</v>
          </cell>
          <cell r="AJ4" t="str">
            <v>% chg</v>
          </cell>
          <cell r="AK4" t="str">
            <v>2010E</v>
          </cell>
          <cell r="AL4" t="str">
            <v>% chg</v>
          </cell>
        </row>
        <row r="5">
          <cell r="B5" t="str">
            <v>Epogen</v>
          </cell>
          <cell r="C5">
            <v>586.9</v>
          </cell>
          <cell r="E5">
            <v>720.6</v>
          </cell>
          <cell r="G5">
            <v>882.6</v>
          </cell>
          <cell r="I5">
            <v>1071.9000000000001</v>
          </cell>
          <cell r="K5">
            <v>1160.8</v>
          </cell>
          <cell r="M5">
            <v>1382.1</v>
          </cell>
          <cell r="O5">
            <v>1759.1</v>
          </cell>
          <cell r="Q5">
            <v>1962.2</v>
          </cell>
          <cell r="S5">
            <v>2108.5</v>
          </cell>
          <cell r="U5">
            <v>2260.6</v>
          </cell>
          <cell r="W5">
            <v>2434.6999999999998</v>
          </cell>
          <cell r="X5">
            <v>7.701495178271256E-2</v>
          </cell>
          <cell r="Y5">
            <v>2600.6</v>
          </cell>
          <cell r="Z5">
            <v>6.8139811886474666E-2</v>
          </cell>
          <cell r="AA5">
            <v>2455</v>
          </cell>
          <cell r="AB5">
            <v>-5.598707990463736E-2</v>
          </cell>
          <cell r="AC5">
            <v>2514</v>
          </cell>
          <cell r="AD5">
            <v>2.4032586558044855E-2</v>
          </cell>
          <cell r="AE5">
            <v>2572.1174973954289</v>
          </cell>
          <cell r="AF5">
            <v>2.3117540730083208E-2</v>
          </cell>
          <cell r="AG5">
            <v>2632.2299063233218</v>
          </cell>
          <cell r="AH5">
            <v>2.3370786516853759E-2</v>
          </cell>
          <cell r="AI5">
            <v>2708.8786464932482</v>
          </cell>
          <cell r="AJ5">
            <v>2.9119318181818343E-2</v>
          </cell>
          <cell r="AK5">
            <v>2787.6683168398231</v>
          </cell>
          <cell r="AL5">
            <v>2.9085714285714159E-2</v>
          </cell>
        </row>
        <row r="6">
          <cell r="B6" t="str">
            <v>Aranesp - US</v>
          </cell>
          <cell r="S6">
            <v>27</v>
          </cell>
          <cell r="U6">
            <v>284.7</v>
          </cell>
          <cell r="W6">
            <v>979.9</v>
          </cell>
          <cell r="Y6">
            <v>1533.3</v>
          </cell>
          <cell r="AA6">
            <v>2104</v>
          </cell>
          <cell r="AB6">
            <v>0.37220374355964259</v>
          </cell>
          <cell r="AC6">
            <v>2596</v>
          </cell>
          <cell r="AD6">
            <v>0.23384030418250945</v>
          </cell>
          <cell r="AE6">
            <v>2975</v>
          </cell>
          <cell r="AF6">
            <v>0.14599383667180277</v>
          </cell>
          <cell r="AG6">
            <v>3300</v>
          </cell>
          <cell r="AH6">
            <v>0.10924369747899165</v>
          </cell>
          <cell r="AI6">
            <v>3600</v>
          </cell>
          <cell r="AJ6">
            <v>9.0909090909090828E-2</v>
          </cell>
          <cell r="AK6">
            <v>3850</v>
          </cell>
          <cell r="AL6">
            <v>6.944444444444442E-2</v>
          </cell>
        </row>
        <row r="7">
          <cell r="B7" t="str">
            <v>Aranesp, Intl.</v>
          </cell>
          <cell r="S7">
            <v>14.5</v>
          </cell>
          <cell r="U7">
            <v>130.9</v>
          </cell>
          <cell r="W7">
            <v>563.9</v>
          </cell>
          <cell r="Y7">
            <v>939.6</v>
          </cell>
          <cell r="AA7">
            <v>1169</v>
          </cell>
          <cell r="AB7">
            <v>0.2441464452958706</v>
          </cell>
          <cell r="AC7">
            <v>1317</v>
          </cell>
          <cell r="AD7">
            <v>0.1266039349871686</v>
          </cell>
          <cell r="AE7">
            <v>1375</v>
          </cell>
          <cell r="AF7">
            <v>4.4039483675019087E-2</v>
          </cell>
          <cell r="AG7">
            <v>1425</v>
          </cell>
          <cell r="AH7">
            <v>3.6363636363636376E-2</v>
          </cell>
          <cell r="AI7">
            <v>1450</v>
          </cell>
          <cell r="AJ7">
            <v>1.7543859649122862E-2</v>
          </cell>
          <cell r="AK7">
            <v>1485</v>
          </cell>
          <cell r="AL7">
            <v>2.4137931034482696E-2</v>
          </cell>
        </row>
        <row r="8">
          <cell r="B8" t="str">
            <v>Aranesp</v>
          </cell>
          <cell r="C8">
            <v>0</v>
          </cell>
          <cell r="E8">
            <v>0</v>
          </cell>
          <cell r="G8">
            <v>0</v>
          </cell>
          <cell r="I8">
            <v>0</v>
          </cell>
          <cell r="K8">
            <v>0</v>
          </cell>
          <cell r="M8">
            <v>0</v>
          </cell>
          <cell r="O8">
            <v>0</v>
          </cell>
          <cell r="Q8">
            <v>0</v>
          </cell>
          <cell r="S8">
            <v>41.5</v>
          </cell>
          <cell r="U8">
            <v>415.6</v>
          </cell>
          <cell r="W8">
            <v>1543.8</v>
          </cell>
          <cell r="X8">
            <v>2.7146294513955724</v>
          </cell>
          <cell r="Y8">
            <v>2472.9</v>
          </cell>
          <cell r="Z8">
            <v>0.60182666148464836</v>
          </cell>
          <cell r="AA8">
            <v>3273</v>
          </cell>
          <cell r="AB8">
            <v>0.32354725221399971</v>
          </cell>
          <cell r="AC8">
            <v>3913</v>
          </cell>
          <cell r="AD8">
            <v>0.19553926061717086</v>
          </cell>
          <cell r="AE8">
            <v>4350</v>
          </cell>
          <cell r="AF8">
            <v>0.1116790186557628</v>
          </cell>
          <cell r="AG8">
            <v>4725</v>
          </cell>
          <cell r="AH8">
            <v>8.6206896551724199E-2</v>
          </cell>
          <cell r="AI8">
            <v>5050</v>
          </cell>
          <cell r="AJ8">
            <v>6.8783068783068835E-2</v>
          </cell>
          <cell r="AK8">
            <v>5335</v>
          </cell>
          <cell r="AL8">
            <v>5.6435643564356486E-2</v>
          </cell>
        </row>
        <row r="9">
          <cell r="B9" t="str">
            <v>Neupogen, U.S.</v>
          </cell>
          <cell r="C9">
            <v>545.5</v>
          </cell>
          <cell r="E9">
            <v>617.20000000000005</v>
          </cell>
          <cell r="G9">
            <v>661.8</v>
          </cell>
          <cell r="I9">
            <v>731.6</v>
          </cell>
          <cell r="K9">
            <v>790</v>
          </cell>
          <cell r="M9">
            <v>853.2</v>
          </cell>
          <cell r="O9">
            <v>921.45600000000013</v>
          </cell>
          <cell r="Q9">
            <v>985.95792000000017</v>
          </cell>
          <cell r="S9">
            <v>1050.5999999999999</v>
          </cell>
          <cell r="U9">
            <v>1041.7</v>
          </cell>
          <cell r="W9">
            <v>880.5</v>
          </cell>
          <cell r="X9">
            <v>-0.15474704809446105</v>
          </cell>
          <cell r="Y9">
            <v>777.8</v>
          </cell>
          <cell r="AA9">
            <v>805</v>
          </cell>
          <cell r="AB9">
            <v>3.4970429416302462E-2</v>
          </cell>
          <cell r="AC9">
            <v>809</v>
          </cell>
          <cell r="AD9">
            <v>4.9689440993789802E-3</v>
          </cell>
          <cell r="AE9">
            <v>819.71999999999991</v>
          </cell>
          <cell r="AF9">
            <v>1.3250927070457275E-2</v>
          </cell>
          <cell r="AG9">
            <v>831.59999999999991</v>
          </cell>
          <cell r="AH9">
            <v>1.449275362318847E-2</v>
          </cell>
          <cell r="AI9">
            <v>831.59999999999991</v>
          </cell>
          <cell r="AJ9">
            <v>0</v>
          </cell>
          <cell r="AK9">
            <v>831.59999999999991</v>
          </cell>
          <cell r="AL9">
            <v>0</v>
          </cell>
        </row>
        <row r="10">
          <cell r="B10" t="str">
            <v>Neupogen, Intl.</v>
          </cell>
          <cell r="C10">
            <v>173.9</v>
          </cell>
          <cell r="E10">
            <v>211.7</v>
          </cell>
          <cell r="G10">
            <v>274.2</v>
          </cell>
          <cell r="I10">
            <v>284.7</v>
          </cell>
          <cell r="K10">
            <v>294.66449999999998</v>
          </cell>
          <cell r="M10">
            <v>309.39772499999998</v>
          </cell>
          <cell r="O10">
            <v>324.86761124999998</v>
          </cell>
          <cell r="Q10">
            <v>341.1109918125</v>
          </cell>
          <cell r="S10">
            <v>295.8</v>
          </cell>
          <cell r="U10">
            <v>337.9</v>
          </cell>
          <cell r="W10">
            <v>386.2</v>
          </cell>
          <cell r="X10">
            <v>0.14294169872743412</v>
          </cell>
          <cell r="Y10">
            <v>397.4</v>
          </cell>
          <cell r="AA10">
            <v>411</v>
          </cell>
          <cell r="AB10">
            <v>3.4222445898339338E-2</v>
          </cell>
          <cell r="AC10">
            <v>379</v>
          </cell>
          <cell r="AD10">
            <v>-7.7858880778588824E-2</v>
          </cell>
          <cell r="AE10">
            <v>368.28000000000009</v>
          </cell>
          <cell r="AF10">
            <v>-2.828496042216333E-2</v>
          </cell>
          <cell r="AG10">
            <v>356.40000000000003</v>
          </cell>
          <cell r="AH10">
            <v>-3.2258064516129115E-2</v>
          </cell>
          <cell r="AI10">
            <v>356.40000000000003</v>
          </cell>
          <cell r="AJ10">
            <v>0</v>
          </cell>
          <cell r="AK10">
            <v>356.40000000000003</v>
          </cell>
          <cell r="AL10">
            <v>0</v>
          </cell>
        </row>
        <row r="11">
          <cell r="B11" t="str">
            <v>Neupogen</v>
          </cell>
          <cell r="C11">
            <v>719.4</v>
          </cell>
          <cell r="E11">
            <v>828.90000000000009</v>
          </cell>
          <cell r="G11">
            <v>936</v>
          </cell>
          <cell r="I11">
            <v>1016.3</v>
          </cell>
          <cell r="K11">
            <v>1055.7</v>
          </cell>
          <cell r="M11">
            <v>1116.5999999999999</v>
          </cell>
          <cell r="O11">
            <v>1256.5999999999999</v>
          </cell>
          <cell r="Q11">
            <v>1223.7</v>
          </cell>
          <cell r="S11">
            <v>1346.3999999999999</v>
          </cell>
          <cell r="U11">
            <v>1379.6</v>
          </cell>
          <cell r="W11">
            <v>1266.7</v>
          </cell>
          <cell r="X11">
            <v>-8.1835314583937224E-2</v>
          </cell>
          <cell r="Y11">
            <v>1175.1999999999998</v>
          </cell>
          <cell r="Z11">
            <v>-7.2234941185758461E-2</v>
          </cell>
          <cell r="AA11">
            <v>1216</v>
          </cell>
          <cell r="AB11">
            <v>3.4717494894486167E-2</v>
          </cell>
          <cell r="AC11">
            <v>1188</v>
          </cell>
          <cell r="AD11">
            <v>-2.3026315789473673E-2</v>
          </cell>
          <cell r="AE11">
            <v>1188</v>
          </cell>
          <cell r="AF11">
            <v>0</v>
          </cell>
          <cell r="AG11">
            <v>1188</v>
          </cell>
          <cell r="AH11">
            <v>0</v>
          </cell>
          <cell r="AI11">
            <v>1188</v>
          </cell>
          <cell r="AJ11">
            <v>0</v>
          </cell>
          <cell r="AK11">
            <v>1188</v>
          </cell>
          <cell r="AL11">
            <v>0</v>
          </cell>
        </row>
        <row r="12">
          <cell r="B12" t="str">
            <v>Neulasta, U.S.</v>
          </cell>
          <cell r="Y12">
            <v>1476.5</v>
          </cell>
          <cell r="AA12">
            <v>1900</v>
          </cell>
          <cell r="AB12">
            <v>0.28682695563833382</v>
          </cell>
          <cell r="AC12">
            <v>2144.4937499999996</v>
          </cell>
          <cell r="AD12">
            <v>0.1286809210526314</v>
          </cell>
          <cell r="AE12">
            <v>2613.9768510000004</v>
          </cell>
          <cell r="AF12">
            <v>0.2189249099000643</v>
          </cell>
          <cell r="AG12">
            <v>2737.4321432400006</v>
          </cell>
          <cell r="AH12">
            <v>4.7228915662650639E-2</v>
          </cell>
          <cell r="AI12">
            <v>2764.1387982960005</v>
          </cell>
          <cell r="AJ12">
            <v>9.7560975609756184E-3</v>
          </cell>
          <cell r="AK12">
            <v>2764.1387982960005</v>
          </cell>
          <cell r="AL12">
            <v>0</v>
          </cell>
        </row>
        <row r="13">
          <cell r="B13" t="str">
            <v>Neulasta, Intl.</v>
          </cell>
          <cell r="Y13">
            <v>263.10000000000002</v>
          </cell>
          <cell r="AA13">
            <v>388</v>
          </cell>
          <cell r="AB13">
            <v>0.47472443937666275</v>
          </cell>
          <cell r="AC13">
            <v>458.50625000000002</v>
          </cell>
          <cell r="AD13">
            <v>0.18171713917525789</v>
          </cell>
          <cell r="AE13">
            <v>535.39284900000018</v>
          </cell>
          <cell r="AF13">
            <v>0.16768931503114759</v>
          </cell>
          <cell r="AG13">
            <v>600.89973876000033</v>
          </cell>
          <cell r="AH13">
            <v>0.12235294117647078</v>
          </cell>
          <cell r="AI13">
            <v>691.034699574</v>
          </cell>
          <cell r="AJ13">
            <v>0.14999999999999947</v>
          </cell>
          <cell r="AK13">
            <v>691.034699574</v>
          </cell>
          <cell r="AL13">
            <v>0</v>
          </cell>
        </row>
        <row r="14">
          <cell r="B14" t="str">
            <v>Neulasta</v>
          </cell>
          <cell r="C14">
            <v>0</v>
          </cell>
          <cell r="E14">
            <v>0</v>
          </cell>
          <cell r="G14">
            <v>0</v>
          </cell>
          <cell r="I14">
            <v>0</v>
          </cell>
          <cell r="K14">
            <v>0</v>
          </cell>
          <cell r="M14">
            <v>0</v>
          </cell>
          <cell r="O14">
            <v>0</v>
          </cell>
          <cell r="Q14">
            <v>0</v>
          </cell>
          <cell r="S14">
            <v>0</v>
          </cell>
          <cell r="U14">
            <v>463.5</v>
          </cell>
          <cell r="W14">
            <v>1255</v>
          </cell>
          <cell r="X14">
            <v>1.7076591154261056</v>
          </cell>
          <cell r="Y14">
            <v>1739.6</v>
          </cell>
          <cell r="Z14">
            <v>0.38613545816733064</v>
          </cell>
          <cell r="AA14">
            <v>2288</v>
          </cell>
          <cell r="AB14">
            <v>0.31524488388135219</v>
          </cell>
          <cell r="AC14">
            <v>2603</v>
          </cell>
          <cell r="AD14">
            <v>0.13767482517482521</v>
          </cell>
          <cell r="AE14">
            <v>2889.3300000000004</v>
          </cell>
          <cell r="AF14">
            <v>0.11</v>
          </cell>
          <cell r="AG14">
            <v>3149.3697000000006</v>
          </cell>
          <cell r="AH14">
            <v>0.09</v>
          </cell>
          <cell r="AI14">
            <v>3338.3318820000009</v>
          </cell>
          <cell r="AJ14">
            <v>0.06</v>
          </cell>
          <cell r="AK14">
            <v>3455.1734978700006</v>
          </cell>
          <cell r="AL14">
            <v>3.5000000000000003E-2</v>
          </cell>
        </row>
        <row r="15">
          <cell r="B15" t="str">
            <v xml:space="preserve">Enbrel </v>
          </cell>
          <cell r="C15">
            <v>0</v>
          </cell>
          <cell r="E15">
            <v>0</v>
          </cell>
          <cell r="G15">
            <v>0</v>
          </cell>
          <cell r="I15">
            <v>0</v>
          </cell>
          <cell r="K15">
            <v>0</v>
          </cell>
          <cell r="M15">
            <v>0</v>
          </cell>
          <cell r="O15">
            <v>0</v>
          </cell>
          <cell r="Q15">
            <v>0</v>
          </cell>
          <cell r="S15">
            <v>0</v>
          </cell>
          <cell r="U15">
            <v>362.09999999999997</v>
          </cell>
          <cell r="W15">
            <v>1300</v>
          </cell>
          <cell r="X15">
            <v>2.5901684617508978</v>
          </cell>
          <cell r="Y15">
            <v>1900.3</v>
          </cell>
          <cell r="Z15">
            <v>0.46176923076923071</v>
          </cell>
          <cell r="AA15">
            <v>2573</v>
          </cell>
          <cell r="AB15">
            <v>0.35399673735725945</v>
          </cell>
          <cell r="AC15">
            <v>2793</v>
          </cell>
          <cell r="AD15">
            <v>8.5503303536727637E-2</v>
          </cell>
          <cell r="AE15">
            <v>3016.8307284116399</v>
          </cell>
          <cell r="AF15">
            <v>8.013989560030077E-2</v>
          </cell>
          <cell r="AG15">
            <v>3233.3473223083402</v>
          </cell>
          <cell r="AH15">
            <v>7.1769553345373271E-2</v>
          </cell>
          <cell r="AI15">
            <v>3421.4242764919281</v>
          </cell>
          <cell r="AJ15">
            <v>5.8167878497295655E-2</v>
          </cell>
          <cell r="AK15">
            <v>3609.367628534259</v>
          </cell>
          <cell r="AL15">
            <v>5.4931320074408818E-2</v>
          </cell>
          <cell r="AM15">
            <v>0.19989101492097358</v>
          </cell>
          <cell r="AN15">
            <v>7.0035697760095078E-2</v>
          </cell>
        </row>
        <row r="16">
          <cell r="B16" t="str">
            <v>Sensipar</v>
          </cell>
          <cell r="C16">
            <v>0</v>
          </cell>
          <cell r="E16">
            <v>0</v>
          </cell>
          <cell r="G16">
            <v>0</v>
          </cell>
          <cell r="I16">
            <v>0</v>
          </cell>
          <cell r="K16">
            <v>0</v>
          </cell>
          <cell r="M16">
            <v>0</v>
          </cell>
          <cell r="O16">
            <v>0</v>
          </cell>
          <cell r="Q16">
            <v>0</v>
          </cell>
          <cell r="S16">
            <v>0</v>
          </cell>
          <cell r="U16">
            <v>0</v>
          </cell>
          <cell r="W16">
            <v>0</v>
          </cell>
          <cell r="Y16">
            <v>35</v>
          </cell>
          <cell r="Z16" t="str">
            <v>NM</v>
          </cell>
          <cell r="AA16">
            <v>151</v>
          </cell>
          <cell r="AB16">
            <v>3.3142857142857141</v>
          </cell>
          <cell r="AC16">
            <v>283</v>
          </cell>
          <cell r="AD16">
            <v>0.8741721854304636</v>
          </cell>
          <cell r="AE16">
            <v>382.05</v>
          </cell>
          <cell r="AF16">
            <v>0.35</v>
          </cell>
          <cell r="AG16">
            <v>458.46</v>
          </cell>
          <cell r="AH16">
            <v>0.2</v>
          </cell>
          <cell r="AI16">
            <v>495.13679999999999</v>
          </cell>
          <cell r="AJ16">
            <v>0.08</v>
          </cell>
          <cell r="AK16">
            <v>519.89364</v>
          </cell>
          <cell r="AL16">
            <v>0.05</v>
          </cell>
        </row>
        <row r="17">
          <cell r="B17" t="str">
            <v>Palifermin</v>
          </cell>
          <cell r="C17">
            <v>0</v>
          </cell>
          <cell r="E17">
            <v>0</v>
          </cell>
          <cell r="G17">
            <v>0</v>
          </cell>
          <cell r="I17">
            <v>0</v>
          </cell>
          <cell r="K17">
            <v>0</v>
          </cell>
          <cell r="M17">
            <v>0</v>
          </cell>
          <cell r="O17">
            <v>0</v>
          </cell>
          <cell r="Q17">
            <v>0</v>
          </cell>
          <cell r="S17">
            <v>0</v>
          </cell>
          <cell r="U17">
            <v>0</v>
          </cell>
          <cell r="W17">
            <v>0</v>
          </cell>
          <cell r="Y17">
            <v>0</v>
          </cell>
          <cell r="Z17" t="str">
            <v>NM</v>
          </cell>
          <cell r="AA17">
            <v>32</v>
          </cell>
          <cell r="AC17">
            <v>73</v>
          </cell>
          <cell r="AE17">
            <v>98.550000000000011</v>
          </cell>
          <cell r="AF17">
            <v>0.35</v>
          </cell>
          <cell r="AG17">
            <v>123.18750000000001</v>
          </cell>
          <cell r="AH17">
            <v>0.25</v>
          </cell>
          <cell r="AI17">
            <v>166.30312500000002</v>
          </cell>
          <cell r="AJ17">
            <v>0.35</v>
          </cell>
          <cell r="AK17">
            <v>224.50921875000006</v>
          </cell>
          <cell r="AL17">
            <v>0.35</v>
          </cell>
        </row>
        <row r="18">
          <cell r="B18" t="str">
            <v>Panitumumab</v>
          </cell>
          <cell r="U18">
            <v>0</v>
          </cell>
          <cell r="W18">
            <v>0</v>
          </cell>
          <cell r="Y18">
            <v>0</v>
          </cell>
          <cell r="Z18" t="str">
            <v>NM</v>
          </cell>
          <cell r="AA18">
            <v>0</v>
          </cell>
          <cell r="AC18">
            <v>35</v>
          </cell>
          <cell r="AE18">
            <v>225</v>
          </cell>
          <cell r="AG18">
            <v>475</v>
          </cell>
          <cell r="AI18">
            <v>700</v>
          </cell>
          <cell r="AK18">
            <v>850</v>
          </cell>
        </row>
        <row r="19">
          <cell r="B19" t="str">
            <v>AMG162</v>
          </cell>
          <cell r="AC19">
            <v>0</v>
          </cell>
          <cell r="AG19">
            <v>0</v>
          </cell>
          <cell r="AI19">
            <v>350</v>
          </cell>
          <cell r="AK19">
            <v>850</v>
          </cell>
        </row>
        <row r="20">
          <cell r="B20" t="str">
            <v xml:space="preserve">Other </v>
          </cell>
          <cell r="C20">
            <v>0</v>
          </cell>
          <cell r="E20">
            <v>0</v>
          </cell>
          <cell r="G20">
            <v>0</v>
          </cell>
          <cell r="I20">
            <v>0</v>
          </cell>
          <cell r="K20">
            <v>3.3</v>
          </cell>
          <cell r="M20">
            <v>15.8</v>
          </cell>
          <cell r="O20">
            <v>27.1</v>
          </cell>
          <cell r="Q20">
            <v>16.3</v>
          </cell>
          <cell r="S20">
            <v>14.600000000000001</v>
          </cell>
          <cell r="U20">
            <v>109.8</v>
          </cell>
          <cell r="W20">
            <v>68</v>
          </cell>
          <cell r="X20">
            <v>-0.38069216757741342</v>
          </cell>
          <cell r="Y20">
            <v>53.2</v>
          </cell>
          <cell r="Z20">
            <v>-0.21764705882352942</v>
          </cell>
          <cell r="AA20">
            <v>34</v>
          </cell>
          <cell r="AB20">
            <v>-0.36090225563909772</v>
          </cell>
          <cell r="AC20">
            <v>17</v>
          </cell>
          <cell r="AD20">
            <v>-0.5</v>
          </cell>
          <cell r="AE20">
            <v>18.700000000000003</v>
          </cell>
          <cell r="AF20">
            <v>0.1</v>
          </cell>
          <cell r="AG20">
            <v>65.450000000000017</v>
          </cell>
          <cell r="AH20">
            <v>2.5</v>
          </cell>
          <cell r="AI20">
            <v>196.35000000000005</v>
          </cell>
          <cell r="AJ20">
            <v>2</v>
          </cell>
          <cell r="AK20">
            <v>392.7000000000001</v>
          </cell>
          <cell r="AL20">
            <v>1</v>
          </cell>
        </row>
        <row r="21">
          <cell r="B21" t="str">
            <v>Total Product Sales</v>
          </cell>
          <cell r="C21">
            <v>1306.3</v>
          </cell>
          <cell r="E21">
            <v>1549.5</v>
          </cell>
          <cell r="G21">
            <v>1818.6</v>
          </cell>
          <cell r="I21">
            <v>2088.1999999999998</v>
          </cell>
          <cell r="K21">
            <v>2219.8000000000002</v>
          </cell>
          <cell r="M21">
            <v>2514.5</v>
          </cell>
          <cell r="O21">
            <v>3042.7999999999997</v>
          </cell>
          <cell r="Q21">
            <v>3202.2</v>
          </cell>
          <cell r="S21">
            <v>3511</v>
          </cell>
          <cell r="U21">
            <v>4991.1999999999989</v>
          </cell>
          <cell r="W21">
            <v>7868.2</v>
          </cell>
          <cell r="X21">
            <v>0.57641448950152308</v>
          </cell>
          <cell r="Y21">
            <v>9976.7999999999993</v>
          </cell>
          <cell r="Z21">
            <v>0.26799013751556888</v>
          </cell>
          <cell r="AA21">
            <v>12022</v>
          </cell>
          <cell r="AB21">
            <v>0.20499558976826249</v>
          </cell>
          <cell r="AC21">
            <v>13419</v>
          </cell>
          <cell r="AD21">
            <v>0.11620362668441198</v>
          </cell>
          <cell r="AE21">
            <v>14740.578225807069</v>
          </cell>
          <cell r="AF21">
            <v>9.8485596974966061E-2</v>
          </cell>
          <cell r="AG21">
            <v>16050.044428631663</v>
          </cell>
          <cell r="AH21">
            <v>8.883411374813277E-2</v>
          </cell>
          <cell r="AI21">
            <v>17614.424729985178</v>
          </cell>
          <cell r="AJ21">
            <v>9.7468907846935071E-2</v>
          </cell>
          <cell r="AK21">
            <v>19212.312301994083</v>
          </cell>
          <cell r="AL21">
            <v>9.0714717994099914E-2</v>
          </cell>
        </row>
        <row r="22">
          <cell r="B22" t="str">
            <v>Corporate Partner Rev.</v>
          </cell>
          <cell r="C22">
            <v>48.6</v>
          </cell>
          <cell r="E22">
            <v>70.400000000000006</v>
          </cell>
          <cell r="G22">
            <v>85.2</v>
          </cell>
          <cell r="I22">
            <v>109.9</v>
          </cell>
          <cell r="K22">
            <v>125.9</v>
          </cell>
          <cell r="M22">
            <v>127.9</v>
          </cell>
          <cell r="O22">
            <v>161.4</v>
          </cell>
          <cell r="Q22">
            <v>246.2</v>
          </cell>
          <cell r="S22">
            <v>252</v>
          </cell>
          <cell r="U22">
            <v>200.3</v>
          </cell>
          <cell r="W22">
            <v>104.69999999999999</v>
          </cell>
          <cell r="X22">
            <v>-0.47728407388916638</v>
          </cell>
          <cell r="Y22">
            <v>137.9</v>
          </cell>
          <cell r="Z22">
            <v>0.31709646609360087</v>
          </cell>
          <cell r="AA22">
            <v>0</v>
          </cell>
          <cell r="AC22">
            <v>0</v>
          </cell>
          <cell r="AE22">
            <v>0</v>
          </cell>
          <cell r="AG22">
            <v>0</v>
          </cell>
          <cell r="AI22">
            <v>0</v>
          </cell>
          <cell r="AK22">
            <v>0</v>
          </cell>
        </row>
        <row r="23">
          <cell r="B23" t="str">
            <v>Royalties</v>
          </cell>
          <cell r="C23">
            <v>18.899999999999999</v>
          </cell>
          <cell r="E23">
            <v>27.9</v>
          </cell>
          <cell r="G23">
            <v>36.1</v>
          </cell>
          <cell r="I23">
            <v>41.7</v>
          </cell>
          <cell r="K23">
            <v>55.3</v>
          </cell>
          <cell r="M23">
            <v>75.900000000000006</v>
          </cell>
          <cell r="O23">
            <v>135.9</v>
          </cell>
          <cell r="Q23">
            <v>181</v>
          </cell>
          <cell r="S23">
            <v>252.7</v>
          </cell>
          <cell r="U23">
            <v>331.5</v>
          </cell>
          <cell r="W23">
            <v>383.1</v>
          </cell>
          <cell r="X23">
            <v>0.15565610859728518</v>
          </cell>
          <cell r="Y23">
            <v>435.2</v>
          </cell>
          <cell r="Z23">
            <v>0.13599582354476625</v>
          </cell>
          <cell r="AA23">
            <v>408</v>
          </cell>
          <cell r="AB23">
            <v>-6.25E-2</v>
          </cell>
          <cell r="AC23">
            <v>360</v>
          </cell>
          <cell r="AD23">
            <v>-0.11764705882352944</v>
          </cell>
          <cell r="AE23">
            <v>349.2</v>
          </cell>
          <cell r="AF23">
            <v>-0.03</v>
          </cell>
          <cell r="AG23">
            <v>321.26400000000001</v>
          </cell>
          <cell r="AH23">
            <v>-0.08</v>
          </cell>
          <cell r="AI23">
            <v>305.20080000000002</v>
          </cell>
          <cell r="AJ23">
            <v>-0.05</v>
          </cell>
          <cell r="AK23">
            <v>289.94076000000001</v>
          </cell>
          <cell r="AL23">
            <v>-0.05</v>
          </cell>
        </row>
        <row r="24">
          <cell r="B24" t="str">
            <v>Total Revenues</v>
          </cell>
          <cell r="C24">
            <v>1373.8</v>
          </cell>
          <cell r="D24" t="e">
            <v>#DIV/0!</v>
          </cell>
          <cell r="E24">
            <v>1647.8</v>
          </cell>
          <cell r="F24">
            <v>0.19944678992575349</v>
          </cell>
          <cell r="G24">
            <v>1939.8999999999999</v>
          </cell>
          <cell r="H24">
            <v>0.17726665857506974</v>
          </cell>
          <cell r="I24">
            <v>2239.7999999999997</v>
          </cell>
          <cell r="J24">
            <v>0.15459559771122211</v>
          </cell>
          <cell r="K24">
            <v>2401</v>
          </cell>
          <cell r="L24">
            <v>7.1970711670684917E-2</v>
          </cell>
          <cell r="M24">
            <v>2718.2</v>
          </cell>
          <cell r="N24">
            <v>0.13211162015826727</v>
          </cell>
          <cell r="O24">
            <v>3340.1</v>
          </cell>
          <cell r="P24">
            <v>0.22879111176513867</v>
          </cell>
          <cell r="Q24">
            <v>3629.3999999999996</v>
          </cell>
          <cell r="R24">
            <v>8.6614173228346303E-2</v>
          </cell>
          <cell r="S24">
            <v>4015.7</v>
          </cell>
          <cell r="T24">
            <v>0.10643632556345417</v>
          </cell>
          <cell r="U24">
            <v>5522.9999999999991</v>
          </cell>
          <cell r="V24">
            <v>0.37535174440321728</v>
          </cell>
          <cell r="W24">
            <v>8356</v>
          </cell>
          <cell r="X24">
            <v>0.51294586275574883</v>
          </cell>
          <cell r="Y24">
            <v>10549.9</v>
          </cell>
          <cell r="Z24">
            <v>0.26255385351842975</v>
          </cell>
          <cell r="AA24">
            <v>12430</v>
          </cell>
          <cell r="AB24">
            <v>0.17821022000208542</v>
          </cell>
          <cell r="AC24">
            <v>13779</v>
          </cell>
          <cell r="AD24">
            <v>0.10852775543041027</v>
          </cell>
          <cell r="AE24">
            <v>15089.778225807069</v>
          </cell>
          <cell r="AF24">
            <v>9.5128690457004783E-2</v>
          </cell>
          <cell r="AG24">
            <v>16371.308428631663</v>
          </cell>
          <cell r="AH24">
            <v>8.4927040255162511E-2</v>
          </cell>
          <cell r="AI24">
            <v>17919.625529985176</v>
          </cell>
          <cell r="AJ24">
            <v>9.4575037059693612E-2</v>
          </cell>
          <cell r="AK24">
            <v>19502.253061994084</v>
          </cell>
          <cell r="AL24">
            <v>8.8318114090089272E-2</v>
          </cell>
          <cell r="AO24" t="str">
            <v>mstag:revenueNet</v>
          </cell>
          <cell r="AP24">
            <v>6</v>
          </cell>
          <cell r="AQ24" t="str">
            <v>ISO4217:USD</v>
          </cell>
          <cell r="AR24" t="b">
            <v>0</v>
          </cell>
          <cell r="AS24" t="b">
            <v>0</v>
          </cell>
        </row>
        <row r="25">
          <cell r="B25" t="str">
            <v>Operating Expenses:</v>
          </cell>
        </row>
        <row r="26">
          <cell r="B26" t="str">
            <v xml:space="preserve">   Cost of Sales</v>
          </cell>
          <cell r="C26">
            <v>220</v>
          </cell>
          <cell r="E26">
            <v>238.1</v>
          </cell>
          <cell r="G26">
            <v>272.89999999999998</v>
          </cell>
          <cell r="I26">
            <v>283.2</v>
          </cell>
          <cell r="K26">
            <v>300.8</v>
          </cell>
          <cell r="M26">
            <v>345.2</v>
          </cell>
          <cell r="O26">
            <v>402.1</v>
          </cell>
          <cell r="Q26">
            <v>408.4</v>
          </cell>
          <cell r="S26">
            <v>443</v>
          </cell>
          <cell r="U26">
            <v>735.7</v>
          </cell>
          <cell r="W26">
            <v>1340.7</v>
          </cell>
          <cell r="X26">
            <v>0.82234606497213525</v>
          </cell>
          <cell r="Y26">
            <v>1731</v>
          </cell>
          <cell r="Z26">
            <v>0.29111658089057957</v>
          </cell>
          <cell r="AA26">
            <v>2035</v>
          </cell>
          <cell r="AB26">
            <v>0.17562102830733672</v>
          </cell>
          <cell r="AC26">
            <v>2275.2525000000001</v>
          </cell>
          <cell r="AD26">
            <v>0.11806019656019662</v>
          </cell>
          <cell r="AE26">
            <v>2471.3026127583394</v>
          </cell>
          <cell r="AF26">
            <v>8.6166310226376774E-2</v>
          </cell>
          <cell r="AG26">
            <v>2663.674218929084</v>
          </cell>
          <cell r="AH26">
            <v>7.7842189450052501E-2</v>
          </cell>
          <cell r="AI26">
            <v>2921.8139905241542</v>
          </cell>
          <cell r="AJ26">
            <v>9.6911164946760664E-2</v>
          </cell>
          <cell r="AK26">
            <v>3229.9239384968482</v>
          </cell>
          <cell r="AL26">
            <v>0.10545159581408581</v>
          </cell>
          <cell r="AO26" t="str">
            <v>mstag:costOfSalesWithDepreciation</v>
          </cell>
          <cell r="AP26">
            <v>6</v>
          </cell>
          <cell r="AQ26" t="str">
            <v>ISO4217:USD</v>
          </cell>
          <cell r="AR26" t="b">
            <v>0</v>
          </cell>
          <cell r="AS26" t="b">
            <v>0</v>
          </cell>
        </row>
        <row r="27">
          <cell r="B27" t="str">
            <v xml:space="preserve">   % of Product Revenues</v>
          </cell>
          <cell r="C27">
            <v>0.16841460613947792</v>
          </cell>
          <cell r="E27">
            <v>0.15366247176508552</v>
          </cell>
          <cell r="G27">
            <v>0.15006048608819972</v>
          </cell>
          <cell r="I27">
            <v>0.13561919356383489</v>
          </cell>
          <cell r="K27">
            <v>0.1355077033967024</v>
          </cell>
          <cell r="M27">
            <v>0.13728375422549213</v>
          </cell>
          <cell r="O27">
            <v>0.13214802155909033</v>
          </cell>
          <cell r="Q27">
            <v>0.1275373180938105</v>
          </cell>
          <cell r="S27">
            <v>0.12617487895186558</v>
          </cell>
          <cell r="U27">
            <v>0.14739942298445269</v>
          </cell>
          <cell r="W27">
            <v>0.1703947535649831</v>
          </cell>
          <cell r="Y27">
            <v>0.17335217705075778</v>
          </cell>
          <cell r="AA27">
            <v>0.16927299950091498</v>
          </cell>
          <cell r="AC27">
            <v>0.16955454951933827</v>
          </cell>
          <cell r="AE27">
            <v>0.1676530306275032</v>
          </cell>
          <cell r="AG27">
            <v>0.16596055112329516</v>
          </cell>
          <cell r="AI27">
            <v>0.1658762085797969</v>
          </cell>
          <cell r="AK27">
            <v>0.16811739720479185</v>
          </cell>
        </row>
        <row r="28">
          <cell r="B28" t="str">
            <v xml:space="preserve">   R&amp;D</v>
          </cell>
          <cell r="C28">
            <v>255.3</v>
          </cell>
          <cell r="E28">
            <v>323.60000000000002</v>
          </cell>
          <cell r="G28">
            <v>451.7</v>
          </cell>
          <cell r="I28">
            <v>528.29999999999995</v>
          </cell>
          <cell r="K28">
            <v>630.79999999999995</v>
          </cell>
          <cell r="M28">
            <v>663.3</v>
          </cell>
          <cell r="O28">
            <v>822.8</v>
          </cell>
          <cell r="Q28">
            <v>845</v>
          </cell>
          <cell r="S28">
            <v>865</v>
          </cell>
          <cell r="U28">
            <v>1116.5999999999999</v>
          </cell>
          <cell r="W28">
            <v>1655.4</v>
          </cell>
          <cell r="X28">
            <v>0.48253627082213879</v>
          </cell>
          <cell r="Y28">
            <v>2028</v>
          </cell>
          <cell r="Z28">
            <v>0.22508155128669793</v>
          </cell>
          <cell r="AA28">
            <v>2302</v>
          </cell>
          <cell r="AB28">
            <v>0.13510848126232733</v>
          </cell>
          <cell r="AC28">
            <v>3009</v>
          </cell>
          <cell r="AD28">
            <v>0.30712423979148573</v>
          </cell>
          <cell r="AE28">
            <v>3327.2960987904589</v>
          </cell>
          <cell r="AF28">
            <v>0.10578135553022894</v>
          </cell>
          <cell r="AG28">
            <v>3601.6878542989657</v>
          </cell>
          <cell r="AH28">
            <v>8.2466888236443436E-2</v>
          </cell>
          <cell r="AI28">
            <v>3897.5185527717758</v>
          </cell>
          <cell r="AJ28">
            <v>8.2136684365833545E-2</v>
          </cell>
          <cell r="AK28">
            <v>4192.984408328728</v>
          </cell>
          <cell r="AL28">
            <v>7.5808710479858377E-2</v>
          </cell>
          <cell r="AO28" t="str">
            <v>mstag:researchAndDevelopment</v>
          </cell>
          <cell r="AP28">
            <v>6</v>
          </cell>
          <cell r="AQ28" t="str">
            <v>ISO4217:USD</v>
          </cell>
          <cell r="AR28" t="b">
            <v>0</v>
          </cell>
          <cell r="AS28" t="b">
            <v>0</v>
          </cell>
        </row>
        <row r="29">
          <cell r="B29" t="str">
            <v xml:space="preserve">   % of Total Revenues</v>
          </cell>
          <cell r="C29">
            <v>0.18583491046731695</v>
          </cell>
          <cell r="E29">
            <v>0.19638305619614033</v>
          </cell>
          <cell r="G29">
            <v>0.23284705397185423</v>
          </cell>
          <cell r="I29">
            <v>0.23586927404232522</v>
          </cell>
          <cell r="K29">
            <v>0.26272386505622658</v>
          </cell>
          <cell r="M29">
            <v>0.24402177911853432</v>
          </cell>
          <cell r="O29">
            <v>0.24633992994221729</v>
          </cell>
          <cell r="Q29">
            <v>0.23282085193144875</v>
          </cell>
          <cell r="S29">
            <v>0.21540453719152328</v>
          </cell>
          <cell r="U29">
            <v>0.20217273221075505</v>
          </cell>
          <cell r="W29">
            <v>0.19810914313068456</v>
          </cell>
          <cell r="Y29">
            <v>0.19222931023042872</v>
          </cell>
          <cell r="AA29">
            <v>0.21</v>
          </cell>
          <cell r="AC29">
            <v>0.21837578924450252</v>
          </cell>
          <cell r="AE29">
            <v>0.2205</v>
          </cell>
          <cell r="AG29">
            <v>0.22</v>
          </cell>
          <cell r="AI29">
            <v>0.2175</v>
          </cell>
          <cell r="AK29">
            <v>0.215</v>
          </cell>
        </row>
        <row r="30">
          <cell r="B30" t="str">
            <v xml:space="preserve">   SG&amp;A</v>
          </cell>
          <cell r="C30">
            <v>114.3</v>
          </cell>
          <cell r="E30">
            <v>122.9</v>
          </cell>
          <cell r="G30">
            <v>418.4</v>
          </cell>
          <cell r="I30">
            <v>470.6</v>
          </cell>
          <cell r="K30">
            <v>483.8</v>
          </cell>
          <cell r="M30">
            <v>515.4</v>
          </cell>
          <cell r="O30">
            <v>654.29999999999995</v>
          </cell>
          <cell r="Q30">
            <v>826.9</v>
          </cell>
          <cell r="S30">
            <v>970.7</v>
          </cell>
          <cell r="U30">
            <v>1462.1</v>
          </cell>
          <cell r="W30">
            <v>1952.6</v>
          </cell>
          <cell r="X30">
            <v>0.3354763696053622</v>
          </cell>
          <cell r="Y30">
            <v>2556</v>
          </cell>
          <cell r="Z30">
            <v>0.30902386561507744</v>
          </cell>
          <cell r="AA30">
            <v>2792</v>
          </cell>
          <cell r="AB30">
            <v>9.2331768388106417E-2</v>
          </cell>
          <cell r="AC30">
            <v>3027.1130000000003</v>
          </cell>
          <cell r="AD30">
            <v>8.4209527220630465E-2</v>
          </cell>
          <cell r="AE30">
            <v>3266.9369858872305</v>
          </cell>
          <cell r="AF30">
            <v>7.9225316625851194E-2</v>
          </cell>
          <cell r="AG30">
            <v>3544.388274798755</v>
          </cell>
          <cell r="AH30">
            <v>8.4927040255162511E-2</v>
          </cell>
          <cell r="AI30">
            <v>4255.911063371479</v>
          </cell>
          <cell r="AJ30">
            <v>0.20074628776756209</v>
          </cell>
          <cell r="AK30">
            <v>4875.5632654985211</v>
          </cell>
          <cell r="AL30">
            <v>0.14559801483167312</v>
          </cell>
          <cell r="AO30" t="str">
            <v>mstag:sellingGeneralAndAdministrativeExpenses</v>
          </cell>
          <cell r="AP30">
            <v>6</v>
          </cell>
          <cell r="AQ30" t="str">
            <v>ISO4217:USD</v>
          </cell>
          <cell r="AR30" t="b">
            <v>0</v>
          </cell>
          <cell r="AS30" t="b">
            <v>0</v>
          </cell>
        </row>
        <row r="31">
          <cell r="B31" t="str">
            <v xml:space="preserve">   % of Total Revenues</v>
          </cell>
          <cell r="C31">
            <v>8.3199883534721214E-2</v>
          </cell>
          <cell r="E31">
            <v>7.4584294210462435E-2</v>
          </cell>
          <cell r="G31">
            <v>0.21568122068147844</v>
          </cell>
          <cell r="I31">
            <v>0.21010804536119301</v>
          </cell>
          <cell r="K31">
            <v>0.2014993752603082</v>
          </cell>
          <cell r="M31">
            <v>0.18961077183430211</v>
          </cell>
          <cell r="O31">
            <v>0.19589233855273794</v>
          </cell>
          <cell r="Q31">
            <v>0.22783380173031356</v>
          </cell>
          <cell r="S31">
            <v>0.2417262245685684</v>
          </cell>
          <cell r="U31">
            <v>0.26472931377874348</v>
          </cell>
          <cell r="W31">
            <v>0.23367640019147917</v>
          </cell>
          <cell r="Y31">
            <v>0.24227717798272971</v>
          </cell>
          <cell r="AA31">
            <v>0.23</v>
          </cell>
          <cell r="AC31">
            <v>0.21969032585819001</v>
          </cell>
          <cell r="AE31">
            <v>0.2165</v>
          </cell>
          <cell r="AG31">
            <v>0.2165</v>
          </cell>
          <cell r="AI31">
            <v>0.23749999999999999</v>
          </cell>
          <cell r="AK31">
            <v>0.25</v>
          </cell>
        </row>
        <row r="32">
          <cell r="B32" t="str">
            <v xml:space="preserve">   Loss of Affiliates, Net</v>
          </cell>
          <cell r="C32">
            <v>12.6</v>
          </cell>
          <cell r="E32">
            <v>31.2</v>
          </cell>
          <cell r="G32">
            <v>53.3</v>
          </cell>
          <cell r="I32">
            <v>52.8</v>
          </cell>
          <cell r="K32">
            <v>36.1</v>
          </cell>
          <cell r="M32">
            <v>28.6</v>
          </cell>
          <cell r="O32">
            <v>16.8</v>
          </cell>
          <cell r="Q32">
            <v>23.9</v>
          </cell>
          <cell r="S32">
            <v>2.7</v>
          </cell>
          <cell r="U32">
            <v>-12.6</v>
          </cell>
          <cell r="W32">
            <v>4.3</v>
          </cell>
          <cell r="X32" t="str">
            <v>NM</v>
          </cell>
          <cell r="Y32">
            <v>0</v>
          </cell>
          <cell r="AA32">
            <v>0</v>
          </cell>
          <cell r="AC32">
            <v>0</v>
          </cell>
          <cell r="AE32">
            <v>0</v>
          </cell>
          <cell r="AG32">
            <v>0</v>
          </cell>
          <cell r="AI32">
            <v>0</v>
          </cell>
          <cell r="AK32">
            <v>0</v>
          </cell>
          <cell r="AO32" t="str">
            <v>mstag:otherOperatingExpense</v>
          </cell>
          <cell r="AP32">
            <v>6</v>
          </cell>
          <cell r="AQ32" t="str">
            <v>ISO4217:USD</v>
          </cell>
          <cell r="AR32" t="b">
            <v>0</v>
          </cell>
          <cell r="AS32" t="b">
            <v>0</v>
          </cell>
        </row>
        <row r="33">
          <cell r="B33" t="str">
            <v xml:space="preserve">   Other </v>
          </cell>
          <cell r="C33">
            <v>-13.9</v>
          </cell>
          <cell r="E33">
            <v>116.4</v>
          </cell>
          <cell r="G33">
            <v>0</v>
          </cell>
          <cell r="I33">
            <v>0</v>
          </cell>
          <cell r="K33">
            <v>157</v>
          </cell>
          <cell r="M33">
            <v>-23</v>
          </cell>
          <cell r="O33">
            <v>-49</v>
          </cell>
          <cell r="Q33">
            <v>-18.8</v>
          </cell>
          <cell r="S33">
            <v>203.1</v>
          </cell>
          <cell r="U33">
            <v>-141.30000000000001</v>
          </cell>
          <cell r="W33">
            <v>-24</v>
          </cell>
          <cell r="Y33">
            <v>0</v>
          </cell>
          <cell r="AA33">
            <v>0</v>
          </cell>
          <cell r="AC33">
            <v>0</v>
          </cell>
          <cell r="AE33">
            <v>0</v>
          </cell>
          <cell r="AG33">
            <v>0</v>
          </cell>
          <cell r="AI33">
            <v>0</v>
          </cell>
          <cell r="AK33">
            <v>0</v>
          </cell>
          <cell r="AO33" t="str">
            <v>mstag:otherOperatingExpense</v>
          </cell>
          <cell r="AP33">
            <v>6</v>
          </cell>
          <cell r="AQ33" t="str">
            <v>ISO4217:USD</v>
          </cell>
          <cell r="AR33" t="b">
            <v>0</v>
          </cell>
          <cell r="AS33" t="b">
            <v>0</v>
          </cell>
        </row>
        <row r="34">
          <cell r="B34" t="str">
            <v>Total Operating Expenses</v>
          </cell>
          <cell r="C34">
            <v>588.29999999999995</v>
          </cell>
          <cell r="E34">
            <v>832.2</v>
          </cell>
          <cell r="G34">
            <v>1196.3</v>
          </cell>
          <cell r="I34">
            <v>1334.8999999999999</v>
          </cell>
          <cell r="K34">
            <v>1608.4999999999998</v>
          </cell>
          <cell r="M34">
            <v>1529.5</v>
          </cell>
          <cell r="O34">
            <v>1847</v>
          </cell>
          <cell r="Q34">
            <v>2085.4</v>
          </cell>
          <cell r="S34">
            <v>2484.5</v>
          </cell>
          <cell r="U34">
            <v>3160.5</v>
          </cell>
          <cell r="W34">
            <v>4929.0000000000009</v>
          </cell>
          <cell r="X34">
            <v>0.55956336022781228</v>
          </cell>
          <cell r="Y34">
            <v>6315</v>
          </cell>
          <cell r="Z34">
            <v>0.28119293974436976</v>
          </cell>
          <cell r="AA34">
            <v>7129</v>
          </cell>
          <cell r="AB34">
            <v>0.12889944576405377</v>
          </cell>
          <cell r="AC34">
            <v>8311.3654999999999</v>
          </cell>
          <cell r="AD34">
            <v>0.16585292467386736</v>
          </cell>
          <cell r="AE34">
            <v>9065.5356974360293</v>
          </cell>
          <cell r="AF34">
            <v>9.073962605013941E-2</v>
          </cell>
          <cell r="AG34">
            <v>9809.7503480268042</v>
          </cell>
          <cell r="AH34">
            <v>8.2092738413821253E-2</v>
          </cell>
          <cell r="AI34">
            <v>11075.243606667409</v>
          </cell>
          <cell r="AJ34">
            <v>0.12900361515266834</v>
          </cell>
          <cell r="AK34">
            <v>12298.471612324098</v>
          </cell>
          <cell r="AL34">
            <v>0.11044705192040127</v>
          </cell>
        </row>
        <row r="35">
          <cell r="B35" t="str">
            <v xml:space="preserve">Operating Income (Loss) </v>
          </cell>
          <cell r="C35">
            <v>785.5</v>
          </cell>
          <cell r="E35">
            <v>815.59999999999991</v>
          </cell>
          <cell r="G35">
            <v>743.59999999999991</v>
          </cell>
          <cell r="I35">
            <v>904.89999999999986</v>
          </cell>
          <cell r="K35">
            <v>792.50000000000023</v>
          </cell>
          <cell r="M35">
            <v>1188.6999999999998</v>
          </cell>
          <cell r="O35">
            <v>1493.1</v>
          </cell>
          <cell r="Q35">
            <v>1543.9999999999995</v>
          </cell>
          <cell r="S35">
            <v>1531.1999999999998</v>
          </cell>
          <cell r="U35">
            <v>2362.4999999999991</v>
          </cell>
          <cell r="W35">
            <v>3426.9999999999991</v>
          </cell>
          <cell r="X35">
            <v>0.45058201058201086</v>
          </cell>
          <cell r="Y35">
            <v>4234.8999999999996</v>
          </cell>
          <cell r="Z35">
            <v>0.23574555004377018</v>
          </cell>
          <cell r="AA35">
            <v>5301</v>
          </cell>
          <cell r="AB35">
            <v>0.25174148149897291</v>
          </cell>
          <cell r="AC35">
            <v>5467.6345000000001</v>
          </cell>
          <cell r="AD35">
            <v>3.143454065270701E-2</v>
          </cell>
          <cell r="AE35">
            <v>6024.24252837104</v>
          </cell>
          <cell r="AF35">
            <v>0.10180051873822937</v>
          </cell>
          <cell r="AG35">
            <v>6561.5580806048583</v>
          </cell>
          <cell r="AH35">
            <v>8.919221789350984E-2</v>
          </cell>
          <cell r="AI35">
            <v>6844.3819233177674</v>
          </cell>
          <cell r="AJ35">
            <v>4.3103153128964955E-2</v>
          </cell>
          <cell r="AK35">
            <v>7203.7814496699866</v>
          </cell>
          <cell r="AL35">
            <v>5.2510150716136961E-2</v>
          </cell>
        </row>
        <row r="36">
          <cell r="B36" t="str">
            <v>Operatin Margins</v>
          </cell>
          <cell r="C36">
            <v>0.57177172805357401</v>
          </cell>
          <cell r="E36">
            <v>0.49496298094428931</v>
          </cell>
          <cell r="G36">
            <v>0.38331872776947262</v>
          </cell>
          <cell r="I36">
            <v>0.40400928654344137</v>
          </cell>
          <cell r="K36">
            <v>0.33007080383173687</v>
          </cell>
          <cell r="M36">
            <v>0.43731145611066141</v>
          </cell>
          <cell r="O36">
            <v>0.44702254423520255</v>
          </cell>
          <cell r="Q36">
            <v>0.42541466909130976</v>
          </cell>
          <cell r="S36">
            <v>0.38130338421694843</v>
          </cell>
          <cell r="U36">
            <v>0.42775665399239532</v>
          </cell>
          <cell r="W36">
            <v>0.41012446146481557</v>
          </cell>
          <cell r="Y36">
            <v>0.40141612716708214</v>
          </cell>
          <cell r="AA36">
            <v>0.42646822204344326</v>
          </cell>
          <cell r="AC36">
            <v>0.39680923869656726</v>
          </cell>
          <cell r="AE36">
            <v>0.39922671083847799</v>
          </cell>
          <cell r="AG36">
            <v>0.40079619226581775</v>
          </cell>
          <cell r="AI36">
            <v>0.38194893703916755</v>
          </cell>
          <cell r="AK36">
            <v>0.36938201072309373</v>
          </cell>
        </row>
        <row r="37">
          <cell r="B37" t="str">
            <v xml:space="preserve">   Interest, Other Income</v>
          </cell>
          <cell r="C37">
            <v>27.2</v>
          </cell>
          <cell r="E37">
            <v>21.5</v>
          </cell>
          <cell r="G37">
            <v>66.099999999999994</v>
          </cell>
          <cell r="I37">
            <v>63.6</v>
          </cell>
          <cell r="K37">
            <v>72.599999999999994</v>
          </cell>
          <cell r="M37">
            <v>45.7</v>
          </cell>
          <cell r="O37">
            <v>88.3</v>
          </cell>
          <cell r="Q37">
            <v>146.19999999999999</v>
          </cell>
          <cell r="S37">
            <v>168.7</v>
          </cell>
          <cell r="U37">
            <v>144.19999999999999</v>
          </cell>
          <cell r="W37">
            <v>113.4</v>
          </cell>
          <cell r="X37">
            <v>-0.21359223300970864</v>
          </cell>
          <cell r="Y37">
            <v>99.7</v>
          </cell>
          <cell r="AA37">
            <v>157</v>
          </cell>
          <cell r="AC37">
            <v>329</v>
          </cell>
          <cell r="AE37">
            <v>210.7171588806757</v>
          </cell>
          <cell r="AG37">
            <v>265.32581027251831</v>
          </cell>
          <cell r="AI37">
            <v>323.62060238808283</v>
          </cell>
          <cell r="AK37">
            <v>403.8061044023068</v>
          </cell>
          <cell r="AO37" t="str">
            <v>mstag:interestAndDividendIncome</v>
          </cell>
          <cell r="AP37">
            <v>6</v>
          </cell>
          <cell r="AQ37" t="str">
            <v>ISO4217:USD</v>
          </cell>
          <cell r="AR37" t="b">
            <v>0</v>
          </cell>
          <cell r="AS37" t="b">
            <v>0</v>
          </cell>
        </row>
        <row r="38">
          <cell r="B38" t="str">
            <v xml:space="preserve">   Interest, Other Expense</v>
          </cell>
          <cell r="C38">
            <v>-6.2</v>
          </cell>
          <cell r="E38">
            <v>-12</v>
          </cell>
          <cell r="G38">
            <v>-15.3</v>
          </cell>
          <cell r="I38">
            <v>-6.2</v>
          </cell>
          <cell r="K38">
            <v>-3.7</v>
          </cell>
          <cell r="M38">
            <v>-10</v>
          </cell>
          <cell r="O38">
            <v>-15.2</v>
          </cell>
          <cell r="Q38">
            <v>-15.9</v>
          </cell>
          <cell r="S38">
            <v>-13.6</v>
          </cell>
          <cell r="U38">
            <v>-44.2</v>
          </cell>
          <cell r="W38">
            <v>-31.5</v>
          </cell>
          <cell r="X38">
            <v>-0.28733031674208154</v>
          </cell>
          <cell r="Y38">
            <v>-52.5</v>
          </cell>
          <cell r="AA38">
            <v>-137</v>
          </cell>
          <cell r="AC38">
            <v>-136</v>
          </cell>
          <cell r="AE38">
            <v>-128.80025000000001</v>
          </cell>
          <cell r="AG38">
            <v>-128.80025000000001</v>
          </cell>
          <cell r="AI38">
            <v>-88.888750000000002</v>
          </cell>
          <cell r="AK38">
            <v>-88.888750000000002</v>
          </cell>
          <cell r="AO38" t="str">
            <v>mstag:interestExpense</v>
          </cell>
          <cell r="AP38">
            <v>6</v>
          </cell>
          <cell r="AQ38" t="str">
            <v>ISO4217:USD</v>
          </cell>
          <cell r="AR38" t="b">
            <v>1</v>
          </cell>
          <cell r="AS38" t="b">
            <v>0</v>
          </cell>
        </row>
        <row r="39">
          <cell r="B39" t="str">
            <v xml:space="preserve">Pretax Income (Loss) </v>
          </cell>
          <cell r="C39">
            <v>806.5</v>
          </cell>
          <cell r="E39">
            <v>825.09999999999991</v>
          </cell>
          <cell r="G39">
            <v>794.4</v>
          </cell>
          <cell r="I39">
            <v>962.29999999999984</v>
          </cell>
          <cell r="K39">
            <v>861.4000000000002</v>
          </cell>
          <cell r="M39">
            <v>1224.3999999999999</v>
          </cell>
          <cell r="O39">
            <v>1566.1999999999998</v>
          </cell>
          <cell r="Q39">
            <v>1674.2999999999995</v>
          </cell>
          <cell r="S39">
            <v>1686.3</v>
          </cell>
          <cell r="U39">
            <v>2462.4999999999991</v>
          </cell>
          <cell r="V39">
            <v>0.46029769317440494</v>
          </cell>
          <cell r="W39">
            <v>3508.8999999999992</v>
          </cell>
          <cell r="X39">
            <v>0.42493401015228449</v>
          </cell>
          <cell r="Y39">
            <v>4282.0999999999995</v>
          </cell>
          <cell r="Z39">
            <v>0.2203539570805666</v>
          </cell>
          <cell r="AA39">
            <v>5321</v>
          </cell>
          <cell r="AB39">
            <v>0.24261460498353626</v>
          </cell>
          <cell r="AC39">
            <v>5660.6345000000001</v>
          </cell>
          <cell r="AD39">
            <v>6.3829073482428056E-2</v>
          </cell>
          <cell r="AE39">
            <v>6106.1594372517156</v>
          </cell>
          <cell r="AF39">
            <v>7.8705830106451158E-2</v>
          </cell>
          <cell r="AG39">
            <v>6698.0836408773766</v>
          </cell>
          <cell r="AH39">
            <v>9.6938871267350457E-2</v>
          </cell>
          <cell r="AI39">
            <v>7079.1137757058505</v>
          </cell>
          <cell r="AJ39">
            <v>5.6886440250328629E-2</v>
          </cell>
          <cell r="AK39">
            <v>7518.6988040722936</v>
          </cell>
          <cell r="AL39">
            <v>6.2096053587246125E-2</v>
          </cell>
        </row>
        <row r="40">
          <cell r="B40" t="str">
            <v xml:space="preserve">   Provision For Income Taxes</v>
          </cell>
          <cell r="C40">
            <v>217.8</v>
          </cell>
          <cell r="E40">
            <v>268.60000000000002</v>
          </cell>
          <cell r="G40">
            <v>256.7</v>
          </cell>
          <cell r="I40">
            <v>282.5</v>
          </cell>
          <cell r="K40">
            <v>217.1</v>
          </cell>
          <cell r="M40">
            <v>361.2</v>
          </cell>
          <cell r="O40">
            <v>469.8</v>
          </cell>
          <cell r="Q40">
            <v>535.79999999999995</v>
          </cell>
          <cell r="S40">
            <v>566.6</v>
          </cell>
          <cell r="U40">
            <v>707.4</v>
          </cell>
          <cell r="W40">
            <v>913.6</v>
          </cell>
          <cell r="X40">
            <v>0.29148996324568843</v>
          </cell>
          <cell r="Y40">
            <v>1175.3</v>
          </cell>
          <cell r="AA40">
            <v>1298</v>
          </cell>
          <cell r="AC40">
            <v>1325.1413175</v>
          </cell>
          <cell r="AE40">
            <v>1434.9474677541532</v>
          </cell>
          <cell r="AG40">
            <v>1540.5592374017967</v>
          </cell>
          <cell r="AI40">
            <v>1592.8005995338165</v>
          </cell>
          <cell r="AK40">
            <v>1687.9478815142299</v>
          </cell>
          <cell r="AO40" t="str">
            <v>mstag:taxExpenseIncome</v>
          </cell>
          <cell r="AP40">
            <v>6</v>
          </cell>
          <cell r="AQ40" t="str">
            <v>ISO4217:USD</v>
          </cell>
          <cell r="AR40" t="b">
            <v>0</v>
          </cell>
          <cell r="AS40" t="b">
            <v>0</v>
          </cell>
        </row>
        <row r="41">
          <cell r="B41" t="str">
            <v xml:space="preserve">   Effective Tax Rate</v>
          </cell>
          <cell r="C41">
            <v>0.27005579665220086</v>
          </cell>
          <cell r="E41">
            <v>0.32553629863046912</v>
          </cell>
          <cell r="G41">
            <v>0.32313695871097681</v>
          </cell>
          <cell r="I41">
            <v>0.29356749454432096</v>
          </cell>
          <cell r="K41">
            <v>0.25203157650336655</v>
          </cell>
          <cell r="M41">
            <v>0.29500163345311992</v>
          </cell>
          <cell r="O41">
            <v>0.29996169071638362</v>
          </cell>
          <cell r="Q41">
            <v>0.32001433434868309</v>
          </cell>
          <cell r="S41">
            <v>0.33600189764573329</v>
          </cell>
          <cell r="U41">
            <v>0.28726903553299504</v>
          </cell>
          <cell r="W41">
            <v>0.28792033027638597</v>
          </cell>
          <cell r="Y41">
            <v>0.27179593913325006</v>
          </cell>
          <cell r="AA41">
            <v>0.24393910919000189</v>
          </cell>
          <cell r="AC41">
            <v>0.2340976647582528</v>
          </cell>
          <cell r="AE41">
            <v>0.23499999999999999</v>
          </cell>
          <cell r="AG41">
            <v>0.23</v>
          </cell>
          <cell r="AI41">
            <v>0.22500000000000001</v>
          </cell>
          <cell r="AK41">
            <v>0.22450000000000001</v>
          </cell>
        </row>
        <row r="42">
          <cell r="B42" t="str">
            <v>Net Income (Loss)</v>
          </cell>
          <cell r="C42">
            <v>588.70000000000005</v>
          </cell>
          <cell r="E42">
            <v>556.49999999999989</v>
          </cell>
          <cell r="G42">
            <v>537.70000000000005</v>
          </cell>
          <cell r="I42">
            <v>679.79999999999984</v>
          </cell>
          <cell r="K42">
            <v>644.30000000000018</v>
          </cell>
          <cell r="M42">
            <v>863.19999999999982</v>
          </cell>
          <cell r="O42">
            <v>1096.3999999999999</v>
          </cell>
          <cell r="Q42">
            <v>1138.4999999999995</v>
          </cell>
          <cell r="S42">
            <v>1119.6999999999998</v>
          </cell>
          <cell r="U42">
            <v>1755.099999999999</v>
          </cell>
          <cell r="W42">
            <v>2595.2999999999993</v>
          </cell>
          <cell r="X42">
            <v>0.47871916130135084</v>
          </cell>
          <cell r="Y42">
            <v>3106.7999999999993</v>
          </cell>
          <cell r="Z42">
            <v>0.19708704196046711</v>
          </cell>
          <cell r="AA42">
            <v>4023</v>
          </cell>
          <cell r="AB42">
            <v>0.29490150637311729</v>
          </cell>
          <cell r="AC42">
            <v>4335.4931825000003</v>
          </cell>
          <cell r="AD42">
            <v>7.7676654859557548E-2</v>
          </cell>
          <cell r="AE42">
            <v>4671.2119694975627</v>
          </cell>
          <cell r="AF42">
            <v>7.7434970570977812E-2</v>
          </cell>
          <cell r="AG42">
            <v>5157.5244034755797</v>
          </cell>
          <cell r="AH42">
            <v>0.1041084063736728</v>
          </cell>
          <cell r="AI42">
            <v>5486.3131761720342</v>
          </cell>
          <cell r="AJ42">
            <v>6.3749339212993084E-2</v>
          </cell>
          <cell r="AK42">
            <v>5830.7509225580634</v>
          </cell>
          <cell r="AL42">
            <v>6.2781276847625023E-2</v>
          </cell>
        </row>
        <row r="44">
          <cell r="B44" t="str">
            <v>EPS, basic</v>
          </cell>
          <cell r="C44">
            <v>0.51244777158774379</v>
          </cell>
          <cell r="E44">
            <v>0.49758583690987113</v>
          </cell>
          <cell r="G44">
            <v>0.47889205557534742</v>
          </cell>
          <cell r="I44">
            <v>0.64156285390713463</v>
          </cell>
          <cell r="K44">
            <v>0.60990155244225686</v>
          </cell>
          <cell r="M44">
            <v>0.84644047852520088</v>
          </cell>
          <cell r="O44">
            <v>1.0731134383870018</v>
          </cell>
          <cell r="Q44">
            <v>1.1057692307692304</v>
          </cell>
          <cell r="S44">
            <v>1.0709708273553322</v>
          </cell>
          <cell r="U44">
            <v>1.5215431296055475</v>
          </cell>
          <cell r="W44">
            <v>2.0143588947531814</v>
          </cell>
          <cell r="X44">
            <v>0.32389207743022963</v>
          </cell>
          <cell r="Y44">
            <v>2.4450478101758937</v>
          </cell>
          <cell r="Z44">
            <v>0.21380942420168103</v>
          </cell>
          <cell r="AA44">
            <v>3.2548543689320391</v>
          </cell>
          <cell r="AB44">
            <v>0.33120275005906286</v>
          </cell>
          <cell r="AC44">
            <v>3.731777351192334</v>
          </cell>
          <cell r="AD44">
            <v>0.14652667314783119</v>
          </cell>
          <cell r="AE44">
            <v>4.1673836241099211</v>
          </cell>
          <cell r="AF44">
            <v>0.11672890205478281</v>
          </cell>
          <cell r="AG44">
            <v>4.7082436114742245</v>
          </cell>
          <cell r="AH44">
            <v>0.12978406505108375</v>
          </cell>
          <cell r="AI44">
            <v>5.1215025778275436</v>
          </cell>
          <cell r="AJ44">
            <v>8.7773488471621697E-2</v>
          </cell>
          <cell r="AK44">
            <v>5.5598159963447911</v>
          </cell>
          <cell r="AL44">
            <v>8.5582973327951173E-2</v>
          </cell>
        </row>
        <row r="45">
          <cell r="B45" t="str">
            <v>EPS, diluted</v>
          </cell>
          <cell r="C45">
            <v>0.50996188496188499</v>
          </cell>
          <cell r="D45" t="e">
            <v>#DIV/0!</v>
          </cell>
          <cell r="E45">
            <v>0.49300141743444359</v>
          </cell>
          <cell r="F45">
            <v>-3.3258304252893445E-2</v>
          </cell>
          <cell r="G45">
            <v>0.49676644493717664</v>
          </cell>
          <cell r="H45">
            <v>7.6369506650226793E-3</v>
          </cell>
          <cell r="I45">
            <v>0.6054506590666191</v>
          </cell>
          <cell r="J45">
            <v>0.21878332410955648</v>
          </cell>
          <cell r="K45">
            <v>0.58658048069919899</v>
          </cell>
          <cell r="L45">
            <v>-3.1167161328242599E-2</v>
          </cell>
          <cell r="M45">
            <v>0.81665089877010388</v>
          </cell>
          <cell r="N45">
            <v>0.3922231060206145</v>
          </cell>
          <cell r="O45">
            <v>1.0167856811647964</v>
          </cell>
          <cell r="P45">
            <v>0.24506773052732855</v>
          </cell>
          <cell r="Q45">
            <v>1.0495989674564392</v>
          </cell>
          <cell r="R45">
            <v>3.227158574268385E-2</v>
          </cell>
          <cell r="S45">
            <v>1.0327430363401584</v>
          </cell>
          <cell r="T45">
            <v>-1.6059401389398209E-2</v>
          </cell>
          <cell r="U45">
            <v>1.5215431296055475</v>
          </cell>
          <cell r="V45">
            <v>0.47330272494269443</v>
          </cell>
          <cell r="W45">
            <v>1.9281575037147096</v>
          </cell>
          <cell r="X45">
            <v>0.26723815197704903</v>
          </cell>
          <cell r="Y45">
            <v>2.36950115525927</v>
          </cell>
          <cell r="Z45">
            <v>0.22889398334642563</v>
          </cell>
          <cell r="AA45">
            <v>3.2027027027027026</v>
          </cell>
          <cell r="AB45">
            <v>0.35163584773701628</v>
          </cell>
          <cell r="AC45">
            <v>3.6698689952539394</v>
          </cell>
          <cell r="AD45">
            <v>0.14586626856030183</v>
          </cell>
          <cell r="AE45">
            <v>4.1013211403748855</v>
          </cell>
          <cell r="AF45">
            <v>0.11756608905629107</v>
          </cell>
          <cell r="AG45">
            <v>4.6347096976234399</v>
          </cell>
          <cell r="AH45">
            <v>0.13005286320978016</v>
          </cell>
          <cell r="AI45">
            <v>5.0526778224740756</v>
          </cell>
          <cell r="AJ45">
            <v>9.0182158564312997E-2</v>
          </cell>
          <cell r="AK45">
            <v>5.4875839896915242</v>
          </cell>
          <cell r="AL45">
            <v>8.607439114423765E-2</v>
          </cell>
          <cell r="AM45">
            <v>0.1311025203958521</v>
          </cell>
          <cell r="AO45" t="str">
            <v>mstag:adjEpsForConsensus</v>
          </cell>
          <cell r="AP45">
            <v>0</v>
          </cell>
          <cell r="AQ45" t="str">
            <v>ISO4217:USD</v>
          </cell>
          <cell r="AR45" t="b">
            <v>0</v>
          </cell>
          <cell r="AS45" t="b">
            <v>0</v>
          </cell>
        </row>
        <row r="47">
          <cell r="B47" t="str">
            <v xml:space="preserve">  Options expense</v>
          </cell>
          <cell r="AC47">
            <v>294.91779250000002</v>
          </cell>
          <cell r="AE47">
            <v>271.96607092308085</v>
          </cell>
          <cell r="AG47">
            <v>294.29251044080411</v>
          </cell>
          <cell r="AI47">
            <v>332.25730820002224</v>
          </cell>
          <cell r="AK47">
            <v>368.95414836972293</v>
          </cell>
          <cell r="AO47" t="str">
            <v>mstag:stockCompensation</v>
          </cell>
          <cell r="AP47">
            <v>6</v>
          </cell>
          <cell r="AQ47" t="str">
            <v>ISO4217:USD</v>
          </cell>
          <cell r="AR47" t="b">
            <v>0</v>
          </cell>
          <cell r="AS47" t="b">
            <v>0</v>
          </cell>
        </row>
        <row r="48">
          <cell r="B48" t="str">
            <v>% of operating expense</v>
          </cell>
          <cell r="AC48">
            <v>3.5483675035107048E-2</v>
          </cell>
          <cell r="AE48">
            <v>0.03</v>
          </cell>
          <cell r="AG48">
            <v>0.03</v>
          </cell>
          <cell r="AI48">
            <v>0.03</v>
          </cell>
          <cell r="AK48">
            <v>0.03</v>
          </cell>
        </row>
        <row r="49">
          <cell r="B49" t="str">
            <v>Net Income (incl options exp)</v>
          </cell>
          <cell r="AC49">
            <v>4040.5753900000004</v>
          </cell>
          <cell r="AE49">
            <v>4399.2458985744815</v>
          </cell>
          <cell r="AG49">
            <v>4863.2318930347756</v>
          </cell>
          <cell r="AI49">
            <v>5154.0558679720116</v>
          </cell>
          <cell r="AK49">
            <v>5461.7967741883404</v>
          </cell>
        </row>
        <row r="51">
          <cell r="B51" t="str">
            <v>EPS, diluted (incl option exp)</v>
          </cell>
          <cell r="AC51">
            <v>3.4469575326902331</v>
          </cell>
          <cell r="AE51">
            <v>3.8627394026015285</v>
          </cell>
          <cell r="AG51">
            <v>4.3704543642262941</v>
          </cell>
          <cell r="AI51">
            <v>4.7469048950237553</v>
          </cell>
          <cell r="AK51">
            <v>5.1405825659124416</v>
          </cell>
        </row>
        <row r="52">
          <cell r="B52" t="str">
            <v>EPS, GAAP, Diluted (incl option exp)</v>
          </cell>
          <cell r="C52">
            <v>0.50996188496188499</v>
          </cell>
          <cell r="E52">
            <v>0.49300141743444359</v>
          </cell>
          <cell r="G52">
            <v>0.49676644493717664</v>
          </cell>
          <cell r="I52">
            <v>0.6054506590666191</v>
          </cell>
          <cell r="K52">
            <v>0.58658048069919899</v>
          </cell>
          <cell r="M52">
            <v>0.81665089877010388</v>
          </cell>
          <cell r="O52">
            <v>1.0167856811647964</v>
          </cell>
          <cell r="Q52">
            <v>1.0495989674564392</v>
          </cell>
          <cell r="S52">
            <v>1.0327430363401584</v>
          </cell>
          <cell r="U52">
            <v>-1.2066753359341147</v>
          </cell>
          <cell r="W52">
            <v>1.6939078751857348</v>
          </cell>
          <cell r="Y52">
            <v>1.8057346312639668</v>
          </cell>
          <cell r="AA52">
            <v>2.9252782193958664</v>
          </cell>
          <cell r="AC52">
            <v>2.8409196338463318</v>
          </cell>
          <cell r="AE52">
            <v>3.6709641803555715</v>
          </cell>
          <cell r="AG52">
            <v>4.1741569513311401</v>
          </cell>
          <cell r="AI52">
            <v>4.5457203972860176</v>
          </cell>
          <cell r="AK52">
            <v>4.9349798329237098</v>
          </cell>
        </row>
        <row r="54">
          <cell r="B54" t="str">
            <v xml:space="preserve">Basic Shares Outstanding </v>
          </cell>
          <cell r="C54">
            <v>1148.8</v>
          </cell>
          <cell r="E54">
            <v>1118.4000000000001</v>
          </cell>
          <cell r="G54">
            <v>1122.8</v>
          </cell>
          <cell r="I54">
            <v>1059.5999999999999</v>
          </cell>
          <cell r="K54">
            <v>1056.4000000000001</v>
          </cell>
          <cell r="M54">
            <v>1019.8</v>
          </cell>
          <cell r="O54">
            <v>1021.7</v>
          </cell>
          <cell r="Q54">
            <v>1029.5999999999999</v>
          </cell>
          <cell r="S54">
            <v>1045.5</v>
          </cell>
          <cell r="U54">
            <v>1153.5</v>
          </cell>
          <cell r="W54">
            <v>1288.4000000000001</v>
          </cell>
          <cell r="X54">
            <v>0.11694841785869103</v>
          </cell>
          <cell r="Y54">
            <v>1270.6500000000001</v>
          </cell>
          <cell r="Z54">
            <v>-1.3776777398323503E-2</v>
          </cell>
          <cell r="AA54">
            <v>1236</v>
          </cell>
          <cell r="AB54">
            <v>-2.726950773226311E-2</v>
          </cell>
          <cell r="AC54">
            <v>1161.7770232500002</v>
          </cell>
          <cell r="AD54">
            <v>-6.0050952063106622E-2</v>
          </cell>
          <cell r="AE54">
            <v>1120.8980000000001</v>
          </cell>
          <cell r="AF54">
            <v>-3.5186634295489405E-2</v>
          </cell>
          <cell r="AG54">
            <v>1095.4242875</v>
          </cell>
          <cell r="AH54">
            <v>-2.2726164646560298E-2</v>
          </cell>
          <cell r="AI54">
            <v>1071.23116562</v>
          </cell>
          <cell r="AJ54">
            <v>-2.2085617560310022E-2</v>
          </cell>
          <cell r="AK54">
            <v>1048.7309159855999</v>
          </cell>
          <cell r="AL54">
            <v>-2.1004102901895583E-2</v>
          </cell>
          <cell r="AM54" t="str">
            <v>CAGR</v>
          </cell>
          <cell r="AN54" t="str">
            <v>Target PEG</v>
          </cell>
          <cell r="AO54" t="str">
            <v>mstag:averageBasicSharesOutstanding</v>
          </cell>
          <cell r="AP54">
            <v>6</v>
          </cell>
          <cell r="AQ54" t="str">
            <v>ms_eqr_gcim_Decimal:ms_eqr_gcim_decimal</v>
          </cell>
          <cell r="AR54" t="b">
            <v>0</v>
          </cell>
          <cell r="AS54" t="b">
            <v>0</v>
          </cell>
        </row>
        <row r="55">
          <cell r="B55" t="str">
            <v>Diluted Shares Outstanding</v>
          </cell>
          <cell r="C55">
            <v>1154.4000000000001</v>
          </cell>
          <cell r="E55">
            <v>1128.8</v>
          </cell>
          <cell r="G55">
            <v>1082.4000000000001</v>
          </cell>
          <cell r="I55">
            <v>1122.8</v>
          </cell>
          <cell r="K55">
            <v>1098.4000000000001</v>
          </cell>
          <cell r="M55">
            <v>1057</v>
          </cell>
          <cell r="O55">
            <v>1078.3</v>
          </cell>
          <cell r="Q55">
            <v>1084.7</v>
          </cell>
          <cell r="S55">
            <v>1084.2</v>
          </cell>
          <cell r="U55">
            <v>1153.5</v>
          </cell>
          <cell r="W55">
            <v>1346</v>
          </cell>
          <cell r="X55">
            <v>0.16688339835283927</v>
          </cell>
          <cell r="Y55">
            <v>1320.05</v>
          </cell>
          <cell r="Z55">
            <v>-1.9279346210995585E-2</v>
          </cell>
          <cell r="AA55">
            <v>1258</v>
          </cell>
          <cell r="AB55">
            <v>-4.7005795235028902E-2</v>
          </cell>
          <cell r="AC55">
            <v>1173.37546275</v>
          </cell>
          <cell r="AD55">
            <v>-6.726910751192372E-2</v>
          </cell>
          <cell r="AE55">
            <v>1139.9282839554037</v>
          </cell>
          <cell r="AF55">
            <v>-2.8505094793960795E-2</v>
          </cell>
          <cell r="AG55">
            <v>1113.6672499945955</v>
          </cell>
          <cell r="AH55">
            <v>-2.3037443960672532E-2</v>
          </cell>
          <cell r="AI55">
            <v>1086.6145376915538</v>
          </cell>
          <cell r="AJ55">
            <v>-2.4291557736992875E-2</v>
          </cell>
          <cell r="AK55">
            <v>1063.2640764166335</v>
          </cell>
          <cell r="AL55">
            <v>-2.1489185414845347E-2</v>
          </cell>
          <cell r="AM55">
            <v>0.11371203000907149</v>
          </cell>
          <cell r="AN55">
            <v>1.6</v>
          </cell>
          <cell r="AO55" t="str">
            <v>mstag:averageDilutedSharesOutstanding</v>
          </cell>
          <cell r="AP55">
            <v>6</v>
          </cell>
          <cell r="AQ55" t="str">
            <v>ms_eqr_gcim_Decimal:ms_eqr_gcim_decimal</v>
          </cell>
          <cell r="AR55" t="b">
            <v>0</v>
          </cell>
          <cell r="AS55" t="b">
            <v>0</v>
          </cell>
        </row>
        <row r="56">
          <cell r="AN56" t="str">
            <v>Traget PE</v>
          </cell>
        </row>
        <row r="57">
          <cell r="AN57">
            <v>18.193924801451438</v>
          </cell>
        </row>
        <row r="58">
          <cell r="W58" t="str">
            <v>2003-FY</v>
          </cell>
          <cell r="Y58" t="str">
            <v>2004-FY</v>
          </cell>
          <cell r="AA58" t="str">
            <v>2005-FY</v>
          </cell>
          <cell r="AC58" t="str">
            <v>2006-FY</v>
          </cell>
          <cell r="AE58" t="str">
            <v>2007-FY</v>
          </cell>
          <cell r="AG58" t="str">
            <v>2008-FY</v>
          </cell>
          <cell r="AI58" t="str">
            <v>2009-FY</v>
          </cell>
          <cell r="AK58" t="str">
            <v>2010-FY</v>
          </cell>
        </row>
        <row r="59">
          <cell r="AN59" t="str">
            <v>2005 Target</v>
          </cell>
        </row>
        <row r="60">
          <cell r="B60" t="str">
            <v>Reconciliation to GAAP earnings/loss</v>
          </cell>
          <cell r="AN60">
            <v>58.269732134378252</v>
          </cell>
        </row>
        <row r="61">
          <cell r="B61" t="str">
            <v>Adjustments to pro-forma earnings:</v>
          </cell>
        </row>
        <row r="62">
          <cell r="B62" t="str">
            <v xml:space="preserve">   Amortization of intangible assets</v>
          </cell>
          <cell r="C62">
            <v>0</v>
          </cell>
          <cell r="E62">
            <v>0</v>
          </cell>
          <cell r="G62">
            <v>0</v>
          </cell>
          <cell r="I62">
            <v>0</v>
          </cell>
          <cell r="K62">
            <v>0</v>
          </cell>
          <cell r="M62">
            <v>0</v>
          </cell>
          <cell r="O62">
            <v>0</v>
          </cell>
          <cell r="Q62">
            <v>0</v>
          </cell>
          <cell r="S62">
            <v>0</v>
          </cell>
          <cell r="U62">
            <v>-155.19999999999999</v>
          </cell>
          <cell r="W62">
            <v>-335.8</v>
          </cell>
          <cell r="Y62">
            <v>-333</v>
          </cell>
          <cell r="AA62">
            <v>-347</v>
          </cell>
          <cell r="AC62">
            <v>-97</v>
          </cell>
          <cell r="AE62">
            <v>-347</v>
          </cell>
          <cell r="AG62">
            <v>-347</v>
          </cell>
          <cell r="AI62">
            <v>-347</v>
          </cell>
          <cell r="AK62">
            <v>-347</v>
          </cell>
          <cell r="AO62" t="str">
            <v>mstag:amortizationOfIntangiblesAssumedToHaveIndefiniteLifeIncomeStatement</v>
          </cell>
          <cell r="AP62">
            <v>6</v>
          </cell>
          <cell r="AQ62" t="str">
            <v>ISO4217:USD</v>
          </cell>
          <cell r="AR62" t="b">
            <v>1</v>
          </cell>
          <cell r="AS62" t="b">
            <v>0</v>
          </cell>
        </row>
        <row r="63">
          <cell r="B63" t="str">
            <v xml:space="preserve">   Write-off of acquired in-process R&amp;D</v>
          </cell>
          <cell r="C63">
            <v>0</v>
          </cell>
          <cell r="E63">
            <v>0</v>
          </cell>
          <cell r="G63">
            <v>0</v>
          </cell>
          <cell r="I63">
            <v>0</v>
          </cell>
          <cell r="K63">
            <v>0</v>
          </cell>
          <cell r="M63">
            <v>0</v>
          </cell>
          <cell r="O63">
            <v>0</v>
          </cell>
          <cell r="Q63">
            <v>0</v>
          </cell>
          <cell r="S63">
            <v>0</v>
          </cell>
          <cell r="U63">
            <v>-2991.8</v>
          </cell>
          <cell r="W63">
            <v>0</v>
          </cell>
          <cell r="Y63">
            <v>-554</v>
          </cell>
          <cell r="AA63">
            <v>0</v>
          </cell>
          <cell r="AC63">
            <v>-650</v>
          </cell>
          <cell r="AE63">
            <v>0</v>
          </cell>
          <cell r="AG63">
            <v>0</v>
          </cell>
          <cell r="AI63">
            <v>0</v>
          </cell>
          <cell r="AK63">
            <v>0</v>
          </cell>
          <cell r="AO63" t="str">
            <v>mstag:acquiredInProcessRAndDOneTime</v>
          </cell>
          <cell r="AP63">
            <v>6</v>
          </cell>
          <cell r="AQ63" t="str">
            <v>ISO4217:USD</v>
          </cell>
          <cell r="AR63" t="b">
            <v>1</v>
          </cell>
          <cell r="AS63" t="b">
            <v>0</v>
          </cell>
        </row>
        <row r="64">
          <cell r="B64" t="str">
            <v xml:space="preserve">   Legal Settlement</v>
          </cell>
          <cell r="AA64">
            <v>-49</v>
          </cell>
          <cell r="AO64" t="str">
            <v>mstag:otherProvisionsOneTime</v>
          </cell>
          <cell r="AP64">
            <v>6</v>
          </cell>
          <cell r="AQ64" t="str">
            <v>ISO4217:USD</v>
          </cell>
          <cell r="AR64" t="b">
            <v>1</v>
          </cell>
          <cell r="AS64" t="b">
            <v>0</v>
          </cell>
        </row>
        <row r="65">
          <cell r="B65" t="str">
            <v xml:space="preserve">   COGS</v>
          </cell>
          <cell r="AA65">
            <v>-47</v>
          </cell>
          <cell r="AO65" t="str">
            <v>mstag:otherProvisionsOneTime</v>
          </cell>
          <cell r="AP65">
            <v>6</v>
          </cell>
          <cell r="AQ65" t="str">
            <v>ISO4217:USD</v>
          </cell>
          <cell r="AR65" t="b">
            <v>1</v>
          </cell>
          <cell r="AS65" t="b">
            <v>0</v>
          </cell>
        </row>
        <row r="66">
          <cell r="B66" t="str">
            <v xml:space="preserve">   R&amp;D</v>
          </cell>
          <cell r="AA66">
            <v>-12</v>
          </cell>
          <cell r="AO66" t="str">
            <v>mstag:otherProvisionsOneTime</v>
          </cell>
          <cell r="AP66">
            <v>6</v>
          </cell>
          <cell r="AQ66" t="str">
            <v>ISO4217:USD</v>
          </cell>
          <cell r="AR66" t="b">
            <v>1</v>
          </cell>
          <cell r="AS66" t="b">
            <v>0</v>
          </cell>
        </row>
        <row r="67">
          <cell r="B67" t="str">
            <v xml:space="preserve">   SG&amp;A</v>
          </cell>
          <cell r="AA67">
            <v>2</v>
          </cell>
          <cell r="AO67" t="str">
            <v>mstag:otherProvisionsOneTime</v>
          </cell>
          <cell r="AP67">
            <v>6</v>
          </cell>
          <cell r="AQ67" t="str">
            <v>ISO4217:USD</v>
          </cell>
          <cell r="AR67" t="b">
            <v>1</v>
          </cell>
          <cell r="AS67" t="b">
            <v>0</v>
          </cell>
        </row>
        <row r="68">
          <cell r="B68" t="str">
            <v xml:space="preserve">   Interest expense</v>
          </cell>
          <cell r="AA68">
            <v>0</v>
          </cell>
          <cell r="AO68" t="str">
            <v>mstag:otherProvisionsOneTime</v>
          </cell>
          <cell r="AP68">
            <v>6</v>
          </cell>
          <cell r="AQ68" t="str">
            <v>ISO4217:USD</v>
          </cell>
          <cell r="AR68" t="b">
            <v>1</v>
          </cell>
          <cell r="AS68" t="b">
            <v>0</v>
          </cell>
        </row>
        <row r="69">
          <cell r="B69" t="str">
            <v xml:space="preserve">   Tax effects of adjustments</v>
          </cell>
          <cell r="C69">
            <v>0</v>
          </cell>
          <cell r="E69">
            <v>0</v>
          </cell>
          <cell r="G69">
            <v>0</v>
          </cell>
          <cell r="I69">
            <v>0</v>
          </cell>
          <cell r="K69">
            <v>0</v>
          </cell>
          <cell r="M69">
            <v>0</v>
          </cell>
          <cell r="O69">
            <v>0</v>
          </cell>
          <cell r="Q69">
            <v>0</v>
          </cell>
          <cell r="S69">
            <v>0</v>
          </cell>
          <cell r="U69">
            <v>0</v>
          </cell>
          <cell r="W69">
            <v>0</v>
          </cell>
          <cell r="Y69">
            <v>142.79999999999998</v>
          </cell>
          <cell r="AA69">
            <v>104</v>
          </cell>
          <cell r="AC69">
            <v>35.89</v>
          </cell>
          <cell r="AE69">
            <v>128.38999999999999</v>
          </cell>
          <cell r="AG69">
            <v>128.38999999999999</v>
          </cell>
          <cell r="AI69">
            <v>128.38999999999999</v>
          </cell>
          <cell r="AK69">
            <v>128.38999999999999</v>
          </cell>
          <cell r="AO69" t="str">
            <v>mstag:taxOnIncomeLossFromExtraordinaryItems</v>
          </cell>
          <cell r="AP69">
            <v>6</v>
          </cell>
          <cell r="AQ69" t="str">
            <v>ISO4217:USD</v>
          </cell>
          <cell r="AR69" t="b">
            <v>1</v>
          </cell>
          <cell r="AS69" t="b">
            <v>0</v>
          </cell>
        </row>
        <row r="70">
          <cell r="B70" t="str">
            <v>GAAP Net Income</v>
          </cell>
          <cell r="C70">
            <v>588.70000000000005</v>
          </cell>
          <cell r="E70">
            <v>556.49999999999989</v>
          </cell>
          <cell r="G70">
            <v>537.70000000000005</v>
          </cell>
          <cell r="I70">
            <v>679.79999999999984</v>
          </cell>
          <cell r="K70">
            <v>644.30000000000018</v>
          </cell>
          <cell r="M70">
            <v>863.19999999999982</v>
          </cell>
          <cell r="O70">
            <v>1096.3999999999999</v>
          </cell>
          <cell r="Q70">
            <v>1138.4999999999995</v>
          </cell>
          <cell r="S70">
            <v>1119.6999999999998</v>
          </cell>
          <cell r="U70">
            <v>-1391.9000000000012</v>
          </cell>
          <cell r="W70">
            <v>2259.4999999999991</v>
          </cell>
          <cell r="Y70">
            <v>2362.5999999999995</v>
          </cell>
          <cell r="AA70">
            <v>3674</v>
          </cell>
          <cell r="AC70">
            <v>3329.4653900000003</v>
          </cell>
          <cell r="AE70">
            <v>4180.6358985744819</v>
          </cell>
          <cell r="AG70">
            <v>4644.6218930347759</v>
          </cell>
          <cell r="AI70">
            <v>4935.4458679720119</v>
          </cell>
          <cell r="AK70">
            <v>5243.1867741883407</v>
          </cell>
        </row>
        <row r="71">
          <cell r="B71" t="str">
            <v>GAAP (loss) EPS</v>
          </cell>
          <cell r="W71">
            <v>1.7537255510710952</v>
          </cell>
          <cell r="Y71">
            <v>1.8593633179868565</v>
          </cell>
          <cell r="AA71">
            <v>2.9724919093851132</v>
          </cell>
          <cell r="AC71">
            <v>2.8658385588363804</v>
          </cell>
          <cell r="AE71">
            <v>3.7297201873627048</v>
          </cell>
          <cell r="AG71">
            <v>4.2400209179539265</v>
          </cell>
          <cell r="AI71">
            <v>4.607265010923677</v>
          </cell>
          <cell r="AK71">
            <v>4.9995539315828985</v>
          </cell>
        </row>
        <row r="72">
          <cell r="B72" t="str">
            <v>GAAP (loss) EPS diluted</v>
          </cell>
          <cell r="C72">
            <v>0.50996188496188499</v>
          </cell>
          <cell r="E72">
            <v>0.49300141743444359</v>
          </cell>
          <cell r="G72">
            <v>0.49676644493717664</v>
          </cell>
          <cell r="I72">
            <v>0.6054506590666191</v>
          </cell>
          <cell r="K72">
            <v>0.58658048069919899</v>
          </cell>
          <cell r="M72">
            <v>0.81665089877010388</v>
          </cell>
          <cell r="O72">
            <v>1.0167856811647964</v>
          </cell>
          <cell r="Q72">
            <v>1.0495989674564392</v>
          </cell>
          <cell r="S72">
            <v>1.0327430363401584</v>
          </cell>
          <cell r="U72">
            <v>-1.2066753359341147</v>
          </cell>
          <cell r="W72">
            <v>1.6939078751857348</v>
          </cell>
          <cell r="Y72">
            <v>1.8057346312639668</v>
          </cell>
          <cell r="AA72">
            <v>2.9252782193958664</v>
          </cell>
          <cell r="AC72">
            <v>2.8409196338463318</v>
          </cell>
          <cell r="AE72">
            <v>3.6709641803555715</v>
          </cell>
          <cell r="AG72">
            <v>4.1741569513311401</v>
          </cell>
          <cell r="AI72">
            <v>4.5457203972860176</v>
          </cell>
          <cell r="AK72">
            <v>4.9349798329237098</v>
          </cell>
        </row>
        <row r="73">
          <cell r="B73" t="str">
            <v>Current Actual Basic Share Count</v>
          </cell>
          <cell r="U73">
            <v>1268.2</v>
          </cell>
          <cell r="AO73" t="str">
            <v>mstag:currentBasicSharesOutstanding</v>
          </cell>
          <cell r="AP73">
            <v>6</v>
          </cell>
          <cell r="AQ73" t="str">
            <v>ms_eqr_gcim_Decimal:ms_eqr_gcim_decimal</v>
          </cell>
          <cell r="AR73" t="b">
            <v>0</v>
          </cell>
          <cell r="AS73" t="b">
            <v>0</v>
          </cell>
        </row>
        <row r="74">
          <cell r="B74" t="str">
            <v>Current Actual Diluted Share Count</v>
          </cell>
          <cell r="U74">
            <v>1317.7</v>
          </cell>
          <cell r="AO74" t="str">
            <v>mstag:currentDilutedSharesOutstanding</v>
          </cell>
          <cell r="AP74">
            <v>6</v>
          </cell>
          <cell r="AQ74" t="str">
            <v>ms_eqr_gcim_Decimal:ms_eqr_gcim_decimal</v>
          </cell>
          <cell r="AR74" t="b">
            <v>0</v>
          </cell>
          <cell r="AS74" t="b">
            <v>0</v>
          </cell>
        </row>
        <row r="75">
          <cell r="B75" t="str">
            <v>INTEREST CALCULATIONS</v>
          </cell>
        </row>
        <row r="76">
          <cell r="B76" t="str">
            <v>Cash and Equivalents</v>
          </cell>
          <cell r="U76">
            <v>3663.0499999999997</v>
          </cell>
          <cell r="W76">
            <v>4893.3999999999996</v>
          </cell>
          <cell r="Y76">
            <v>5465.4500000000007</v>
          </cell>
          <cell r="AA76">
            <v>5531.5</v>
          </cell>
          <cell r="AC76">
            <v>4977.6425651190475</v>
          </cell>
          <cell r="AE76">
            <v>5267.9289720168927</v>
          </cell>
          <cell r="AG76">
            <v>6633.1452568129571</v>
          </cell>
          <cell r="AI76">
            <v>8090.5150597020702</v>
          </cell>
          <cell r="AK76">
            <v>10095.15261005767</v>
          </cell>
        </row>
        <row r="77">
          <cell r="B77" t="str">
            <v>Return on assets</v>
          </cell>
          <cell r="U77">
            <v>3.9366102018809461E-2</v>
          </cell>
          <cell r="W77">
            <v>2.3174071197940085E-2</v>
          </cell>
          <cell r="Y77">
            <v>0.02</v>
          </cell>
          <cell r="AA77">
            <v>2.7699999999999999E-2</v>
          </cell>
          <cell r="AC77">
            <v>3.5000000000000003E-2</v>
          </cell>
          <cell r="AE77">
            <v>0.04</v>
          </cell>
          <cell r="AG77">
            <v>0.04</v>
          </cell>
          <cell r="AI77">
            <v>0.04</v>
          </cell>
          <cell r="AK77">
            <v>0.04</v>
          </cell>
        </row>
        <row r="78">
          <cell r="B78" t="str">
            <v>Interst Income</v>
          </cell>
          <cell r="C78">
            <v>27.2</v>
          </cell>
          <cell r="E78">
            <v>21.5</v>
          </cell>
          <cell r="G78">
            <v>66.099999999999994</v>
          </cell>
          <cell r="I78">
            <v>63.6</v>
          </cell>
          <cell r="K78">
            <v>72.599999999999994</v>
          </cell>
          <cell r="M78">
            <v>45.7</v>
          </cell>
          <cell r="O78">
            <v>88.3</v>
          </cell>
          <cell r="Q78">
            <v>146.19999999999999</v>
          </cell>
          <cell r="S78">
            <v>168.7</v>
          </cell>
          <cell r="U78">
            <v>144.19999999999999</v>
          </cell>
          <cell r="W78">
            <v>113.4</v>
          </cell>
          <cell r="Y78">
            <v>109.30900000000001</v>
          </cell>
          <cell r="AA78">
            <v>153.22254999999998</v>
          </cell>
          <cell r="AC78">
            <v>174.21748977916667</v>
          </cell>
          <cell r="AE78">
            <v>210.7171588806757</v>
          </cell>
          <cell r="AG78">
            <v>265.32581027251831</v>
          </cell>
          <cell r="AI78">
            <v>323.62060238808283</v>
          </cell>
          <cell r="AK78">
            <v>403.8061044023068</v>
          </cell>
        </row>
        <row r="79">
          <cell r="B79" t="str">
            <v>Test</v>
          </cell>
          <cell r="U79">
            <v>144.19999999999999</v>
          </cell>
          <cell r="W79">
            <v>113.4</v>
          </cell>
          <cell r="Y79">
            <v>99.7</v>
          </cell>
          <cell r="AA79">
            <v>157</v>
          </cell>
          <cell r="AC79">
            <v>329</v>
          </cell>
          <cell r="AE79">
            <v>210.7171588806757</v>
          </cell>
          <cell r="AG79">
            <v>265.32581027251831</v>
          </cell>
          <cell r="AI79">
            <v>323.62060238808283</v>
          </cell>
          <cell r="AK79">
            <v>403.8061044023068</v>
          </cell>
        </row>
        <row r="80">
          <cell r="B80" t="str">
            <v>Interest Bearing Obligations</v>
          </cell>
        </row>
        <row r="81">
          <cell r="B81" t="str">
            <v>Convertible Bond - 30 year</v>
          </cell>
          <cell r="W81">
            <v>2880</v>
          </cell>
          <cell r="Y81">
            <v>2912.4</v>
          </cell>
          <cell r="AA81">
            <v>1759</v>
          </cell>
          <cell r="AC81">
            <v>1778.7887499999999</v>
          </cell>
          <cell r="AE81">
            <v>1798.5774999999999</v>
          </cell>
          <cell r="AG81">
            <v>1818.3662499999998</v>
          </cell>
          <cell r="AI81">
            <v>1838.1549999999997</v>
          </cell>
          <cell r="AK81">
            <v>1857.9437499999997</v>
          </cell>
        </row>
        <row r="82">
          <cell r="B82" t="str">
            <v>Interest Rate</v>
          </cell>
          <cell r="W82">
            <v>1.125E-2</v>
          </cell>
          <cell r="Y82">
            <v>1.125E-2</v>
          </cell>
          <cell r="AA82">
            <v>1.125E-2</v>
          </cell>
          <cell r="AC82">
            <v>1.125E-2</v>
          </cell>
          <cell r="AE82">
            <v>1.125E-2</v>
          </cell>
          <cell r="AG82">
            <v>1.125E-2</v>
          </cell>
          <cell r="AI82">
            <v>1.125E-2</v>
          </cell>
          <cell r="AK82">
            <v>1.125E-2</v>
          </cell>
        </row>
        <row r="83">
          <cell r="B83" t="str">
            <v>Interest Expense</v>
          </cell>
          <cell r="W83">
            <v>32.4</v>
          </cell>
          <cell r="Y83">
            <v>32.4</v>
          </cell>
          <cell r="AA83">
            <v>19.78875</v>
          </cell>
          <cell r="AC83">
            <v>19.78875</v>
          </cell>
          <cell r="AE83">
            <v>19.78875</v>
          </cell>
          <cell r="AG83">
            <v>19.78875</v>
          </cell>
          <cell r="AI83">
            <v>19.78875</v>
          </cell>
          <cell r="AK83">
            <v>19.78875</v>
          </cell>
        </row>
        <row r="84">
          <cell r="B84" t="str">
            <v>Convertible Bond - 2011</v>
          </cell>
          <cell r="AC84">
            <v>2500</v>
          </cell>
          <cell r="AE84">
            <v>2500</v>
          </cell>
          <cell r="AG84">
            <v>2500</v>
          </cell>
          <cell r="AI84">
            <v>2500</v>
          </cell>
          <cell r="AK84">
            <v>2500</v>
          </cell>
        </row>
        <row r="85">
          <cell r="B85" t="str">
            <v>Interest Rate</v>
          </cell>
          <cell r="AC85">
            <v>1.25E-3</v>
          </cell>
          <cell r="AE85">
            <v>1.25E-3</v>
          </cell>
          <cell r="AG85">
            <v>1.25E-3</v>
          </cell>
          <cell r="AI85">
            <v>1.25E-3</v>
          </cell>
          <cell r="AK85">
            <v>1.25E-3</v>
          </cell>
        </row>
        <row r="86">
          <cell r="B86" t="str">
            <v>Interest Expense</v>
          </cell>
          <cell r="AC86">
            <v>3.125</v>
          </cell>
          <cell r="AE86">
            <v>3.125</v>
          </cell>
          <cell r="AG86">
            <v>3.125</v>
          </cell>
          <cell r="AI86">
            <v>3.125</v>
          </cell>
          <cell r="AK86">
            <v>3.125</v>
          </cell>
        </row>
        <row r="87">
          <cell r="B87" t="str">
            <v>Convertible Bond - 2013</v>
          </cell>
          <cell r="AC87">
            <v>2500</v>
          </cell>
          <cell r="AE87">
            <v>2500</v>
          </cell>
          <cell r="AG87">
            <v>2500</v>
          </cell>
          <cell r="AI87">
            <v>2500</v>
          </cell>
          <cell r="AK87">
            <v>2500</v>
          </cell>
        </row>
        <row r="88">
          <cell r="B88" t="str">
            <v>Interest Rate</v>
          </cell>
          <cell r="AC88">
            <v>3.7499999999999999E-3</v>
          </cell>
          <cell r="AE88">
            <v>3.7499999999999999E-3</v>
          </cell>
          <cell r="AG88">
            <v>3.7499999999999999E-3</v>
          </cell>
          <cell r="AI88">
            <v>3.7499999999999999E-3</v>
          </cell>
          <cell r="AK88">
            <v>3.7499999999999999E-3</v>
          </cell>
        </row>
        <row r="89">
          <cell r="B89" t="str">
            <v>Interest Expense</v>
          </cell>
          <cell r="AC89">
            <v>9.375</v>
          </cell>
          <cell r="AE89">
            <v>9.375</v>
          </cell>
          <cell r="AG89">
            <v>9.375</v>
          </cell>
          <cell r="AI89">
            <v>9.375</v>
          </cell>
          <cell r="AK89">
            <v>9.375</v>
          </cell>
        </row>
        <row r="90">
          <cell r="B90" t="str">
            <v>6.5% Debt</v>
          </cell>
          <cell r="W90">
            <v>100</v>
          </cell>
          <cell r="Y90">
            <v>100</v>
          </cell>
          <cell r="AA90">
            <v>100</v>
          </cell>
          <cell r="AC90">
            <v>100</v>
          </cell>
          <cell r="AE90">
            <v>0</v>
          </cell>
          <cell r="AG90">
            <v>0</v>
          </cell>
          <cell r="AI90">
            <v>0</v>
          </cell>
          <cell r="AK90">
            <v>0</v>
          </cell>
        </row>
        <row r="91">
          <cell r="B91" t="str">
            <v>Interest Rate</v>
          </cell>
          <cell r="W91">
            <v>6.5000000000000002E-2</v>
          </cell>
          <cell r="Y91">
            <v>6.5000000000000002E-2</v>
          </cell>
          <cell r="AA91">
            <v>6.5000000000000002E-2</v>
          </cell>
          <cell r="AC91">
            <v>6.5000000000000002E-2</v>
          </cell>
          <cell r="AE91">
            <v>6.5000000000000002E-2</v>
          </cell>
          <cell r="AG91">
            <v>6.5000000000000002E-2</v>
          </cell>
          <cell r="AI91">
            <v>6.5000000000000002E-2</v>
          </cell>
          <cell r="AK91">
            <v>6.5000000000000002E-2</v>
          </cell>
        </row>
        <row r="92">
          <cell r="B92" t="str">
            <v>Interest Expense</v>
          </cell>
          <cell r="W92">
            <v>6.5</v>
          </cell>
          <cell r="Y92">
            <v>6.5</v>
          </cell>
          <cell r="AA92">
            <v>6.5</v>
          </cell>
          <cell r="AC92">
            <v>6.5</v>
          </cell>
          <cell r="AE92">
            <v>0</v>
          </cell>
          <cell r="AG92">
            <v>0</v>
          </cell>
          <cell r="AI92">
            <v>0</v>
          </cell>
          <cell r="AK92">
            <v>0</v>
          </cell>
        </row>
        <row r="93">
          <cell r="B93" t="str">
            <v>8.1% Debt</v>
          </cell>
          <cell r="W93">
            <v>100</v>
          </cell>
          <cell r="Y93">
            <v>100</v>
          </cell>
          <cell r="AA93">
            <v>100</v>
          </cell>
          <cell r="AC93">
            <v>100</v>
          </cell>
          <cell r="AE93">
            <v>100</v>
          </cell>
          <cell r="AG93">
            <v>100</v>
          </cell>
          <cell r="AI93">
            <v>100</v>
          </cell>
          <cell r="AK93">
            <v>100</v>
          </cell>
        </row>
        <row r="94">
          <cell r="B94" t="str">
            <v>Interest Rate</v>
          </cell>
          <cell r="W94">
            <v>8.1000000000000003E-2</v>
          </cell>
          <cell r="Y94">
            <v>8.1000000000000003E-2</v>
          </cell>
          <cell r="AA94">
            <v>8.1000000000000003E-2</v>
          </cell>
          <cell r="AC94">
            <v>8.1000000000000003E-2</v>
          </cell>
          <cell r="AE94">
            <v>8.1000000000000003E-2</v>
          </cell>
          <cell r="AG94">
            <v>8.1000000000000003E-2</v>
          </cell>
          <cell r="AI94">
            <v>8.1000000000000003E-2</v>
          </cell>
          <cell r="AK94">
            <v>8.1000000000000003E-2</v>
          </cell>
        </row>
        <row r="95">
          <cell r="B95" t="str">
            <v>Interest Expense</v>
          </cell>
          <cell r="W95">
            <v>8.1</v>
          </cell>
          <cell r="Y95">
            <v>8.1</v>
          </cell>
          <cell r="AA95">
            <v>8.1</v>
          </cell>
          <cell r="AC95">
            <v>8.1</v>
          </cell>
          <cell r="AE95">
            <v>8.1</v>
          </cell>
          <cell r="AG95">
            <v>8.1</v>
          </cell>
          <cell r="AI95">
            <v>8.1</v>
          </cell>
          <cell r="AK95">
            <v>8.1</v>
          </cell>
        </row>
        <row r="96">
          <cell r="B96" t="str">
            <v>Senior Notes</v>
          </cell>
          <cell r="Y96">
            <v>2000</v>
          </cell>
          <cell r="AA96">
            <v>1998</v>
          </cell>
          <cell r="AC96">
            <v>1998</v>
          </cell>
          <cell r="AE96">
            <v>1998</v>
          </cell>
          <cell r="AG96">
            <v>1998</v>
          </cell>
          <cell r="AI96">
            <v>1000</v>
          </cell>
          <cell r="AK96">
            <v>1000</v>
          </cell>
        </row>
        <row r="97">
          <cell r="B97" t="str">
            <v>Interest Rate</v>
          </cell>
          <cell r="Y97">
            <v>4.4249999999999998E-2</v>
          </cell>
          <cell r="AA97">
            <v>4.4249999999999998E-2</v>
          </cell>
          <cell r="AC97">
            <v>4.4249999999999998E-2</v>
          </cell>
          <cell r="AE97">
            <v>4.4249999999999998E-2</v>
          </cell>
          <cell r="AG97">
            <v>4.4249999999999998E-2</v>
          </cell>
          <cell r="AI97">
            <v>4.8500000000000001E-2</v>
          </cell>
          <cell r="AK97">
            <v>4.8500000000000001E-2</v>
          </cell>
        </row>
        <row r="98">
          <cell r="B98" t="str">
            <v>Interest Expense</v>
          </cell>
          <cell r="C98">
            <v>785.5</v>
          </cell>
          <cell r="E98">
            <v>815.59999999999991</v>
          </cell>
          <cell r="G98">
            <v>743.59999999999991</v>
          </cell>
          <cell r="I98">
            <v>904.89999999999986</v>
          </cell>
          <cell r="K98">
            <v>792.50000000000023</v>
          </cell>
          <cell r="M98">
            <v>1188.6999999999998</v>
          </cell>
          <cell r="O98">
            <v>1493.1</v>
          </cell>
          <cell r="Q98">
            <v>1543.9999999999995</v>
          </cell>
          <cell r="S98">
            <v>1531.1999999999998</v>
          </cell>
          <cell r="Y98">
            <v>8.85</v>
          </cell>
          <cell r="AA98">
            <v>88.41149999999999</v>
          </cell>
          <cell r="AC98">
            <v>88.41149999999999</v>
          </cell>
          <cell r="AE98">
            <v>88.41149999999999</v>
          </cell>
          <cell r="AG98">
            <v>88.41149999999999</v>
          </cell>
          <cell r="AI98">
            <v>48.5</v>
          </cell>
          <cell r="AK98">
            <v>48.5</v>
          </cell>
        </row>
        <row r="99">
          <cell r="B99" t="str">
            <v>Total Interest</v>
          </cell>
          <cell r="W99">
            <v>47</v>
          </cell>
          <cell r="Y99">
            <v>47</v>
          </cell>
          <cell r="AA99">
            <v>122.80024999999999</v>
          </cell>
          <cell r="AC99">
            <v>135.30025000000001</v>
          </cell>
          <cell r="AE99">
            <v>128.80025000000001</v>
          </cell>
          <cell r="AG99">
            <v>128.80025000000001</v>
          </cell>
          <cell r="AI99">
            <v>88.888750000000002</v>
          </cell>
          <cell r="AK99">
            <v>88.888750000000002</v>
          </cell>
        </row>
        <row r="100">
          <cell r="B100" t="str">
            <v>Total Debt</v>
          </cell>
          <cell r="W100">
            <v>3080</v>
          </cell>
          <cell r="Y100">
            <v>5112.3999999999996</v>
          </cell>
          <cell r="AA100">
            <v>3957</v>
          </cell>
          <cell r="AC100">
            <v>8976.7887499999997</v>
          </cell>
          <cell r="AE100">
            <v>8896.5774999999994</v>
          </cell>
          <cell r="AG100">
            <v>8916.3662499999991</v>
          </cell>
          <cell r="AI100">
            <v>7938.1549999999997</v>
          </cell>
          <cell r="AK100">
            <v>7957.9437499999995</v>
          </cell>
        </row>
        <row r="101">
          <cell r="B101" t="str">
            <v>CHECK</v>
          </cell>
          <cell r="W101">
            <v>-31.5</v>
          </cell>
          <cell r="Y101">
            <v>-52.5</v>
          </cell>
          <cell r="AA101">
            <v>-137</v>
          </cell>
          <cell r="AC101">
            <v>-136</v>
          </cell>
          <cell r="AE101">
            <v>-128.80025000000001</v>
          </cell>
          <cell r="AG101">
            <v>-128.80025000000001</v>
          </cell>
          <cell r="AI101">
            <v>-88.888750000000002</v>
          </cell>
          <cell r="AK101">
            <v>-88.888750000000002</v>
          </cell>
        </row>
        <row r="105">
          <cell r="B105" t="str">
            <v>Statuatory Tax</v>
          </cell>
          <cell r="C105">
            <v>0.35</v>
          </cell>
          <cell r="E105">
            <v>0.35</v>
          </cell>
          <cell r="G105">
            <v>0.35</v>
          </cell>
          <cell r="I105">
            <v>0.35</v>
          </cell>
          <cell r="K105">
            <v>0.35</v>
          </cell>
          <cell r="M105">
            <v>0.35</v>
          </cell>
          <cell r="O105">
            <v>0.35</v>
          </cell>
          <cell r="Q105">
            <v>0.35</v>
          </cell>
          <cell r="S105">
            <v>0.35</v>
          </cell>
          <cell r="U105">
            <v>0.35</v>
          </cell>
          <cell r="W105">
            <v>0.35</v>
          </cell>
          <cell r="Y105">
            <v>0.27179593913325006</v>
          </cell>
          <cell r="AA105">
            <v>0.24393910919000189</v>
          </cell>
          <cell r="AC105">
            <v>0.2340976647582528</v>
          </cell>
          <cell r="AE105">
            <v>0.23499999999999999</v>
          </cell>
          <cell r="AG105">
            <v>0.23</v>
          </cell>
          <cell r="AI105">
            <v>0.22500000000000001</v>
          </cell>
          <cell r="AK105">
            <v>0.22450000000000001</v>
          </cell>
          <cell r="AO105" t="str">
            <v>mstag:statutoryTaxRate</v>
          </cell>
          <cell r="AP105">
            <v>0</v>
          </cell>
          <cell r="AQ105" t="str">
            <v>ms_eqr_gcim_Decimal:ms_eqr_gcim_decimal</v>
          </cell>
          <cell r="AR105" t="b">
            <v>0</v>
          </cell>
          <cell r="AS105" t="b">
            <v>0</v>
          </cell>
        </row>
        <row r="106">
          <cell r="B106" t="str">
            <v>Common Dividends</v>
          </cell>
          <cell r="C106">
            <v>0</v>
          </cell>
          <cell r="E106">
            <v>0</v>
          </cell>
          <cell r="G106">
            <v>0</v>
          </cell>
          <cell r="I106">
            <v>0</v>
          </cell>
          <cell r="K106">
            <v>0</v>
          </cell>
          <cell r="M106">
            <v>0</v>
          </cell>
          <cell r="O106">
            <v>0</v>
          </cell>
          <cell r="Q106">
            <v>0</v>
          </cell>
          <cell r="S106">
            <v>0</v>
          </cell>
          <cell r="U106">
            <v>0</v>
          </cell>
          <cell r="W106">
            <v>0</v>
          </cell>
          <cell r="Y106">
            <v>0</v>
          </cell>
          <cell r="AA106">
            <v>0</v>
          </cell>
          <cell r="AC106">
            <v>0</v>
          </cell>
          <cell r="AE106">
            <v>0</v>
          </cell>
          <cell r="AG106">
            <v>0</v>
          </cell>
          <cell r="AI106">
            <v>0</v>
          </cell>
          <cell r="AK106">
            <v>0</v>
          </cell>
          <cell r="AO106" t="str">
            <v>mstag:commonDividends</v>
          </cell>
          <cell r="AP106">
            <v>6</v>
          </cell>
          <cell r="AQ106" t="str">
            <v>ISO4217:USD</v>
          </cell>
          <cell r="AR106" t="b">
            <v>0</v>
          </cell>
          <cell r="AS106" t="b">
            <v>0</v>
          </cell>
        </row>
        <row r="107">
          <cell r="B107" t="str">
            <v>Unrecorded Goodwill</v>
          </cell>
          <cell r="C107">
            <v>0</v>
          </cell>
          <cell r="E107">
            <v>0</v>
          </cell>
          <cell r="G107">
            <v>0</v>
          </cell>
          <cell r="I107">
            <v>0</v>
          </cell>
          <cell r="K107">
            <v>0</v>
          </cell>
          <cell r="M107">
            <v>0</v>
          </cell>
          <cell r="O107">
            <v>0</v>
          </cell>
          <cell r="Q107">
            <v>0</v>
          </cell>
          <cell r="S107">
            <v>0</v>
          </cell>
          <cell r="U107">
            <v>0</v>
          </cell>
          <cell r="W107">
            <v>0</v>
          </cell>
          <cell r="Y107">
            <v>0</v>
          </cell>
          <cell r="AA107">
            <v>0</v>
          </cell>
          <cell r="AC107">
            <v>0</v>
          </cell>
          <cell r="AE107">
            <v>0</v>
          </cell>
          <cell r="AG107">
            <v>0</v>
          </cell>
          <cell r="AI107">
            <v>0</v>
          </cell>
          <cell r="AK107">
            <v>0</v>
          </cell>
          <cell r="AO107" t="str">
            <v>mstag:unrecordedGoodwillFromPoolingAndAmortizedOrWrittenOffGoodwill</v>
          </cell>
          <cell r="AP107">
            <v>6</v>
          </cell>
          <cell r="AQ107" t="str">
            <v>ISO4217:USD</v>
          </cell>
          <cell r="AR107" t="b">
            <v>0</v>
          </cell>
          <cell r="AS107" t="b">
            <v>0</v>
          </cell>
        </row>
        <row r="109">
          <cell r="B109" t="str">
            <v>If-Converted Calculation</v>
          </cell>
        </row>
        <row r="110">
          <cell r="Y110" t="str">
            <v>2004E</v>
          </cell>
          <cell r="AA110" t="str">
            <v>2005E</v>
          </cell>
          <cell r="AC110" t="str">
            <v>2006E</v>
          </cell>
          <cell r="AE110" t="str">
            <v>2007E</v>
          </cell>
          <cell r="AG110" t="str">
            <v>2008E</v>
          </cell>
          <cell r="AI110" t="str">
            <v>2009E</v>
          </cell>
          <cell r="AK110" t="str">
            <v>2010E</v>
          </cell>
        </row>
        <row r="111">
          <cell r="B111" t="str">
            <v>Net Earnings</v>
          </cell>
          <cell r="Y111">
            <v>3106.7999999999993</v>
          </cell>
          <cell r="AA111">
            <v>4023</v>
          </cell>
          <cell r="AC111">
            <v>4335.4931825000003</v>
          </cell>
          <cell r="AE111">
            <v>4671.2119694975627</v>
          </cell>
          <cell r="AG111">
            <v>5157.5244034755797</v>
          </cell>
          <cell r="AI111">
            <v>5486.3131761720342</v>
          </cell>
          <cell r="AK111">
            <v>5830.7509225580634</v>
          </cell>
        </row>
        <row r="112">
          <cell r="B112" t="str">
            <v>Diluted Share Count</v>
          </cell>
          <cell r="Y112">
            <v>1285.05</v>
          </cell>
          <cell r="AA112">
            <v>1236</v>
          </cell>
          <cell r="AC112">
            <v>1173.37546275</v>
          </cell>
          <cell r="AE112">
            <v>1131.9282839554037</v>
          </cell>
          <cell r="AG112">
            <v>1105.6672499945955</v>
          </cell>
          <cell r="AI112">
            <v>1078.6145376915538</v>
          </cell>
          <cell r="AK112">
            <v>1055.2640764166335</v>
          </cell>
        </row>
        <row r="113">
          <cell r="B113" t="str">
            <v>EPS, diluted</v>
          </cell>
          <cell r="Y113">
            <v>2.4176491187113336</v>
          </cell>
          <cell r="AA113">
            <v>3.2548543689320391</v>
          </cell>
          <cell r="AC113">
            <v>3.6948899309169572</v>
          </cell>
          <cell r="AE113">
            <v>4.1267737856805793</v>
          </cell>
          <cell r="AG113">
            <v>4.6646261825162947</v>
          </cell>
          <cell r="AI113">
            <v>5.0864446792213815</v>
          </cell>
          <cell r="AK113">
            <v>5.5253950673253076</v>
          </cell>
        </row>
        <row r="115">
          <cell r="B115" t="str">
            <v>Interest add-back</v>
          </cell>
          <cell r="Y115">
            <v>21.06</v>
          </cell>
          <cell r="AA115">
            <v>6</v>
          </cell>
          <cell r="AC115">
            <v>4</v>
          </cell>
          <cell r="AE115">
            <v>4</v>
          </cell>
          <cell r="AG115">
            <v>4</v>
          </cell>
          <cell r="AI115">
            <v>4</v>
          </cell>
          <cell r="AK115">
            <v>4</v>
          </cell>
        </row>
        <row r="116">
          <cell r="B116" t="str">
            <v>If-converted shares</v>
          </cell>
          <cell r="Y116">
            <v>35</v>
          </cell>
          <cell r="AA116">
            <v>22</v>
          </cell>
          <cell r="AC116">
            <v>8</v>
          </cell>
          <cell r="AE116">
            <v>8</v>
          </cell>
          <cell r="AG116">
            <v>8</v>
          </cell>
          <cell r="AI116">
            <v>8</v>
          </cell>
          <cell r="AK116">
            <v>8</v>
          </cell>
        </row>
        <row r="117">
          <cell r="B117" t="str">
            <v>"If converted" EPS</v>
          </cell>
          <cell r="Y117">
            <v>2.36950115525927</v>
          </cell>
          <cell r="AA117">
            <v>3.2027027027027026</v>
          </cell>
          <cell r="AC117">
            <v>3.6732548790191979</v>
          </cell>
          <cell r="AE117">
            <v>4.1013211403748855</v>
          </cell>
          <cell r="AG117">
            <v>4.6347096976234399</v>
          </cell>
          <cell r="AI117">
            <v>5.0526778224740756</v>
          </cell>
          <cell r="AK117">
            <v>5.4875839896915242</v>
          </cell>
        </row>
        <row r="118">
          <cell r="B118" t="str">
            <v>EPS dilution</v>
          </cell>
          <cell r="Y118">
            <v>-1.9915199058218813E-2</v>
          </cell>
          <cell r="AA118">
            <v>-1.6022734143539608E-2</v>
          </cell>
          <cell r="AC118">
            <v>-5.8553982127391713E-3</v>
          </cell>
          <cell r="AE118">
            <v>-6.167686097554359E-3</v>
          </cell>
          <cell r="AG118">
            <v>-6.4134796063586297E-3</v>
          </cell>
          <cell r="AI118">
            <v>-6.6385970706114295E-3</v>
          </cell>
          <cell r="AK118">
            <v>-6.8431446390830875E-3</v>
          </cell>
        </row>
        <row r="119">
          <cell r="B119" t="str">
            <v>Modelware adjustment</v>
          </cell>
          <cell r="U119">
            <v>20.5</v>
          </cell>
          <cell r="W119">
            <v>20.5</v>
          </cell>
          <cell r="Y119">
            <v>21.06</v>
          </cell>
          <cell r="AA119">
            <v>6</v>
          </cell>
          <cell r="AC119">
            <v>4</v>
          </cell>
          <cell r="AE119">
            <v>4</v>
          </cell>
          <cell r="AG119">
            <v>4</v>
          </cell>
          <cell r="AI119">
            <v>4</v>
          </cell>
          <cell r="AK119">
            <v>4</v>
          </cell>
          <cell r="AO119" t="str">
            <v>mstag:adjustmentToNetIncomeForDilutiveItems</v>
          </cell>
          <cell r="AP119">
            <v>6</v>
          </cell>
          <cell r="AQ119" t="str">
            <v>ISO4217:USD</v>
          </cell>
          <cell r="AR119" t="b">
            <v>0</v>
          </cell>
          <cell r="AS119" t="b">
            <v>0</v>
          </cell>
        </row>
      </sheetData>
      <sheetData sheetId="7" refreshError="1">
        <row r="1">
          <cell r="B1" t="str">
            <v>Amgen Balance Sheet</v>
          </cell>
          <cell r="AO1" t="str">
            <v>ElementName</v>
          </cell>
          <cell r="AP1" t="str">
            <v>ScaleOverride</v>
          </cell>
          <cell r="AQ1" t="str">
            <v>UnitOverride</v>
          </cell>
          <cell r="AR1" t="str">
            <v>ReverseSign</v>
          </cell>
          <cell r="AS1" t="str">
            <v>IsDrivingAssumption</v>
          </cell>
          <cell r="AT1" t="str">
            <v>SegmentID</v>
          </cell>
        </row>
        <row r="2">
          <cell r="B2" t="str">
            <v>(Dollars in millions)</v>
          </cell>
        </row>
        <row r="4">
          <cell r="C4" t="str">
            <v>1993A</v>
          </cell>
          <cell r="E4" t="str">
            <v>1994A</v>
          </cell>
          <cell r="G4" t="str">
            <v>1995A</v>
          </cell>
          <cell r="I4" t="str">
            <v>1996A</v>
          </cell>
          <cell r="K4" t="str">
            <v>1997A</v>
          </cell>
          <cell r="M4" t="str">
            <v>1998A</v>
          </cell>
          <cell r="O4" t="str">
            <v>1999A</v>
          </cell>
          <cell r="Q4" t="str">
            <v>2000A</v>
          </cell>
          <cell r="S4" t="str">
            <v>2001A</v>
          </cell>
          <cell r="U4" t="str">
            <v>2002A</v>
          </cell>
          <cell r="W4" t="str">
            <v>2003A</v>
          </cell>
          <cell r="Y4" t="str">
            <v>2004A</v>
          </cell>
          <cell r="AA4" t="str">
            <v>2005A</v>
          </cell>
          <cell r="AC4" t="str">
            <v>2006E</v>
          </cell>
          <cell r="AE4" t="str">
            <v>2007E</v>
          </cell>
          <cell r="AG4" t="str">
            <v>2008E</v>
          </cell>
          <cell r="AI4" t="str">
            <v>2009E</v>
          </cell>
          <cell r="AK4" t="str">
            <v>2010E</v>
          </cell>
        </row>
        <row r="5">
          <cell r="B5" t="str">
            <v>Current assets:</v>
          </cell>
        </row>
        <row r="6">
          <cell r="B6" t="str">
            <v>Cash and Equivalents</v>
          </cell>
          <cell r="C6">
            <v>128.505</v>
          </cell>
          <cell r="E6">
            <v>211.32300000000001</v>
          </cell>
          <cell r="G6">
            <v>66.7</v>
          </cell>
          <cell r="I6">
            <v>169.3</v>
          </cell>
          <cell r="K6">
            <v>239.1</v>
          </cell>
          <cell r="M6">
            <v>201.1</v>
          </cell>
          <cell r="O6">
            <v>130.9</v>
          </cell>
          <cell r="Q6">
            <v>226.5</v>
          </cell>
          <cell r="S6">
            <v>689.1</v>
          </cell>
          <cell r="U6">
            <v>1851.7</v>
          </cell>
          <cell r="W6">
            <v>836.6</v>
          </cell>
          <cell r="Y6">
            <v>1526</v>
          </cell>
          <cell r="AA6">
            <v>1840</v>
          </cell>
          <cell r="AC6">
            <v>1595.73967569264</v>
          </cell>
          <cell r="AE6">
            <v>2878.8628570857336</v>
          </cell>
          <cell r="AG6">
            <v>4488.7177429048934</v>
          </cell>
          <cell r="AI6">
            <v>5822.949278354683</v>
          </cell>
          <cell r="AK6">
            <v>8527.1936550496484</v>
          </cell>
          <cell r="AO6" t="str">
            <v>mstag:cashAndCashEquivalents</v>
          </cell>
          <cell r="AP6">
            <v>6</v>
          </cell>
          <cell r="AQ6" t="str">
            <v>ISO4217:USD</v>
          </cell>
          <cell r="AR6" t="b">
            <v>0</v>
          </cell>
          <cell r="AS6" t="b">
            <v>0</v>
          </cell>
        </row>
        <row r="7">
          <cell r="B7" t="str">
            <v>Marketable Securities</v>
          </cell>
          <cell r="C7">
            <v>594.67899999999997</v>
          </cell>
          <cell r="E7">
            <v>485.358</v>
          </cell>
          <cell r="G7">
            <v>983.6</v>
          </cell>
          <cell r="I7">
            <v>907.7</v>
          </cell>
          <cell r="K7">
            <v>787.4</v>
          </cell>
          <cell r="M7">
            <v>1074.9000000000001</v>
          </cell>
          <cell r="O7">
            <v>1202.0999999999999</v>
          </cell>
          <cell r="Q7">
            <v>1801.6</v>
          </cell>
          <cell r="S7">
            <v>1973.1</v>
          </cell>
          <cell r="U7">
            <v>2812.2</v>
          </cell>
          <cell r="W7">
            <v>4286.3</v>
          </cell>
          <cell r="Y7">
            <v>4282</v>
          </cell>
          <cell r="AA7">
            <v>3415</v>
          </cell>
          <cell r="AC7">
            <v>3104.5454545454545</v>
          </cell>
          <cell r="AE7">
            <v>2956.7099567099567</v>
          </cell>
          <cell r="AG7">
            <v>2941.99995692533</v>
          </cell>
          <cell r="AI7">
            <v>2927.363141219234</v>
          </cell>
          <cell r="AK7">
            <v>2912.7991454917751</v>
          </cell>
          <cell r="AO7" t="str">
            <v>mstag:shortTermInvestments</v>
          </cell>
          <cell r="AP7">
            <v>6</v>
          </cell>
          <cell r="AQ7" t="str">
            <v>ISO4217:USD</v>
          </cell>
          <cell r="AR7" t="b">
            <v>0</v>
          </cell>
          <cell r="AS7" t="b">
            <v>0</v>
          </cell>
        </row>
        <row r="8">
          <cell r="B8" t="str">
            <v>Trade Receivables, net</v>
          </cell>
          <cell r="C8">
            <v>164.33699999999999</v>
          </cell>
          <cell r="E8">
            <v>194.71199999999999</v>
          </cell>
          <cell r="G8">
            <v>199.3</v>
          </cell>
          <cell r="I8">
            <v>225.4</v>
          </cell>
          <cell r="K8">
            <v>269</v>
          </cell>
          <cell r="M8">
            <v>319.89999999999998</v>
          </cell>
          <cell r="O8">
            <v>412.2</v>
          </cell>
          <cell r="Q8">
            <v>389.2</v>
          </cell>
          <cell r="S8">
            <v>497.2</v>
          </cell>
          <cell r="U8">
            <v>752.4</v>
          </cell>
          <cell r="W8">
            <v>1007.9</v>
          </cell>
          <cell r="Y8">
            <v>1461</v>
          </cell>
          <cell r="AA8">
            <v>1769</v>
          </cell>
          <cell r="AC8">
            <v>1968.4285714285713</v>
          </cell>
          <cell r="AE8">
            <v>2155.6826036867242</v>
          </cell>
          <cell r="AG8">
            <v>2372.6533954538641</v>
          </cell>
          <cell r="AI8">
            <v>2597.047178258721</v>
          </cell>
          <cell r="AK8">
            <v>2826.4134872455193</v>
          </cell>
          <cell r="AO8" t="str">
            <v>mstag:tradeReceivables</v>
          </cell>
          <cell r="AP8">
            <v>6</v>
          </cell>
          <cell r="AQ8" t="str">
            <v>ISO4217:USD</v>
          </cell>
          <cell r="AR8" t="b">
            <v>0</v>
          </cell>
          <cell r="AS8" t="b">
            <v>0</v>
          </cell>
        </row>
        <row r="9">
          <cell r="B9" t="str">
            <v>Inventories</v>
          </cell>
          <cell r="C9">
            <v>74.712000000000003</v>
          </cell>
          <cell r="E9">
            <v>98.004000000000005</v>
          </cell>
          <cell r="G9">
            <v>88.8</v>
          </cell>
          <cell r="I9">
            <v>97.4</v>
          </cell>
          <cell r="K9">
            <v>109.2</v>
          </cell>
          <cell r="M9">
            <v>110.8</v>
          </cell>
          <cell r="O9">
            <v>184.3</v>
          </cell>
          <cell r="Q9">
            <v>305.2</v>
          </cell>
          <cell r="S9">
            <v>355.6</v>
          </cell>
          <cell r="U9">
            <v>544.9</v>
          </cell>
          <cell r="W9">
            <v>712.6</v>
          </cell>
          <cell r="Y9">
            <v>888</v>
          </cell>
          <cell r="AA9">
            <v>1258</v>
          </cell>
          <cell r="AC9">
            <v>1422.0328124999999</v>
          </cell>
          <cell r="AE9">
            <v>1544.5641329739619</v>
          </cell>
          <cell r="AG9">
            <v>1664.7963868306774</v>
          </cell>
          <cell r="AI9">
            <v>1826.1337440775962</v>
          </cell>
          <cell r="AK9">
            <v>2018.7024615605301</v>
          </cell>
          <cell r="AO9" t="str">
            <v>mstag:inventories</v>
          </cell>
          <cell r="AP9">
            <v>6</v>
          </cell>
          <cell r="AQ9" t="str">
            <v>ISO4217:USD</v>
          </cell>
          <cell r="AR9" t="b">
            <v>0</v>
          </cell>
          <cell r="AS9" t="b">
            <v>0</v>
          </cell>
        </row>
        <row r="10">
          <cell r="B10" t="str">
            <v>Deferred Taxes, Net</v>
          </cell>
          <cell r="C10">
            <v>58.936999999999998</v>
          </cell>
          <cell r="E10">
            <v>70.176000000000002</v>
          </cell>
          <cell r="G10">
            <v>51.7</v>
          </cell>
          <cell r="O10">
            <v>0</v>
          </cell>
          <cell r="Q10">
            <v>0</v>
          </cell>
          <cell r="S10">
            <v>0</v>
          </cell>
          <cell r="U10">
            <v>0</v>
          </cell>
          <cell r="W10">
            <v>0</v>
          </cell>
          <cell r="Y10">
            <v>0</v>
          </cell>
          <cell r="AA10">
            <v>0</v>
          </cell>
          <cell r="AC10">
            <v>0</v>
          </cell>
          <cell r="AE10">
            <v>0</v>
          </cell>
          <cell r="AG10">
            <v>0</v>
          </cell>
          <cell r="AI10">
            <v>0</v>
          </cell>
          <cell r="AK10">
            <v>0</v>
          </cell>
          <cell r="AO10" t="str">
            <v>mstag:deferredTaxAssets</v>
          </cell>
          <cell r="AP10">
            <v>6</v>
          </cell>
          <cell r="AQ10" t="str">
            <v>ISO4217:USD</v>
          </cell>
          <cell r="AR10" t="b">
            <v>0</v>
          </cell>
          <cell r="AS10" t="b">
            <v>0</v>
          </cell>
        </row>
        <row r="11">
          <cell r="B11" t="str">
            <v>Other Current Assets</v>
          </cell>
          <cell r="C11">
            <v>33.340000000000003</v>
          </cell>
          <cell r="E11">
            <v>56.064999999999998</v>
          </cell>
          <cell r="G11">
            <v>64</v>
          </cell>
          <cell r="I11">
            <v>102.8</v>
          </cell>
          <cell r="K11">
            <v>138.80000000000001</v>
          </cell>
          <cell r="M11">
            <v>156.6</v>
          </cell>
          <cell r="O11">
            <v>135.80000000000001</v>
          </cell>
          <cell r="Q11">
            <v>214.6</v>
          </cell>
          <cell r="S11">
            <v>343.6</v>
          </cell>
          <cell r="U11">
            <v>442.3</v>
          </cell>
          <cell r="W11">
            <v>558.79999999999995</v>
          </cell>
          <cell r="Y11">
            <v>1013</v>
          </cell>
          <cell r="AA11">
            <v>953</v>
          </cell>
          <cell r="AC11">
            <v>964.53000000000009</v>
          </cell>
          <cell r="AE11">
            <v>1207.1822580645655</v>
          </cell>
          <cell r="AG11">
            <v>1473.4177585768496</v>
          </cell>
          <cell r="AI11">
            <v>1612.7662976986658</v>
          </cell>
          <cell r="AK11">
            <v>1755.2027755794675</v>
          </cell>
          <cell r="AO11" t="str">
            <v>mstag:otherAssets</v>
          </cell>
          <cell r="AP11">
            <v>6</v>
          </cell>
          <cell r="AQ11" t="str">
            <v>ISO4217:USD</v>
          </cell>
          <cell r="AR11" t="b">
            <v>0</v>
          </cell>
          <cell r="AS11" t="b">
            <v>0</v>
          </cell>
        </row>
        <row r="12">
          <cell r="B12" t="str">
            <v>Total current assets</v>
          </cell>
          <cell r="C12">
            <v>1054.51</v>
          </cell>
          <cell r="E12">
            <v>1115.6380000000001</v>
          </cell>
          <cell r="G12">
            <v>1454.1</v>
          </cell>
          <cell r="I12">
            <v>1502.6000000000001</v>
          </cell>
          <cell r="K12">
            <v>1543.5</v>
          </cell>
          <cell r="M12">
            <v>1863.3</v>
          </cell>
          <cell r="O12">
            <v>2065.3000000000002</v>
          </cell>
          <cell r="Q12">
            <v>2937.0999999999995</v>
          </cell>
          <cell r="S12">
            <v>3858.5999999999995</v>
          </cell>
          <cell r="U12">
            <v>6403.4999999999991</v>
          </cell>
          <cell r="W12">
            <v>7402.2000000000007</v>
          </cell>
          <cell r="Y12">
            <v>9170</v>
          </cell>
          <cell r="AA12">
            <v>9235</v>
          </cell>
          <cell r="AC12">
            <v>9055.2765141666659</v>
          </cell>
          <cell r="AE12">
            <v>10743.001808520943</v>
          </cell>
          <cell r="AG12">
            <v>12941.585240691616</v>
          </cell>
          <cell r="AI12">
            <v>14786.259639608899</v>
          </cell>
          <cell r="AK12">
            <v>18040.311524926939</v>
          </cell>
        </row>
        <row r="14">
          <cell r="B14" t="str">
            <v>Property, Plant &amp; Equipment</v>
          </cell>
          <cell r="C14">
            <v>586.91200000000003</v>
          </cell>
          <cell r="E14">
            <v>665.31399999999996</v>
          </cell>
          <cell r="G14">
            <v>743.8</v>
          </cell>
          <cell r="I14">
            <v>910.5</v>
          </cell>
          <cell r="K14">
            <v>1186.2</v>
          </cell>
          <cell r="M14">
            <v>1450.2</v>
          </cell>
          <cell r="O14">
            <v>1553.6</v>
          </cell>
          <cell r="Q14">
            <v>1781.5</v>
          </cell>
          <cell r="S14">
            <v>1946.1</v>
          </cell>
          <cell r="U14">
            <v>2813.5</v>
          </cell>
          <cell r="W14">
            <v>3799.4</v>
          </cell>
          <cell r="Y14">
            <v>4712</v>
          </cell>
          <cell r="AA14">
            <v>5038</v>
          </cell>
          <cell r="AC14">
            <v>5980.5493333333325</v>
          </cell>
          <cell r="AE14">
            <v>6577.3994462366118</v>
          </cell>
          <cell r="AG14">
            <v>7084.1184670405946</v>
          </cell>
          <cell r="AI14">
            <v>7351.437436320256</v>
          </cell>
          <cell r="AK14">
            <v>7696.185373274071</v>
          </cell>
          <cell r="AO14" t="str">
            <v>mstag:propertyPlantAndEquipmentNet</v>
          </cell>
          <cell r="AP14">
            <v>6</v>
          </cell>
          <cell r="AQ14" t="str">
            <v>ISO4217:USD</v>
          </cell>
          <cell r="AR14" t="b">
            <v>0</v>
          </cell>
          <cell r="AS14" t="b">
            <v>0</v>
          </cell>
        </row>
        <row r="15">
          <cell r="B15" t="str">
            <v>Intangible Assets, net</v>
          </cell>
          <cell r="O15">
            <v>0</v>
          </cell>
          <cell r="Q15">
            <v>0</v>
          </cell>
          <cell r="S15">
            <v>34.1</v>
          </cell>
          <cell r="U15">
            <v>4801.8999999999996</v>
          </cell>
          <cell r="W15">
            <v>4455.5</v>
          </cell>
          <cell r="Y15">
            <v>4033</v>
          </cell>
          <cell r="AA15">
            <v>3742</v>
          </cell>
          <cell r="AC15">
            <v>3680.89</v>
          </cell>
          <cell r="AE15">
            <v>3462.2799999999997</v>
          </cell>
          <cell r="AG15">
            <v>3243.6699999999996</v>
          </cell>
          <cell r="AI15">
            <v>3025.0599999999995</v>
          </cell>
          <cell r="AK15">
            <v>2806.4499999999994</v>
          </cell>
          <cell r="AO15" t="str">
            <v>mstag:otherIntangibleAssets</v>
          </cell>
          <cell r="AP15">
            <v>6</v>
          </cell>
          <cell r="AQ15" t="str">
            <v>ISO4217:USD</v>
          </cell>
          <cell r="AR15" t="b">
            <v>0</v>
          </cell>
          <cell r="AS15" t="b">
            <v>0</v>
          </cell>
        </row>
        <row r="16">
          <cell r="B16" t="str">
            <v>Goodwill</v>
          </cell>
          <cell r="O16">
            <v>0</v>
          </cell>
          <cell r="Q16">
            <v>0</v>
          </cell>
          <cell r="S16">
            <v>97.2</v>
          </cell>
          <cell r="U16">
            <v>9871.1</v>
          </cell>
          <cell r="W16">
            <v>9715.9</v>
          </cell>
          <cell r="Y16">
            <v>10525</v>
          </cell>
          <cell r="AA16">
            <v>10495</v>
          </cell>
          <cell r="AC16">
            <v>10995</v>
          </cell>
          <cell r="AE16">
            <v>10995</v>
          </cell>
          <cell r="AG16">
            <v>10995</v>
          </cell>
          <cell r="AI16">
            <v>10995</v>
          </cell>
          <cell r="AK16">
            <v>10995</v>
          </cell>
          <cell r="AO16" t="str">
            <v>mstag:goodwill</v>
          </cell>
          <cell r="AP16">
            <v>6</v>
          </cell>
          <cell r="AQ16" t="str">
            <v>ISO4217:USD</v>
          </cell>
          <cell r="AR16" t="b">
            <v>0</v>
          </cell>
          <cell r="AS16" t="b">
            <v>0</v>
          </cell>
        </row>
        <row r="17">
          <cell r="B17" t="str">
            <v>Other Assets</v>
          </cell>
          <cell r="C17">
            <v>124.1</v>
          </cell>
          <cell r="E17">
            <v>213.2</v>
          </cell>
          <cell r="G17">
            <v>234.9</v>
          </cell>
          <cell r="I17">
            <v>352.5</v>
          </cell>
          <cell r="K17">
            <v>380.5</v>
          </cell>
          <cell r="M17">
            <v>358.7</v>
          </cell>
          <cell r="O17">
            <v>458.7</v>
          </cell>
          <cell r="Q17">
            <v>681</v>
          </cell>
          <cell r="S17">
            <v>507.1</v>
          </cell>
          <cell r="U17">
            <v>566.29999999999995</v>
          </cell>
          <cell r="W17">
            <v>803.5</v>
          </cell>
          <cell r="Y17">
            <v>781</v>
          </cell>
          <cell r="AA17">
            <v>787</v>
          </cell>
          <cell r="AC17">
            <v>787</v>
          </cell>
          <cell r="AE17">
            <v>787</v>
          </cell>
          <cell r="AG17">
            <v>787</v>
          </cell>
          <cell r="AI17">
            <v>787</v>
          </cell>
          <cell r="AK17">
            <v>787</v>
          </cell>
          <cell r="AO17" t="str">
            <v>mstag:otherAssetsNonOperating</v>
          </cell>
          <cell r="AP17">
            <v>6</v>
          </cell>
          <cell r="AQ17" t="str">
            <v>ISO4217:USD</v>
          </cell>
          <cell r="AR17" t="b">
            <v>0</v>
          </cell>
          <cell r="AS17" t="b">
            <v>0</v>
          </cell>
        </row>
        <row r="19">
          <cell r="B19" t="str">
            <v>Total assets</v>
          </cell>
          <cell r="C19">
            <v>1765.5219999999999</v>
          </cell>
          <cell r="E19">
            <v>1994.1520000000003</v>
          </cell>
          <cell r="G19">
            <v>2432.7999999999997</v>
          </cell>
          <cell r="I19">
            <v>2765.6000000000004</v>
          </cell>
          <cell r="K19">
            <v>3110.2</v>
          </cell>
          <cell r="M19">
            <v>3672.2</v>
          </cell>
          <cell r="O19">
            <v>4077.6</v>
          </cell>
          <cell r="Q19">
            <v>5399.5999999999995</v>
          </cell>
          <cell r="S19">
            <v>6443.0999999999995</v>
          </cell>
          <cell r="U19">
            <v>24456.3</v>
          </cell>
          <cell r="W19">
            <v>26176.5</v>
          </cell>
          <cell r="Y19">
            <v>29221</v>
          </cell>
          <cell r="AA19">
            <v>29297</v>
          </cell>
          <cell r="AC19">
            <v>30498.7158475</v>
          </cell>
          <cell r="AE19">
            <v>32564.681254757554</v>
          </cell>
          <cell r="AG19">
            <v>35051.373707732208</v>
          </cell>
          <cell r="AI19">
            <v>36944.757075929156</v>
          </cell>
          <cell r="AK19">
            <v>40324.946898201015</v>
          </cell>
        </row>
        <row r="21">
          <cell r="B21" t="str">
            <v>Current liabilities:</v>
          </cell>
        </row>
        <row r="22">
          <cell r="B22" t="str">
            <v>Accounts Payable</v>
          </cell>
          <cell r="C22">
            <v>23.056000000000001</v>
          </cell>
          <cell r="E22">
            <v>30.475999999999999</v>
          </cell>
          <cell r="G22">
            <v>54.4</v>
          </cell>
          <cell r="I22">
            <v>75</v>
          </cell>
          <cell r="K22">
            <v>111.1</v>
          </cell>
          <cell r="M22">
            <v>121.6</v>
          </cell>
          <cell r="O22">
            <v>83.4</v>
          </cell>
          <cell r="Q22">
            <v>143.19999999999999</v>
          </cell>
          <cell r="S22">
            <v>136.69999999999999</v>
          </cell>
          <cell r="U22">
            <v>254.6</v>
          </cell>
          <cell r="W22">
            <v>327.2</v>
          </cell>
          <cell r="Y22">
            <v>507</v>
          </cell>
          <cell r="AA22">
            <v>596</v>
          </cell>
          <cell r="AC22">
            <v>664.90923999999995</v>
          </cell>
          <cell r="AE22">
            <v>725.2428557948823</v>
          </cell>
          <cell r="AG22">
            <v>817.47919566890039</v>
          </cell>
          <cell r="AI22">
            <v>922.93696722228412</v>
          </cell>
          <cell r="AK22">
            <v>1024.8726343603414</v>
          </cell>
          <cell r="AO22" t="str">
            <v>mstag:tradeAndOtherPayables</v>
          </cell>
          <cell r="AP22">
            <v>6</v>
          </cell>
          <cell r="AQ22" t="str">
            <v>ISO4217:USD</v>
          </cell>
          <cell r="AR22" t="b">
            <v>0</v>
          </cell>
          <cell r="AS22" t="b">
            <v>0</v>
          </cell>
        </row>
        <row r="23">
          <cell r="B23" t="str">
            <v>Commercial Paper</v>
          </cell>
          <cell r="C23">
            <v>109.767</v>
          </cell>
          <cell r="E23">
            <v>99.667000000000002</v>
          </cell>
          <cell r="G23">
            <v>69.7</v>
          </cell>
          <cell r="I23">
            <v>0</v>
          </cell>
          <cell r="K23">
            <v>-302.2</v>
          </cell>
          <cell r="M23">
            <v>99.7</v>
          </cell>
          <cell r="O23">
            <v>99.5</v>
          </cell>
          <cell r="Q23">
            <v>99.7</v>
          </cell>
          <cell r="S23">
            <v>99.9</v>
          </cell>
          <cell r="U23">
            <v>0</v>
          </cell>
          <cell r="W23">
            <v>0</v>
          </cell>
          <cell r="Y23">
            <v>0</v>
          </cell>
          <cell r="AA23">
            <v>0</v>
          </cell>
          <cell r="AC23">
            <v>0</v>
          </cell>
          <cell r="AE23">
            <v>0</v>
          </cell>
          <cell r="AG23">
            <v>0</v>
          </cell>
          <cell r="AI23">
            <v>0</v>
          </cell>
          <cell r="AK23">
            <v>0</v>
          </cell>
          <cell r="AO23" t="str">
            <v>mstag:shortTermBorrowings</v>
          </cell>
          <cell r="AP23">
            <v>6</v>
          </cell>
          <cell r="AQ23" t="str">
            <v>ISO4217:USD</v>
          </cell>
          <cell r="AR23" t="b">
            <v>0</v>
          </cell>
          <cell r="AS23" t="b">
            <v>0</v>
          </cell>
        </row>
        <row r="24">
          <cell r="B24" t="str">
            <v>Accrued Liabilities</v>
          </cell>
          <cell r="C24">
            <v>279.43799999999999</v>
          </cell>
          <cell r="E24">
            <v>406.28699999999998</v>
          </cell>
          <cell r="G24">
            <v>459.7</v>
          </cell>
          <cell r="I24">
            <v>449.7</v>
          </cell>
          <cell r="K24">
            <v>608</v>
          </cell>
          <cell r="M24">
            <v>659.7</v>
          </cell>
          <cell r="O24">
            <v>648.20000000000005</v>
          </cell>
          <cell r="Q24">
            <v>619.20000000000005</v>
          </cell>
          <cell r="S24">
            <v>766.3</v>
          </cell>
          <cell r="U24">
            <v>1151.7</v>
          </cell>
          <cell r="W24">
            <v>1919.1</v>
          </cell>
          <cell r="Y24">
            <v>2477</v>
          </cell>
          <cell r="AA24">
            <v>2999</v>
          </cell>
          <cell r="AC24">
            <v>2908.9779249999997</v>
          </cell>
          <cell r="AE24">
            <v>3172.9374941026099</v>
          </cell>
          <cell r="AG24">
            <v>3335.3151183291138</v>
          </cell>
          <cell r="AI24">
            <v>3765.5828262669193</v>
          </cell>
          <cell r="AK24">
            <v>4181.4803481901936</v>
          </cell>
          <cell r="AO24" t="str">
            <v>mstag:accruedExpenses</v>
          </cell>
          <cell r="AP24">
            <v>6</v>
          </cell>
          <cell r="AQ24" t="str">
            <v>ISO4217:USD</v>
          </cell>
          <cell r="AR24" t="b">
            <v>0</v>
          </cell>
          <cell r="AS24" t="b">
            <v>0</v>
          </cell>
        </row>
        <row r="25">
          <cell r="B25" t="str">
            <v>Current Portion Long Term Debt</v>
          </cell>
          <cell r="I25">
            <v>118.2</v>
          </cell>
          <cell r="K25">
            <v>30</v>
          </cell>
          <cell r="M25">
            <v>6</v>
          </cell>
          <cell r="O25">
            <v>0</v>
          </cell>
          <cell r="Q25">
            <v>0</v>
          </cell>
          <cell r="S25">
            <v>0</v>
          </cell>
          <cell r="U25">
            <v>122.9</v>
          </cell>
          <cell r="W25">
            <v>0</v>
          </cell>
          <cell r="Y25">
            <v>1173</v>
          </cell>
          <cell r="AA25">
            <v>0</v>
          </cell>
          <cell r="AC25">
            <v>0</v>
          </cell>
          <cell r="AE25">
            <v>0</v>
          </cell>
          <cell r="AG25">
            <v>0</v>
          </cell>
          <cell r="AI25">
            <v>0</v>
          </cell>
          <cell r="AK25">
            <v>0</v>
          </cell>
          <cell r="AO25" t="str">
            <v>mstag:shortTermBorrowings</v>
          </cell>
          <cell r="AP25">
            <v>6</v>
          </cell>
          <cell r="AQ25" t="str">
            <v>ISO4217:USD</v>
          </cell>
          <cell r="AR25" t="b">
            <v>0</v>
          </cell>
          <cell r="AS25" t="b">
            <v>0</v>
          </cell>
        </row>
        <row r="26">
          <cell r="B26" t="str">
            <v>Total current liabilities</v>
          </cell>
          <cell r="C26">
            <v>412.26099999999997</v>
          </cell>
          <cell r="E26">
            <v>536.42999999999995</v>
          </cell>
          <cell r="G26">
            <v>583.79999999999995</v>
          </cell>
          <cell r="I26">
            <v>642.90000000000009</v>
          </cell>
          <cell r="K26">
            <v>446.9</v>
          </cell>
          <cell r="M26">
            <v>887</v>
          </cell>
          <cell r="O26">
            <v>831.1</v>
          </cell>
          <cell r="Q26">
            <v>862.1</v>
          </cell>
          <cell r="S26">
            <v>1002.9</v>
          </cell>
          <cell r="U26">
            <v>1529.2</v>
          </cell>
          <cell r="W26">
            <v>2246.2999999999997</v>
          </cell>
          <cell r="Y26">
            <v>4157</v>
          </cell>
          <cell r="AA26">
            <v>3595</v>
          </cell>
          <cell r="AC26">
            <v>3573.8871649999996</v>
          </cell>
          <cell r="AE26">
            <v>3898.1803498974923</v>
          </cell>
          <cell r="AG26">
            <v>4152.7943139980143</v>
          </cell>
          <cell r="AI26">
            <v>4688.519793489203</v>
          </cell>
          <cell r="AK26">
            <v>5206.3529825505348</v>
          </cell>
        </row>
        <row r="28">
          <cell r="B28" t="str">
            <v>Deferred Tax Liabilities</v>
          </cell>
          <cell r="C28">
            <v>0</v>
          </cell>
          <cell r="E28">
            <v>0</v>
          </cell>
          <cell r="G28">
            <v>0</v>
          </cell>
          <cell r="I28">
            <v>0</v>
          </cell>
          <cell r="K28">
            <v>0</v>
          </cell>
          <cell r="M28">
            <v>0</v>
          </cell>
          <cell r="O28">
            <v>0</v>
          </cell>
          <cell r="Q28">
            <v>0</v>
          </cell>
          <cell r="S28">
            <v>0</v>
          </cell>
          <cell r="U28">
            <v>1593.4</v>
          </cell>
          <cell r="W28">
            <v>1461.6</v>
          </cell>
          <cell r="Y28">
            <v>1294</v>
          </cell>
          <cell r="AA28">
            <v>1294</v>
          </cell>
          <cell r="AC28">
            <v>994</v>
          </cell>
          <cell r="AE28">
            <v>994</v>
          </cell>
          <cell r="AG28">
            <v>994</v>
          </cell>
          <cell r="AI28">
            <v>994</v>
          </cell>
          <cell r="AK28">
            <v>994</v>
          </cell>
          <cell r="AO28" t="str">
            <v>mstag:deferredTaxLiabilities</v>
          </cell>
          <cell r="AP28">
            <v>6</v>
          </cell>
          <cell r="AQ28" t="str">
            <v>ISO4217:USD</v>
          </cell>
          <cell r="AR28" t="b">
            <v>0</v>
          </cell>
          <cell r="AS28" t="b">
            <v>0</v>
          </cell>
        </row>
        <row r="29">
          <cell r="B29" t="str">
            <v xml:space="preserve">Long-Term Debt </v>
          </cell>
          <cell r="C29">
            <v>181.24199999999999</v>
          </cell>
          <cell r="E29">
            <v>183.40700000000001</v>
          </cell>
          <cell r="G29">
            <v>177.2</v>
          </cell>
          <cell r="I29">
            <v>59</v>
          </cell>
          <cell r="K29">
            <v>229</v>
          </cell>
          <cell r="M29">
            <v>223</v>
          </cell>
          <cell r="O29">
            <v>223</v>
          </cell>
          <cell r="Q29">
            <v>223</v>
          </cell>
          <cell r="S29">
            <v>223</v>
          </cell>
          <cell r="U29">
            <v>3047.7</v>
          </cell>
          <cell r="W29">
            <v>3079.5</v>
          </cell>
          <cell r="Y29">
            <v>4065</v>
          </cell>
          <cell r="AA29">
            <v>3957</v>
          </cell>
          <cell r="AC29">
            <v>8976.7887499999997</v>
          </cell>
          <cell r="AE29">
            <v>8896.5774999999994</v>
          </cell>
          <cell r="AG29">
            <v>8916.3662499999991</v>
          </cell>
          <cell r="AI29">
            <v>7938.1549999999988</v>
          </cell>
          <cell r="AK29">
            <v>7957.9437499999985</v>
          </cell>
          <cell r="AO29" t="str">
            <v>mstag:longTermDebt</v>
          </cell>
          <cell r="AP29">
            <v>6</v>
          </cell>
          <cell r="AQ29" t="str">
            <v>ISO4217:USD</v>
          </cell>
          <cell r="AR29" t="b">
            <v>0</v>
          </cell>
          <cell r="AS29" t="b">
            <v>0</v>
          </cell>
        </row>
        <row r="30">
          <cell r="B30" t="str">
            <v>Put Warrants</v>
          </cell>
          <cell r="C30">
            <v>0</v>
          </cell>
          <cell r="E30">
            <v>0</v>
          </cell>
          <cell r="G30">
            <v>0</v>
          </cell>
          <cell r="I30">
            <v>157.4</v>
          </cell>
          <cell r="K30">
            <v>0</v>
          </cell>
          <cell r="M30">
            <v>0</v>
          </cell>
          <cell r="O30">
            <v>0</v>
          </cell>
          <cell r="Q30">
            <v>0</v>
          </cell>
          <cell r="S30">
            <v>0</v>
          </cell>
          <cell r="U30">
            <v>0</v>
          </cell>
          <cell r="W30">
            <v>0</v>
          </cell>
          <cell r="Y30">
            <v>0</v>
          </cell>
          <cell r="AA30">
            <v>0</v>
          </cell>
          <cell r="AC30">
            <v>0</v>
          </cell>
          <cell r="AE30">
            <v>0</v>
          </cell>
          <cell r="AG30">
            <v>0</v>
          </cell>
          <cell r="AI30">
            <v>0</v>
          </cell>
          <cell r="AK30">
            <v>0</v>
          </cell>
          <cell r="AO30" t="str">
            <v>mstag:otherLiabilitiesNonOperating</v>
          </cell>
          <cell r="AP30">
            <v>6</v>
          </cell>
          <cell r="AQ30" t="str">
            <v>ISO4217:USD</v>
          </cell>
          <cell r="AR30" t="b">
            <v>0</v>
          </cell>
          <cell r="AS30" t="b">
            <v>0</v>
          </cell>
        </row>
        <row r="31">
          <cell r="B31" t="str">
            <v>Total liabilities</v>
          </cell>
          <cell r="C31">
            <v>593.50299999999993</v>
          </cell>
          <cell r="E31">
            <v>719.83699999999999</v>
          </cell>
          <cell r="G31">
            <v>761</v>
          </cell>
          <cell r="I31">
            <v>701.90000000000009</v>
          </cell>
          <cell r="K31">
            <v>675.9</v>
          </cell>
          <cell r="M31">
            <v>1110</v>
          </cell>
          <cell r="O31">
            <v>1054.0999999999999</v>
          </cell>
          <cell r="Q31">
            <v>1085.0999999999999</v>
          </cell>
          <cell r="S31">
            <v>1225.9000000000001</v>
          </cell>
          <cell r="U31">
            <v>6170.3</v>
          </cell>
          <cell r="W31">
            <v>6787.4</v>
          </cell>
          <cell r="Y31">
            <v>9516</v>
          </cell>
          <cell r="AA31">
            <v>8846</v>
          </cell>
          <cell r="AC31">
            <v>13544.675915</v>
          </cell>
          <cell r="AE31">
            <v>13788.757849897491</v>
          </cell>
          <cell r="AG31">
            <v>14063.160563998013</v>
          </cell>
          <cell r="AI31">
            <v>13620.674793489201</v>
          </cell>
          <cell r="AK31">
            <v>14158.296732550534</v>
          </cell>
        </row>
        <row r="33">
          <cell r="B33" t="str">
            <v>Stockholders' equity:</v>
          </cell>
        </row>
        <row r="34">
          <cell r="B34" t="str">
            <v>Preferred Stock</v>
          </cell>
          <cell r="S34">
            <v>0</v>
          </cell>
          <cell r="U34">
            <v>0</v>
          </cell>
          <cell r="W34">
            <v>0</v>
          </cell>
          <cell r="Y34">
            <v>0</v>
          </cell>
          <cell r="AA34">
            <v>0</v>
          </cell>
          <cell r="AC34">
            <v>0</v>
          </cell>
          <cell r="AE34">
            <v>0</v>
          </cell>
          <cell r="AG34">
            <v>0</v>
          </cell>
          <cell r="AI34">
            <v>0</v>
          </cell>
          <cell r="AK34">
            <v>0</v>
          </cell>
          <cell r="AO34" t="str">
            <v>mstag:preferredEquity</v>
          </cell>
          <cell r="AP34">
            <v>6</v>
          </cell>
          <cell r="AQ34" t="str">
            <v>ISO4217:USD</v>
          </cell>
          <cell r="AR34" t="b">
            <v>0</v>
          </cell>
          <cell r="AS34" t="b">
            <v>0</v>
          </cell>
        </row>
        <row r="35">
          <cell r="B35" t="str">
            <v>Common Stock and APIC</v>
          </cell>
          <cell r="C35">
            <v>583.19878761447876</v>
          </cell>
          <cell r="E35">
            <v>634.09843436545998</v>
          </cell>
          <cell r="G35">
            <v>831.89001308329694</v>
          </cell>
          <cell r="I35">
            <v>1026.9000000000001</v>
          </cell>
          <cell r="K35">
            <v>1196.0999999999999</v>
          </cell>
          <cell r="M35">
            <v>1671.9</v>
          </cell>
          <cell r="O35">
            <v>2072.3000000000002</v>
          </cell>
          <cell r="Q35">
            <v>2947.3</v>
          </cell>
          <cell r="S35">
            <v>3474.1</v>
          </cell>
          <cell r="U35">
            <v>19344.3</v>
          </cell>
          <cell r="W35">
            <v>19995.3</v>
          </cell>
          <cell r="Y35">
            <v>22078</v>
          </cell>
          <cell r="AA35">
            <v>23561</v>
          </cell>
          <cell r="AC35">
            <v>16734.574542499999</v>
          </cell>
          <cell r="AE35">
            <v>14375.822116285579</v>
          </cell>
          <cell r="AG35">
            <v>11943.489962124937</v>
          </cell>
          <cell r="AI35">
            <v>9343.913232858682</v>
          </cell>
          <cell r="AK35">
            <v>6943.2943418808663</v>
          </cell>
          <cell r="AO35" t="str">
            <v>mstag:totalShareCapital</v>
          </cell>
          <cell r="AP35">
            <v>6</v>
          </cell>
          <cell r="AQ35" t="str">
            <v>ISO4217:USD</v>
          </cell>
          <cell r="AR35" t="b">
            <v>0</v>
          </cell>
          <cell r="AS35" t="b">
            <v>0</v>
          </cell>
        </row>
        <row r="36">
          <cell r="B36" t="str">
            <v>Retained Earnings</v>
          </cell>
          <cell r="C36">
            <v>499.43033774288898</v>
          </cell>
          <cell r="E36">
            <v>543.01895333624066</v>
          </cell>
          <cell r="G36">
            <v>712.4005039492173</v>
          </cell>
          <cell r="I36">
            <v>879.4</v>
          </cell>
          <cell r="K36">
            <v>943.2</v>
          </cell>
          <cell r="M36">
            <v>894.3</v>
          </cell>
          <cell r="O36">
            <v>966</v>
          </cell>
          <cell r="Q36">
            <v>1304.5999999999999</v>
          </cell>
          <cell r="S36">
            <v>1686.8</v>
          </cell>
          <cell r="U36">
            <v>-1125.5</v>
          </cell>
          <cell r="W36">
            <v>-667</v>
          </cell>
          <cell r="Y36">
            <v>-2376</v>
          </cell>
          <cell r="AA36">
            <v>-3132</v>
          </cell>
          <cell r="AC36">
            <v>197.4653900000003</v>
          </cell>
          <cell r="AE36">
            <v>4378.1012885744822</v>
          </cell>
          <cell r="AG36">
            <v>9022.7231816092572</v>
          </cell>
          <cell r="AI36">
            <v>13958.169049581269</v>
          </cell>
          <cell r="AK36">
            <v>19201.355823769609</v>
          </cell>
          <cell r="AO36" t="str">
            <v>mstag:retainedEarnings</v>
          </cell>
          <cell r="AP36">
            <v>6</v>
          </cell>
          <cell r="AQ36" t="str">
            <v>ISO4217:USD</v>
          </cell>
          <cell r="AR36" t="b">
            <v>0</v>
          </cell>
          <cell r="AS36" t="b">
            <v>0</v>
          </cell>
        </row>
        <row r="37">
          <cell r="B37" t="str">
            <v>AOCI</v>
          </cell>
          <cell r="C37">
            <v>89.390874642632141</v>
          </cell>
          <cell r="E37">
            <v>97.192612298299153</v>
          </cell>
          <cell r="G37">
            <v>127.50948296748555</v>
          </cell>
          <cell r="I37">
            <v>157.4</v>
          </cell>
          <cell r="K37">
            <v>295</v>
          </cell>
          <cell r="M37">
            <v>-4</v>
          </cell>
          <cell r="O37">
            <v>-14.8</v>
          </cell>
          <cell r="Q37">
            <v>62.6</v>
          </cell>
          <cell r="S37">
            <v>56.3</v>
          </cell>
          <cell r="U37">
            <v>67.2</v>
          </cell>
          <cell r="W37">
            <v>60.8</v>
          </cell>
          <cell r="Y37">
            <v>3</v>
          </cell>
          <cell r="AA37">
            <v>22</v>
          </cell>
          <cell r="AC37">
            <v>22</v>
          </cell>
          <cell r="AE37">
            <v>22</v>
          </cell>
          <cell r="AG37">
            <v>22</v>
          </cell>
          <cell r="AI37">
            <v>22</v>
          </cell>
          <cell r="AK37">
            <v>22</v>
          </cell>
          <cell r="AO37" t="str">
            <v>mstag:accumulatedOtherComprehensiveIncomeLossAndReserves</v>
          </cell>
          <cell r="AP37">
            <v>6</v>
          </cell>
          <cell r="AQ37" t="str">
            <v>ISO4217:USD</v>
          </cell>
          <cell r="AR37" t="b">
            <v>0</v>
          </cell>
          <cell r="AS37" t="b">
            <v>0</v>
          </cell>
        </row>
        <row r="38">
          <cell r="B38" t="str">
            <v>Total stockholders' equity</v>
          </cell>
          <cell r="C38">
            <v>1172.02</v>
          </cell>
          <cell r="E38">
            <v>1274.31</v>
          </cell>
          <cell r="G38">
            <v>1671.8</v>
          </cell>
          <cell r="I38">
            <v>2063.7000000000003</v>
          </cell>
          <cell r="K38">
            <v>2434.3000000000002</v>
          </cell>
          <cell r="M38">
            <v>2562.1999999999998</v>
          </cell>
          <cell r="O38">
            <v>3023.5</v>
          </cell>
          <cell r="Q38">
            <v>4314.5</v>
          </cell>
          <cell r="S38">
            <v>5217.2</v>
          </cell>
          <cell r="U38">
            <v>18286</v>
          </cell>
          <cell r="W38">
            <v>19389.099999999999</v>
          </cell>
          <cell r="Y38">
            <v>19705</v>
          </cell>
          <cell r="AA38">
            <v>20451</v>
          </cell>
          <cell r="AC38">
            <v>16954.0399325</v>
          </cell>
          <cell r="AE38">
            <v>18775.923404860063</v>
          </cell>
          <cell r="AG38">
            <v>20988.213143734196</v>
          </cell>
          <cell r="AI38">
            <v>23324.082282439951</v>
          </cell>
          <cell r="AK38">
            <v>26166.650165650477</v>
          </cell>
        </row>
        <row r="40">
          <cell r="B40" t="str">
            <v>Total Liabilities and Equity</v>
          </cell>
          <cell r="C40">
            <v>1765.5229999999999</v>
          </cell>
          <cell r="E40">
            <v>1994.1469999999999</v>
          </cell>
          <cell r="G40">
            <v>2432.8000000000002</v>
          </cell>
          <cell r="I40">
            <v>2765.6000000000004</v>
          </cell>
          <cell r="K40">
            <v>3110.2000000000003</v>
          </cell>
          <cell r="M40">
            <v>3672.2</v>
          </cell>
          <cell r="O40">
            <v>4077.6</v>
          </cell>
          <cell r="Q40">
            <v>5399.6</v>
          </cell>
          <cell r="S40">
            <v>6443.1</v>
          </cell>
          <cell r="U40">
            <v>24456.3</v>
          </cell>
          <cell r="W40">
            <v>26176.5</v>
          </cell>
          <cell r="Y40">
            <v>29221</v>
          </cell>
          <cell r="AA40">
            <v>29297</v>
          </cell>
          <cell r="AC40">
            <v>30498.7158475</v>
          </cell>
          <cell r="AE40">
            <v>32564.681254757554</v>
          </cell>
          <cell r="AG40">
            <v>35051.373707732208</v>
          </cell>
          <cell r="AI40">
            <v>36944.757075929156</v>
          </cell>
          <cell r="AK40">
            <v>40324.946898201015</v>
          </cell>
        </row>
        <row r="42">
          <cell r="C42">
            <v>-9.9999999997635314E-4</v>
          </cell>
          <cell r="E42">
            <v>5.000000000336513E-3</v>
          </cell>
          <cell r="G42">
            <v>0</v>
          </cell>
          <cell r="I42">
            <v>0</v>
          </cell>
          <cell r="K42">
            <v>0</v>
          </cell>
          <cell r="M42">
            <v>0</v>
          </cell>
          <cell r="O42">
            <v>0</v>
          </cell>
          <cell r="Q42">
            <v>0</v>
          </cell>
          <cell r="S42">
            <v>0</v>
          </cell>
          <cell r="U42">
            <v>0</v>
          </cell>
          <cell r="W42">
            <v>0</v>
          </cell>
          <cell r="Y42">
            <v>0</v>
          </cell>
          <cell r="AA42">
            <v>0</v>
          </cell>
          <cell r="AC42">
            <v>0</v>
          </cell>
          <cell r="AE42">
            <v>0</v>
          </cell>
          <cell r="AG42">
            <v>0</v>
          </cell>
          <cell r="AI42">
            <v>0</v>
          </cell>
          <cell r="AK42">
            <v>0</v>
          </cell>
        </row>
        <row r="43">
          <cell r="C43">
            <v>-4.9999999998817657E-4</v>
          </cell>
          <cell r="E43">
            <v>2.5000000001682565E-3</v>
          </cell>
          <cell r="G43">
            <v>0</v>
          </cell>
          <cell r="I43">
            <v>0</v>
          </cell>
          <cell r="K43">
            <v>0</v>
          </cell>
          <cell r="M43">
            <v>0</v>
          </cell>
          <cell r="O43">
            <v>0</v>
          </cell>
          <cell r="Q43">
            <v>0</v>
          </cell>
          <cell r="S43">
            <v>0</v>
          </cell>
          <cell r="U43">
            <v>0</v>
          </cell>
          <cell r="W43">
            <v>0</v>
          </cell>
          <cell r="Y43">
            <v>0</v>
          </cell>
          <cell r="AA43">
            <v>0</v>
          </cell>
          <cell r="AC43">
            <v>0</v>
          </cell>
          <cell r="AE43">
            <v>0</v>
          </cell>
          <cell r="AG43">
            <v>0</v>
          </cell>
          <cell r="AI43">
            <v>0</v>
          </cell>
          <cell r="AK43">
            <v>0</v>
          </cell>
        </row>
        <row r="44">
          <cell r="B44" t="str">
            <v>Common Stock and APIC</v>
          </cell>
          <cell r="U44">
            <v>15870.199999999999</v>
          </cell>
          <cell r="W44">
            <v>651</v>
          </cell>
          <cell r="Y44">
            <v>2082.7000000000007</v>
          </cell>
          <cell r="AA44">
            <v>1483</v>
          </cell>
          <cell r="AC44">
            <v>-6826.4254575000014</v>
          </cell>
          <cell r="AE44">
            <v>-2358.7524262144198</v>
          </cell>
          <cell r="AG44">
            <v>-2432.3321541606419</v>
          </cell>
          <cell r="AI44">
            <v>-2599.5767292662549</v>
          </cell>
        </row>
        <row r="45">
          <cell r="B45" t="str">
            <v>Retained Earnings</v>
          </cell>
          <cell r="U45">
            <v>-2812.3</v>
          </cell>
          <cell r="W45">
            <v>2461.5</v>
          </cell>
          <cell r="Y45">
            <v>-1709</v>
          </cell>
          <cell r="AA45">
            <v>-756</v>
          </cell>
          <cell r="AC45">
            <v>3329.4653900000003</v>
          </cell>
          <cell r="AE45">
            <v>4180.6358985744819</v>
          </cell>
          <cell r="AG45">
            <v>4644.621893034775</v>
          </cell>
          <cell r="AI45">
            <v>4935.4458679720119</v>
          </cell>
        </row>
        <row r="46">
          <cell r="B46" t="str">
            <v>AOCI</v>
          </cell>
          <cell r="U46">
            <v>10.900000000000006</v>
          </cell>
          <cell r="W46">
            <v>-6.4000000000000057</v>
          </cell>
          <cell r="Y46">
            <v>-57.8</v>
          </cell>
          <cell r="AA46">
            <v>19</v>
          </cell>
          <cell r="AC46">
            <v>0</v>
          </cell>
          <cell r="AE46">
            <v>0</v>
          </cell>
          <cell r="AG46">
            <v>0</v>
          </cell>
          <cell r="AI46">
            <v>0</v>
          </cell>
        </row>
        <row r="48">
          <cell r="B48" t="str">
            <v>CALCULATIONS</v>
          </cell>
        </row>
        <row r="49">
          <cell r="W49" t="str">
            <v>2003-FY</v>
          </cell>
          <cell r="Y49" t="str">
            <v>2004-FY</v>
          </cell>
          <cell r="AA49" t="str">
            <v>2005-FY</v>
          </cell>
          <cell r="AC49" t="str">
            <v>2006-FY</v>
          </cell>
          <cell r="AE49" t="str">
            <v>2007-FY</v>
          </cell>
          <cell r="AG49" t="str">
            <v>2008-FY</v>
          </cell>
          <cell r="AI49" t="str">
            <v>2009-FY</v>
          </cell>
          <cell r="AK49" t="str">
            <v>2010-FY</v>
          </cell>
        </row>
        <row r="50">
          <cell r="A50" t="str">
            <v>Revenues</v>
          </cell>
          <cell r="O50">
            <v>3340.1</v>
          </cell>
          <cell r="Q50">
            <v>3629.3999999999996</v>
          </cell>
          <cell r="S50">
            <v>4015.7</v>
          </cell>
          <cell r="U50">
            <v>5522.9999999999991</v>
          </cell>
          <cell r="W50">
            <v>8356</v>
          </cell>
          <cell r="Y50">
            <v>10549.9</v>
          </cell>
          <cell r="AA50">
            <v>12430</v>
          </cell>
          <cell r="AC50">
            <v>13779</v>
          </cell>
          <cell r="AE50">
            <v>15089.778225807069</v>
          </cell>
          <cell r="AG50">
            <v>16371.308428631663</v>
          </cell>
          <cell r="AI50">
            <v>17919.625529985176</v>
          </cell>
          <cell r="AK50">
            <v>19502.253061994084</v>
          </cell>
        </row>
        <row r="51">
          <cell r="A51" t="str">
            <v>Operating expenses</v>
          </cell>
          <cell r="O51">
            <v>1847</v>
          </cell>
          <cell r="Q51">
            <v>2085.4</v>
          </cell>
          <cell r="S51">
            <v>2484.5</v>
          </cell>
          <cell r="U51">
            <v>3160.5</v>
          </cell>
          <cell r="W51">
            <v>4929.0000000000009</v>
          </cell>
          <cell r="Y51">
            <v>6315</v>
          </cell>
          <cell r="AA51">
            <v>7129</v>
          </cell>
          <cell r="AC51">
            <v>8311.3654999999999</v>
          </cell>
          <cell r="AE51">
            <v>9065.5356974360293</v>
          </cell>
          <cell r="AG51">
            <v>9809.7503480268042</v>
          </cell>
          <cell r="AI51">
            <v>11075.243606667409</v>
          </cell>
          <cell r="AK51">
            <v>12298.471612324098</v>
          </cell>
        </row>
        <row r="52">
          <cell r="A52" t="str">
            <v>COGS</v>
          </cell>
          <cell r="O52">
            <v>402.1</v>
          </cell>
          <cell r="Q52">
            <v>408.4</v>
          </cell>
          <cell r="S52">
            <v>443</v>
          </cell>
          <cell r="U52">
            <v>735.7</v>
          </cell>
          <cell r="W52">
            <v>1340.7</v>
          </cell>
          <cell r="Y52">
            <v>1731</v>
          </cell>
          <cell r="AA52">
            <v>2035</v>
          </cell>
          <cell r="AC52">
            <v>2275.2525000000001</v>
          </cell>
          <cell r="AE52">
            <v>2471.3026127583394</v>
          </cell>
          <cell r="AG52">
            <v>2663.674218929084</v>
          </cell>
          <cell r="AI52">
            <v>2921.8139905241542</v>
          </cell>
          <cell r="AK52">
            <v>3229.9239384968482</v>
          </cell>
        </row>
        <row r="54">
          <cell r="B54" t="str">
            <v>Depreciation and Amortization from</v>
          </cell>
          <cell r="AL54">
            <v>7.5</v>
          </cell>
        </row>
        <row r="55">
          <cell r="A55" t="str">
            <v xml:space="preserve">Existing PP&amp;E </v>
          </cell>
          <cell r="O55">
            <v>176.8</v>
          </cell>
          <cell r="Q55">
            <v>211.8</v>
          </cell>
          <cell r="S55">
            <v>265.89999999999998</v>
          </cell>
          <cell r="U55">
            <v>204.3</v>
          </cell>
          <cell r="W55">
            <v>77.599999999999994</v>
          </cell>
          <cell r="Y55">
            <v>0</v>
          </cell>
          <cell r="AA55">
            <v>0</v>
          </cell>
          <cell r="AC55">
            <v>0</v>
          </cell>
          <cell r="AE55">
            <v>0</v>
          </cell>
          <cell r="AG55">
            <v>0</v>
          </cell>
          <cell r="AI55">
            <v>0</v>
          </cell>
          <cell r="AK55">
            <v>0</v>
          </cell>
        </row>
        <row r="56">
          <cell r="A56" t="str">
            <v>2002 capital expenditures</v>
          </cell>
          <cell r="U56">
            <v>87.8</v>
          </cell>
          <cell r="W56">
            <v>87.8</v>
          </cell>
          <cell r="Y56">
            <v>87.8</v>
          </cell>
          <cell r="AA56">
            <v>87.8</v>
          </cell>
          <cell r="AC56">
            <v>87.8</v>
          </cell>
          <cell r="AE56">
            <v>87.8</v>
          </cell>
          <cell r="AG56">
            <v>87.8</v>
          </cell>
          <cell r="AI56">
            <v>87.8</v>
          </cell>
          <cell r="AK56">
            <v>87.8</v>
          </cell>
        </row>
        <row r="57">
          <cell r="A57" t="str">
            <v>2003 capital expenditures</v>
          </cell>
          <cell r="W57">
            <v>180.93333333333334</v>
          </cell>
          <cell r="Y57">
            <v>180.93333333333334</v>
          </cell>
          <cell r="AA57">
            <v>180.93333333333334</v>
          </cell>
          <cell r="AC57">
            <v>180.93333333333334</v>
          </cell>
          <cell r="AE57">
            <v>180.93333333333334</v>
          </cell>
          <cell r="AG57">
            <v>180.93333333333334</v>
          </cell>
          <cell r="AI57">
            <v>180.93333333333334</v>
          </cell>
          <cell r="AK57">
            <v>180.93333333333334</v>
          </cell>
        </row>
        <row r="58">
          <cell r="A58" t="str">
            <v>2004 capital expenditures</v>
          </cell>
          <cell r="Y58">
            <v>106.13333333333333</v>
          </cell>
          <cell r="AA58">
            <v>106.13333333333333</v>
          </cell>
          <cell r="AC58">
            <v>106.13333333333333</v>
          </cell>
          <cell r="AE58">
            <v>106.13333333333333</v>
          </cell>
          <cell r="AG58">
            <v>106.13333333333333</v>
          </cell>
          <cell r="AI58">
            <v>106.13333333333333</v>
          </cell>
          <cell r="AK58">
            <v>106.13333333333333</v>
          </cell>
        </row>
        <row r="59">
          <cell r="A59" t="str">
            <v>2005 capital expenditures</v>
          </cell>
          <cell r="AA59">
            <v>115.6</v>
          </cell>
          <cell r="AC59">
            <v>115.6</v>
          </cell>
          <cell r="AE59">
            <v>115.6</v>
          </cell>
          <cell r="AG59">
            <v>115.6</v>
          </cell>
          <cell r="AI59">
            <v>115.6</v>
          </cell>
          <cell r="AK59">
            <v>115.6</v>
          </cell>
        </row>
        <row r="60">
          <cell r="A60" t="str">
            <v>2006 capital expenditures</v>
          </cell>
          <cell r="AC60">
            <v>220.464</v>
          </cell>
          <cell r="AE60">
            <v>220.464</v>
          </cell>
          <cell r="AG60">
            <v>220.464</v>
          </cell>
          <cell r="AI60">
            <v>220.464</v>
          </cell>
          <cell r="AK60">
            <v>220.464</v>
          </cell>
        </row>
        <row r="61">
          <cell r="A61" t="str">
            <v>2007 capital expenditures</v>
          </cell>
          <cell r="AE61">
            <v>201.19704301076092</v>
          </cell>
          <cell r="AG61">
            <v>201.19704301076092</v>
          </cell>
          <cell r="AI61">
            <v>201.19704301076092</v>
          </cell>
          <cell r="AK61">
            <v>201.19704301076092</v>
          </cell>
        </row>
        <row r="62">
          <cell r="A62" t="str">
            <v>2008 capital expenditures</v>
          </cell>
          <cell r="AG62">
            <v>218.28411238175553</v>
          </cell>
          <cell r="AI62">
            <v>218.28411238175553</v>
          </cell>
          <cell r="AK62">
            <v>218.28411238175553</v>
          </cell>
        </row>
        <row r="63">
          <cell r="A63" t="str">
            <v>2009 capital expenditures</v>
          </cell>
          <cell r="AI63">
            <v>215.03550635982211</v>
          </cell>
          <cell r="AK63">
            <v>215.03550635982211</v>
          </cell>
        </row>
        <row r="64">
          <cell r="A64" t="str">
            <v>2010 capital expenditures</v>
          </cell>
          <cell r="AK64">
            <v>260.03004082658782</v>
          </cell>
        </row>
        <row r="65">
          <cell r="A65" t="str">
            <v>Total depreciation</v>
          </cell>
          <cell r="U65">
            <v>292.10000000000002</v>
          </cell>
          <cell r="W65">
            <v>350.7</v>
          </cell>
          <cell r="Y65">
            <v>374.86666666666667</v>
          </cell>
          <cell r="AA65">
            <v>598</v>
          </cell>
          <cell r="AC65">
            <v>710.93066666666664</v>
          </cell>
          <cell r="AE65">
            <v>912.12770967742756</v>
          </cell>
          <cell r="AG65">
            <v>1130.4118220591831</v>
          </cell>
          <cell r="AI65">
            <v>1345.4473284190053</v>
          </cell>
          <cell r="AK65">
            <v>1605.4773692455931</v>
          </cell>
        </row>
        <row r="66">
          <cell r="A66" t="str">
            <v>Amortization of Existing Intangible Assets</v>
          </cell>
          <cell r="U66">
            <v>155.19999999999999</v>
          </cell>
          <cell r="W66">
            <v>335.8</v>
          </cell>
          <cell r="Y66">
            <v>744.2</v>
          </cell>
          <cell r="AA66">
            <v>243</v>
          </cell>
          <cell r="AC66">
            <v>61.11</v>
          </cell>
          <cell r="AE66">
            <v>218.61</v>
          </cell>
          <cell r="AG66">
            <v>218.61</v>
          </cell>
          <cell r="AI66">
            <v>218.61</v>
          </cell>
          <cell r="AK66">
            <v>218.61</v>
          </cell>
        </row>
        <row r="67">
          <cell r="A67" t="str">
            <v>Total depreciation and amortization</v>
          </cell>
          <cell r="O67" t="e">
            <v>#REF!</v>
          </cell>
          <cell r="Q67">
            <v>211.8</v>
          </cell>
          <cell r="S67">
            <v>265.89999999999998</v>
          </cell>
          <cell r="U67">
            <v>447.3</v>
          </cell>
          <cell r="W67">
            <v>686.5</v>
          </cell>
          <cell r="Y67">
            <v>1119.0666666666666</v>
          </cell>
          <cell r="AA67">
            <v>841</v>
          </cell>
          <cell r="AC67">
            <v>772.04066666666665</v>
          </cell>
          <cell r="AE67">
            <v>1130.7377096774276</v>
          </cell>
          <cell r="AG67">
            <v>1349.0218220591833</v>
          </cell>
          <cell r="AI67">
            <v>1564.0573284190054</v>
          </cell>
          <cell r="AK67">
            <v>1824.087369245593</v>
          </cell>
        </row>
        <row r="68">
          <cell r="A68" t="str">
            <v xml:space="preserve">     Depreciation as % operating expenses</v>
          </cell>
          <cell r="U68">
            <v>9.2422085113115018E-2</v>
          </cell>
          <cell r="W68">
            <v>7.1150334753499675E-2</v>
          </cell>
          <cell r="Y68">
            <v>5.9361309052520454E-2</v>
          </cell>
          <cell r="AA68">
            <v>8.3882732501052035E-2</v>
          </cell>
          <cell r="AC68">
            <v>8.5537167949919501E-2</v>
          </cell>
          <cell r="AE68">
            <v>0.10061487154425977</v>
          </cell>
          <cell r="AG68">
            <v>0.11523349544635061</v>
          </cell>
          <cell r="AI68">
            <v>0.12148241394970602</v>
          </cell>
          <cell r="AK68">
            <v>0.13054283652911558</v>
          </cell>
        </row>
        <row r="69">
          <cell r="A69" t="str">
            <v xml:space="preserve">    Amortization as % of operating expenses</v>
          </cell>
          <cell r="U69">
            <v>4.9106154089542789E-2</v>
          </cell>
          <cell r="W69">
            <v>6.8127409210793258E-2</v>
          </cell>
          <cell r="Y69">
            <v>0.11784639746634996</v>
          </cell>
          <cell r="AA69">
            <v>3.4086127086547902E-2</v>
          </cell>
          <cell r="AC69">
            <v>7.3525824366645889E-3</v>
          </cell>
          <cell r="AE69">
            <v>2.4114405071707857E-2</v>
          </cell>
          <cell r="AG69">
            <v>2.2284970793774853E-2</v>
          </cell>
          <cell r="AI69">
            <v>1.973861774637576E-2</v>
          </cell>
          <cell r="AK69">
            <v>1.7775379485442281E-2</v>
          </cell>
        </row>
        <row r="71">
          <cell r="A71" t="str">
            <v>Working Capital</v>
          </cell>
        </row>
        <row r="72">
          <cell r="A72" t="str">
            <v>Trade receivables</v>
          </cell>
          <cell r="O72">
            <v>412.2</v>
          </cell>
          <cell r="Q72">
            <v>389.2</v>
          </cell>
          <cell r="S72">
            <v>497.2</v>
          </cell>
          <cell r="U72">
            <v>752.4</v>
          </cell>
          <cell r="W72">
            <v>1007.9</v>
          </cell>
          <cell r="Y72">
            <v>1461</v>
          </cell>
          <cell r="AA72">
            <v>1769</v>
          </cell>
          <cell r="AC72">
            <v>1968.4285714285713</v>
          </cell>
          <cell r="AE72">
            <v>2155.6826036867242</v>
          </cell>
          <cell r="AG72">
            <v>2372.6533954538641</v>
          </cell>
          <cell r="AI72">
            <v>2597.047178258721</v>
          </cell>
          <cell r="AK72">
            <v>2826.4134872455193</v>
          </cell>
        </row>
        <row r="73">
          <cell r="A73" t="str">
            <v>% revenue</v>
          </cell>
          <cell r="O73">
            <v>0.12340947875812101</v>
          </cell>
          <cell r="Q73">
            <v>0.10723535570617734</v>
          </cell>
          <cell r="S73">
            <v>0.12381402993251488</v>
          </cell>
          <cell r="U73">
            <v>0.13623030961434004</v>
          </cell>
          <cell r="W73">
            <v>0.12061991383437051</v>
          </cell>
          <cell r="Y73">
            <v>0.13848472497369643</v>
          </cell>
          <cell r="AA73">
            <v>0.14231697506033789</v>
          </cell>
          <cell r="AC73">
            <v>0.14285714285714285</v>
          </cell>
          <cell r="AE73">
            <v>0.14285714285714285</v>
          </cell>
          <cell r="AG73">
            <v>0.14492753623188406</v>
          </cell>
          <cell r="AI73">
            <v>0.14492753623188404</v>
          </cell>
          <cell r="AK73">
            <v>0.14492753623188404</v>
          </cell>
        </row>
        <row r="74">
          <cell r="A74" t="str">
            <v>Days receivables outstanding (CHECK)</v>
          </cell>
          <cell r="O74">
            <v>45.044459746714175</v>
          </cell>
          <cell r="Q74">
            <v>39.140904832754728</v>
          </cell>
          <cell r="S74">
            <v>45.192120925367938</v>
          </cell>
          <cell r="U74">
            <v>49.724063009234122</v>
          </cell>
          <cell r="W74">
            <v>44.026268549545236</v>
          </cell>
          <cell r="Y74">
            <v>50.546924615399199</v>
          </cell>
          <cell r="AA74">
            <v>51.945695897023327</v>
          </cell>
          <cell r="AC74">
            <v>52.142857142857146</v>
          </cell>
          <cell r="AE74">
            <v>52.142857142857146</v>
          </cell>
          <cell r="AG74">
            <v>52.89855072463768</v>
          </cell>
          <cell r="AI74">
            <v>52.89855072463768</v>
          </cell>
          <cell r="AK74">
            <v>52.89855072463768</v>
          </cell>
        </row>
        <row r="75">
          <cell r="A75" t="str">
            <v>Accounts receivable turnover</v>
          </cell>
          <cell r="O75">
            <v>8.1031052886948078</v>
          </cell>
          <cell r="Q75">
            <v>9.3252826310380268</v>
          </cell>
          <cell r="S75">
            <v>8.0766291230892993</v>
          </cell>
          <cell r="U75">
            <v>7.3405103668261553</v>
          </cell>
          <cell r="W75">
            <v>8.2905050104177</v>
          </cell>
          <cell r="Y75">
            <v>7.2210130047912386</v>
          </cell>
          <cell r="AA75">
            <v>7.0265686828716793</v>
          </cell>
          <cell r="AC75">
            <v>7</v>
          </cell>
          <cell r="AE75">
            <v>7</v>
          </cell>
          <cell r="AG75">
            <v>6.9</v>
          </cell>
          <cell r="AI75">
            <v>6.9</v>
          </cell>
          <cell r="AK75">
            <v>6.9</v>
          </cell>
        </row>
        <row r="76">
          <cell r="A76" t="str">
            <v>Inventories</v>
          </cell>
          <cell r="O76">
            <v>184.3</v>
          </cell>
          <cell r="Q76">
            <v>305.2</v>
          </cell>
          <cell r="S76">
            <v>355.6</v>
          </cell>
          <cell r="U76">
            <v>544.9</v>
          </cell>
          <cell r="W76">
            <v>712.6</v>
          </cell>
          <cell r="Y76">
            <v>888</v>
          </cell>
          <cell r="AA76">
            <v>1258</v>
          </cell>
          <cell r="AC76">
            <v>1422.0328124999999</v>
          </cell>
          <cell r="AE76">
            <v>1544.5641329739619</v>
          </cell>
          <cell r="AG76">
            <v>1664.7963868306774</v>
          </cell>
          <cell r="AI76">
            <v>1826.1337440775962</v>
          </cell>
          <cell r="AK76">
            <v>2018.7024615605301</v>
          </cell>
        </row>
        <row r="77">
          <cell r="A77" t="str">
            <v>% revenue</v>
          </cell>
          <cell r="O77">
            <v>5.5177988682973571E-2</v>
          </cell>
          <cell r="Q77">
            <v>8.4091034330743372E-2</v>
          </cell>
          <cell r="S77">
            <v>8.8552431705555698E-2</v>
          </cell>
          <cell r="U77">
            <v>9.8660148470034417E-2</v>
          </cell>
          <cell r="W77">
            <v>8.5280038295835331E-2</v>
          </cell>
          <cell r="Y77">
            <v>8.4171413947051632E-2</v>
          </cell>
          <cell r="AA77">
            <v>0.10120675784392598</v>
          </cell>
          <cell r="AC77">
            <v>0.10320290387546265</v>
          </cell>
          <cell r="AE77">
            <v>0.10235830572595123</v>
          </cell>
          <cell r="AG77">
            <v>0.10168987983386392</v>
          </cell>
          <cell r="AI77">
            <v>0.10190691435052029</v>
          </cell>
          <cell r="AK77">
            <v>0.10351124329806639</v>
          </cell>
        </row>
        <row r="78">
          <cell r="A78" t="str">
            <v>Days inventory outstanding (CHECK)</v>
          </cell>
          <cell r="O78">
            <v>167.29544889331012</v>
          </cell>
          <cell r="Q78">
            <v>272.76689520078355</v>
          </cell>
          <cell r="S78">
            <v>292.98871331828445</v>
          </cell>
          <cell r="U78">
            <v>270.33913279869506</v>
          </cell>
          <cell r="W78">
            <v>194.00238681285896</v>
          </cell>
          <cell r="Y78">
            <v>187.24436741767764</v>
          </cell>
          <cell r="AA78">
            <v>225.63636363636363</v>
          </cell>
          <cell r="AC78">
            <v>228.125</v>
          </cell>
          <cell r="AE78">
            <v>228.125</v>
          </cell>
          <cell r="AG78">
            <v>228.125</v>
          </cell>
          <cell r="AI78">
            <v>228.125</v>
          </cell>
          <cell r="AK78">
            <v>228.125</v>
          </cell>
        </row>
        <row r="79">
          <cell r="A79" t="str">
            <v>Inventory Turnover</v>
          </cell>
          <cell r="O79">
            <v>2.1817688551275096</v>
          </cell>
          <cell r="Q79">
            <v>1.3381389252948885</v>
          </cell>
          <cell r="S79">
            <v>1.2457817772778401</v>
          </cell>
          <cell r="U79">
            <v>1.350155991925124</v>
          </cell>
          <cell r="W79">
            <v>1.8814201515576761</v>
          </cell>
          <cell r="Y79">
            <v>1.9493243243243243</v>
          </cell>
          <cell r="AA79">
            <v>1.6176470588235294</v>
          </cell>
          <cell r="AC79">
            <v>1.6</v>
          </cell>
          <cell r="AE79">
            <v>1.6</v>
          </cell>
          <cell r="AG79">
            <v>1.6</v>
          </cell>
          <cell r="AI79">
            <v>1.6</v>
          </cell>
          <cell r="AK79">
            <v>1.6</v>
          </cell>
        </row>
        <row r="80">
          <cell r="A80" t="str">
            <v>Other current assets</v>
          </cell>
          <cell r="O80">
            <v>135.80000000000001</v>
          </cell>
          <cell r="Q80">
            <v>214.6</v>
          </cell>
          <cell r="S80">
            <v>343.6</v>
          </cell>
          <cell r="U80">
            <v>442.3</v>
          </cell>
          <cell r="W80">
            <v>558.79999999999995</v>
          </cell>
          <cell r="Y80">
            <v>1013</v>
          </cell>
          <cell r="AA80">
            <v>953</v>
          </cell>
          <cell r="AC80">
            <v>964.53000000000009</v>
          </cell>
          <cell r="AE80">
            <v>1207.1822580645655</v>
          </cell>
          <cell r="AG80">
            <v>1473.4177585768496</v>
          </cell>
          <cell r="AI80">
            <v>1612.7662976986658</v>
          </cell>
          <cell r="AK80">
            <v>1755.2027755794675</v>
          </cell>
        </row>
        <row r="81">
          <cell r="A81" t="str">
            <v>% revenue</v>
          </cell>
          <cell r="O81">
            <v>4.0657465345348948E-2</v>
          </cell>
          <cell r="Q81">
            <v>5.9128230561525323E-2</v>
          </cell>
          <cell r="S81">
            <v>8.5564160669372724E-2</v>
          </cell>
          <cell r="U81">
            <v>8.0083288068078962E-2</v>
          </cell>
          <cell r="W81">
            <v>6.6874102441359495E-2</v>
          </cell>
          <cell r="Y81">
            <v>9.6019867486895616E-2</v>
          </cell>
          <cell r="AA81">
            <v>7.6669348350764277E-2</v>
          </cell>
          <cell r="AC81">
            <v>7.0000000000000007E-2</v>
          </cell>
          <cell r="AE81">
            <v>0.08</v>
          </cell>
          <cell r="AG81">
            <v>0.09</v>
          </cell>
          <cell r="AI81">
            <v>0.09</v>
          </cell>
          <cell r="AK81">
            <v>0.09</v>
          </cell>
        </row>
        <row r="82">
          <cell r="A82" t="str">
            <v>% total current assets</v>
          </cell>
          <cell r="O82">
            <v>6.5753159347310311E-2</v>
          </cell>
          <cell r="Q82">
            <v>7.3065268462088467E-2</v>
          </cell>
          <cell r="S82">
            <v>8.9047841185922377E-2</v>
          </cell>
          <cell r="U82">
            <v>6.9071601467947233E-2</v>
          </cell>
          <cell r="W82">
            <v>7.5491070222366313E-2</v>
          </cell>
          <cell r="Y82">
            <v>0.11046892039258452</v>
          </cell>
          <cell r="AA82">
            <v>0.10319436924742827</v>
          </cell>
          <cell r="AC82">
            <v>0.10651579755637791</v>
          </cell>
          <cell r="AE82">
            <v>0.11236917572768854</v>
          </cell>
          <cell r="AG82">
            <v>0.11385141241770379</v>
          </cell>
          <cell r="AI82">
            <v>0.10907195849438796</v>
          </cell>
          <cell r="AK82">
            <v>9.7293373961654786E-2</v>
          </cell>
        </row>
        <row r="83">
          <cell r="A83" t="str">
            <v xml:space="preserve">Accounts payable </v>
          </cell>
          <cell r="O83">
            <v>83.4</v>
          </cell>
          <cell r="Q83">
            <v>143.19999999999999</v>
          </cell>
          <cell r="S83">
            <v>136.69999999999999</v>
          </cell>
          <cell r="U83">
            <v>254.6</v>
          </cell>
          <cell r="W83">
            <v>327.2</v>
          </cell>
          <cell r="Y83">
            <v>507</v>
          </cell>
          <cell r="AA83">
            <v>596</v>
          </cell>
          <cell r="AC83">
            <v>664.90923999999995</v>
          </cell>
          <cell r="AE83">
            <v>725.2428557948823</v>
          </cell>
          <cell r="AG83">
            <v>817.47919566890039</v>
          </cell>
          <cell r="AI83">
            <v>922.93696722228412</v>
          </cell>
          <cell r="AK83">
            <v>1024.8726343603414</v>
          </cell>
        </row>
        <row r="84">
          <cell r="A84" t="str">
            <v>% operating expenses</v>
          </cell>
          <cell r="O84">
            <v>4.5154304277206285E-2</v>
          </cell>
          <cell r="Q84">
            <v>6.86678814615901E-2</v>
          </cell>
          <cell r="S84">
            <v>5.5021131012276105E-2</v>
          </cell>
          <cell r="U84">
            <v>8.0556873912355637E-2</v>
          </cell>
          <cell r="W84">
            <v>6.6382633394197588E-2</v>
          </cell>
          <cell r="Y84">
            <v>8.0285035629453688E-2</v>
          </cell>
          <cell r="AA84">
            <v>8.3602188245195677E-2</v>
          </cell>
          <cell r="AC84">
            <v>0.08</v>
          </cell>
          <cell r="AE84">
            <v>0.08</v>
          </cell>
          <cell r="AG84">
            <v>8.3333333333333343E-2</v>
          </cell>
          <cell r="AI84">
            <v>8.3333333333333343E-2</v>
          </cell>
          <cell r="AK84">
            <v>8.3333333333333329E-2</v>
          </cell>
        </row>
        <row r="85">
          <cell r="A85" t="str">
            <v>Days payable outstanding (CHECK)</v>
          </cell>
          <cell r="O85">
            <v>75.705048495399154</v>
          </cell>
          <cell r="Q85">
            <v>127.98237022526935</v>
          </cell>
          <cell r="S85">
            <v>20.082712819480779</v>
          </cell>
          <cell r="U85">
            <v>29.403258978009809</v>
          </cell>
          <cell r="W85">
            <v>24.229661188882123</v>
          </cell>
          <cell r="Y85">
            <v>29.304038004750595</v>
          </cell>
          <cell r="AA85">
            <v>30.514798709496421</v>
          </cell>
          <cell r="AC85">
            <v>29.2</v>
          </cell>
          <cell r="AE85">
            <v>29.2</v>
          </cell>
          <cell r="AG85">
            <v>30.416666666666668</v>
          </cell>
          <cell r="AI85">
            <v>30.416666666666668</v>
          </cell>
          <cell r="AK85">
            <v>30.416666666666668</v>
          </cell>
        </row>
        <row r="86">
          <cell r="A86" t="str">
            <v>Accounts payable turnover</v>
          </cell>
          <cell r="O86">
            <v>5.3114027134456823</v>
          </cell>
          <cell r="Q86">
            <v>3.1910645136603657</v>
          </cell>
          <cell r="S86">
            <v>18.17483540599854</v>
          </cell>
          <cell r="U86">
            <v>12.413589945011783</v>
          </cell>
          <cell r="W86">
            <v>15.064180929095357</v>
          </cell>
          <cell r="Y86">
            <v>12.455621301775148</v>
          </cell>
          <cell r="AA86">
            <v>11.961409395973154</v>
          </cell>
          <cell r="AC86">
            <v>12.5</v>
          </cell>
          <cell r="AE86">
            <v>12.5</v>
          </cell>
          <cell r="AG86">
            <v>12</v>
          </cell>
          <cell r="AI86">
            <v>12</v>
          </cell>
          <cell r="AK86">
            <v>12</v>
          </cell>
        </row>
        <row r="87">
          <cell r="A87" t="str">
            <v>Accrued liabilities</v>
          </cell>
          <cell r="O87">
            <v>648.20000000000005</v>
          </cell>
          <cell r="Q87">
            <v>619.20000000000005</v>
          </cell>
          <cell r="S87">
            <v>766.3</v>
          </cell>
          <cell r="U87">
            <v>1151.7</v>
          </cell>
          <cell r="W87">
            <v>1919.1</v>
          </cell>
          <cell r="Y87">
            <v>2477</v>
          </cell>
          <cell r="AA87">
            <v>2999</v>
          </cell>
          <cell r="AC87">
            <v>2908.9779249999997</v>
          </cell>
          <cell r="AE87">
            <v>3172.9374941026099</v>
          </cell>
          <cell r="AG87">
            <v>3335.3151183291138</v>
          </cell>
          <cell r="AI87">
            <v>3765.5828262669193</v>
          </cell>
          <cell r="AK87">
            <v>4181.4803481901936</v>
          </cell>
        </row>
        <row r="88">
          <cell r="A88" t="str">
            <v>% operating expenses</v>
          </cell>
          <cell r="O88">
            <v>0.35094748240389823</v>
          </cell>
          <cell r="Q88">
            <v>0.29692145391771363</v>
          </cell>
          <cell r="S88">
            <v>0.30843228013684842</v>
          </cell>
          <cell r="U88">
            <v>0.36440436639772189</v>
          </cell>
          <cell r="W88">
            <v>0.38934875228241012</v>
          </cell>
          <cell r="Y88">
            <v>0.39224069675376089</v>
          </cell>
          <cell r="AA88">
            <v>0.42067611165661384</v>
          </cell>
          <cell r="AC88">
            <v>0.35</v>
          </cell>
          <cell r="AE88">
            <v>0.35</v>
          </cell>
          <cell r="AG88">
            <v>0.34</v>
          </cell>
          <cell r="AI88">
            <v>0.34</v>
          </cell>
          <cell r="AK88">
            <v>0.34</v>
          </cell>
        </row>
        <row r="89">
          <cell r="A89" t="str">
            <v>% total current liabilities</v>
          </cell>
          <cell r="O89">
            <v>0.7799302129707617</v>
          </cell>
          <cell r="Q89">
            <v>0.71824614313884705</v>
          </cell>
          <cell r="S89">
            <v>0.76408415594775148</v>
          </cell>
          <cell r="U89">
            <v>0.75313889615485219</v>
          </cell>
          <cell r="W89">
            <v>0.85433824511418788</v>
          </cell>
          <cell r="Y89">
            <v>0.59586240076978592</v>
          </cell>
          <cell r="AA89">
            <v>0.83421418636995825</v>
          </cell>
          <cell r="AC89">
            <v>0.81395348837209303</v>
          </cell>
          <cell r="AE89">
            <v>0.81395348837209303</v>
          </cell>
          <cell r="AG89">
            <v>0.80314960629921262</v>
          </cell>
          <cell r="AI89">
            <v>0.80314960629921262</v>
          </cell>
          <cell r="AK89">
            <v>0.80314960629921262</v>
          </cell>
        </row>
        <row r="91">
          <cell r="A91" t="str">
            <v>Property and Equipment, Net</v>
          </cell>
        </row>
        <row r="92">
          <cell r="A92" t="str">
            <v>Beginning balance</v>
          </cell>
          <cell r="O92">
            <v>1450.2</v>
          </cell>
          <cell r="Q92">
            <v>1553.6</v>
          </cell>
          <cell r="S92">
            <v>1781.5</v>
          </cell>
          <cell r="U92">
            <v>1946.1</v>
          </cell>
          <cell r="W92">
            <v>2813.5</v>
          </cell>
          <cell r="Y92">
            <v>3799.4</v>
          </cell>
          <cell r="AA92">
            <v>4712</v>
          </cell>
          <cell r="AC92">
            <v>5038</v>
          </cell>
          <cell r="AE92">
            <v>5980.5493333333325</v>
          </cell>
          <cell r="AG92">
            <v>6577.3994462366118</v>
          </cell>
          <cell r="AI92">
            <v>7084.1184670405946</v>
          </cell>
          <cell r="AK92">
            <v>7351.437436320256</v>
          </cell>
        </row>
        <row r="93">
          <cell r="A93" t="str">
            <v>Capital expenditures</v>
          </cell>
          <cell r="O93">
            <v>304.2</v>
          </cell>
          <cell r="Q93">
            <v>437.7</v>
          </cell>
          <cell r="S93">
            <v>441.8</v>
          </cell>
          <cell r="U93">
            <v>658.5</v>
          </cell>
          <cell r="W93">
            <v>1357</v>
          </cell>
          <cell r="Y93">
            <v>1336</v>
          </cell>
          <cell r="AA93">
            <v>867</v>
          </cell>
          <cell r="AC93">
            <v>1653.48</v>
          </cell>
          <cell r="AE93">
            <v>1508.977822580707</v>
          </cell>
          <cell r="AG93">
            <v>1637.1308428631664</v>
          </cell>
          <cell r="AI93">
            <v>1612.7662976986658</v>
          </cell>
          <cell r="AK93">
            <v>1950.2253061994086</v>
          </cell>
        </row>
        <row r="94">
          <cell r="A94" t="str">
            <v>% revenue</v>
          </cell>
          <cell r="O94">
            <v>9.1075117511451753E-2</v>
          </cell>
          <cell r="Q94">
            <v>0.12059844602413623</v>
          </cell>
          <cell r="S94">
            <v>0.11001817864880345</v>
          </cell>
          <cell r="U94">
            <v>0.11922868006518199</v>
          </cell>
          <cell r="W94">
            <v>0.16239827668741025</v>
          </cell>
          <cell r="Y94">
            <v>0.12663627143385245</v>
          </cell>
          <cell r="AA94">
            <v>6.9750603378921958E-2</v>
          </cell>
          <cell r="AC94">
            <v>0.12</v>
          </cell>
          <cell r="AE94">
            <v>0.1</v>
          </cell>
          <cell r="AG94">
            <v>0.1</v>
          </cell>
          <cell r="AI94">
            <v>0.09</v>
          </cell>
          <cell r="AK94">
            <v>0.1</v>
          </cell>
        </row>
        <row r="95">
          <cell r="A95" t="str">
            <v>Depreciation</v>
          </cell>
          <cell r="O95">
            <v>-176.8</v>
          </cell>
          <cell r="Q95">
            <v>-211.8</v>
          </cell>
          <cell r="S95">
            <v>-265.89999999999998</v>
          </cell>
          <cell r="U95">
            <v>-447.3</v>
          </cell>
          <cell r="W95">
            <v>-350.7</v>
          </cell>
          <cell r="Y95">
            <v>-374.86666666666667</v>
          </cell>
          <cell r="AA95">
            <v>-598</v>
          </cell>
          <cell r="AC95">
            <v>-710.93066666666664</v>
          </cell>
          <cell r="AE95">
            <v>-912.12770967742756</v>
          </cell>
          <cell r="AG95">
            <v>-1130.4118220591831</v>
          </cell>
          <cell r="AI95">
            <v>-1345.4473284190053</v>
          </cell>
          <cell r="AK95">
            <v>-1605.4773692455931</v>
          </cell>
        </row>
        <row r="96">
          <cell r="A96" t="str">
            <v>Ending balance</v>
          </cell>
          <cell r="O96">
            <v>1577.6000000000001</v>
          </cell>
          <cell r="Q96">
            <v>1779.5</v>
          </cell>
          <cell r="S96">
            <v>1946.1</v>
          </cell>
          <cell r="U96">
            <v>2813.5</v>
          </cell>
          <cell r="W96">
            <v>3799.4</v>
          </cell>
          <cell r="Y96">
            <v>4712</v>
          </cell>
          <cell r="AA96">
            <v>5038</v>
          </cell>
          <cell r="AC96">
            <v>5980.5493333333325</v>
          </cell>
          <cell r="AE96">
            <v>6577.3994462366118</v>
          </cell>
          <cell r="AG96">
            <v>7084.1184670405946</v>
          </cell>
          <cell r="AI96">
            <v>7351.437436320256</v>
          </cell>
          <cell r="AK96">
            <v>7696.185373274071</v>
          </cell>
        </row>
        <row r="97">
          <cell r="A97" t="str">
            <v>Fixed Asset Turnover (CHECK)</v>
          </cell>
          <cell r="Q97">
            <v>2.1764864621750473</v>
          </cell>
          <cell r="S97">
            <v>2.154576671316665</v>
          </cell>
          <cell r="U97">
            <v>2.3207832590974027</v>
          </cell>
          <cell r="W97">
            <v>2.5271817205764493</v>
          </cell>
          <cell r="Y97">
            <v>2.4790046290856966</v>
          </cell>
          <cell r="AA97">
            <v>2.5497435897435898</v>
          </cell>
          <cell r="AC97">
            <v>2.501055190326325</v>
          </cell>
          <cell r="AE97">
            <v>2.4032234070513274</v>
          </cell>
          <cell r="AG97">
            <v>2.3967041631180521</v>
          </cell>
          <cell r="AI97">
            <v>2.4827066792506649</v>
          </cell>
          <cell r="AK97">
            <v>2.6528489470157131</v>
          </cell>
        </row>
        <row r="99">
          <cell r="A99" t="str">
            <v>Employee Stock Option Analysis</v>
          </cell>
          <cell r="AC99">
            <v>1</v>
          </cell>
          <cell r="AE99">
            <v>2</v>
          </cell>
          <cell r="AG99">
            <v>3</v>
          </cell>
          <cell r="AI99">
            <v>4</v>
          </cell>
          <cell r="AK99">
            <v>5</v>
          </cell>
        </row>
        <row r="100">
          <cell r="O100">
            <v>1999</v>
          </cell>
          <cell r="Q100">
            <v>2000</v>
          </cell>
          <cell r="S100" t="str">
            <v>2001</v>
          </cell>
          <cell r="U100" t="str">
            <v>2002</v>
          </cell>
          <cell r="W100" t="str">
            <v>2003</v>
          </cell>
          <cell r="Y100" t="str">
            <v>2004</v>
          </cell>
          <cell r="AA100" t="str">
            <v>2005</v>
          </cell>
          <cell r="AC100" t="str">
            <v>2006E</v>
          </cell>
          <cell r="AE100" t="str">
            <v>2007E</v>
          </cell>
          <cell r="AG100" t="str">
            <v>2008E</v>
          </cell>
          <cell r="AI100" t="str">
            <v>2009E</v>
          </cell>
          <cell r="AK100" t="str">
            <v>2010E</v>
          </cell>
        </row>
        <row r="101">
          <cell r="A101" t="str">
            <v xml:space="preserve">Stock Price (average) </v>
          </cell>
          <cell r="S101">
            <v>62.31</v>
          </cell>
          <cell r="U101">
            <v>49.42</v>
          </cell>
          <cell r="W101">
            <v>61.4</v>
          </cell>
          <cell r="Y101">
            <v>63</v>
          </cell>
          <cell r="AA101">
            <v>70</v>
          </cell>
          <cell r="AC101">
            <v>75.775000000000006</v>
          </cell>
          <cell r="AE101">
            <v>82.026437500000014</v>
          </cell>
          <cell r="AG101">
            <v>88.793618593750011</v>
          </cell>
          <cell r="AI101">
            <v>96.11909212773439</v>
          </cell>
          <cell r="AK101">
            <v>104.04891722827247</v>
          </cell>
          <cell r="AM101">
            <v>8.2500000000000004E-2</v>
          </cell>
          <cell r="AN101" t="str">
            <v>Cost of Equity</v>
          </cell>
        </row>
        <row r="102">
          <cell r="A102" t="str">
            <v>Option Balance (Beginning Year)</v>
          </cell>
          <cell r="Q102">
            <v>115.8</v>
          </cell>
          <cell r="S102">
            <v>98.7</v>
          </cell>
          <cell r="U102">
            <v>94.399999999999991</v>
          </cell>
          <cell r="W102">
            <v>102.99999999999999</v>
          </cell>
          <cell r="Y102">
            <v>95</v>
          </cell>
          <cell r="AA102">
            <v>89</v>
          </cell>
          <cell r="AC102">
            <v>68</v>
          </cell>
          <cell r="AE102">
            <v>66.98</v>
          </cell>
          <cell r="AG102">
            <v>62.626300000000001</v>
          </cell>
          <cell r="AI102">
            <v>56.989932999999994</v>
          </cell>
          <cell r="AK102">
            <v>50.151141039999999</v>
          </cell>
          <cell r="AL102">
            <v>44.133004115199995</v>
          </cell>
        </row>
        <row r="103">
          <cell r="A103" t="str">
            <v xml:space="preserve"> Average Options In-the-Money</v>
          </cell>
          <cell r="S103">
            <v>53.4</v>
          </cell>
          <cell r="U103">
            <v>62.4</v>
          </cell>
          <cell r="W103">
            <v>53.4</v>
          </cell>
          <cell r="Y103">
            <v>47</v>
          </cell>
          <cell r="AA103">
            <v>34</v>
          </cell>
          <cell r="AC103">
            <v>30.370500000000003</v>
          </cell>
          <cell r="AE103">
            <v>29.161417500000002</v>
          </cell>
          <cell r="AG103">
            <v>26.913652424999999</v>
          </cell>
          <cell r="AI103">
            <v>21.428214808</v>
          </cell>
          <cell r="AK103">
            <v>18.85682903104</v>
          </cell>
          <cell r="AM103">
            <v>58</v>
          </cell>
          <cell r="AN103" t="str">
            <v>Target Price</v>
          </cell>
        </row>
        <row r="104">
          <cell r="A104" t="str">
            <v xml:space="preserve">   % Exercisable</v>
          </cell>
          <cell r="S104">
            <v>0.55308130502330399</v>
          </cell>
          <cell r="U104">
            <v>0.63221884498480252</v>
          </cell>
          <cell r="W104">
            <v>0.53939393939393943</v>
          </cell>
          <cell r="Y104">
            <v>0.51086956521739135</v>
          </cell>
          <cell r="AA104">
            <v>0.43312101910828027</v>
          </cell>
          <cell r="AC104">
            <v>0.45</v>
          </cell>
          <cell r="AE104">
            <v>0.45</v>
          </cell>
          <cell r="AG104">
            <v>0.45</v>
          </cell>
          <cell r="AI104">
            <v>0.4</v>
          </cell>
          <cell r="AK104">
            <v>0.4</v>
          </cell>
        </row>
        <row r="105">
          <cell r="A105" t="str">
            <v>Weighted Average Exercise Price of exercisable</v>
          </cell>
          <cell r="S105">
            <v>20.81</v>
          </cell>
          <cell r="U105">
            <v>27.03</v>
          </cell>
          <cell r="W105">
            <v>34.28</v>
          </cell>
          <cell r="Y105">
            <v>34.28</v>
          </cell>
          <cell r="AA105">
            <v>51.77</v>
          </cell>
          <cell r="AC105">
            <v>47</v>
          </cell>
          <cell r="AE105">
            <v>51</v>
          </cell>
          <cell r="AG105">
            <v>55</v>
          </cell>
          <cell r="AI105">
            <v>63</v>
          </cell>
          <cell r="AK105">
            <v>68</v>
          </cell>
        </row>
        <row r="106">
          <cell r="A106" t="str">
            <v>Options Cancelled</v>
          </cell>
          <cell r="S106">
            <v>2.2999999999999998</v>
          </cell>
          <cell r="U106">
            <v>4.9000000000000004</v>
          </cell>
          <cell r="W106">
            <v>3.8</v>
          </cell>
          <cell r="Y106">
            <v>6</v>
          </cell>
          <cell r="AA106">
            <v>6</v>
          </cell>
          <cell r="AC106">
            <v>4.42</v>
          </cell>
          <cell r="AE106">
            <v>4.3537000000000008</v>
          </cell>
          <cell r="AG106">
            <v>3.7575780000000001</v>
          </cell>
          <cell r="AI106">
            <v>3.4193959799999996</v>
          </cell>
          <cell r="AK106">
            <v>3.0090684623999997</v>
          </cell>
        </row>
        <row r="107">
          <cell r="A107" t="str">
            <v xml:space="preserve">   % Cancelled </v>
          </cell>
          <cell r="S107">
            <v>2.3302938196555215E-2</v>
          </cell>
          <cell r="U107">
            <v>5.1906779661016957E-2</v>
          </cell>
          <cell r="W107">
            <v>3.6893203883495151E-2</v>
          </cell>
          <cell r="Y107">
            <v>6.3157894736842107E-2</v>
          </cell>
          <cell r="AA107">
            <v>6.741573033707865E-2</v>
          </cell>
          <cell r="AC107">
            <v>6.5000000000000002E-2</v>
          </cell>
          <cell r="AE107">
            <v>6.5000000000000002E-2</v>
          </cell>
          <cell r="AG107">
            <v>0.06</v>
          </cell>
          <cell r="AI107">
            <v>0.06</v>
          </cell>
          <cell r="AK107">
            <v>0.06</v>
          </cell>
        </row>
        <row r="108">
          <cell r="A108" t="str">
            <v>Options Exercised</v>
          </cell>
          <cell r="Q108">
            <v>28.2</v>
          </cell>
          <cell r="S108">
            <v>20.6</v>
          </cell>
          <cell r="U108">
            <v>26.2</v>
          </cell>
          <cell r="W108">
            <v>23</v>
          </cell>
          <cell r="Y108">
            <v>20</v>
          </cell>
          <cell r="AA108">
            <v>25</v>
          </cell>
          <cell r="AC108">
            <v>10.199999999999999</v>
          </cell>
          <cell r="AE108">
            <v>13.396000000000001</v>
          </cell>
          <cell r="AG108">
            <v>15.656575</v>
          </cell>
          <cell r="AI108">
            <v>15.957181239999999</v>
          </cell>
          <cell r="AK108">
            <v>14.042319491200001</v>
          </cell>
        </row>
        <row r="109">
          <cell r="A109" t="str">
            <v xml:space="preserve">   % Exercised</v>
          </cell>
          <cell r="Q109">
            <v>0.24352331606217617</v>
          </cell>
          <cell r="S109">
            <v>0.2087132725430598</v>
          </cell>
          <cell r="U109">
            <v>0.27754237288135597</v>
          </cell>
          <cell r="W109">
            <v>0.22330097087378645</v>
          </cell>
          <cell r="Y109">
            <v>0.21052631578947367</v>
          </cell>
          <cell r="AA109">
            <v>0.2808988764044944</v>
          </cell>
          <cell r="AC109">
            <v>0.15</v>
          </cell>
          <cell r="AE109">
            <v>0.2</v>
          </cell>
          <cell r="AG109">
            <v>0.25</v>
          </cell>
          <cell r="AI109">
            <v>0.28000000000000003</v>
          </cell>
          <cell r="AK109">
            <v>0.28000000000000003</v>
          </cell>
        </row>
        <row r="110">
          <cell r="A110" t="str">
            <v>Weighted Average Exercise Price</v>
          </cell>
          <cell r="S110">
            <v>13.12</v>
          </cell>
          <cell r="U110">
            <v>15.9</v>
          </cell>
          <cell r="W110">
            <v>20.98</v>
          </cell>
          <cell r="Y110">
            <v>20.420000000000002</v>
          </cell>
          <cell r="AA110">
            <v>39.729999999999997</v>
          </cell>
          <cell r="AC110">
            <v>28</v>
          </cell>
          <cell r="AE110">
            <v>30.520000000000003</v>
          </cell>
          <cell r="AG110">
            <v>33.266800000000003</v>
          </cell>
          <cell r="AI110">
            <v>36.260812000000008</v>
          </cell>
          <cell r="AK110">
            <v>39.524285080000013</v>
          </cell>
          <cell r="AM110">
            <v>0.09</v>
          </cell>
        </row>
        <row r="111">
          <cell r="A111" t="str">
            <v xml:space="preserve">   Statuatory  Tax rate</v>
          </cell>
          <cell r="S111">
            <v>0.35</v>
          </cell>
          <cell r="U111">
            <v>0.35</v>
          </cell>
          <cell r="W111">
            <v>0.35</v>
          </cell>
          <cell r="Y111">
            <v>0.35</v>
          </cell>
          <cell r="AA111">
            <v>0.35</v>
          </cell>
          <cell r="AC111">
            <v>0.35</v>
          </cell>
          <cell r="AE111">
            <v>0.35</v>
          </cell>
          <cell r="AG111">
            <v>0.35</v>
          </cell>
          <cell r="AI111">
            <v>0.35</v>
          </cell>
          <cell r="AK111">
            <v>0.35</v>
          </cell>
        </row>
        <row r="112">
          <cell r="A112" t="str">
            <v>Proceeds from option</v>
          </cell>
          <cell r="Q112">
            <v>333.7</v>
          </cell>
          <cell r="S112">
            <v>282.3</v>
          </cell>
          <cell r="U112">
            <v>435.4</v>
          </cell>
          <cell r="W112">
            <v>537.70000000000005</v>
          </cell>
          <cell r="Y112">
            <v>513</v>
          </cell>
          <cell r="AA112">
            <v>1207</v>
          </cell>
          <cell r="AC112">
            <v>285.59999999999997</v>
          </cell>
          <cell r="AE112">
            <v>408.84592000000009</v>
          </cell>
          <cell r="AG112">
            <v>520.84414921000007</v>
          </cell>
          <cell r="AI112">
            <v>578.62034899356695</v>
          </cell>
          <cell r="AK112">
            <v>555.01263875462951</v>
          </cell>
        </row>
        <row r="113">
          <cell r="A113" t="str">
            <v>Tax Benefit from Options</v>
          </cell>
          <cell r="Q113">
            <v>376.6</v>
          </cell>
          <cell r="S113">
            <v>244.5</v>
          </cell>
          <cell r="U113">
            <v>251.6</v>
          </cell>
          <cell r="W113">
            <v>113.3</v>
          </cell>
          <cell r="Y113">
            <v>167</v>
          </cell>
          <cell r="AA113">
            <v>276</v>
          </cell>
          <cell r="AC113">
            <v>170.55674999999999</v>
          </cell>
          <cell r="AE113">
            <v>241.49308286250007</v>
          </cell>
          <cell r="AG113">
            <v>304.2759299385545</v>
          </cell>
          <cell r="AI113">
            <v>334.30929864953174</v>
          </cell>
          <cell r="AK113">
            <v>317.12642488736873</v>
          </cell>
        </row>
        <row r="114">
          <cell r="A114" t="str">
            <v>Options Granted</v>
          </cell>
          <cell r="Q114">
            <v>13.1</v>
          </cell>
          <cell r="S114">
            <v>18.600000000000001</v>
          </cell>
          <cell r="U114">
            <v>39.700000000000003</v>
          </cell>
          <cell r="W114">
            <v>18.5</v>
          </cell>
          <cell r="Y114">
            <v>16</v>
          </cell>
          <cell r="AA114">
            <v>10</v>
          </cell>
          <cell r="AC114">
            <v>13.600000000000001</v>
          </cell>
          <cell r="AE114">
            <v>13.396000000000001</v>
          </cell>
          <cell r="AG114">
            <v>13.777786000000001</v>
          </cell>
          <cell r="AI114">
            <v>12.537785259999998</v>
          </cell>
          <cell r="AK114">
            <v>11.033251028800001</v>
          </cell>
        </row>
        <row r="115">
          <cell r="A115" t="str">
            <v xml:space="preserve">     % of Outstanding Options</v>
          </cell>
          <cell r="Q115">
            <v>0.11312607944732297</v>
          </cell>
          <cell r="S115">
            <v>0.18844984802431611</v>
          </cell>
          <cell r="U115">
            <v>0.42055084745762716</v>
          </cell>
          <cell r="W115">
            <v>0.17961165048543692</v>
          </cell>
          <cell r="Y115">
            <v>0.16842105263157894</v>
          </cell>
          <cell r="AA115">
            <v>0.11235955056179775</v>
          </cell>
          <cell r="AC115">
            <v>0.2</v>
          </cell>
          <cell r="AE115">
            <v>0.2</v>
          </cell>
          <cell r="AG115">
            <v>0.22</v>
          </cell>
          <cell r="AI115">
            <v>0.22</v>
          </cell>
          <cell r="AK115">
            <v>0.22</v>
          </cell>
        </row>
        <row r="116">
          <cell r="A116" t="str">
            <v>Shares Issued</v>
          </cell>
          <cell r="S116">
            <v>0</v>
          </cell>
          <cell r="U116">
            <v>0</v>
          </cell>
          <cell r="W116">
            <v>0</v>
          </cell>
          <cell r="Y116">
            <v>22.6</v>
          </cell>
          <cell r="AA116">
            <v>0</v>
          </cell>
          <cell r="AC116">
            <v>0</v>
          </cell>
          <cell r="AE116">
            <v>0</v>
          </cell>
          <cell r="AG116">
            <v>0</v>
          </cell>
          <cell r="AI116">
            <v>0</v>
          </cell>
          <cell r="AK116">
            <v>0</v>
          </cell>
        </row>
        <row r="117">
          <cell r="A117" t="str">
            <v>Proceeds from share issuance</v>
          </cell>
          <cell r="S117">
            <v>0</v>
          </cell>
          <cell r="U117">
            <v>0</v>
          </cell>
          <cell r="W117">
            <v>0</v>
          </cell>
          <cell r="Y117">
            <v>0</v>
          </cell>
          <cell r="AA117">
            <v>0</v>
          </cell>
          <cell r="AC117">
            <v>0</v>
          </cell>
          <cell r="AE117">
            <v>0</v>
          </cell>
          <cell r="AG117">
            <v>0</v>
          </cell>
          <cell r="AI117">
            <v>0</v>
          </cell>
          <cell r="AK117">
            <v>0</v>
          </cell>
        </row>
        <row r="118">
          <cell r="A118" t="str">
            <v>Shares Repurchased (mm)</v>
          </cell>
          <cell r="S118">
            <v>12.7</v>
          </cell>
          <cell r="U118">
            <v>28</v>
          </cell>
          <cell r="W118">
            <v>29.7</v>
          </cell>
          <cell r="Y118">
            <v>69</v>
          </cell>
          <cell r="AA118">
            <v>63</v>
          </cell>
          <cell r="AC118">
            <v>100</v>
          </cell>
          <cell r="AE118">
            <v>40</v>
          </cell>
          <cell r="AG118">
            <v>40</v>
          </cell>
          <cell r="AI118">
            <v>40</v>
          </cell>
          <cell r="AK118">
            <v>35</v>
          </cell>
        </row>
        <row r="119">
          <cell r="A119" t="str">
            <v>Share Repurchase Cost</v>
          </cell>
          <cell r="Q119">
            <v>799.9</v>
          </cell>
          <cell r="S119">
            <v>737.5</v>
          </cell>
          <cell r="U119">
            <v>1420.4</v>
          </cell>
          <cell r="W119">
            <v>1801</v>
          </cell>
          <cell r="Y119">
            <v>4072</v>
          </cell>
          <cell r="AA119">
            <v>4430</v>
          </cell>
          <cell r="AC119">
            <v>7577.5000000000009</v>
          </cell>
          <cell r="AE119">
            <v>3281.0575000000008</v>
          </cell>
          <cell r="AG119">
            <v>3551.7447437500005</v>
          </cell>
          <cell r="AI119">
            <v>3844.7636851093757</v>
          </cell>
          <cell r="AK119">
            <v>3641.7121029895366</v>
          </cell>
        </row>
        <row r="120">
          <cell r="A120" t="str">
            <v>Share Issuance from Acquisitions</v>
          </cell>
          <cell r="Q120">
            <v>164.7</v>
          </cell>
          <cell r="U120">
            <v>15183.2</v>
          </cell>
          <cell r="Y120">
            <v>1403</v>
          </cell>
        </row>
        <row r="121">
          <cell r="A121" t="str">
            <v>Stock options expense</v>
          </cell>
          <cell r="AC121">
            <v>294.91779250000002</v>
          </cell>
          <cell r="AE121">
            <v>271.96607092308085</v>
          </cell>
          <cell r="AG121">
            <v>294.29251044080411</v>
          </cell>
          <cell r="AI121">
            <v>332.25730820002224</v>
          </cell>
          <cell r="AK121">
            <v>368.95414836972293</v>
          </cell>
        </row>
        <row r="122">
          <cell r="A122" t="str">
            <v>Total Change in APIC</v>
          </cell>
          <cell r="K122">
            <v>169.19999999999982</v>
          </cell>
          <cell r="M122">
            <v>475.80000000000018</v>
          </cell>
          <cell r="O122">
            <v>0</v>
          </cell>
          <cell r="Q122">
            <v>75.100000000000023</v>
          </cell>
          <cell r="S122">
            <v>-210.7</v>
          </cell>
          <cell r="U122">
            <v>14449.800000000001</v>
          </cell>
          <cell r="W122">
            <v>-1150</v>
          </cell>
          <cell r="Y122">
            <v>-1989</v>
          </cell>
          <cell r="AA122">
            <v>-2947</v>
          </cell>
          <cell r="AC122">
            <v>-6826.4254575000004</v>
          </cell>
          <cell r="AE122">
            <v>-2358.7524262144198</v>
          </cell>
          <cell r="AG122">
            <v>-2432.3321541606419</v>
          </cell>
          <cell r="AI122">
            <v>-2599.5767292662549</v>
          </cell>
          <cell r="AK122">
            <v>-2400.6188909778157</v>
          </cell>
          <cell r="AO122" t="str">
            <v>mstag:netIssuanceRepurchaseOfCommonStock</v>
          </cell>
          <cell r="AP122">
            <v>6</v>
          </cell>
          <cell r="AQ122" t="str">
            <v>ISO4217:USD</v>
          </cell>
          <cell r="AR122" t="b">
            <v>0</v>
          </cell>
          <cell r="AS122" t="b">
            <v>0</v>
          </cell>
        </row>
        <row r="123">
          <cell r="A123" t="str">
            <v>Beginning Period Shares</v>
          </cell>
          <cell r="Q123">
            <v>1021.8</v>
          </cell>
          <cell r="S123">
            <v>1037.4000000000001</v>
          </cell>
          <cell r="U123">
            <v>1045.8</v>
          </cell>
          <cell r="W123">
            <v>1289.0999999999999</v>
          </cell>
          <cell r="Y123">
            <v>1283.7</v>
          </cell>
          <cell r="AA123">
            <v>1260</v>
          </cell>
          <cell r="AC123">
            <v>1224</v>
          </cell>
          <cell r="AE123">
            <v>1134.2</v>
          </cell>
          <cell r="AG123">
            <v>1107.596</v>
          </cell>
          <cell r="AI123">
            <v>1083.252575</v>
          </cell>
          <cell r="AK123">
            <v>1059.2097562399999</v>
          </cell>
        </row>
        <row r="124">
          <cell r="A124" t="str">
            <v>End of Period Shares</v>
          </cell>
          <cell r="O124">
            <v>1021.8</v>
          </cell>
          <cell r="Q124">
            <v>1037.4000000000001</v>
          </cell>
          <cell r="S124">
            <v>1045.8</v>
          </cell>
          <cell r="U124">
            <v>1289.0999999999999</v>
          </cell>
          <cell r="W124">
            <v>1283.7</v>
          </cell>
          <cell r="Y124">
            <v>1260</v>
          </cell>
          <cell r="AA124">
            <v>1224</v>
          </cell>
          <cell r="AC124">
            <v>1134.2</v>
          </cell>
          <cell r="AE124">
            <v>1107.596</v>
          </cell>
          <cell r="AG124">
            <v>1083.252575</v>
          </cell>
          <cell r="AI124">
            <v>1059.2097562399999</v>
          </cell>
          <cell r="AK124">
            <v>1038.2520757312</v>
          </cell>
          <cell r="AO124" t="str">
            <v>mstag:periodEndBasicSharesOutstanding</v>
          </cell>
          <cell r="AP124">
            <v>6</v>
          </cell>
          <cell r="AQ124" t="str">
            <v>ms_eqr_gcim_Decimal:ms_eqr_gcim_decimal</v>
          </cell>
          <cell r="AR124" t="b">
            <v>0</v>
          </cell>
          <cell r="AS124" t="b">
            <v>0</v>
          </cell>
        </row>
        <row r="125">
          <cell r="A125" t="str">
            <v xml:space="preserve">Average Shares Outstanding-basic </v>
          </cell>
          <cell r="O125">
            <v>1021.7</v>
          </cell>
          <cell r="Q125">
            <v>1029.5999999999999</v>
          </cell>
          <cell r="S125">
            <v>1045.5</v>
          </cell>
          <cell r="U125">
            <v>1153.5</v>
          </cell>
          <cell r="W125">
            <v>1288.4000000000001</v>
          </cell>
          <cell r="Y125">
            <v>1270.6500000000001</v>
          </cell>
          <cell r="AA125">
            <v>1236</v>
          </cell>
          <cell r="AC125">
            <v>1179.0999999999999</v>
          </cell>
          <cell r="AE125">
            <v>1120.8980000000001</v>
          </cell>
          <cell r="AG125">
            <v>1095.4242875</v>
          </cell>
          <cell r="AI125">
            <v>1071.23116562</v>
          </cell>
          <cell r="AK125">
            <v>1048.7309159855999</v>
          </cell>
        </row>
        <row r="126">
          <cell r="A126" t="str">
            <v>Average Shares Outstanding-diluted</v>
          </cell>
          <cell r="O126">
            <v>1078.3</v>
          </cell>
          <cell r="Q126">
            <v>1084.7</v>
          </cell>
          <cell r="S126">
            <v>1084.2</v>
          </cell>
          <cell r="U126">
            <v>1153.5</v>
          </cell>
          <cell r="W126">
            <v>1346</v>
          </cell>
          <cell r="Y126">
            <v>1285.05</v>
          </cell>
          <cell r="AA126">
            <v>1258</v>
          </cell>
          <cell r="AC126">
            <v>1190.6329744308807</v>
          </cell>
          <cell r="AE126">
            <v>1131.9282839554037</v>
          </cell>
          <cell r="AG126">
            <v>1105.6672499945955</v>
          </cell>
          <cell r="AI126">
            <v>1078.6145376915538</v>
          </cell>
          <cell r="AK126">
            <v>1055.2640764166335</v>
          </cell>
        </row>
        <row r="130">
          <cell r="B130" t="str">
            <v>Amgen</v>
          </cell>
          <cell r="S130" t="str">
            <v>2001A</v>
          </cell>
          <cell r="U130" t="str">
            <v>2002A</v>
          </cell>
          <cell r="W130" t="str">
            <v>2003A</v>
          </cell>
          <cell r="Y130" t="str">
            <v>2004A</v>
          </cell>
          <cell r="AA130" t="str">
            <v>2005A</v>
          </cell>
          <cell r="AC130" t="str">
            <v>2006E</v>
          </cell>
          <cell r="AE130" t="str">
            <v>2007E</v>
          </cell>
          <cell r="AG130" t="str">
            <v>2008E</v>
          </cell>
          <cell r="AI130" t="str">
            <v>2009E</v>
          </cell>
          <cell r="AK130" t="str">
            <v>2010E</v>
          </cell>
        </row>
        <row r="131">
          <cell r="B131" t="str">
            <v>Current diluted EPS</v>
          </cell>
          <cell r="S131">
            <v>1.0327430363401584</v>
          </cell>
          <cell r="U131">
            <v>1.5215431296055475</v>
          </cell>
          <cell r="W131">
            <v>1.9281575037147096</v>
          </cell>
          <cell r="Y131">
            <v>2.36950115525927</v>
          </cell>
          <cell r="AA131">
            <v>3.2027027027027026</v>
          </cell>
          <cell r="AC131">
            <v>3.6698689952539394</v>
          </cell>
          <cell r="AE131">
            <v>4.1013211403748855</v>
          </cell>
          <cell r="AG131">
            <v>4.6347096976234399</v>
          </cell>
          <cell r="AI131">
            <v>5.0526778224740756</v>
          </cell>
          <cell r="AK131">
            <v>5.4875839896915242</v>
          </cell>
        </row>
        <row r="132">
          <cell r="B132" t="str">
            <v>Option expense</v>
          </cell>
          <cell r="S132">
            <v>189.1</v>
          </cell>
          <cell r="U132">
            <v>189.8</v>
          </cell>
          <cell r="W132">
            <v>198</v>
          </cell>
          <cell r="Y132">
            <v>200</v>
          </cell>
          <cell r="AA132">
            <v>200</v>
          </cell>
          <cell r="AC132">
            <v>200</v>
          </cell>
          <cell r="AE132">
            <v>200</v>
          </cell>
          <cell r="AG132">
            <v>200</v>
          </cell>
          <cell r="AI132">
            <v>200</v>
          </cell>
          <cell r="AK132">
            <v>200</v>
          </cell>
        </row>
        <row r="133">
          <cell r="B133" t="str">
            <v>Diluted EPS, pro forma</v>
          </cell>
          <cell r="S133">
            <v>0.85832872163807394</v>
          </cell>
          <cell r="U133">
            <v>1.3570004334633714</v>
          </cell>
          <cell r="W133">
            <v>1.7810549777117379</v>
          </cell>
          <cell r="Y133">
            <v>2.2179917427370168</v>
          </cell>
          <cell r="AA133">
            <v>3.0437201907790143</v>
          </cell>
          <cell r="AC133">
            <v>3.4994205698784278</v>
          </cell>
          <cell r="AE133">
            <v>3.925871506555795</v>
          </cell>
          <cell r="AG133">
            <v>4.4551228416743482</v>
          </cell>
          <cell r="AI133">
            <v>4.8686199131947765</v>
          </cell>
          <cell r="AK133">
            <v>5.2994839640854385</v>
          </cell>
        </row>
        <row r="134">
          <cell r="B134" t="str">
            <v>difference</v>
          </cell>
          <cell r="S134">
            <v>-0.16888452263999287</v>
          </cell>
          <cell r="U134">
            <v>-0.10814198621161197</v>
          </cell>
          <cell r="W134">
            <v>-7.6291758178245295E-2</v>
          </cell>
          <cell r="Y134">
            <v>-6.3941480756811497E-2</v>
          </cell>
          <cell r="AA134">
            <v>-4.9640109208240246E-2</v>
          </cell>
          <cell r="AC134">
            <v>-4.6445370555718513E-2</v>
          </cell>
          <cell r="AE134">
            <v>-4.2778809026169928E-2</v>
          </cell>
          <cell r="AG134">
            <v>-3.8748242644232711E-2</v>
          </cell>
          <cell r="AI134">
            <v>-3.6427794477735809E-2</v>
          </cell>
          <cell r="AK134">
            <v>-3.4277384357019991E-2</v>
          </cell>
        </row>
        <row r="136">
          <cell r="B136" t="str">
            <v>diluted shares</v>
          </cell>
          <cell r="S136">
            <v>1084.2</v>
          </cell>
          <cell r="U136">
            <v>1153.5</v>
          </cell>
          <cell r="W136">
            <v>1346</v>
          </cell>
          <cell r="Y136">
            <v>1320.05</v>
          </cell>
          <cell r="AA136">
            <v>1258</v>
          </cell>
          <cell r="AC136">
            <v>1173.37546275</v>
          </cell>
          <cell r="AE136">
            <v>1139.9282839554037</v>
          </cell>
          <cell r="AG136">
            <v>1113.6672499945955</v>
          </cell>
          <cell r="AI136">
            <v>1086.6145376915538</v>
          </cell>
          <cell r="AK136">
            <v>1063.2640764166335</v>
          </cell>
        </row>
      </sheetData>
      <sheetData sheetId="8" refreshError="1"/>
      <sheetData sheetId="9" refreshError="1">
        <row r="1">
          <cell r="B1" t="str">
            <v>Amgen Cash Flow Statements</v>
          </cell>
          <cell r="AN1" t="str">
            <v>ElementName</v>
          </cell>
          <cell r="AO1" t="str">
            <v>ScaleOverride</v>
          </cell>
          <cell r="AP1" t="str">
            <v>UnitOverride</v>
          </cell>
          <cell r="AQ1" t="str">
            <v>ReverseSign</v>
          </cell>
          <cell r="AR1" t="str">
            <v>IsDrivingAssumption</v>
          </cell>
          <cell r="AS1" t="str">
            <v>SegmentID</v>
          </cell>
        </row>
        <row r="2">
          <cell r="B2" t="str">
            <v>(Dollars in thousands)</v>
          </cell>
        </row>
        <row r="4">
          <cell r="C4" t="str">
            <v>1993A</v>
          </cell>
          <cell r="E4" t="str">
            <v>1994A</v>
          </cell>
          <cell r="G4" t="str">
            <v>1995A</v>
          </cell>
          <cell r="I4" t="str">
            <v>1996A</v>
          </cell>
          <cell r="K4" t="str">
            <v>1997A</v>
          </cell>
          <cell r="M4" t="str">
            <v>1998A</v>
          </cell>
          <cell r="O4" t="str">
            <v>1999A</v>
          </cell>
          <cell r="Q4" t="str">
            <v>2000A</v>
          </cell>
          <cell r="S4" t="str">
            <v>2001A</v>
          </cell>
          <cell r="U4" t="str">
            <v>2002A</v>
          </cell>
          <cell r="W4" t="str">
            <v>2003A</v>
          </cell>
          <cell r="Y4" t="str">
            <v>2004A</v>
          </cell>
          <cell r="AA4" t="str">
            <v>2005A</v>
          </cell>
          <cell r="AC4" t="str">
            <v>2006E</v>
          </cell>
          <cell r="AE4" t="str">
            <v>2007E</v>
          </cell>
          <cell r="AG4" t="str">
            <v>2008E</v>
          </cell>
          <cell r="AI4" t="str">
            <v>2009E</v>
          </cell>
          <cell r="AK4" t="str">
            <v>2010E</v>
          </cell>
        </row>
        <row r="5">
          <cell r="B5" t="str">
            <v>CASH FLOWS FROM OPERATING ACTIVITIES</v>
          </cell>
        </row>
        <row r="6">
          <cell r="B6" t="str">
            <v>Net Income (Loss)</v>
          </cell>
          <cell r="C6">
            <v>383.3</v>
          </cell>
          <cell r="E6">
            <v>319.7</v>
          </cell>
          <cell r="G6">
            <v>537.70000000000005</v>
          </cell>
          <cell r="I6">
            <v>679.8</v>
          </cell>
          <cell r="K6">
            <v>644.29999999999995</v>
          </cell>
          <cell r="M6">
            <v>863.2</v>
          </cell>
          <cell r="O6">
            <v>1096.4000000000001</v>
          </cell>
          <cell r="Q6">
            <v>1138.5</v>
          </cell>
          <cell r="S6">
            <v>1119.7</v>
          </cell>
          <cell r="U6">
            <v>-1391.9</v>
          </cell>
          <cell r="W6">
            <v>2259.4999999999991</v>
          </cell>
          <cell r="Y6">
            <v>2363</v>
          </cell>
          <cell r="AA6">
            <v>3674</v>
          </cell>
          <cell r="AC6">
            <v>3329.4653900000003</v>
          </cell>
          <cell r="AE6">
            <v>4180.6358985744819</v>
          </cell>
          <cell r="AG6">
            <v>4644.6218930347759</v>
          </cell>
          <cell r="AI6">
            <v>4935.4458679720119</v>
          </cell>
          <cell r="AK6">
            <v>5243.1867741883407</v>
          </cell>
          <cell r="AN6" t="str">
            <v>mstag:netIncomeReported</v>
          </cell>
          <cell r="AO6">
            <v>6</v>
          </cell>
          <cell r="AP6" t="str">
            <v>ISO4217:USD</v>
          </cell>
          <cell r="AQ6" t="b">
            <v>0</v>
          </cell>
          <cell r="AR6" t="b">
            <v>0</v>
          </cell>
        </row>
        <row r="7">
          <cell r="B7" t="str">
            <v>Write-Off Of In-Process Research and Development</v>
          </cell>
          <cell r="C7">
            <v>0</v>
          </cell>
          <cell r="E7">
            <v>116.4</v>
          </cell>
          <cell r="G7">
            <v>0</v>
          </cell>
          <cell r="I7">
            <v>0</v>
          </cell>
          <cell r="K7">
            <v>0</v>
          </cell>
          <cell r="M7">
            <v>0</v>
          </cell>
          <cell r="O7">
            <v>0</v>
          </cell>
          <cell r="Q7">
            <v>30.1</v>
          </cell>
          <cell r="S7">
            <v>0</v>
          </cell>
          <cell r="U7">
            <v>2991.8</v>
          </cell>
          <cell r="W7">
            <v>0</v>
          </cell>
          <cell r="Y7">
            <v>554</v>
          </cell>
          <cell r="AA7">
            <v>0</v>
          </cell>
          <cell r="AC7">
            <v>0</v>
          </cell>
          <cell r="AE7">
            <v>0</v>
          </cell>
          <cell r="AG7">
            <v>0</v>
          </cell>
          <cell r="AI7">
            <v>0</v>
          </cell>
          <cell r="AK7">
            <v>0</v>
          </cell>
          <cell r="AN7" t="str">
            <v>mstag:acquiredInProcessRAndD</v>
          </cell>
          <cell r="AO7">
            <v>6</v>
          </cell>
          <cell r="AP7" t="str">
            <v>ISO4217:USD</v>
          </cell>
          <cell r="AQ7" t="b">
            <v>0</v>
          </cell>
          <cell r="AR7" t="b">
            <v>0</v>
          </cell>
        </row>
        <row r="8">
          <cell r="B8" t="str">
            <v>Depreciation &amp; Amort.</v>
          </cell>
          <cell r="C8">
            <v>50.7</v>
          </cell>
          <cell r="E8">
            <v>74.5</v>
          </cell>
          <cell r="G8">
            <v>84.2</v>
          </cell>
          <cell r="I8">
            <v>100.3</v>
          </cell>
          <cell r="K8">
            <v>117.1</v>
          </cell>
          <cell r="M8">
            <v>143.80000000000001</v>
          </cell>
          <cell r="O8">
            <v>176.8</v>
          </cell>
          <cell r="Q8">
            <v>211.8</v>
          </cell>
          <cell r="S8">
            <v>265.89999999999998</v>
          </cell>
          <cell r="U8">
            <v>447.3</v>
          </cell>
          <cell r="W8">
            <v>686.5</v>
          </cell>
          <cell r="Y8">
            <v>734</v>
          </cell>
          <cell r="AA8">
            <v>841</v>
          </cell>
          <cell r="AC8">
            <v>772.04066666666665</v>
          </cell>
          <cell r="AE8">
            <v>1130.7377096774276</v>
          </cell>
          <cell r="AG8">
            <v>1349.0218220591833</v>
          </cell>
          <cell r="AI8">
            <v>1564.0573284190054</v>
          </cell>
          <cell r="AK8">
            <v>1824.087369245593</v>
          </cell>
        </row>
        <row r="9">
          <cell r="B9" t="str">
            <v xml:space="preserve">     Depreciation</v>
          </cell>
          <cell r="C9">
            <v>50.7</v>
          </cell>
          <cell r="E9">
            <v>74.5</v>
          </cell>
          <cell r="G9">
            <v>84.2</v>
          </cell>
          <cell r="I9">
            <v>100.3</v>
          </cell>
          <cell r="K9">
            <v>117.1</v>
          </cell>
          <cell r="M9">
            <v>143.80000000000001</v>
          </cell>
          <cell r="O9">
            <v>176.8</v>
          </cell>
          <cell r="Q9">
            <v>211.8</v>
          </cell>
          <cell r="S9">
            <v>265.89999999999998</v>
          </cell>
          <cell r="U9">
            <v>292.10000000000002</v>
          </cell>
          <cell r="W9">
            <v>350.7</v>
          </cell>
          <cell r="Y9">
            <v>374.86666666666667</v>
          </cell>
          <cell r="AA9">
            <v>598</v>
          </cell>
          <cell r="AC9">
            <v>710.93066666666664</v>
          </cell>
          <cell r="AE9">
            <v>912.12770967742756</v>
          </cell>
          <cell r="AG9">
            <v>1130.4118220591831</v>
          </cell>
          <cell r="AI9">
            <v>1345.4473284190053</v>
          </cell>
          <cell r="AK9">
            <v>1605.4773692455931</v>
          </cell>
          <cell r="AN9" t="str">
            <v>mstag:depreciation</v>
          </cell>
          <cell r="AO9">
            <v>6</v>
          </cell>
          <cell r="AP9" t="str">
            <v>ISO4217:USD</v>
          </cell>
          <cell r="AQ9" t="b">
            <v>0</v>
          </cell>
          <cell r="AR9" t="b">
            <v>0</v>
          </cell>
        </row>
        <row r="10">
          <cell r="B10" t="str">
            <v xml:space="preserve">     Amortization</v>
          </cell>
          <cell r="U10">
            <v>155.19999999999999</v>
          </cell>
          <cell r="W10">
            <v>335.8</v>
          </cell>
          <cell r="Y10">
            <v>359.13333333333333</v>
          </cell>
          <cell r="AA10">
            <v>243</v>
          </cell>
          <cell r="AC10">
            <v>61.11</v>
          </cell>
          <cell r="AE10">
            <v>218.61</v>
          </cell>
          <cell r="AG10">
            <v>218.61</v>
          </cell>
          <cell r="AI10">
            <v>218.61</v>
          </cell>
          <cell r="AK10">
            <v>218.61</v>
          </cell>
          <cell r="AN10" t="str">
            <v>mstag:amortizationOfOtherIntangibles</v>
          </cell>
          <cell r="AO10">
            <v>6</v>
          </cell>
          <cell r="AP10" t="str">
            <v>ISO4217:USD</v>
          </cell>
          <cell r="AQ10" t="b">
            <v>0</v>
          </cell>
          <cell r="AR10" t="b">
            <v>0</v>
          </cell>
        </row>
        <row r="11">
          <cell r="B11" t="str">
            <v>Tax Benefits Related to Employee Stock Options</v>
          </cell>
          <cell r="C11">
            <v>0</v>
          </cell>
          <cell r="E11">
            <v>0</v>
          </cell>
          <cell r="G11">
            <v>0</v>
          </cell>
          <cell r="I11">
            <v>48.6</v>
          </cell>
          <cell r="K11">
            <v>54.7</v>
          </cell>
          <cell r="M11">
            <v>108.2</v>
          </cell>
          <cell r="O11">
            <v>151.80000000000001</v>
          </cell>
          <cell r="Q11">
            <v>376.6</v>
          </cell>
          <cell r="S11">
            <v>244.5</v>
          </cell>
          <cell r="U11">
            <v>251.6</v>
          </cell>
          <cell r="W11">
            <v>268.60000000000002</v>
          </cell>
          <cell r="Y11">
            <v>203</v>
          </cell>
          <cell r="AA11">
            <v>315</v>
          </cell>
          <cell r="AC11">
            <v>0</v>
          </cell>
          <cell r="AE11">
            <v>0</v>
          </cell>
          <cell r="AG11">
            <v>0</v>
          </cell>
          <cell r="AI11">
            <v>0</v>
          </cell>
          <cell r="AK11">
            <v>0</v>
          </cell>
          <cell r="AN11" t="str">
            <v>mstag:taxBenefitFromExerciseOfEsosCashFlowStatement</v>
          </cell>
          <cell r="AO11">
            <v>6</v>
          </cell>
          <cell r="AP11" t="str">
            <v>ISO4217:USD</v>
          </cell>
          <cell r="AQ11" t="b">
            <v>0</v>
          </cell>
          <cell r="AR11" t="b">
            <v>0</v>
          </cell>
        </row>
        <row r="12">
          <cell r="B12" t="str">
            <v>Options expense (add back)</v>
          </cell>
          <cell r="AA12">
            <v>0</v>
          </cell>
          <cell r="AC12">
            <v>294.91779250000002</v>
          </cell>
          <cell r="AE12">
            <v>271.96607092308085</v>
          </cell>
          <cell r="AG12">
            <v>294.29251044080411</v>
          </cell>
          <cell r="AI12">
            <v>332.25730820002224</v>
          </cell>
          <cell r="AK12">
            <v>368.95414836972293</v>
          </cell>
          <cell r="AN12" t="str">
            <v>mstag:otherCashFlow</v>
          </cell>
          <cell r="AO12">
            <v>6</v>
          </cell>
          <cell r="AP12" t="str">
            <v>ISO4217:USD</v>
          </cell>
          <cell r="AQ12" t="b">
            <v>0</v>
          </cell>
          <cell r="AR12" t="b">
            <v>0</v>
          </cell>
        </row>
        <row r="13">
          <cell r="B13" t="str">
            <v>Other</v>
          </cell>
          <cell r="C13">
            <v>7.9</v>
          </cell>
          <cell r="E13">
            <v>2.8</v>
          </cell>
          <cell r="G13">
            <v>0.1</v>
          </cell>
          <cell r="I13">
            <v>0</v>
          </cell>
          <cell r="K13">
            <v>0</v>
          </cell>
          <cell r="M13">
            <v>15.8</v>
          </cell>
          <cell r="O13">
            <v>0</v>
          </cell>
          <cell r="Q13">
            <v>-8.3000000000000007</v>
          </cell>
          <cell r="S13">
            <v>97.8</v>
          </cell>
          <cell r="U13">
            <v>24.9</v>
          </cell>
          <cell r="W13">
            <v>99</v>
          </cell>
          <cell r="Y13">
            <v>161</v>
          </cell>
          <cell r="AA13">
            <v>166</v>
          </cell>
          <cell r="AC13">
            <v>0</v>
          </cell>
          <cell r="AE13">
            <v>0</v>
          </cell>
          <cell r="AG13">
            <v>0</v>
          </cell>
          <cell r="AI13">
            <v>0</v>
          </cell>
          <cell r="AK13">
            <v>0</v>
          </cell>
          <cell r="AN13" t="str">
            <v>mstag:otherProvisionsRecurringCashFlowStatement</v>
          </cell>
          <cell r="AO13">
            <v>6</v>
          </cell>
          <cell r="AP13" t="str">
            <v>ISO4217:USD</v>
          </cell>
          <cell r="AQ13" t="b">
            <v>0</v>
          </cell>
          <cell r="AR13" t="b">
            <v>0</v>
          </cell>
        </row>
        <row r="14">
          <cell r="B14" t="str">
            <v>Deferred Income Taxes</v>
          </cell>
          <cell r="C14">
            <v>17.399999999999999</v>
          </cell>
          <cell r="E14">
            <v>2.4</v>
          </cell>
          <cell r="G14">
            <v>23.9</v>
          </cell>
          <cell r="I14">
            <v>25.6</v>
          </cell>
          <cell r="K14">
            <v>-31.4</v>
          </cell>
          <cell r="M14">
            <v>-5.6</v>
          </cell>
          <cell r="O14">
            <v>9.8000000000000007</v>
          </cell>
          <cell r="Q14">
            <v>6.6</v>
          </cell>
          <cell r="S14">
            <v>-148.30000000000001</v>
          </cell>
          <cell r="U14">
            <v>174.7</v>
          </cell>
          <cell r="W14">
            <v>-189.6</v>
          </cell>
          <cell r="Y14">
            <v>57</v>
          </cell>
          <cell r="AA14">
            <v>-95</v>
          </cell>
          <cell r="AC14">
            <v>-300</v>
          </cell>
          <cell r="AE14">
            <v>0</v>
          </cell>
          <cell r="AG14">
            <v>0</v>
          </cell>
          <cell r="AI14">
            <v>0</v>
          </cell>
          <cell r="AK14">
            <v>0</v>
          </cell>
          <cell r="AN14" t="str">
            <v>mstag:deferredTax</v>
          </cell>
          <cell r="AO14">
            <v>6</v>
          </cell>
          <cell r="AP14" t="str">
            <v>ISO4217:USD</v>
          </cell>
          <cell r="AQ14" t="b">
            <v>0</v>
          </cell>
          <cell r="AR14" t="b">
            <v>0</v>
          </cell>
        </row>
        <row r="15">
          <cell r="B15" t="str">
            <v>Loss Of Affiliates, Net</v>
          </cell>
          <cell r="C15">
            <v>12.6</v>
          </cell>
          <cell r="E15">
            <v>31.2</v>
          </cell>
          <cell r="G15">
            <v>53.3</v>
          </cell>
          <cell r="I15">
            <v>52.8</v>
          </cell>
          <cell r="K15">
            <v>36.1</v>
          </cell>
          <cell r="M15">
            <v>28.6</v>
          </cell>
          <cell r="O15">
            <v>16.8</v>
          </cell>
          <cell r="Q15">
            <v>0</v>
          </cell>
          <cell r="S15">
            <v>0</v>
          </cell>
          <cell r="U15">
            <v>0</v>
          </cell>
          <cell r="W15">
            <v>0</v>
          </cell>
          <cell r="Y15">
            <v>0</v>
          </cell>
          <cell r="AA15">
            <v>0</v>
          </cell>
          <cell r="AC15">
            <v>0</v>
          </cell>
          <cell r="AE15">
            <v>0</v>
          </cell>
          <cell r="AG15">
            <v>0</v>
          </cell>
          <cell r="AI15">
            <v>0</v>
          </cell>
          <cell r="AK15">
            <v>0</v>
          </cell>
          <cell r="AN15" t="str">
            <v>mstag:incomeLossFromInvestmentsAccountedForUnderTheEquityMethodNonOperating</v>
          </cell>
          <cell r="AO15">
            <v>6</v>
          </cell>
          <cell r="AP15" t="str">
            <v>ISO4217:USD</v>
          </cell>
          <cell r="AQ15" t="b">
            <v>1</v>
          </cell>
          <cell r="AR15" t="b">
            <v>0</v>
          </cell>
        </row>
        <row r="16">
          <cell r="B16" t="str">
            <v>Changes in operating assets and liabilities</v>
          </cell>
        </row>
        <row r="17">
          <cell r="B17" t="str">
            <v xml:space="preserve">     net of the acquisition:</v>
          </cell>
        </row>
        <row r="18">
          <cell r="B18" t="str">
            <v>Trade Receivables</v>
          </cell>
          <cell r="C18">
            <v>-8.3000000000000007</v>
          </cell>
          <cell r="E18">
            <v>-30.4</v>
          </cell>
          <cell r="G18">
            <v>-4.5999999999999996</v>
          </cell>
          <cell r="I18">
            <v>-26.1</v>
          </cell>
          <cell r="K18">
            <v>-43.6</v>
          </cell>
          <cell r="M18">
            <v>-50.9</v>
          </cell>
          <cell r="O18">
            <v>-92.3</v>
          </cell>
          <cell r="Q18">
            <v>23</v>
          </cell>
          <cell r="S18">
            <v>-123</v>
          </cell>
          <cell r="U18">
            <v>-121.9</v>
          </cell>
          <cell r="W18">
            <v>-255.5</v>
          </cell>
          <cell r="Y18">
            <v>-453</v>
          </cell>
          <cell r="AA18">
            <v>-308</v>
          </cell>
          <cell r="AC18">
            <v>-199.42857142857133</v>
          </cell>
          <cell r="AE18">
            <v>-187.25403225815285</v>
          </cell>
          <cell r="AG18">
            <v>-216.97079176713987</v>
          </cell>
          <cell r="AI18">
            <v>-224.39378280485698</v>
          </cell>
          <cell r="AK18">
            <v>-229.36630898679823</v>
          </cell>
          <cell r="AN18" t="str">
            <v>mstag:netDecreaseInTradeReceivables</v>
          </cell>
          <cell r="AO18">
            <v>6</v>
          </cell>
          <cell r="AP18" t="str">
            <v>ISO4217:USD</v>
          </cell>
          <cell r="AQ18" t="b">
            <v>0</v>
          </cell>
          <cell r="AR18" t="b">
            <v>0</v>
          </cell>
        </row>
        <row r="19">
          <cell r="B19" t="str">
            <v>Inventories</v>
          </cell>
          <cell r="C19">
            <v>-17.899999999999999</v>
          </cell>
          <cell r="E19">
            <v>-23.3</v>
          </cell>
          <cell r="G19">
            <v>9.1999999999999993</v>
          </cell>
          <cell r="I19">
            <v>-8.6</v>
          </cell>
          <cell r="K19">
            <v>-11.8</v>
          </cell>
          <cell r="M19">
            <v>-1.6</v>
          </cell>
          <cell r="O19">
            <v>-73.5</v>
          </cell>
          <cell r="Q19">
            <v>-120.9</v>
          </cell>
          <cell r="S19">
            <v>-85.5</v>
          </cell>
          <cell r="U19">
            <v>-101.7</v>
          </cell>
          <cell r="W19">
            <v>-167.7</v>
          </cell>
          <cell r="Y19">
            <v>-175</v>
          </cell>
          <cell r="AA19">
            <v>-370</v>
          </cell>
          <cell r="AC19">
            <v>-164.03281249999986</v>
          </cell>
          <cell r="AE19">
            <v>-122.53132047396207</v>
          </cell>
          <cell r="AG19">
            <v>-120.23225385671549</v>
          </cell>
          <cell r="AI19">
            <v>-161.33735724691883</v>
          </cell>
          <cell r="AK19">
            <v>-192.56871748293383</v>
          </cell>
          <cell r="AN19" t="str">
            <v>mstag:netDecreaseInInventories</v>
          </cell>
          <cell r="AO19">
            <v>6</v>
          </cell>
          <cell r="AP19" t="str">
            <v>ISO4217:USD</v>
          </cell>
          <cell r="AQ19" t="b">
            <v>0</v>
          </cell>
          <cell r="AR19" t="b">
            <v>0</v>
          </cell>
        </row>
        <row r="20">
          <cell r="B20" t="str">
            <v>Other Current Assets</v>
          </cell>
          <cell r="C20">
            <v>-4.8</v>
          </cell>
          <cell r="E20">
            <v>1.8</v>
          </cell>
          <cell r="G20">
            <v>-8</v>
          </cell>
          <cell r="I20">
            <v>-11.8</v>
          </cell>
          <cell r="K20">
            <v>5</v>
          </cell>
          <cell r="M20">
            <v>-21.2</v>
          </cell>
          <cell r="O20">
            <v>-9</v>
          </cell>
          <cell r="Q20">
            <v>-51.4</v>
          </cell>
          <cell r="S20">
            <v>-31.5</v>
          </cell>
          <cell r="U20">
            <v>-5.2</v>
          </cell>
          <cell r="W20">
            <v>-32.799999999999997</v>
          </cell>
          <cell r="Y20">
            <v>-85</v>
          </cell>
          <cell r="AA20">
            <v>-47</v>
          </cell>
          <cell r="AC20">
            <v>-11.530000000000086</v>
          </cell>
          <cell r="AE20">
            <v>-242.65225806456544</v>
          </cell>
          <cell r="AG20">
            <v>-266.23550051228403</v>
          </cell>
          <cell r="AI20">
            <v>-139.3485391218162</v>
          </cell>
          <cell r="AK20">
            <v>-142.4364778808017</v>
          </cell>
          <cell r="AN20" t="str">
            <v>mstag:netDecreaseInOtherAssets</v>
          </cell>
          <cell r="AO20">
            <v>6</v>
          </cell>
          <cell r="AP20" t="str">
            <v>ISO4217:USD</v>
          </cell>
          <cell r="AQ20" t="b">
            <v>0</v>
          </cell>
          <cell r="AR20" t="b">
            <v>0</v>
          </cell>
        </row>
        <row r="21">
          <cell r="B21" t="str">
            <v>Goodwill</v>
          </cell>
          <cell r="AA21">
            <v>0</v>
          </cell>
          <cell r="AC21">
            <v>-500</v>
          </cell>
          <cell r="AE21">
            <v>0</v>
          </cell>
          <cell r="AG21">
            <v>0</v>
          </cell>
          <cell r="AI21">
            <v>0</v>
          </cell>
          <cell r="AK21">
            <v>0</v>
          </cell>
          <cell r="AN21" t="str">
            <v>mstag:premiumGoodwillOnAcquisions</v>
          </cell>
          <cell r="AO21">
            <v>6</v>
          </cell>
          <cell r="AP21" t="str">
            <v>ISO4217:USD</v>
          </cell>
          <cell r="AQ21" t="b">
            <v>1</v>
          </cell>
          <cell r="AR21" t="b">
            <v>0</v>
          </cell>
        </row>
        <row r="22">
          <cell r="B22" t="str">
            <v>Accounts Payable</v>
          </cell>
          <cell r="C22">
            <v>-14.9</v>
          </cell>
          <cell r="E22">
            <v>4.5999999999999996</v>
          </cell>
          <cell r="G22">
            <v>23.9</v>
          </cell>
          <cell r="I22">
            <v>20.6</v>
          </cell>
          <cell r="K22">
            <v>28.9</v>
          </cell>
          <cell r="M22">
            <v>17.7</v>
          </cell>
          <cell r="O22">
            <v>-38.200000000000003</v>
          </cell>
          <cell r="Q22">
            <v>59.8</v>
          </cell>
          <cell r="S22">
            <v>-6.5</v>
          </cell>
          <cell r="U22">
            <v>11</v>
          </cell>
          <cell r="W22">
            <v>74</v>
          </cell>
          <cell r="Y22">
            <v>179</v>
          </cell>
          <cell r="AA22">
            <v>72</v>
          </cell>
          <cell r="AC22">
            <v>68.909239999999954</v>
          </cell>
          <cell r="AE22">
            <v>60.333615794882348</v>
          </cell>
          <cell r="AG22">
            <v>92.236339874018086</v>
          </cell>
          <cell r="AI22">
            <v>105.45777155338374</v>
          </cell>
          <cell r="AK22">
            <v>101.93566713805728</v>
          </cell>
          <cell r="AN22" t="str">
            <v>mstag:netIncreaseInTradeAndOtherPayables</v>
          </cell>
          <cell r="AO22">
            <v>6</v>
          </cell>
          <cell r="AP22" t="str">
            <v>ISO4217:USD</v>
          </cell>
          <cell r="AQ22" t="b">
            <v>0</v>
          </cell>
          <cell r="AR22" t="b">
            <v>0</v>
          </cell>
        </row>
        <row r="23">
          <cell r="B23" t="str">
            <v>Accrued Liabilities</v>
          </cell>
          <cell r="C23">
            <v>7</v>
          </cell>
          <cell r="E23">
            <v>32.200000000000003</v>
          </cell>
          <cell r="G23">
            <v>53.5</v>
          </cell>
          <cell r="I23">
            <v>-10</v>
          </cell>
          <cell r="K23">
            <v>158.30000000000001</v>
          </cell>
          <cell r="M23">
            <v>51.7</v>
          </cell>
          <cell r="O23">
            <v>-11.5</v>
          </cell>
          <cell r="Q23">
            <v>-31.2</v>
          </cell>
          <cell r="S23">
            <v>147.1</v>
          </cell>
          <cell r="U23">
            <v>-31.8</v>
          </cell>
          <cell r="W23">
            <v>824.6</v>
          </cell>
          <cell r="Y23">
            <v>159</v>
          </cell>
          <cell r="AA23">
            <v>663</v>
          </cell>
          <cell r="AC23">
            <v>-90.022075000000314</v>
          </cell>
          <cell r="AE23">
            <v>263.9595691026102</v>
          </cell>
          <cell r="AG23">
            <v>162.37762422650394</v>
          </cell>
          <cell r="AI23">
            <v>430.26770793780543</v>
          </cell>
          <cell r="AK23">
            <v>415.89752192327433</v>
          </cell>
          <cell r="AN23" t="str">
            <v>mstag:netIncreaseInAccruedExpenses</v>
          </cell>
          <cell r="AO23">
            <v>6</v>
          </cell>
          <cell r="AP23" t="str">
            <v>ISO4217:USD</v>
          </cell>
          <cell r="AQ23" t="b">
            <v>0</v>
          </cell>
          <cell r="AR23" t="b">
            <v>0</v>
          </cell>
        </row>
        <row r="24">
          <cell r="B24" t="str">
            <v>Net cash provided by (used in) operating activities</v>
          </cell>
          <cell r="C24">
            <v>433</v>
          </cell>
          <cell r="E24">
            <v>531.9</v>
          </cell>
          <cell r="G24">
            <v>773.2</v>
          </cell>
          <cell r="I24">
            <v>871.19999999999993</v>
          </cell>
          <cell r="K24">
            <v>957.6</v>
          </cell>
          <cell r="M24">
            <v>1149.7</v>
          </cell>
          <cell r="O24">
            <v>1227.1000000000001</v>
          </cell>
          <cell r="Q24">
            <v>1634.6</v>
          </cell>
          <cell r="S24">
            <v>1480.1999999999998</v>
          </cell>
          <cell r="U24">
            <v>2248.8000000000002</v>
          </cell>
          <cell r="W24">
            <v>3566.5999999999995</v>
          </cell>
          <cell r="Y24">
            <v>3697</v>
          </cell>
          <cell r="AA24">
            <v>4911</v>
          </cell>
          <cell r="AC24">
            <v>3200.3196302380957</v>
          </cell>
          <cell r="AE24">
            <v>5355.1952532758032</v>
          </cell>
          <cell r="AG24">
            <v>5939.1116434991454</v>
          </cell>
          <cell r="AI24">
            <v>6842.4063049086362</v>
          </cell>
          <cell r="AK24">
            <v>7389.6899765144535</v>
          </cell>
        </row>
        <row r="26">
          <cell r="B26" t="str">
            <v>CASH FLOWS FROM INVESTING ACTIVITIES</v>
          </cell>
        </row>
        <row r="27">
          <cell r="B27" t="str">
            <v>Purchases of PP&amp;E</v>
          </cell>
          <cell r="C27">
            <v>-209.9</v>
          </cell>
          <cell r="E27">
            <v>-130.80000000000001</v>
          </cell>
          <cell r="G27">
            <v>-162.69999999999999</v>
          </cell>
          <cell r="I27">
            <v>-266.89999999999998</v>
          </cell>
          <cell r="K27">
            <v>-387.8</v>
          </cell>
          <cell r="M27">
            <v>-407.8</v>
          </cell>
          <cell r="O27">
            <v>-304.2</v>
          </cell>
          <cell r="Q27">
            <v>-437.7</v>
          </cell>
          <cell r="S27">
            <v>-441.8</v>
          </cell>
          <cell r="U27">
            <v>-658.5</v>
          </cell>
          <cell r="W27">
            <v>-1356.8</v>
          </cell>
          <cell r="Y27">
            <v>-1336</v>
          </cell>
          <cell r="AA27">
            <v>-867</v>
          </cell>
          <cell r="AC27">
            <v>-1653.48</v>
          </cell>
          <cell r="AE27">
            <v>-1508.977822580707</v>
          </cell>
          <cell r="AG27">
            <v>-1637.1308428631664</v>
          </cell>
          <cell r="AI27">
            <v>-1612.7662976986658</v>
          </cell>
          <cell r="AK27">
            <v>-1950.2253061994086</v>
          </cell>
          <cell r="AN27" t="str">
            <v>mstag:capitalExpenditures</v>
          </cell>
          <cell r="AO27">
            <v>6</v>
          </cell>
          <cell r="AP27" t="str">
            <v>ISO4217:USD</v>
          </cell>
          <cell r="AQ27" t="b">
            <v>1</v>
          </cell>
          <cell r="AR27" t="b">
            <v>0</v>
          </cell>
        </row>
        <row r="28">
          <cell r="B28" t="str">
            <v>Proceeds From Maturities Of Mktable Sec.</v>
          </cell>
          <cell r="C28">
            <v>0</v>
          </cell>
          <cell r="E28">
            <v>1593.5</v>
          </cell>
          <cell r="G28">
            <v>1148.3999999999999</v>
          </cell>
          <cell r="I28">
            <v>930.7</v>
          </cell>
          <cell r="K28">
            <v>891.40000000000009</v>
          </cell>
          <cell r="M28">
            <v>486.3</v>
          </cell>
          <cell r="O28">
            <v>40</v>
          </cell>
          <cell r="Q28">
            <v>0</v>
          </cell>
          <cell r="S28">
            <v>490.3</v>
          </cell>
          <cell r="U28">
            <v>778.2</v>
          </cell>
          <cell r="W28">
            <v>370.8</v>
          </cell>
          <cell r="Y28">
            <v>8354</v>
          </cell>
          <cell r="AA28">
            <v>603</v>
          </cell>
          <cell r="AC28">
            <v>310.4545454545455</v>
          </cell>
          <cell r="AE28">
            <v>147.83549783549785</v>
          </cell>
          <cell r="AG28">
            <v>14.70999978462665</v>
          </cell>
          <cell r="AI28">
            <v>14.63681570609617</v>
          </cell>
          <cell r="AK28">
            <v>14.563995727458876</v>
          </cell>
          <cell r="AN28" t="str">
            <v>mstag:otherCashFlow</v>
          </cell>
          <cell r="AO28">
            <v>6</v>
          </cell>
          <cell r="AP28" t="str">
            <v>ISO4217:USD</v>
          </cell>
          <cell r="AQ28" t="b">
            <v>0</v>
          </cell>
          <cell r="AR28" t="b">
            <v>0</v>
          </cell>
        </row>
        <row r="29">
          <cell r="B29" t="str">
            <v>Proceeds From Sales Of Mktable Sec.</v>
          </cell>
          <cell r="O29">
            <v>843.5</v>
          </cell>
          <cell r="Q29">
            <v>1067.8</v>
          </cell>
          <cell r="S29">
            <v>301.7</v>
          </cell>
          <cell r="U29">
            <v>1621.5</v>
          </cell>
          <cell r="W29">
            <v>3338.6</v>
          </cell>
          <cell r="Y29">
            <v>13079</v>
          </cell>
          <cell r="AA29">
            <v>9835</v>
          </cell>
          <cell r="AC29">
            <v>0</v>
          </cell>
          <cell r="AE29">
            <v>0</v>
          </cell>
          <cell r="AG29">
            <v>0</v>
          </cell>
          <cell r="AI29">
            <v>0</v>
          </cell>
          <cell r="AK29">
            <v>0</v>
          </cell>
          <cell r="AN29" t="str">
            <v>mstag:otherCashFlow</v>
          </cell>
          <cell r="AO29">
            <v>6</v>
          </cell>
          <cell r="AP29" t="str">
            <v>ISO4217:USD</v>
          </cell>
          <cell r="AQ29" t="b">
            <v>0</v>
          </cell>
          <cell r="AR29" t="b">
            <v>0</v>
          </cell>
        </row>
        <row r="30">
          <cell r="B30" t="str">
            <v>Purchases Of Marketable Securities</v>
          </cell>
          <cell r="C30">
            <v>-131.30000000000001</v>
          </cell>
          <cell r="E30">
            <v>-1395.1</v>
          </cell>
          <cell r="G30">
            <v>-1646.6</v>
          </cell>
          <cell r="I30">
            <v>-854.8</v>
          </cell>
          <cell r="K30">
            <v>-767.5</v>
          </cell>
          <cell r="M30">
            <v>-766.3</v>
          </cell>
          <cell r="O30">
            <v>-1032.7</v>
          </cell>
          <cell r="Q30">
            <v>-1638.7</v>
          </cell>
          <cell r="S30">
            <v>-918.2</v>
          </cell>
          <cell r="U30">
            <v>-2952.8</v>
          </cell>
          <cell r="W30">
            <v>-5320.3</v>
          </cell>
          <cell r="Y30">
            <v>-21488</v>
          </cell>
          <cell r="AA30">
            <v>-9597</v>
          </cell>
          <cell r="AC30">
            <v>0</v>
          </cell>
          <cell r="AE30">
            <v>0</v>
          </cell>
          <cell r="AG30">
            <v>0</v>
          </cell>
          <cell r="AI30">
            <v>0</v>
          </cell>
          <cell r="AK30">
            <v>0</v>
          </cell>
          <cell r="AN30" t="str">
            <v>mstag:otherCashFlow</v>
          </cell>
          <cell r="AO30">
            <v>6</v>
          </cell>
          <cell r="AP30" t="str">
            <v>ISO4217:USD</v>
          </cell>
          <cell r="AQ30" t="b">
            <v>0</v>
          </cell>
          <cell r="AR30" t="b">
            <v>0</v>
          </cell>
        </row>
        <row r="31">
          <cell r="B31" t="str">
            <v>Acquisitions, Net Of Cash</v>
          </cell>
          <cell r="C31">
            <v>0</v>
          </cell>
          <cell r="E31">
            <v>-240.8</v>
          </cell>
          <cell r="G31">
            <v>0</v>
          </cell>
          <cell r="I31">
            <v>0</v>
          </cell>
          <cell r="K31">
            <v>0</v>
          </cell>
          <cell r="M31">
            <v>0</v>
          </cell>
          <cell r="O31">
            <v>0</v>
          </cell>
          <cell r="Q31">
            <v>0</v>
          </cell>
          <cell r="S31">
            <v>0</v>
          </cell>
          <cell r="U31">
            <v>-1899</v>
          </cell>
          <cell r="W31">
            <v>0</v>
          </cell>
          <cell r="Y31">
            <v>115</v>
          </cell>
          <cell r="AA31">
            <v>0</v>
          </cell>
          <cell r="AC31">
            <v>0</v>
          </cell>
          <cell r="AE31">
            <v>0</v>
          </cell>
          <cell r="AG31">
            <v>0</v>
          </cell>
          <cell r="AI31">
            <v>0</v>
          </cell>
          <cell r="AK31">
            <v>0</v>
          </cell>
          <cell r="AN31" t="str">
            <v>mstag:otherCashFlow</v>
          </cell>
          <cell r="AO31">
            <v>6</v>
          </cell>
          <cell r="AP31" t="str">
            <v>ISO4217:USD</v>
          </cell>
          <cell r="AQ31" t="b">
            <v>0</v>
          </cell>
          <cell r="AR31" t="b">
            <v>0</v>
          </cell>
        </row>
        <row r="32">
          <cell r="B32" t="str">
            <v>Proceeds from Sale of Leukine Business</v>
          </cell>
          <cell r="U32">
            <v>389.9</v>
          </cell>
          <cell r="W32">
            <v>0</v>
          </cell>
          <cell r="Y32">
            <v>0</v>
          </cell>
          <cell r="AA32">
            <v>0</v>
          </cell>
          <cell r="AC32">
            <v>0</v>
          </cell>
          <cell r="AE32">
            <v>0</v>
          </cell>
          <cell r="AG32">
            <v>0</v>
          </cell>
          <cell r="AI32">
            <v>0</v>
          </cell>
          <cell r="AK32">
            <v>0</v>
          </cell>
          <cell r="AN32" t="str">
            <v>mstag:gainsLossesFromSaleOfOperatingAssetsOneTime</v>
          </cell>
          <cell r="AO32">
            <v>6</v>
          </cell>
          <cell r="AP32" t="str">
            <v>ISO4217:USD</v>
          </cell>
          <cell r="AQ32" t="b">
            <v>1</v>
          </cell>
          <cell r="AR32" t="b">
            <v>0</v>
          </cell>
        </row>
        <row r="33">
          <cell r="B33" t="str">
            <v>Purchase of Certain Rights from Roche</v>
          </cell>
          <cell r="U33">
            <v>-137.5</v>
          </cell>
          <cell r="W33">
            <v>0</v>
          </cell>
          <cell r="Y33">
            <v>0</v>
          </cell>
          <cell r="AA33">
            <v>0</v>
          </cell>
          <cell r="AC33">
            <v>0</v>
          </cell>
          <cell r="AE33">
            <v>0</v>
          </cell>
          <cell r="AG33">
            <v>0</v>
          </cell>
          <cell r="AI33">
            <v>0</v>
          </cell>
          <cell r="AK33">
            <v>0</v>
          </cell>
          <cell r="AN33" t="str">
            <v>mstag:otherCashFlow</v>
          </cell>
          <cell r="AO33">
            <v>6</v>
          </cell>
          <cell r="AP33" t="str">
            <v>ISO4217:USD</v>
          </cell>
          <cell r="AQ33" t="b">
            <v>0</v>
          </cell>
          <cell r="AR33" t="b">
            <v>0</v>
          </cell>
        </row>
        <row r="34">
          <cell r="B34" t="str">
            <v>Other</v>
          </cell>
          <cell r="C34">
            <v>-48.7</v>
          </cell>
          <cell r="E34">
            <v>-17.8</v>
          </cell>
          <cell r="G34">
            <v>-33.200000000000003</v>
          </cell>
          <cell r="I34">
            <v>-119.19999999999999</v>
          </cell>
          <cell r="K34">
            <v>-38.299999999999997</v>
          </cell>
          <cell r="M34">
            <v>14.100000000000001</v>
          </cell>
          <cell r="O34">
            <v>-10</v>
          </cell>
          <cell r="Q34">
            <v>-27.7</v>
          </cell>
          <cell r="S34">
            <v>28.4</v>
          </cell>
          <cell r="U34">
            <v>-5.6</v>
          </cell>
          <cell r="W34">
            <v>-242.5</v>
          </cell>
          <cell r="Y34">
            <v>-123</v>
          </cell>
          <cell r="AA34">
            <v>-33</v>
          </cell>
          <cell r="AC34">
            <v>0</v>
          </cell>
          <cell r="AE34">
            <v>0</v>
          </cell>
          <cell r="AG34">
            <v>0</v>
          </cell>
          <cell r="AI34">
            <v>0</v>
          </cell>
          <cell r="AK34">
            <v>0</v>
          </cell>
          <cell r="AN34" t="str">
            <v>mstag:otherCashFlow</v>
          </cell>
          <cell r="AO34">
            <v>6</v>
          </cell>
          <cell r="AP34" t="str">
            <v>ISO4217:USD</v>
          </cell>
          <cell r="AQ34" t="b">
            <v>0</v>
          </cell>
          <cell r="AR34" t="b">
            <v>0</v>
          </cell>
        </row>
        <row r="35">
          <cell r="B35" t="str">
            <v>Net cash used in investing activities</v>
          </cell>
          <cell r="C35">
            <v>-180</v>
          </cell>
          <cell r="E35">
            <v>-1653.6999999999998</v>
          </cell>
          <cell r="G35">
            <v>-694.10000000000014</v>
          </cell>
          <cell r="I35">
            <v>-310.19999999999987</v>
          </cell>
          <cell r="K35">
            <v>-302.19999999999993</v>
          </cell>
          <cell r="M35">
            <v>-673.69999999999993</v>
          </cell>
          <cell r="O35">
            <v>-463.40000000000009</v>
          </cell>
          <cell r="Q35">
            <v>-1036.3000000000002</v>
          </cell>
          <cell r="S35">
            <v>-539.6</v>
          </cell>
          <cell r="U35">
            <v>-2863.8</v>
          </cell>
          <cell r="W35">
            <v>-3210.2000000000003</v>
          </cell>
          <cell r="Y35">
            <v>-1399</v>
          </cell>
          <cell r="AA35">
            <v>-59</v>
          </cell>
          <cell r="AC35">
            <v>-1343.0254545454545</v>
          </cell>
          <cell r="AE35">
            <v>-1361.1423247452092</v>
          </cell>
          <cell r="AG35">
            <v>-1622.4208430785397</v>
          </cell>
          <cell r="AI35">
            <v>-1598.1294819925697</v>
          </cell>
          <cell r="AK35">
            <v>-1935.6613104719497</v>
          </cell>
        </row>
        <row r="37">
          <cell r="B37" t="str">
            <v>CASH FLOWS FROM FINANCING ACTIVITIES</v>
          </cell>
        </row>
        <row r="38">
          <cell r="B38" t="str">
            <v>Net Proceeds from Issuance Of Common Stock Upon</v>
          </cell>
        </row>
        <row r="39">
          <cell r="B39" t="str">
            <v xml:space="preserve">      Exercise of ESO in connection with ESOP</v>
          </cell>
          <cell r="C39">
            <v>62.199999999999996</v>
          </cell>
          <cell r="E39">
            <v>82.8</v>
          </cell>
          <cell r="G39">
            <v>145.39999999999998</v>
          </cell>
          <cell r="I39">
            <v>112.6</v>
          </cell>
          <cell r="K39">
            <v>134.30000000000001</v>
          </cell>
          <cell r="M39">
            <v>345.5</v>
          </cell>
          <cell r="O39">
            <v>248.8</v>
          </cell>
          <cell r="Q39">
            <v>333.7</v>
          </cell>
          <cell r="S39">
            <v>277.7</v>
          </cell>
          <cell r="U39">
            <v>427.8</v>
          </cell>
          <cell r="W39">
            <v>529</v>
          </cell>
          <cell r="Y39">
            <v>453</v>
          </cell>
          <cell r="AA39">
            <v>1087</v>
          </cell>
          <cell r="AC39">
            <v>285.59999999999997</v>
          </cell>
          <cell r="AE39">
            <v>408.84592000000009</v>
          </cell>
          <cell r="AG39">
            <v>520.84414921000007</v>
          </cell>
          <cell r="AI39">
            <v>578.62034899356695</v>
          </cell>
          <cell r="AK39">
            <v>555.01263875462951</v>
          </cell>
          <cell r="AN39" t="str">
            <v>mstag:proceedsFromIssuanceOfCommonStock</v>
          </cell>
          <cell r="AO39">
            <v>6</v>
          </cell>
          <cell r="AP39" t="str">
            <v>ISO4217:USD</v>
          </cell>
          <cell r="AQ39" t="b">
            <v>0</v>
          </cell>
          <cell r="AR39" t="b">
            <v>0</v>
          </cell>
        </row>
        <row r="40">
          <cell r="B40" t="str">
            <v xml:space="preserve">Issuance of Zero-Coupon Convertible Notes, net </v>
          </cell>
          <cell r="U40">
            <v>2764.7</v>
          </cell>
          <cell r="W40">
            <v>0</v>
          </cell>
          <cell r="Y40">
            <v>1989</v>
          </cell>
          <cell r="AA40">
            <v>0</v>
          </cell>
          <cell r="AC40">
            <v>19.78875</v>
          </cell>
          <cell r="AE40">
            <v>19.78875</v>
          </cell>
          <cell r="AG40">
            <v>19.78875</v>
          </cell>
          <cell r="AI40">
            <v>19.78875</v>
          </cell>
          <cell r="AK40">
            <v>19.78875</v>
          </cell>
          <cell r="AN40" t="str">
            <v>mstag:proceedsFromIssuanceAndCashUsedToRepayLongTermDebt</v>
          </cell>
          <cell r="AO40">
            <v>6</v>
          </cell>
          <cell r="AP40" t="str">
            <v>ISO4217:USD</v>
          </cell>
          <cell r="AQ40" t="b">
            <v>0</v>
          </cell>
          <cell r="AR40" t="b">
            <v>0</v>
          </cell>
        </row>
        <row r="41">
          <cell r="B41" t="str">
            <v>Stock Repurchases</v>
          </cell>
          <cell r="C41">
            <v>-207.4</v>
          </cell>
          <cell r="E41">
            <v>-300.5</v>
          </cell>
          <cell r="G41">
            <v>-285.7</v>
          </cell>
          <cell r="I41">
            <v>-450</v>
          </cell>
          <cell r="K41">
            <v>-737.9</v>
          </cell>
          <cell r="M41">
            <v>-912.1</v>
          </cell>
          <cell r="O41">
            <v>-1024.7</v>
          </cell>
          <cell r="Q41">
            <v>-799.9</v>
          </cell>
          <cell r="S41">
            <v>-737.5</v>
          </cell>
          <cell r="U41">
            <v>-1420.4</v>
          </cell>
          <cell r="W41">
            <v>-1801</v>
          </cell>
          <cell r="Y41">
            <v>-4072</v>
          </cell>
          <cell r="AA41">
            <v>-4430</v>
          </cell>
          <cell r="AC41">
            <v>-7577.5000000000009</v>
          </cell>
          <cell r="AE41">
            <v>-3281.0575000000008</v>
          </cell>
          <cell r="AG41">
            <v>-3551.7447437500005</v>
          </cell>
          <cell r="AI41">
            <v>-3844.7636851093757</v>
          </cell>
          <cell r="AK41">
            <v>-3641.7121029895366</v>
          </cell>
          <cell r="AN41" t="str">
            <v>mstag:fundsUsedToRepurchaseCommonStock</v>
          </cell>
          <cell r="AO41">
            <v>6</v>
          </cell>
          <cell r="AP41" t="str">
            <v>ISO4217:USD</v>
          </cell>
          <cell r="AQ41" t="b">
            <v>1</v>
          </cell>
          <cell r="AR41" t="b">
            <v>0</v>
          </cell>
        </row>
        <row r="42">
          <cell r="B42" t="str">
            <v>Tax Benefits Related to Employee Stock Options</v>
          </cell>
          <cell r="AC42">
            <v>170.55674999999999</v>
          </cell>
          <cell r="AE42">
            <v>241.49308286250007</v>
          </cell>
          <cell r="AG42">
            <v>304.2759299385545</v>
          </cell>
          <cell r="AI42">
            <v>334.30929864953174</v>
          </cell>
          <cell r="AK42">
            <v>317.12642488736873</v>
          </cell>
          <cell r="AN42" t="str">
            <v>mstag:taxBenefitFromExerciseOfEsosCashFlowStatement</v>
          </cell>
          <cell r="AO42">
            <v>6</v>
          </cell>
          <cell r="AP42" t="str">
            <v>ISO4217:USD</v>
          </cell>
          <cell r="AQ42" t="b">
            <v>0</v>
          </cell>
          <cell r="AR42" t="b">
            <v>0</v>
          </cell>
        </row>
        <row r="43">
          <cell r="B43" t="str">
            <v>Increase (Decrease) In Commercial Paper</v>
          </cell>
          <cell r="C43">
            <v>109.8</v>
          </cell>
          <cell r="E43">
            <v>-10.1</v>
          </cell>
          <cell r="G43">
            <v>-30</v>
          </cell>
          <cell r="I43">
            <v>-69.7</v>
          </cell>
          <cell r="K43">
            <v>0</v>
          </cell>
          <cell r="M43">
            <v>99.7</v>
          </cell>
          <cell r="O43">
            <v>-0.2</v>
          </cell>
          <cell r="Q43">
            <v>0</v>
          </cell>
          <cell r="S43">
            <v>0</v>
          </cell>
          <cell r="U43">
            <v>0</v>
          </cell>
          <cell r="W43">
            <v>0</v>
          </cell>
          <cell r="Y43">
            <v>0</v>
          </cell>
          <cell r="AA43">
            <v>0</v>
          </cell>
          <cell r="AC43">
            <v>0</v>
          </cell>
          <cell r="AE43">
            <v>0</v>
          </cell>
          <cell r="AG43">
            <v>0</v>
          </cell>
          <cell r="AI43">
            <v>0</v>
          </cell>
          <cell r="AK43">
            <v>0</v>
          </cell>
          <cell r="AN43" t="str">
            <v>mstag:proceedsFromIssuanceAndCashUsedToRepayLongTermDebt</v>
          </cell>
          <cell r="AO43">
            <v>6</v>
          </cell>
          <cell r="AP43" t="str">
            <v>ISO4217:USD</v>
          </cell>
          <cell r="AQ43" t="b">
            <v>0</v>
          </cell>
          <cell r="AR43" t="b">
            <v>0</v>
          </cell>
        </row>
        <row r="44">
          <cell r="B44" t="str">
            <v>Proceeds From Additions To Long-Term Debt</v>
          </cell>
          <cell r="C44">
            <v>53</v>
          </cell>
          <cell r="E44">
            <v>12.5</v>
          </cell>
          <cell r="G44">
            <v>0</v>
          </cell>
          <cell r="I44">
            <v>0</v>
          </cell>
          <cell r="K44">
            <v>200</v>
          </cell>
          <cell r="M44">
            <v>0</v>
          </cell>
          <cell r="O44">
            <v>0</v>
          </cell>
          <cell r="Q44">
            <v>0</v>
          </cell>
          <cell r="S44">
            <v>0</v>
          </cell>
          <cell r="U44">
            <v>0</v>
          </cell>
          <cell r="W44">
            <v>0</v>
          </cell>
          <cell r="Y44">
            <v>0</v>
          </cell>
          <cell r="AA44">
            <v>0</v>
          </cell>
          <cell r="AC44">
            <v>5000</v>
          </cell>
          <cell r="AE44">
            <v>0</v>
          </cell>
          <cell r="AG44">
            <v>0</v>
          </cell>
          <cell r="AI44">
            <v>0</v>
          </cell>
          <cell r="AK44">
            <v>0</v>
          </cell>
          <cell r="AN44" t="str">
            <v>mstag:proceedsFromIssuanceAndCashUsedToRepayLongTermDebt</v>
          </cell>
          <cell r="AO44">
            <v>6</v>
          </cell>
          <cell r="AP44" t="str">
            <v>ISO4217:USD</v>
          </cell>
          <cell r="AQ44" t="b">
            <v>0</v>
          </cell>
          <cell r="AR44" t="b">
            <v>0</v>
          </cell>
        </row>
        <row r="45">
          <cell r="B45" t="str">
            <v>Repayments Of Long-Term Debt</v>
          </cell>
          <cell r="C45">
            <v>-2</v>
          </cell>
          <cell r="E45">
            <v>-12</v>
          </cell>
          <cell r="G45">
            <v>-6.2</v>
          </cell>
          <cell r="I45">
            <v>0</v>
          </cell>
          <cell r="K45">
            <v>-118.2</v>
          </cell>
          <cell r="M45">
            <v>-30</v>
          </cell>
          <cell r="O45">
            <v>-6</v>
          </cell>
          <cell r="Q45">
            <v>0</v>
          </cell>
          <cell r="S45">
            <v>0</v>
          </cell>
          <cell r="U45">
            <v>0</v>
          </cell>
          <cell r="W45">
            <v>-123</v>
          </cell>
          <cell r="Y45">
            <v>0</v>
          </cell>
          <cell r="AA45">
            <v>-1175</v>
          </cell>
          <cell r="AC45">
            <v>0</v>
          </cell>
          <cell r="AE45">
            <v>-100</v>
          </cell>
          <cell r="AG45">
            <v>0</v>
          </cell>
          <cell r="AI45">
            <v>-998</v>
          </cell>
          <cell r="AK45">
            <v>0</v>
          </cell>
          <cell r="AN45" t="str">
            <v>mstag:proceedsFromIssuanceAndCashUsedToRepayLongTermDebt</v>
          </cell>
          <cell r="AO45">
            <v>6</v>
          </cell>
          <cell r="AP45" t="str">
            <v>ISO4217:USD</v>
          </cell>
          <cell r="AQ45" t="b">
            <v>0</v>
          </cell>
          <cell r="AR45" t="b">
            <v>0</v>
          </cell>
        </row>
        <row r="46">
          <cell r="B46" t="str">
            <v>Other</v>
          </cell>
          <cell r="C46">
            <v>-22.2</v>
          </cell>
          <cell r="E46">
            <v>-30.8</v>
          </cell>
          <cell r="G46">
            <v>-47.2</v>
          </cell>
          <cell r="I46">
            <v>-51.3</v>
          </cell>
          <cell r="K46">
            <v>-63.8</v>
          </cell>
          <cell r="M46">
            <v>-17.100000000000001</v>
          </cell>
          <cell r="O46">
            <v>-51.8</v>
          </cell>
          <cell r="Q46">
            <v>-36.5</v>
          </cell>
          <cell r="S46">
            <v>-18.2</v>
          </cell>
          <cell r="U46">
            <v>5.5</v>
          </cell>
          <cell r="W46">
            <v>23.5</v>
          </cell>
          <cell r="Y46">
            <v>21</v>
          </cell>
          <cell r="AA46">
            <v>-20</v>
          </cell>
          <cell r="AC46">
            <v>0</v>
          </cell>
          <cell r="AE46">
            <v>0</v>
          </cell>
          <cell r="AG46">
            <v>0</v>
          </cell>
          <cell r="AI46">
            <v>0</v>
          </cell>
          <cell r="AK46">
            <v>0</v>
          </cell>
          <cell r="AN46" t="str">
            <v>mstag:otherCashFlow</v>
          </cell>
          <cell r="AO46">
            <v>6</v>
          </cell>
          <cell r="AP46" t="str">
            <v>ISO4217:USD</v>
          </cell>
          <cell r="AQ46" t="b">
            <v>0</v>
          </cell>
          <cell r="AR46" t="b">
            <v>0</v>
          </cell>
        </row>
        <row r="47">
          <cell r="B47" t="str">
            <v>Net cash provided by financing activities</v>
          </cell>
          <cell r="C47">
            <v>138.60000000000002</v>
          </cell>
          <cell r="E47">
            <v>-40.4</v>
          </cell>
          <cell r="G47">
            <v>-223.7</v>
          </cell>
          <cell r="I47">
            <v>-458.4</v>
          </cell>
          <cell r="K47">
            <v>-585.59999999999991</v>
          </cell>
          <cell r="M47">
            <v>-514</v>
          </cell>
          <cell r="O47">
            <v>-833.90000000000009</v>
          </cell>
          <cell r="Q47">
            <v>-502.7</v>
          </cell>
          <cell r="S47">
            <v>-478</v>
          </cell>
          <cell r="U47">
            <v>1777.6</v>
          </cell>
          <cell r="W47">
            <v>-1371.5</v>
          </cell>
          <cell r="Y47">
            <v>-1609</v>
          </cell>
          <cell r="AA47">
            <v>-4538</v>
          </cell>
          <cell r="AC47">
            <v>-2101.5545000000011</v>
          </cell>
          <cell r="AE47">
            <v>-2710.9297471375007</v>
          </cell>
          <cell r="AG47">
            <v>-2706.8359146014459</v>
          </cell>
          <cell r="AI47">
            <v>-3910.0452874662769</v>
          </cell>
          <cell r="AK47">
            <v>-2749.7842893475386</v>
          </cell>
        </row>
        <row r="49">
          <cell r="B49" t="str">
            <v xml:space="preserve">Change in cash </v>
          </cell>
          <cell r="C49">
            <v>391.6</v>
          </cell>
          <cell r="E49">
            <v>-1162.1999999999998</v>
          </cell>
          <cell r="G49">
            <v>-144.60000000000014</v>
          </cell>
          <cell r="I49">
            <v>102.60000000000002</v>
          </cell>
          <cell r="K49">
            <v>69.800000000000182</v>
          </cell>
          <cell r="M49">
            <v>-37.999999999999773</v>
          </cell>
          <cell r="O49">
            <v>-70.200000000000045</v>
          </cell>
          <cell r="Q49">
            <v>95.599999999999682</v>
          </cell>
          <cell r="S49">
            <v>462.5999999999998</v>
          </cell>
          <cell r="U49">
            <v>1162.5999999999999</v>
          </cell>
          <cell r="W49">
            <v>-1015.1000000000013</v>
          </cell>
          <cell r="Y49">
            <v>689</v>
          </cell>
          <cell r="AA49">
            <v>314</v>
          </cell>
          <cell r="AC49">
            <v>-244.26032430735995</v>
          </cell>
          <cell r="AE49">
            <v>1283.1231813930935</v>
          </cell>
          <cell r="AG49">
            <v>1609.8548858191598</v>
          </cell>
          <cell r="AI49">
            <v>1334.2315354497896</v>
          </cell>
          <cell r="AK49">
            <v>2704.2443766949655</v>
          </cell>
        </row>
        <row r="50">
          <cell r="B50" t="str">
            <v>Cash at beginning of year</v>
          </cell>
          <cell r="C50">
            <v>92</v>
          </cell>
          <cell r="E50">
            <v>128.5</v>
          </cell>
          <cell r="G50">
            <v>211.3</v>
          </cell>
          <cell r="I50">
            <v>66.699999999999875</v>
          </cell>
          <cell r="K50">
            <v>169.2999999999999</v>
          </cell>
          <cell r="M50">
            <v>239.10000000000008</v>
          </cell>
          <cell r="O50">
            <v>201.10000000000031</v>
          </cell>
          <cell r="Q50">
            <v>130.90000000000026</v>
          </cell>
          <cell r="S50">
            <v>226.49999999999994</v>
          </cell>
          <cell r="U50">
            <v>689.09999999999968</v>
          </cell>
          <cell r="W50">
            <v>1851.6999999999996</v>
          </cell>
          <cell r="Y50">
            <v>836.59999999999832</v>
          </cell>
          <cell r="AA50">
            <v>1525.5999999999983</v>
          </cell>
          <cell r="AC50">
            <v>1839.5999999999983</v>
          </cell>
          <cell r="AE50">
            <v>1595.3396756926384</v>
          </cell>
          <cell r="AG50">
            <v>2878.4628570857321</v>
          </cell>
          <cell r="AI50">
            <v>4488.3177429048919</v>
          </cell>
          <cell r="AK50">
            <v>5822.5492783546815</v>
          </cell>
        </row>
        <row r="51">
          <cell r="B51" t="str">
            <v>Cash at end of year</v>
          </cell>
          <cell r="C51">
            <v>128.505</v>
          </cell>
          <cell r="E51">
            <v>-1033.6999999999998</v>
          </cell>
          <cell r="G51">
            <v>66.699999999999875</v>
          </cell>
          <cell r="I51">
            <v>169.2999999999999</v>
          </cell>
          <cell r="K51">
            <v>239.10000000000008</v>
          </cell>
          <cell r="M51">
            <v>201.10000000000031</v>
          </cell>
          <cell r="O51">
            <v>130.90000000000026</v>
          </cell>
          <cell r="Q51">
            <v>226.49999999999994</v>
          </cell>
          <cell r="S51">
            <v>689.09999999999968</v>
          </cell>
          <cell r="U51">
            <v>1851.6999999999996</v>
          </cell>
          <cell r="W51">
            <v>836.59999999999832</v>
          </cell>
          <cell r="Y51">
            <v>1525.5999999999983</v>
          </cell>
          <cell r="AA51">
            <v>1839.5999999999983</v>
          </cell>
          <cell r="AC51">
            <v>1595.3396756926384</v>
          </cell>
          <cell r="AE51">
            <v>2878.4628570857321</v>
          </cell>
          <cell r="AG51">
            <v>4488.3177429048919</v>
          </cell>
          <cell r="AI51">
            <v>5822.5492783546815</v>
          </cell>
          <cell r="AK51">
            <v>8526.793655049647</v>
          </cell>
        </row>
        <row r="52">
          <cell r="B52" t="str">
            <v>Cash and marketable securities at end of year</v>
          </cell>
          <cell r="C52">
            <v>723.18399999999997</v>
          </cell>
          <cell r="E52">
            <v>696.68100000000004</v>
          </cell>
          <cell r="G52">
            <v>1050.3</v>
          </cell>
          <cell r="I52">
            <v>1077</v>
          </cell>
          <cell r="K52">
            <v>1026.5</v>
          </cell>
          <cell r="M52">
            <v>1276</v>
          </cell>
          <cell r="O52">
            <v>1333</v>
          </cell>
          <cell r="Q52">
            <v>2028.1</v>
          </cell>
          <cell r="S52">
            <v>2662.2</v>
          </cell>
          <cell r="U52">
            <v>4663.8999999999996</v>
          </cell>
          <cell r="W52">
            <v>5122.9000000000005</v>
          </cell>
          <cell r="Y52">
            <v>5808</v>
          </cell>
          <cell r="AA52">
            <v>5255</v>
          </cell>
          <cell r="AC52">
            <v>4700.285130238095</v>
          </cell>
          <cell r="AE52">
            <v>5835.5728137956903</v>
          </cell>
          <cell r="AG52">
            <v>7430.7176998302239</v>
          </cell>
          <cell r="AI52">
            <v>8750.3124195739165</v>
          </cell>
          <cell r="AK52">
            <v>11439.992800541424</v>
          </cell>
        </row>
        <row r="54">
          <cell r="B54" t="str">
            <v>Source: Company data and Morgan Stanley Research</v>
          </cell>
        </row>
        <row r="56">
          <cell r="W56" t="str">
            <v>2003-FY</v>
          </cell>
          <cell r="Y56" t="str">
            <v>2004-FY</v>
          </cell>
          <cell r="AA56" t="str">
            <v>2005-FY</v>
          </cell>
          <cell r="AC56" t="str">
            <v>2006-FY</v>
          </cell>
          <cell r="AE56" t="str">
            <v>2007-FY</v>
          </cell>
          <cell r="AG56" t="str">
            <v>2008-FY</v>
          </cell>
          <cell r="AI56" t="str">
            <v>2009-FY</v>
          </cell>
          <cell r="AK56" t="str">
            <v>2010-FY</v>
          </cell>
        </row>
        <row r="59">
          <cell r="B59" t="str">
            <v>EBIT</v>
          </cell>
          <cell r="C59">
            <v>785.5</v>
          </cell>
          <cell r="E59">
            <v>815.59999999999991</v>
          </cell>
          <cell r="G59">
            <v>743.59999999999991</v>
          </cell>
          <cell r="I59">
            <v>904.89999999999986</v>
          </cell>
          <cell r="K59">
            <v>792.50000000000023</v>
          </cell>
          <cell r="M59">
            <v>1188.6999999999998</v>
          </cell>
          <cell r="O59">
            <v>1493.1</v>
          </cell>
          <cell r="Q59">
            <v>1543.9999999999995</v>
          </cell>
          <cell r="S59">
            <v>1531.1999999999998</v>
          </cell>
          <cell r="U59">
            <v>2362.4999999999991</v>
          </cell>
          <cell r="W59">
            <v>3426.9999999999991</v>
          </cell>
          <cell r="Y59">
            <v>4234.8999999999996</v>
          </cell>
          <cell r="AA59">
            <v>5301</v>
          </cell>
          <cell r="AC59">
            <v>5467.6345000000001</v>
          </cell>
          <cell r="AE59">
            <v>6024.24252837104</v>
          </cell>
          <cell r="AG59">
            <v>6561.5580806048583</v>
          </cell>
          <cell r="AI59">
            <v>6844.3819233177674</v>
          </cell>
          <cell r="AK59">
            <v>7203.7814496699866</v>
          </cell>
        </row>
        <row r="60">
          <cell r="B60" t="str">
            <v>EBIT * (1-tax)</v>
          </cell>
          <cell r="C60">
            <v>573.37117172969624</v>
          </cell>
          <cell r="E60">
            <v>550.09259483698941</v>
          </cell>
          <cell r="G60">
            <v>503.3153575025176</v>
          </cell>
          <cell r="I60">
            <v>639.25077418684384</v>
          </cell>
          <cell r="K60">
            <v>592.76497562108227</v>
          </cell>
          <cell r="M60">
            <v>838.03155831427625</v>
          </cell>
          <cell r="O60">
            <v>1045.2271995913677</v>
          </cell>
          <cell r="Q60">
            <v>1049.897867765633</v>
          </cell>
          <cell r="S60">
            <v>1016.7138943248531</v>
          </cell>
          <cell r="U60">
            <v>1683.8269035532987</v>
          </cell>
          <cell r="W60">
            <v>2440.2970281428247</v>
          </cell>
          <cell r="Y60">
            <v>3083.8713773645991</v>
          </cell>
          <cell r="AA60">
            <v>4007.8787821838005</v>
          </cell>
          <cell r="AC60">
            <v>4187.6740317983431</v>
          </cell>
          <cell r="AE60">
            <v>4608.5455342038458</v>
          </cell>
          <cell r="AG60">
            <v>5052.3997220657411</v>
          </cell>
          <cell r="AI60">
            <v>5304.39599057127</v>
          </cell>
          <cell r="AK60">
            <v>5586.5325142190741</v>
          </cell>
        </row>
        <row r="61">
          <cell r="B61" t="str">
            <v>Depreciation</v>
          </cell>
          <cell r="C61">
            <v>50.7</v>
          </cell>
          <cell r="E61">
            <v>74.5</v>
          </cell>
          <cell r="G61">
            <v>84.2</v>
          </cell>
          <cell r="I61">
            <v>100.3</v>
          </cell>
          <cell r="K61">
            <v>117.1</v>
          </cell>
          <cell r="M61">
            <v>143.80000000000001</v>
          </cell>
          <cell r="O61">
            <v>176.8</v>
          </cell>
          <cell r="Q61">
            <v>211.8</v>
          </cell>
          <cell r="S61">
            <v>265.89999999999998</v>
          </cell>
          <cell r="U61">
            <v>447.3</v>
          </cell>
          <cell r="W61">
            <v>686.5</v>
          </cell>
          <cell r="Y61">
            <v>734</v>
          </cell>
          <cell r="AA61">
            <v>841</v>
          </cell>
          <cell r="AC61">
            <v>772.04066666666665</v>
          </cell>
          <cell r="AE61">
            <v>1130.7377096774276</v>
          </cell>
          <cell r="AG61">
            <v>1349.0218220591833</v>
          </cell>
          <cell r="AI61">
            <v>1564.0573284190054</v>
          </cell>
          <cell r="AK61">
            <v>1824.087369245593</v>
          </cell>
        </row>
        <row r="62">
          <cell r="B62" t="str">
            <v>Cap Ex</v>
          </cell>
          <cell r="C62">
            <v>-209.9</v>
          </cell>
          <cell r="E62">
            <v>-130.80000000000001</v>
          </cell>
          <cell r="G62">
            <v>-162.69999999999999</v>
          </cell>
          <cell r="I62">
            <v>-266.89999999999998</v>
          </cell>
          <cell r="K62">
            <v>-387.8</v>
          </cell>
          <cell r="M62">
            <v>-407.8</v>
          </cell>
          <cell r="O62">
            <v>-304.2</v>
          </cell>
          <cell r="Q62">
            <v>-437.7</v>
          </cell>
          <cell r="S62">
            <v>-441.8</v>
          </cell>
          <cell r="U62">
            <v>-658.5</v>
          </cell>
          <cell r="W62">
            <v>-1356.8</v>
          </cell>
          <cell r="Y62">
            <v>-1336</v>
          </cell>
          <cell r="AA62">
            <v>-867</v>
          </cell>
          <cell r="AC62">
            <v>-1653.48</v>
          </cell>
          <cell r="AE62">
            <v>-1508.977822580707</v>
          </cell>
          <cell r="AG62">
            <v>-1637.1308428631664</v>
          </cell>
          <cell r="AI62">
            <v>-1612.7662976986658</v>
          </cell>
          <cell r="AK62">
            <v>-1950.2253061994086</v>
          </cell>
        </row>
        <row r="63">
          <cell r="B63" t="str">
            <v>Change to WC</v>
          </cell>
          <cell r="C63">
            <v>-38.9</v>
          </cell>
          <cell r="E63">
            <v>-15.100000000000001</v>
          </cell>
          <cell r="G63">
            <v>74</v>
          </cell>
          <cell r="I63">
            <v>-35.9</v>
          </cell>
          <cell r="K63">
            <v>136.80000000000001</v>
          </cell>
          <cell r="M63">
            <v>-4.2999999999999972</v>
          </cell>
          <cell r="O63">
            <v>-224.5</v>
          </cell>
          <cell r="Q63">
            <v>-120.70000000000002</v>
          </cell>
          <cell r="S63">
            <v>-99.4</v>
          </cell>
          <cell r="U63">
            <v>-249.60000000000002</v>
          </cell>
          <cell r="W63">
            <v>442.6</v>
          </cell>
          <cell r="Y63">
            <v>-375</v>
          </cell>
          <cell r="AA63">
            <v>10</v>
          </cell>
          <cell r="AC63">
            <v>-896.10421892857164</v>
          </cell>
          <cell r="AE63">
            <v>-228.14442589918781</v>
          </cell>
          <cell r="AG63">
            <v>-348.82458203561737</v>
          </cell>
          <cell r="AI63">
            <v>10.64580031759715</v>
          </cell>
          <cell r="AK63">
            <v>-46.53831528920216</v>
          </cell>
        </row>
        <row r="64">
          <cell r="B64" t="str">
            <v>Non-Cash Charges</v>
          </cell>
          <cell r="C64">
            <v>37.9</v>
          </cell>
          <cell r="E64">
            <v>152.80000000000001</v>
          </cell>
          <cell r="G64">
            <v>77.3</v>
          </cell>
          <cell r="I64">
            <v>78.400000000000006</v>
          </cell>
          <cell r="K64">
            <v>4.7000000000000028</v>
          </cell>
          <cell r="M64">
            <v>38.800000000000004</v>
          </cell>
          <cell r="O64">
            <v>26.6</v>
          </cell>
          <cell r="Q64">
            <v>28.4</v>
          </cell>
          <cell r="S64">
            <v>-50.500000000000014</v>
          </cell>
          <cell r="U64">
            <v>3191.4</v>
          </cell>
          <cell r="W64">
            <v>-90.6</v>
          </cell>
          <cell r="Y64">
            <v>772</v>
          </cell>
          <cell r="AA64">
            <v>71</v>
          </cell>
          <cell r="AC64">
            <v>-300</v>
          </cell>
          <cell r="AE64">
            <v>0</v>
          </cell>
          <cell r="AG64">
            <v>0</v>
          </cell>
          <cell r="AI64">
            <v>0</v>
          </cell>
          <cell r="AK64">
            <v>0</v>
          </cell>
        </row>
        <row r="65">
          <cell r="B65" t="str">
            <v>Tax Benefit from Stock Options</v>
          </cell>
          <cell r="C65">
            <v>0</v>
          </cell>
          <cell r="E65">
            <v>0</v>
          </cell>
          <cell r="G65">
            <v>0</v>
          </cell>
          <cell r="I65">
            <v>48.6</v>
          </cell>
          <cell r="K65">
            <v>54.7</v>
          </cell>
          <cell r="M65">
            <v>108.2</v>
          </cell>
          <cell r="O65">
            <v>151.80000000000001</v>
          </cell>
          <cell r="Q65">
            <v>376.6</v>
          </cell>
          <cell r="S65">
            <v>244.5</v>
          </cell>
          <cell r="U65">
            <v>251.6</v>
          </cell>
          <cell r="W65">
            <v>268.60000000000002</v>
          </cell>
          <cell r="Y65">
            <v>203</v>
          </cell>
          <cell r="AA65">
            <v>315</v>
          </cell>
          <cell r="AC65">
            <v>0</v>
          </cell>
          <cell r="AE65">
            <v>0</v>
          </cell>
          <cell r="AG65">
            <v>0</v>
          </cell>
          <cell r="AI65">
            <v>0</v>
          </cell>
          <cell r="AK65">
            <v>0</v>
          </cell>
        </row>
        <row r="66">
          <cell r="B66" t="str">
            <v>Free Cash Flow</v>
          </cell>
          <cell r="C66">
            <v>413.17117172969631</v>
          </cell>
          <cell r="E66">
            <v>631.49259483698938</v>
          </cell>
          <cell r="G66">
            <v>576.11535750251767</v>
          </cell>
          <cell r="I66">
            <v>563.75077418684384</v>
          </cell>
          <cell r="K66">
            <v>518.26497562108227</v>
          </cell>
          <cell r="M66">
            <v>716.7315583142763</v>
          </cell>
          <cell r="O66">
            <v>871.72719959136771</v>
          </cell>
          <cell r="Q66">
            <v>1108.2978677656329</v>
          </cell>
          <cell r="S66">
            <v>935.413894324853</v>
          </cell>
          <cell r="U66">
            <v>4666.0269035532992</v>
          </cell>
          <cell r="W66">
            <v>2390.5970281428249</v>
          </cell>
          <cell r="Y66">
            <v>3081.8713773645991</v>
          </cell>
          <cell r="AA66">
            <v>4377.8787821838005</v>
          </cell>
          <cell r="AC66">
            <v>2110.1304795364381</v>
          </cell>
          <cell r="AE66">
            <v>4002.1609954013784</v>
          </cell>
          <cell r="AG66">
            <v>4415.466119226141</v>
          </cell>
          <cell r="AI66">
            <v>5266.3328216092068</v>
          </cell>
          <cell r="AK66">
            <v>5413.8562619760569</v>
          </cell>
        </row>
        <row r="68">
          <cell r="B68" t="str">
            <v>CFO</v>
          </cell>
          <cell r="C68">
            <v>433</v>
          </cell>
          <cell r="E68">
            <v>531.9</v>
          </cell>
          <cell r="G68">
            <v>773.2</v>
          </cell>
          <cell r="I68">
            <v>871.19999999999993</v>
          </cell>
          <cell r="K68">
            <v>957.6</v>
          </cell>
          <cell r="M68">
            <v>1149.7</v>
          </cell>
          <cell r="O68">
            <v>1227.1000000000001</v>
          </cell>
          <cell r="Q68">
            <v>1634.6</v>
          </cell>
          <cell r="S68">
            <v>1480.1999999999998</v>
          </cell>
          <cell r="U68">
            <v>2248.8000000000002</v>
          </cell>
          <cell r="W68">
            <v>3566.5999999999995</v>
          </cell>
          <cell r="Y68">
            <v>3697</v>
          </cell>
          <cell r="AA68">
            <v>4911</v>
          </cell>
          <cell r="AC68">
            <v>3200.3196302380957</v>
          </cell>
          <cell r="AE68">
            <v>5355.1952532758032</v>
          </cell>
          <cell r="AG68">
            <v>5939.1116434991454</v>
          </cell>
          <cell r="AI68">
            <v>6842.4063049086362</v>
          </cell>
          <cell r="AK68">
            <v>7389.6899765144535</v>
          </cell>
        </row>
        <row r="69">
          <cell r="B69" t="str">
            <v>Cap Ex</v>
          </cell>
          <cell r="C69">
            <v>-209.9</v>
          </cell>
          <cell r="E69">
            <v>-130.80000000000001</v>
          </cell>
          <cell r="G69">
            <v>-162.69999999999999</v>
          </cell>
          <cell r="I69">
            <v>-266.89999999999998</v>
          </cell>
          <cell r="K69">
            <v>-387.8</v>
          </cell>
          <cell r="M69">
            <v>-407.8</v>
          </cell>
          <cell r="O69">
            <v>-304.2</v>
          </cell>
          <cell r="Q69">
            <v>-437.7</v>
          </cell>
          <cell r="S69">
            <v>-441.8</v>
          </cell>
          <cell r="U69">
            <v>-658.5</v>
          </cell>
          <cell r="W69">
            <v>-1356.8</v>
          </cell>
          <cell r="Y69">
            <v>-1336</v>
          </cell>
          <cell r="AA69">
            <v>-867</v>
          </cell>
          <cell r="AC69">
            <v>-1653.48</v>
          </cell>
          <cell r="AE69">
            <v>-1508.977822580707</v>
          </cell>
          <cell r="AG69">
            <v>-1637.1308428631664</v>
          </cell>
          <cell r="AI69">
            <v>-1612.7662976986658</v>
          </cell>
          <cell r="AK69">
            <v>-1950.2253061994086</v>
          </cell>
        </row>
        <row r="70">
          <cell r="AC70">
            <v>170.55674999999999</v>
          </cell>
          <cell r="AE70">
            <v>241.49308286250007</v>
          </cell>
          <cell r="AG70">
            <v>304.2759299385545</v>
          </cell>
          <cell r="AI70">
            <v>334.30929864953174</v>
          </cell>
          <cell r="AK70">
            <v>317.12642488736873</v>
          </cell>
        </row>
        <row r="71">
          <cell r="B71" t="str">
            <v>Free Cash Flow</v>
          </cell>
          <cell r="C71">
            <v>223.1</v>
          </cell>
          <cell r="E71">
            <v>401.09999999999997</v>
          </cell>
          <cell r="G71">
            <v>610.5</v>
          </cell>
          <cell r="I71">
            <v>604.29999999999995</v>
          </cell>
          <cell r="K71">
            <v>569.79999999999995</v>
          </cell>
          <cell r="M71">
            <v>741.90000000000009</v>
          </cell>
          <cell r="O71">
            <v>922.90000000000009</v>
          </cell>
          <cell r="Q71">
            <v>1196.8999999999999</v>
          </cell>
          <cell r="S71">
            <v>1038.3999999999999</v>
          </cell>
          <cell r="U71">
            <v>1590.3000000000002</v>
          </cell>
          <cell r="W71">
            <v>2209.7999999999993</v>
          </cell>
          <cell r="Y71">
            <v>2361</v>
          </cell>
          <cell r="AA71">
            <v>4044</v>
          </cell>
          <cell r="AC71">
            <v>1717.3963802380956</v>
          </cell>
          <cell r="AE71">
            <v>4087.7105135575966</v>
          </cell>
          <cell r="AG71">
            <v>4606.2567305745333</v>
          </cell>
          <cell r="AI71">
            <v>5563.9493058595026</v>
          </cell>
          <cell r="AK71">
            <v>5756.5910952024133</v>
          </cell>
        </row>
        <row r="76">
          <cell r="S76" t="str">
            <v>Cap Ex</v>
          </cell>
          <cell r="U76">
            <v>0.29282283884738525</v>
          </cell>
          <cell r="W76">
            <v>0.38041832557617905</v>
          </cell>
          <cell r="Y76">
            <v>0.36137408709764673</v>
          </cell>
          <cell r="AA76">
            <v>0.17654245571166768</v>
          </cell>
          <cell r="AC76">
            <v>0.51666089361111267</v>
          </cell>
          <cell r="AE76">
            <v>0.28177830148352795</v>
          </cell>
          <cell r="AG76">
            <v>0.27565247820440336</v>
          </cell>
          <cell r="AI76">
            <v>0.23570162685920773</v>
          </cell>
          <cell r="AK76">
            <v>0.26391165426391605</v>
          </cell>
        </row>
        <row r="77">
          <cell r="S77" t="str">
            <v>Repurchase</v>
          </cell>
          <cell r="U77">
            <v>0.63162575595873349</v>
          </cell>
          <cell r="W77">
            <v>0.50496270958335676</v>
          </cell>
          <cell r="Y77">
            <v>1.1014335948065999</v>
          </cell>
          <cell r="AA77">
            <v>0.90205660761555695</v>
          </cell>
          <cell r="AC77">
            <v>2.3677322503678342</v>
          </cell>
          <cell r="AE77">
            <v>0.61268681062431096</v>
          </cell>
          <cell r="AG77">
            <v>0.59802626334490316</v>
          </cell>
          <cell r="AI77">
            <v>0.56190227732474785</v>
          </cell>
          <cell r="AK77">
            <v>0.49280986273625083</v>
          </cell>
        </row>
        <row r="78">
          <cell r="S78" t="str">
            <v>Debt Repayment</v>
          </cell>
          <cell r="U78">
            <v>0</v>
          </cell>
          <cell r="W78">
            <v>3.4486625918241469E-2</v>
          </cell>
          <cell r="Y78">
            <v>0</v>
          </cell>
          <cell r="AA78">
            <v>0.23925880676033395</v>
          </cell>
          <cell r="AC78">
            <v>0</v>
          </cell>
          <cell r="AE78">
            <v>1.8673455452222668E-2</v>
          </cell>
          <cell r="AG78">
            <v>0</v>
          </cell>
          <cell r="AI78">
            <v>0.1458551210681614</v>
          </cell>
          <cell r="AK78">
            <v>0</v>
          </cell>
        </row>
        <row r="79">
          <cell r="S79" t="str">
            <v>M&amp;A</v>
          </cell>
          <cell r="U79">
            <v>0.84445037353255059</v>
          </cell>
          <cell r="W79">
            <v>0</v>
          </cell>
          <cell r="Y79">
            <v>-3.1106302407357317E-2</v>
          </cell>
          <cell r="AA79">
            <v>0</v>
          </cell>
          <cell r="AC79">
            <v>0.68743133629947006</v>
          </cell>
          <cell r="AE79">
            <v>0</v>
          </cell>
          <cell r="AG79">
            <v>0</v>
          </cell>
          <cell r="AI79">
            <v>0</v>
          </cell>
          <cell r="AK79">
            <v>0</v>
          </cell>
        </row>
      </sheetData>
      <sheetData sheetId="10" refreshError="1"/>
      <sheetData sheetId="11" refreshError="1"/>
      <sheetData sheetId="12" refreshError="1"/>
      <sheetData sheetId="13" refreshError="1"/>
      <sheetData sheetId="14" refreshError="1">
        <row r="1">
          <cell r="A1" t="str">
            <v>US Sales ($M)</v>
          </cell>
          <cell r="B1" t="str">
            <v xml:space="preserve">Aranesp </v>
          </cell>
          <cell r="C1" t="str">
            <v xml:space="preserve">YoY </v>
          </cell>
          <cell r="D1" t="str">
            <v>Aranesp  Share</v>
          </cell>
          <cell r="E1" t="str">
            <v xml:space="preserve">Procrit </v>
          </cell>
          <cell r="F1" t="str">
            <v xml:space="preserve">YoY </v>
          </cell>
          <cell r="G1" t="str">
            <v>Total ($M)</v>
          </cell>
          <cell r="H1" t="str">
            <v xml:space="preserve">YoY </v>
          </cell>
        </row>
        <row r="2">
          <cell r="A2" t="str">
            <v>4Q02A</v>
          </cell>
          <cell r="B2">
            <v>150</v>
          </cell>
          <cell r="D2">
            <v>0.15739769150052466</v>
          </cell>
          <cell r="E2">
            <v>803</v>
          </cell>
          <cell r="G2">
            <v>953</v>
          </cell>
        </row>
        <row r="3">
          <cell r="A3" t="str">
            <v>2002A</v>
          </cell>
          <cell r="B3">
            <v>150</v>
          </cell>
          <cell r="D3">
            <v>4.7110552763819098E-2</v>
          </cell>
          <cell r="E3">
            <v>3034</v>
          </cell>
          <cell r="G3">
            <v>3184</v>
          </cell>
        </row>
        <row r="4">
          <cell r="A4" t="str">
            <v>1Q03A</v>
          </cell>
          <cell r="B4">
            <v>157.9</v>
          </cell>
          <cell r="D4">
            <v>0.1792484958565104</v>
          </cell>
          <cell r="E4">
            <v>723</v>
          </cell>
          <cell r="G4">
            <v>880.9</v>
          </cell>
        </row>
        <row r="5">
          <cell r="A5" t="str">
            <v>2Q03A</v>
          </cell>
          <cell r="B5">
            <v>216.6</v>
          </cell>
          <cell r="D5">
            <v>0.23451710697271544</v>
          </cell>
          <cell r="E5">
            <v>707</v>
          </cell>
          <cell r="G5">
            <v>923.6</v>
          </cell>
        </row>
        <row r="6">
          <cell r="A6" t="str">
            <v>3Q03A</v>
          </cell>
          <cell r="B6">
            <v>283.89999999999998</v>
          </cell>
          <cell r="D6">
            <v>0.28766845678386865</v>
          </cell>
          <cell r="E6">
            <v>703</v>
          </cell>
          <cell r="G6">
            <v>986.9</v>
          </cell>
        </row>
        <row r="7">
          <cell r="A7" t="str">
            <v>4Q03A</v>
          </cell>
          <cell r="B7">
            <v>321.5</v>
          </cell>
          <cell r="C7">
            <v>1.1433333333333335</v>
          </cell>
          <cell r="D7">
            <v>0.32392947103274561</v>
          </cell>
          <cell r="E7">
            <v>671</v>
          </cell>
          <cell r="F7">
            <v>-0.16438356164383561</v>
          </cell>
          <cell r="G7">
            <v>992.5</v>
          </cell>
          <cell r="H7">
            <v>4.1448058761804907E-2</v>
          </cell>
        </row>
        <row r="8">
          <cell r="A8" t="str">
            <v>2003A</v>
          </cell>
          <cell r="B8">
            <v>979.9</v>
          </cell>
          <cell r="C8">
            <v>5.5326666666666666</v>
          </cell>
          <cell r="D8">
            <v>0.25896561748460584</v>
          </cell>
          <cell r="E8">
            <v>2804</v>
          </cell>
          <cell r="F8">
            <v>-7.5807514831905065E-2</v>
          </cell>
          <cell r="G8">
            <v>3783.9</v>
          </cell>
          <cell r="H8">
            <v>0.18841080402010046</v>
          </cell>
        </row>
        <row r="9">
          <cell r="A9" t="str">
            <v>1Q04A</v>
          </cell>
          <cell r="B9">
            <v>329.6</v>
          </cell>
          <cell r="C9">
            <v>1.0873970867637746</v>
          </cell>
          <cell r="D9">
            <v>0.32389937106918243</v>
          </cell>
          <cell r="E9">
            <v>688</v>
          </cell>
          <cell r="F9">
            <v>-4.8409405255878335E-2</v>
          </cell>
          <cell r="G9">
            <v>1017.6</v>
          </cell>
          <cell r="H9">
            <v>0.15518220002270411</v>
          </cell>
        </row>
        <row r="10">
          <cell r="A10" t="str">
            <v>2Q04A</v>
          </cell>
          <cell r="B10">
            <v>380.7</v>
          </cell>
          <cell r="C10">
            <v>0.75761772853185594</v>
          </cell>
          <cell r="D10">
            <v>0.3954502960423808</v>
          </cell>
          <cell r="E10">
            <v>582</v>
          </cell>
          <cell r="F10">
            <v>-0.1768033946251768</v>
          </cell>
          <cell r="G10">
            <v>962.7</v>
          </cell>
          <cell r="H10">
            <v>4.2334343871806013E-2</v>
          </cell>
        </row>
        <row r="11">
          <cell r="A11" t="str">
            <v>3Q04A</v>
          </cell>
          <cell r="B11">
            <v>374</v>
          </cell>
          <cell r="C11">
            <v>0.31736526946107801</v>
          </cell>
          <cell r="D11">
            <v>0.3789260385005066</v>
          </cell>
          <cell r="E11">
            <v>613</v>
          </cell>
          <cell r="F11">
            <v>-0.12802275960170695</v>
          </cell>
          <cell r="G11">
            <v>987</v>
          </cell>
          <cell r="H11">
            <v>1.0132738879331527E-4</v>
          </cell>
        </row>
        <row r="12">
          <cell r="A12" t="str">
            <v>4Q04A</v>
          </cell>
          <cell r="B12">
            <v>424</v>
          </cell>
          <cell r="C12">
            <v>0.3188180404354588</v>
          </cell>
          <cell r="D12">
            <v>0.42315369261477048</v>
          </cell>
          <cell r="E12">
            <v>578</v>
          </cell>
          <cell r="F12">
            <v>-0.13859910581222057</v>
          </cell>
          <cell r="G12">
            <v>1002</v>
          </cell>
          <cell r="H12">
            <v>9.5717884130981368E-3</v>
          </cell>
        </row>
        <row r="13">
          <cell r="A13" t="str">
            <v>2004A</v>
          </cell>
          <cell r="B13">
            <v>1533.3</v>
          </cell>
          <cell r="C13">
            <v>0.56475150525563822</v>
          </cell>
          <cell r="D13">
            <v>0.38387201762511575</v>
          </cell>
          <cell r="E13">
            <v>2461</v>
          </cell>
          <cell r="F13">
            <v>-0.12232524964336666</v>
          </cell>
          <cell r="G13">
            <v>3994.3</v>
          </cell>
          <cell r="H13">
            <v>5.5604006448373378E-2</v>
          </cell>
        </row>
        <row r="14">
          <cell r="A14" t="str">
            <v>1Q05A</v>
          </cell>
          <cell r="B14">
            <v>447</v>
          </cell>
          <cell r="C14">
            <v>0.3561893203883495</v>
          </cell>
          <cell r="D14">
            <v>0.44169960474308301</v>
          </cell>
          <cell r="E14">
            <v>565</v>
          </cell>
          <cell r="F14">
            <v>-0.17877906976744184</v>
          </cell>
          <cell r="G14">
            <v>1012</v>
          </cell>
          <cell r="H14">
            <v>-5.5031446540880768E-3</v>
          </cell>
        </row>
        <row r="15">
          <cell r="A15" t="str">
            <v>2Q05A</v>
          </cell>
          <cell r="B15">
            <v>536</v>
          </cell>
          <cell r="C15">
            <v>0.40793275545048591</v>
          </cell>
          <cell r="D15">
            <v>0.48638838475499091</v>
          </cell>
          <cell r="E15">
            <v>566</v>
          </cell>
          <cell r="F15">
            <v>-2.7491408934707917E-2</v>
          </cell>
          <cell r="G15">
            <v>1102</v>
          </cell>
          <cell r="H15">
            <v>0.14469720577542322</v>
          </cell>
        </row>
        <row r="16">
          <cell r="A16" t="str">
            <v>3Q05A</v>
          </cell>
          <cell r="B16">
            <v>542</v>
          </cell>
          <cell r="C16">
            <v>0.44919786096256686</v>
          </cell>
          <cell r="D16">
            <v>0.48522829006266788</v>
          </cell>
          <cell r="E16">
            <v>575</v>
          </cell>
          <cell r="F16">
            <v>-6.1990212071778128E-2</v>
          </cell>
          <cell r="G16">
            <v>1117</v>
          </cell>
          <cell r="H16">
            <v>0.13171225937183384</v>
          </cell>
        </row>
        <row r="17">
          <cell r="A17" t="str">
            <v>4Q05A</v>
          </cell>
          <cell r="B17">
            <v>579</v>
          </cell>
          <cell r="C17">
            <v>0.36556603773584895</v>
          </cell>
          <cell r="D17">
            <v>0.51742627345844505</v>
          </cell>
          <cell r="E17">
            <v>540</v>
          </cell>
          <cell r="F17">
            <v>-6.5743944636678209E-2</v>
          </cell>
          <cell r="G17">
            <v>1119</v>
          </cell>
          <cell r="H17">
            <v>0.11676646706586835</v>
          </cell>
        </row>
        <row r="18">
          <cell r="A18" t="str">
            <v>2005A</v>
          </cell>
          <cell r="B18">
            <v>2104</v>
          </cell>
          <cell r="C18">
            <v>0.37220374355964259</v>
          </cell>
          <cell r="D18">
            <v>0.48367816091954025</v>
          </cell>
          <cell r="E18">
            <v>2246</v>
          </cell>
          <cell r="F18">
            <v>-8.7362860625761929E-2</v>
          </cell>
          <cell r="G18">
            <v>4350</v>
          </cell>
          <cell r="H18">
            <v>8.9051898956012288E-2</v>
          </cell>
        </row>
        <row r="19">
          <cell r="A19" t="str">
            <v>1Q06A</v>
          </cell>
          <cell r="B19">
            <v>596</v>
          </cell>
          <cell r="C19">
            <v>0.33333333333333326</v>
          </cell>
          <cell r="D19">
            <v>0.53072128227960824</v>
          </cell>
          <cell r="E19">
            <v>527</v>
          </cell>
          <cell r="F19">
            <v>-6.7256637168141564E-2</v>
          </cell>
          <cell r="G19">
            <v>1123</v>
          </cell>
          <cell r="H19">
            <v>0.10968379446640308</v>
          </cell>
        </row>
        <row r="20">
          <cell r="A20" t="str">
            <v>2Q06E</v>
          </cell>
          <cell r="B20">
            <v>645</v>
          </cell>
          <cell r="C20">
            <v>0.20335820895522394</v>
          </cell>
          <cell r="D20">
            <v>0.54020100502512558</v>
          </cell>
          <cell r="E20">
            <v>549</v>
          </cell>
          <cell r="F20">
            <v>-3.0035335689045928E-2</v>
          </cell>
          <cell r="G20">
            <v>1194</v>
          </cell>
          <cell r="H20">
            <v>8.3484573502722315E-2</v>
          </cell>
        </row>
        <row r="21">
          <cell r="A21" t="str">
            <v>3Q06E</v>
          </cell>
          <cell r="B21">
            <v>665</v>
          </cell>
          <cell r="C21">
            <v>0.22693726937269365</v>
          </cell>
          <cell r="D21">
            <v>0.53115015974440893</v>
          </cell>
          <cell r="E21">
            <v>587</v>
          </cell>
          <cell r="F21">
            <v>2.0869565217391362E-2</v>
          </cell>
          <cell r="G21">
            <v>1252</v>
          </cell>
          <cell r="H21">
            <v>0.12085944494180834</v>
          </cell>
        </row>
        <row r="22">
          <cell r="A22" t="str">
            <v>4Q06E</v>
          </cell>
          <cell r="B22">
            <v>690</v>
          </cell>
          <cell r="C22">
            <v>0.19170984455958551</v>
          </cell>
          <cell r="D22">
            <v>0.56097560975609762</v>
          </cell>
          <cell r="E22">
            <v>540</v>
          </cell>
          <cell r="F22">
            <v>0</v>
          </cell>
          <cell r="G22">
            <v>1230</v>
          </cell>
          <cell r="H22">
            <v>9.9195710455764141E-2</v>
          </cell>
        </row>
        <row r="23">
          <cell r="A23" t="str">
            <v>2006E</v>
          </cell>
          <cell r="B23">
            <v>2596</v>
          </cell>
          <cell r="C23">
            <v>0.23384030418250945</v>
          </cell>
          <cell r="D23">
            <v>0.54094603042300482</v>
          </cell>
          <cell r="E23">
            <v>2203</v>
          </cell>
          <cell r="F23">
            <v>-1.9145146927871726E-2</v>
          </cell>
          <cell r="G23">
            <v>4799</v>
          </cell>
          <cell r="H23">
            <v>0.1032183908045976</v>
          </cell>
        </row>
        <row r="24">
          <cell r="A24" t="str">
            <v>2007E</v>
          </cell>
          <cell r="B24">
            <v>2975</v>
          </cell>
          <cell r="C24">
            <v>0.14599383667180277</v>
          </cell>
          <cell r="D24">
            <v>0.60198300283286121</v>
          </cell>
          <cell r="E24">
            <v>1967</v>
          </cell>
          <cell r="F24">
            <v>-0.10712664548343165</v>
          </cell>
          <cell r="G24">
            <v>4942</v>
          </cell>
          <cell r="H24">
            <v>2.97978745571994E-2</v>
          </cell>
        </row>
        <row r="25">
          <cell r="A25" t="str">
            <v>2008E</v>
          </cell>
          <cell r="B25">
            <v>3300</v>
          </cell>
          <cell r="C25">
            <v>0.10924369747899165</v>
          </cell>
          <cell r="D25">
            <v>0.65075921908893708</v>
          </cell>
          <cell r="E25">
            <v>1771</v>
          </cell>
          <cell r="F25">
            <v>-9.9644128113879016E-2</v>
          </cell>
          <cell r="G25">
            <v>5071</v>
          </cell>
          <cell r="H25">
            <v>2.6102792391744289E-2</v>
          </cell>
        </row>
        <row r="26">
          <cell r="A26" t="str">
            <v>2009E</v>
          </cell>
          <cell r="B26">
            <v>3600</v>
          </cell>
          <cell r="C26">
            <v>9.0909090909090828E-2</v>
          </cell>
          <cell r="D26">
            <v>0.69310743165190603</v>
          </cell>
          <cell r="E26">
            <v>1594</v>
          </cell>
          <cell r="F26">
            <v>-9.9943534726143368E-2</v>
          </cell>
          <cell r="G26">
            <v>5194</v>
          </cell>
          <cell r="H26">
            <v>2.4255570893314982E-2</v>
          </cell>
        </row>
      </sheetData>
      <sheetData sheetId="15" refreshError="1"/>
      <sheetData sheetId="16" refreshError="1"/>
      <sheetData sheetId="17"/>
      <sheetData sheetId="18" refreshError="1">
        <row r="1">
          <cell r="C1" t="str">
            <v>At Risk
for FN</v>
          </cell>
          <cell r="D1" t="str">
            <v>Treated Front-line</v>
          </cell>
          <cell r="E1" t="str">
            <v>Untreated
Front-line</v>
          </cell>
        </row>
        <row r="2">
          <cell r="B2" t="str">
            <v>Breast Cancer</v>
          </cell>
          <cell r="C2">
            <v>117000</v>
          </cell>
          <cell r="D2">
            <v>30420</v>
          </cell>
          <cell r="E2">
            <v>86580</v>
          </cell>
          <cell r="G2" t="str">
            <v>US</v>
          </cell>
          <cell r="H2" t="str">
            <v>1Q04</v>
          </cell>
          <cell r="I2" t="str">
            <v>2Q04</v>
          </cell>
          <cell r="J2" t="str">
            <v>3Q04</v>
          </cell>
          <cell r="L2" t="str">
            <v>n= 411</v>
          </cell>
          <cell r="M2" t="str">
            <v>AMG 162</v>
          </cell>
          <cell r="N2" t="str">
            <v>Fosamax</v>
          </cell>
          <cell r="O2" t="str">
            <v>Placebo</v>
          </cell>
        </row>
        <row r="3">
          <cell r="B3" t="str">
            <v>Lung Cancer</v>
          </cell>
          <cell r="C3">
            <v>138000</v>
          </cell>
          <cell r="D3">
            <v>11040</v>
          </cell>
          <cell r="E3">
            <v>126960</v>
          </cell>
          <cell r="G3" t="str">
            <v>Aranesp</v>
          </cell>
          <cell r="H3">
            <v>0.37</v>
          </cell>
          <cell r="I3">
            <v>0.39</v>
          </cell>
          <cell r="J3">
            <v>0.43</v>
          </cell>
          <cell r="L3" t="str">
            <v>BMD (6 months)</v>
          </cell>
          <cell r="M3" t="str">
            <v>+4-5%</v>
          </cell>
          <cell r="N3" t="str">
            <v>+5%</v>
          </cell>
        </row>
        <row r="4">
          <cell r="G4" t="str">
            <v>Procrit</v>
          </cell>
          <cell r="H4">
            <v>0.63</v>
          </cell>
          <cell r="I4">
            <v>0.61</v>
          </cell>
          <cell r="J4">
            <v>0.56999999999999995</v>
          </cell>
          <cell r="L4" t="str">
            <v>BMD (12 months)</v>
          </cell>
          <cell r="M4" t="str">
            <v>+4-7%</v>
          </cell>
          <cell r="N4" t="str">
            <v>+5%</v>
          </cell>
          <cell r="O4">
            <v>0.01</v>
          </cell>
          <cell r="S4" t="str">
            <v>Patent</v>
          </cell>
          <cell r="T4" t="str">
            <v>Date Issued</v>
          </cell>
          <cell r="U4" t="str">
            <v>Description*</v>
          </cell>
          <cell r="V4" t="str">
            <v>Status</v>
          </cell>
        </row>
        <row r="5">
          <cell r="L5" t="str">
            <v>Dyspepsia</v>
          </cell>
          <cell r="M5">
            <v>0.05</v>
          </cell>
          <cell r="N5">
            <v>0.2</v>
          </cell>
          <cell r="O5">
            <v>0.04</v>
          </cell>
          <cell r="S5" t="str">
            <v>'422</v>
          </cell>
          <cell r="T5">
            <v>36424</v>
          </cell>
          <cell r="U5" t="str">
            <v>Composition of therapeutically effective amount of erythropoietin</v>
          </cell>
          <cell r="V5" t="str">
            <v>Previously found to be valid and infringed upon</v>
          </cell>
        </row>
        <row r="6">
          <cell r="S6" t="str">
            <v>'080</v>
          </cell>
          <cell r="T6">
            <v>35535</v>
          </cell>
          <cell r="U6" t="str">
            <v>Erythropoietin product and manufacturing process</v>
          </cell>
          <cell r="V6" t="str">
            <v>Previously found to be valid and infringed upon</v>
          </cell>
        </row>
        <row r="7">
          <cell r="S7" t="str">
            <v>'698</v>
          </cell>
          <cell r="T7">
            <v>35521</v>
          </cell>
          <cell r="U7" t="str">
            <v>Preparation process of erythropoietin product active in vivo</v>
          </cell>
          <cell r="V7" t="str">
            <v>Found to be valid and infringed upon today</v>
          </cell>
        </row>
        <row r="8">
          <cell r="M8" t="str">
            <v>AMG 162</v>
          </cell>
          <cell r="N8" t="str">
            <v>Fosamax</v>
          </cell>
          <cell r="O8" t="str">
            <v>Placebo</v>
          </cell>
          <cell r="P8" t="str">
            <v>p-value 
(AMG162 vs. Fosomax)</v>
          </cell>
          <cell r="S8" t="str">
            <v>'349</v>
          </cell>
          <cell r="T8">
            <v>35916</v>
          </cell>
          <cell r="U8" t="str">
            <v>Use of vertebrae cells to produce erythropoietin products</v>
          </cell>
          <cell r="V8" t="str">
            <v>Found to be valid and infringed upon today</v>
          </cell>
        </row>
        <row r="9">
          <cell r="L9" t="str">
            <v>Lumbar Spine</v>
          </cell>
          <cell r="M9" t="str">
            <v>+5%</v>
          </cell>
          <cell r="N9" t="str">
            <v>+5%</v>
          </cell>
          <cell r="O9" t="str">
            <v>-1%</v>
          </cell>
          <cell r="P9" t="str">
            <v>NS</v>
          </cell>
          <cell r="S9" t="str">
            <v>Note:  * Broadest claim</v>
          </cell>
        </row>
        <row r="10">
          <cell r="L10" t="str">
            <v>Hip</v>
          </cell>
          <cell r="M10" t="str">
            <v>+3%</v>
          </cell>
          <cell r="N10" t="str">
            <v>+2%</v>
          </cell>
          <cell r="O10" t="str">
            <v>-1%</v>
          </cell>
          <cell r="P10" t="str">
            <v>p=0.01</v>
          </cell>
        </row>
        <row r="11">
          <cell r="L11" t="str">
            <v>Distal radius</v>
          </cell>
          <cell r="M11" t="str">
            <v>+1.2%</v>
          </cell>
          <cell r="N11" t="str">
            <v>0%</v>
          </cell>
          <cell r="O11" t="str">
            <v>-2%</v>
          </cell>
          <cell r="P11" t="str">
            <v>p&lt;0.01</v>
          </cell>
        </row>
      </sheetData>
      <sheetData sheetId="19" refreshError="1">
        <row r="4">
          <cell r="B4" t="str">
            <v>(For Marketing Pack)</v>
          </cell>
        </row>
        <row r="6">
          <cell r="D6" t="str">
            <v>2004A</v>
          </cell>
          <cell r="F6" t="str">
            <v>2005A</v>
          </cell>
          <cell r="H6" t="str">
            <v>2006E</v>
          </cell>
          <cell r="J6" t="str">
            <v>2007E</v>
          </cell>
        </row>
        <row r="7">
          <cell r="B7" t="str">
            <v>Epogen</v>
          </cell>
          <cell r="D7">
            <v>2600.6</v>
          </cell>
          <cell r="F7">
            <v>2455</v>
          </cell>
          <cell r="H7">
            <v>2514</v>
          </cell>
          <cell r="J7">
            <v>2572.1174973954289</v>
          </cell>
        </row>
        <row r="8">
          <cell r="B8" t="str">
            <v>Aranesp</v>
          </cell>
          <cell r="D8">
            <v>2472.9</v>
          </cell>
          <cell r="F8">
            <v>3273</v>
          </cell>
          <cell r="H8">
            <v>3913</v>
          </cell>
          <cell r="J8">
            <v>4350</v>
          </cell>
        </row>
        <row r="9">
          <cell r="B9" t="str">
            <v>Neulasta</v>
          </cell>
          <cell r="D9">
            <v>1739.6</v>
          </cell>
          <cell r="F9">
            <v>2288</v>
          </cell>
          <cell r="H9">
            <v>2603</v>
          </cell>
          <cell r="J9">
            <v>2889.3300000000004</v>
          </cell>
        </row>
        <row r="10">
          <cell r="B10" t="str">
            <v>Enbrel</v>
          </cell>
          <cell r="D10">
            <v>1900.3</v>
          </cell>
          <cell r="F10">
            <v>2573</v>
          </cell>
          <cell r="H10">
            <v>2793</v>
          </cell>
          <cell r="J10">
            <v>3016.8307284116399</v>
          </cell>
        </row>
        <row r="11">
          <cell r="B11" t="str">
            <v>EPS</v>
          </cell>
          <cell r="D11">
            <v>2.36950115525927</v>
          </cell>
          <cell r="F11">
            <v>3.2027027027027026</v>
          </cell>
          <cell r="H11">
            <v>3.6698689952539394</v>
          </cell>
          <cell r="J11">
            <v>4.1013211403748855</v>
          </cell>
        </row>
        <row r="12">
          <cell r="B12" t="str">
            <v>Consensus</v>
          </cell>
          <cell r="D12">
            <v>2.41</v>
          </cell>
          <cell r="F12">
            <v>3.21</v>
          </cell>
          <cell r="H12">
            <v>3.64</v>
          </cell>
          <cell r="J12">
            <v>4.13</v>
          </cell>
        </row>
      </sheetData>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heet1"/>
      <sheetName val="Scenario"/>
      <sheetName val="ImportantDisclosures"/>
      <sheetName val="IndexInformation"/>
      <sheetName val="Income"/>
      <sheetName val="GWP"/>
      <sheetName val="Income Statement"/>
      <sheetName val="Margins"/>
      <sheetName val="Euro vs. PM"/>
      <sheetName val="Ruble"/>
      <sheetName val="MS_IRI_Methodology"/>
      <sheetName val="MARKET_SHARE ($)_RAW_DATA"/>
      <sheetName val="NEXXUS_RAW_DATA"/>
      <sheetName val="HAIR_CARE_MARKET SHARE ROLL-UP"/>
      <sheetName val="TOTAL_ACV_DOLLAR_SALES"/>
      <sheetName val="TimeSeries"/>
      <sheetName val="Valuation Analyzer"/>
      <sheetName val="SSB Nielsen Sales"/>
      <sheetName val="Comps"/>
      <sheetName val="Switches"/>
      <sheetName val="summary"/>
      <sheetName val="EBITDA"/>
      <sheetName val="GWP-WLine"/>
      <sheetName val="TS_Stnd_Dev_Band"/>
      <sheetName val="Print "/>
      <sheetName val="Lookup"/>
      <sheetName val="Input"/>
      <sheetName val="99 cons YTD"/>
      <sheetName val="KPN"/>
      <sheetName val="B"/>
      <sheetName val="Ratios"/>
      <sheetName val="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curity_Large"/>
      <sheetName val="Comparison"/>
      <sheetName val="Historical Financial Statements"/>
      <sheetName val="Calculations"/>
      <sheetName val="Ratio Analysis"/>
      <sheetName val="Charts"/>
      <sheetName val="#REF"/>
      <sheetName val="Data_Download"/>
      <sheetName val="IS"/>
      <sheetName val="Security_Comparable_Large"/>
      <sheetName val="Invested capital_VDF"/>
      <sheetName val="Forecasts_VDF"/>
      <sheetName val="Summary Page_VDF"/>
      <sheetName val="NOPAT_VDF"/>
      <sheetName val="DCF_VDF"/>
      <sheetName val="PV of Op Leases_VDF"/>
      <sheetName val="Income Statement_VDF"/>
      <sheetName val="WACC_VDF"/>
      <sheetName val="Charts_VDF"/>
    </sheetNames>
    <sheetDataSet>
      <sheetData sheetId="0"/>
      <sheetData sheetId="1" refreshError="1">
        <row r="5">
          <cell r="E5">
            <v>0.35523561630796929</v>
          </cell>
        </row>
        <row r="6">
          <cell r="E6">
            <v>-0.78947368421052633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eetName val="Valuations"/>
      <sheetName val="Five Year Sales &amp; Earnings"/>
      <sheetName val="Qtr Income"/>
      <sheetName val="Qtr Margin"/>
      <sheetName val="Q Preview"/>
      <sheetName val="Qtr Sales"/>
      <sheetName val="Annual Product Sales"/>
      <sheetName val="Annual Prod Sales"/>
      <sheetName val="CF2"/>
      <sheetName val="BS2"/>
      <sheetName val="P&amp;L"/>
      <sheetName val="QTR"/>
      <sheetName val="blank"/>
      <sheetName val="Balance"/>
      <sheetName val="Cash flow"/>
      <sheetName val="IS-COMPS"/>
      <sheetName val="Paul - SEGS-MARGIN"/>
      <sheetName val="CF"/>
      <sheetName val="Qtr Link"/>
      <sheetName val="JV"/>
      <sheetName val="Stat SHeet"/>
      <sheetName val="Qtr detail"/>
      <sheetName val="Rx Data"/>
      <sheetName val="Celexa"/>
      <sheetName val="Disclaimer"/>
      <sheetName val="IndexInformation"/>
      <sheetName val="MainCode"/>
      <sheetName val="NY UPLOAD shadow"/>
      <sheetName val="Module1"/>
      <sheetName val="Module2"/>
      <sheetName val="Module3"/>
      <sheetName val="Key Charts"/>
      <sheetName val="Qrt Sales"/>
      <sheetName val="WLAwork1"/>
      <sheetName val="Enbrel Assumptions"/>
    </sheetNames>
    <sheetDataSet>
      <sheetData sheetId="0" refreshError="1"/>
      <sheetData sheetId="1" refreshError="1"/>
      <sheetData sheetId="2" refreshError="1"/>
      <sheetData sheetId="3" refreshError="1">
        <row r="1">
          <cell r="A1" t="str">
            <v>Table 3</v>
          </cell>
          <cell r="C1" t="e">
            <v>#REF!</v>
          </cell>
          <cell r="D1">
            <v>36698.77703784722</v>
          </cell>
        </row>
        <row r="2">
          <cell r="A2" t="str">
            <v>Warner Lambert</v>
          </cell>
        </row>
        <row r="3">
          <cell r="A3" t="str">
            <v>Quarterly Income Statement Comparisons 1998 - 2005E</v>
          </cell>
        </row>
        <row r="4">
          <cell r="A4" t="str">
            <v>($ Millions Except Per Share Data)</v>
          </cell>
        </row>
        <row r="5">
          <cell r="H5" t="str">
            <v>Non-Operating Items</v>
          </cell>
          <cell r="Q5" t="str">
            <v>Tax</v>
          </cell>
          <cell r="T5" t="str">
            <v xml:space="preserve">  Shares</v>
          </cell>
        </row>
        <row r="6">
          <cell r="C6" t="str">
            <v>Cost of</v>
          </cell>
          <cell r="D6" t="str">
            <v xml:space="preserve">  Gross</v>
          </cell>
          <cell r="G6" t="str">
            <v xml:space="preserve">  Oper.</v>
          </cell>
          <cell r="H6" t="str">
            <v>Interest</v>
          </cell>
          <cell r="I6" t="str">
            <v>Interest</v>
          </cell>
          <cell r="J6" t="str">
            <v>Intang.</v>
          </cell>
          <cell r="K6" t="str">
            <v>Celexa</v>
          </cell>
          <cell r="L6" t="str">
            <v>Other</v>
          </cell>
          <cell r="N6" t="str">
            <v>Min.</v>
          </cell>
          <cell r="O6" t="str">
            <v xml:space="preserve">  Pretax </v>
          </cell>
          <cell r="Q6" t="str">
            <v>Rate</v>
          </cell>
          <cell r="R6" t="str">
            <v>Agouron</v>
          </cell>
          <cell r="S6" t="str">
            <v xml:space="preserve">  Net </v>
          </cell>
          <cell r="T6" t="str">
            <v xml:space="preserve">  Out.</v>
          </cell>
          <cell r="U6" t="str">
            <v>WLA</v>
          </cell>
          <cell r="W6" t="str">
            <v>(a)</v>
          </cell>
        </row>
        <row r="7">
          <cell r="B7" t="str">
            <v>Sales</v>
          </cell>
          <cell r="C7" t="str">
            <v xml:space="preserve"> Goods</v>
          </cell>
          <cell r="D7" t="str">
            <v xml:space="preserve">  Profit</v>
          </cell>
          <cell r="E7" t="str">
            <v>SG&amp;A</v>
          </cell>
          <cell r="F7" t="str">
            <v>R&amp;D</v>
          </cell>
          <cell r="G7" t="str">
            <v>Income</v>
          </cell>
          <cell r="H7" t="str">
            <v>Income</v>
          </cell>
          <cell r="I7" t="str">
            <v>Expense</v>
          </cell>
          <cell r="J7" t="str">
            <v>Amort.</v>
          </cell>
          <cell r="K7" t="str">
            <v>Inc.</v>
          </cell>
          <cell r="L7" t="str">
            <v>Inc</v>
          </cell>
          <cell r="M7" t="str">
            <v>Total</v>
          </cell>
          <cell r="N7" t="str">
            <v xml:space="preserve">Int. </v>
          </cell>
          <cell r="O7" t="str">
            <v xml:space="preserve">  Income</v>
          </cell>
          <cell r="P7" t="str">
            <v>Taxes</v>
          </cell>
          <cell r="Q7" t="str">
            <v xml:space="preserve">  (%)</v>
          </cell>
          <cell r="R7" t="str">
            <v>Net</v>
          </cell>
          <cell r="S7" t="str">
            <v>Inc.</v>
          </cell>
          <cell r="T7" t="str">
            <v>(MM)</v>
          </cell>
          <cell r="U7" t="str">
            <v xml:space="preserve">  EPS</v>
          </cell>
          <cell r="V7" t="str">
            <v>DPS</v>
          </cell>
          <cell r="W7" t="str">
            <v>EPS</v>
          </cell>
        </row>
        <row r="9">
          <cell r="A9" t="str">
            <v>1989</v>
          </cell>
          <cell r="B9">
            <v>4195.8999999999996</v>
          </cell>
          <cell r="C9">
            <v>1383.4</v>
          </cell>
          <cell r="D9">
            <v>2812.4999999999995</v>
          </cell>
          <cell r="E9">
            <v>1932.6</v>
          </cell>
          <cell r="F9">
            <v>308.8</v>
          </cell>
          <cell r="G9">
            <v>571.09999999999968</v>
          </cell>
          <cell r="H9">
            <v>0</v>
          </cell>
          <cell r="I9">
            <v>-55.6</v>
          </cell>
          <cell r="J9">
            <v>0</v>
          </cell>
          <cell r="L9">
            <v>76.2</v>
          </cell>
          <cell r="M9">
            <v>20.6</v>
          </cell>
          <cell r="N9">
            <v>0</v>
          </cell>
          <cell r="O9">
            <v>591.6999999999997</v>
          </cell>
          <cell r="P9">
            <v>179</v>
          </cell>
          <cell r="Q9">
            <v>0.30251816799053588</v>
          </cell>
          <cell r="S9">
            <v>412.6999999999997</v>
          </cell>
          <cell r="T9">
            <v>812.40000000000009</v>
          </cell>
          <cell r="U9">
            <v>0.50800098473658251</v>
          </cell>
          <cell r="W9">
            <v>0.32666666666666666</v>
          </cell>
        </row>
        <row r="11">
          <cell r="A11" t="str">
            <v>1990</v>
          </cell>
          <cell r="B11">
            <v>1100</v>
          </cell>
          <cell r="C11">
            <v>356.4</v>
          </cell>
          <cell r="D11">
            <v>743.6</v>
          </cell>
          <cell r="E11">
            <v>487.7</v>
          </cell>
          <cell r="F11">
            <v>81.3</v>
          </cell>
          <cell r="G11">
            <v>174.60000000000002</v>
          </cell>
          <cell r="H11">
            <v>0</v>
          </cell>
          <cell r="I11">
            <v>-20.7</v>
          </cell>
          <cell r="J11">
            <v>0</v>
          </cell>
          <cell r="L11">
            <v>17.899999999999999</v>
          </cell>
          <cell r="M11">
            <v>-2.8000000000000007</v>
          </cell>
          <cell r="N11">
            <v>0</v>
          </cell>
          <cell r="O11">
            <v>171.8</v>
          </cell>
          <cell r="P11">
            <v>51.5</v>
          </cell>
          <cell r="Q11">
            <v>0.29976717112922002</v>
          </cell>
          <cell r="S11">
            <v>120.30000000000001</v>
          </cell>
          <cell r="T11">
            <v>403.5</v>
          </cell>
          <cell r="U11">
            <v>0.29814126394052048</v>
          </cell>
          <cell r="W11">
            <v>0.29666666666666669</v>
          </cell>
        </row>
        <row r="12">
          <cell r="B12">
            <v>1154.8</v>
          </cell>
          <cell r="C12">
            <v>363.6</v>
          </cell>
          <cell r="D12">
            <v>791.19999999999993</v>
          </cell>
          <cell r="E12">
            <v>519.1</v>
          </cell>
          <cell r="F12">
            <v>85.9</v>
          </cell>
          <cell r="G12">
            <v>186.1999999999999</v>
          </cell>
          <cell r="H12">
            <v>0</v>
          </cell>
          <cell r="I12">
            <v>-16.7</v>
          </cell>
          <cell r="J12">
            <v>0</v>
          </cell>
          <cell r="L12">
            <v>19.600000000000001</v>
          </cell>
          <cell r="M12">
            <v>2.9000000000000021</v>
          </cell>
          <cell r="N12">
            <v>0</v>
          </cell>
          <cell r="O12">
            <v>189.09999999999991</v>
          </cell>
          <cell r="P12">
            <v>54.6</v>
          </cell>
          <cell r="Q12">
            <v>0.28873611845584363</v>
          </cell>
          <cell r="S12">
            <v>134.49999999999991</v>
          </cell>
          <cell r="T12">
            <v>402.59999999999997</v>
          </cell>
          <cell r="U12">
            <v>0.33407848981619453</v>
          </cell>
          <cell r="W12">
            <v>0.42796820665673002</v>
          </cell>
        </row>
        <row r="13">
          <cell r="B13">
            <v>1186.7</v>
          </cell>
          <cell r="C13">
            <v>389.7</v>
          </cell>
          <cell r="D13">
            <v>797</v>
          </cell>
          <cell r="E13">
            <v>519.1</v>
          </cell>
          <cell r="F13">
            <v>101.6</v>
          </cell>
          <cell r="G13">
            <v>176.29999999999998</v>
          </cell>
          <cell r="H13">
            <v>0</v>
          </cell>
          <cell r="I13">
            <v>-15.1</v>
          </cell>
          <cell r="J13">
            <v>0</v>
          </cell>
          <cell r="L13">
            <v>15.5</v>
          </cell>
          <cell r="M13">
            <v>0.40000000000000036</v>
          </cell>
          <cell r="N13">
            <v>0</v>
          </cell>
          <cell r="O13">
            <v>176.7</v>
          </cell>
          <cell r="P13">
            <v>52</v>
          </cell>
          <cell r="Q13">
            <v>0.29428409734012451</v>
          </cell>
          <cell r="S13">
            <v>124.69999999999999</v>
          </cell>
          <cell r="T13">
            <v>402.90000000000003</v>
          </cell>
          <cell r="U13">
            <v>0.30950608091337795</v>
          </cell>
          <cell r="W13">
            <v>0.29511044924298835</v>
          </cell>
        </row>
        <row r="14">
          <cell r="B14">
            <v>1245.5</v>
          </cell>
          <cell r="C14">
            <v>405.7</v>
          </cell>
          <cell r="D14">
            <v>839.8</v>
          </cell>
          <cell r="E14">
            <v>603.79999999999995</v>
          </cell>
          <cell r="F14">
            <v>110.5</v>
          </cell>
          <cell r="G14">
            <v>125.5</v>
          </cell>
          <cell r="H14">
            <v>0</v>
          </cell>
          <cell r="I14">
            <v>-16.2</v>
          </cell>
          <cell r="J14">
            <v>0</v>
          </cell>
          <cell r="L14">
            <v>33.9</v>
          </cell>
          <cell r="M14">
            <v>17.7</v>
          </cell>
          <cell r="N14">
            <v>0</v>
          </cell>
          <cell r="O14">
            <v>143.19999999999999</v>
          </cell>
          <cell r="P14">
            <v>37.700000000000003</v>
          </cell>
          <cell r="Q14">
            <v>0.26326815642458107</v>
          </cell>
          <cell r="S14">
            <v>105.49999999999999</v>
          </cell>
          <cell r="T14">
            <v>402.90000000000003</v>
          </cell>
          <cell r="U14">
            <v>0.26185157607346732</v>
          </cell>
          <cell r="W14">
            <v>0.27450980392156865</v>
          </cell>
        </row>
        <row r="16">
          <cell r="A16" t="str">
            <v>1990</v>
          </cell>
          <cell r="B16">
            <v>4687</v>
          </cell>
          <cell r="C16">
            <v>1515.4</v>
          </cell>
          <cell r="D16">
            <v>3171.6</v>
          </cell>
          <cell r="E16">
            <v>2129.6999999999998</v>
          </cell>
          <cell r="F16">
            <v>379.29999999999995</v>
          </cell>
          <cell r="G16">
            <v>662.59999999999991</v>
          </cell>
          <cell r="H16">
            <v>0</v>
          </cell>
          <cell r="I16">
            <v>-68.7</v>
          </cell>
          <cell r="J16">
            <v>0</v>
          </cell>
          <cell r="L16">
            <v>86.9</v>
          </cell>
          <cell r="M16">
            <v>18.200000000000003</v>
          </cell>
          <cell r="N16">
            <v>0</v>
          </cell>
          <cell r="O16">
            <v>680.8</v>
          </cell>
          <cell r="P16">
            <v>195.8</v>
          </cell>
          <cell r="Q16">
            <v>0.2876028202115159</v>
          </cell>
          <cell r="S16">
            <v>484.99999999999989</v>
          </cell>
          <cell r="T16">
            <v>402.90000000000003</v>
          </cell>
          <cell r="U16">
            <v>1.2037726482998259</v>
          </cell>
          <cell r="W16">
            <v>1.2966666666666666</v>
          </cell>
        </row>
        <row r="18">
          <cell r="A18" t="str">
            <v>1991</v>
          </cell>
          <cell r="B18">
            <v>1217.2</v>
          </cell>
          <cell r="C18">
            <v>379.7</v>
          </cell>
          <cell r="D18">
            <v>837.5</v>
          </cell>
          <cell r="E18">
            <v>555.79999999999995</v>
          </cell>
          <cell r="F18">
            <v>94.7</v>
          </cell>
          <cell r="G18">
            <v>187.00000000000006</v>
          </cell>
          <cell r="H18">
            <v>0</v>
          </cell>
          <cell r="I18">
            <v>-16.399999999999999</v>
          </cell>
          <cell r="J18">
            <v>0</v>
          </cell>
          <cell r="L18">
            <v>21.8</v>
          </cell>
          <cell r="M18">
            <v>5.4000000000000021</v>
          </cell>
          <cell r="N18">
            <v>0</v>
          </cell>
          <cell r="O18">
            <v>192.40000000000006</v>
          </cell>
          <cell r="P18">
            <v>52.9</v>
          </cell>
          <cell r="Q18">
            <v>0.27494802494802484</v>
          </cell>
          <cell r="S18">
            <v>139.50000000000006</v>
          </cell>
          <cell r="T18">
            <v>806.40000000000009</v>
          </cell>
          <cell r="U18">
            <v>0.17299107142857148</v>
          </cell>
          <cell r="W18">
            <v>0.17299107142857131</v>
          </cell>
        </row>
        <row r="19">
          <cell r="B19">
            <v>1238.2</v>
          </cell>
          <cell r="C19">
            <v>394.8</v>
          </cell>
          <cell r="D19">
            <v>843.40000000000009</v>
          </cell>
          <cell r="E19">
            <v>544.6</v>
          </cell>
          <cell r="F19">
            <v>101.4</v>
          </cell>
          <cell r="G19">
            <v>197.40000000000006</v>
          </cell>
          <cell r="H19">
            <v>0</v>
          </cell>
          <cell r="I19">
            <v>-14.4</v>
          </cell>
          <cell r="J19">
            <v>0</v>
          </cell>
          <cell r="L19">
            <v>27.5</v>
          </cell>
          <cell r="M19">
            <v>13.1</v>
          </cell>
          <cell r="N19">
            <v>0</v>
          </cell>
          <cell r="O19">
            <v>210.50000000000006</v>
          </cell>
          <cell r="P19">
            <v>55.9</v>
          </cell>
          <cell r="Q19">
            <v>0.26555819477434672</v>
          </cell>
          <cell r="S19">
            <v>154.60000000000005</v>
          </cell>
          <cell r="T19">
            <v>806.40000000000009</v>
          </cell>
          <cell r="U19">
            <v>0.19171626984126988</v>
          </cell>
          <cell r="W19">
            <v>0.19171626984126999</v>
          </cell>
        </row>
        <row r="20">
          <cell r="B20">
            <v>1266.5</v>
          </cell>
          <cell r="C20">
            <v>410.6</v>
          </cell>
          <cell r="D20">
            <v>855.9</v>
          </cell>
          <cell r="E20">
            <v>562.29999999999995</v>
          </cell>
          <cell r="F20">
            <v>106.1</v>
          </cell>
          <cell r="G20">
            <v>187.50000000000003</v>
          </cell>
          <cell r="H20">
            <v>0</v>
          </cell>
          <cell r="I20">
            <v>-12.9</v>
          </cell>
          <cell r="J20">
            <v>0</v>
          </cell>
          <cell r="L20">
            <v>22.4</v>
          </cell>
          <cell r="M20">
            <v>9.4999999999999982</v>
          </cell>
          <cell r="N20">
            <v>0</v>
          </cell>
          <cell r="O20">
            <v>197.00000000000003</v>
          </cell>
          <cell r="P20">
            <v>53.2</v>
          </cell>
          <cell r="Q20">
            <v>0.27005076142131978</v>
          </cell>
          <cell r="S20">
            <v>143.80000000000001</v>
          </cell>
          <cell r="T20">
            <v>806.40000000000009</v>
          </cell>
          <cell r="U20">
            <v>0.1783234126984127</v>
          </cell>
          <cell r="W20">
            <v>0.17212301587301601</v>
          </cell>
        </row>
        <row r="21">
          <cell r="B21">
            <v>1337.8</v>
          </cell>
          <cell r="C21">
            <v>441.3</v>
          </cell>
          <cell r="D21">
            <v>896.5</v>
          </cell>
          <cell r="E21">
            <v>630.6</v>
          </cell>
          <cell r="F21">
            <v>121</v>
          </cell>
          <cell r="G21">
            <v>144.89999999999998</v>
          </cell>
          <cell r="H21">
            <v>0</v>
          </cell>
          <cell r="I21">
            <v>-14.5</v>
          </cell>
          <cell r="J21">
            <v>0</v>
          </cell>
          <cell r="L21">
            <v>35.9</v>
          </cell>
          <cell r="M21">
            <v>21.4</v>
          </cell>
          <cell r="N21">
            <v>0</v>
          </cell>
          <cell r="O21">
            <v>166.29999999999998</v>
          </cell>
          <cell r="P21">
            <v>44.7</v>
          </cell>
          <cell r="Q21">
            <v>0.26879134095009022</v>
          </cell>
          <cell r="S21">
            <v>121.59999999999998</v>
          </cell>
          <cell r="T21">
            <v>807</v>
          </cell>
          <cell r="U21">
            <v>0.15068153655514246</v>
          </cell>
          <cell r="W21">
            <v>0.15068153655514266</v>
          </cell>
        </row>
        <row r="23">
          <cell r="A23" t="str">
            <v>1991</v>
          </cell>
          <cell r="B23">
            <v>5059.7</v>
          </cell>
          <cell r="C23">
            <v>1626.3999999999999</v>
          </cell>
          <cell r="D23">
            <v>3433.3</v>
          </cell>
          <cell r="E23">
            <v>2293.3000000000002</v>
          </cell>
          <cell r="F23">
            <v>423.20000000000005</v>
          </cell>
          <cell r="G23">
            <v>716.80000000000007</v>
          </cell>
          <cell r="H23">
            <v>0</v>
          </cell>
          <cell r="I23">
            <v>-58.199999999999996</v>
          </cell>
          <cell r="J23">
            <v>0</v>
          </cell>
          <cell r="L23">
            <v>107.6</v>
          </cell>
          <cell r="M23">
            <v>49.4</v>
          </cell>
          <cell r="N23">
            <v>0</v>
          </cell>
          <cell r="O23">
            <v>766.2</v>
          </cell>
          <cell r="P23">
            <v>206.7</v>
          </cell>
          <cell r="Q23">
            <v>0.26977290524667186</v>
          </cell>
          <cell r="S23">
            <v>559.50000000000011</v>
          </cell>
          <cell r="T23">
            <v>806.40000000000009</v>
          </cell>
          <cell r="U23">
            <v>0.69382440476190488</v>
          </cell>
          <cell r="W23">
            <v>0.68666666666666665</v>
          </cell>
        </row>
        <row r="24">
          <cell r="E24">
            <v>2292.4</v>
          </cell>
        </row>
        <row r="25">
          <cell r="A25" t="str">
            <v>1992</v>
          </cell>
          <cell r="B25">
            <v>1311.5</v>
          </cell>
          <cell r="C25">
            <v>400.9</v>
          </cell>
          <cell r="D25">
            <v>910.6</v>
          </cell>
          <cell r="E25">
            <v>586.9</v>
          </cell>
          <cell r="F25">
            <v>115.1</v>
          </cell>
          <cell r="G25">
            <v>208.60000000000005</v>
          </cell>
          <cell r="H25">
            <v>0</v>
          </cell>
          <cell r="I25">
            <v>-18.899999999999999</v>
          </cell>
          <cell r="J25">
            <v>0</v>
          </cell>
          <cell r="L25">
            <v>32.9</v>
          </cell>
          <cell r="M25">
            <v>14</v>
          </cell>
          <cell r="N25">
            <v>0</v>
          </cell>
          <cell r="O25">
            <v>222.60000000000005</v>
          </cell>
          <cell r="P25">
            <v>59</v>
          </cell>
          <cell r="Q25">
            <v>0.26504941599281218</v>
          </cell>
          <cell r="S25">
            <v>163.60000000000005</v>
          </cell>
          <cell r="T25">
            <v>807.59999999999991</v>
          </cell>
          <cell r="U25">
            <v>0.20257553244180296</v>
          </cell>
          <cell r="W25">
            <v>0.20333333333333334</v>
          </cell>
        </row>
        <row r="26">
          <cell r="B26">
            <v>1373.3</v>
          </cell>
          <cell r="C26">
            <v>434.2</v>
          </cell>
          <cell r="D26">
            <v>939.09999999999991</v>
          </cell>
          <cell r="E26">
            <v>596.70000000000005</v>
          </cell>
          <cell r="F26">
            <v>105.8</v>
          </cell>
          <cell r="G26">
            <v>236.59999999999985</v>
          </cell>
          <cell r="H26">
            <v>0</v>
          </cell>
          <cell r="I26">
            <v>-18</v>
          </cell>
          <cell r="J26">
            <v>0</v>
          </cell>
          <cell r="L26">
            <v>20</v>
          </cell>
          <cell r="M26">
            <v>2</v>
          </cell>
          <cell r="N26">
            <v>0</v>
          </cell>
          <cell r="O26">
            <v>238.59999999999985</v>
          </cell>
          <cell r="P26">
            <v>61</v>
          </cell>
          <cell r="Q26">
            <v>0.25565800502933794</v>
          </cell>
          <cell r="S26">
            <v>177.59999999999985</v>
          </cell>
          <cell r="T26">
            <v>807.59999999999991</v>
          </cell>
          <cell r="U26">
            <v>0.21991084695393742</v>
          </cell>
          <cell r="W26">
            <v>0.23333333333333331</v>
          </cell>
        </row>
        <row r="27">
          <cell r="B27">
            <v>1438.3</v>
          </cell>
          <cell r="C27">
            <v>481.2</v>
          </cell>
          <cell r="D27">
            <v>957.09999999999991</v>
          </cell>
          <cell r="E27">
            <v>619.6</v>
          </cell>
          <cell r="F27">
            <v>116.03</v>
          </cell>
          <cell r="G27">
            <v>221.46999999999989</v>
          </cell>
          <cell r="H27">
            <v>0</v>
          </cell>
          <cell r="I27">
            <v>-21</v>
          </cell>
          <cell r="J27">
            <v>0</v>
          </cell>
          <cell r="L27">
            <v>22.1</v>
          </cell>
          <cell r="M27">
            <v>1.1000000000000014</v>
          </cell>
          <cell r="N27">
            <v>0</v>
          </cell>
          <cell r="O27">
            <v>222.56999999999988</v>
          </cell>
          <cell r="P27">
            <v>57.85</v>
          </cell>
          <cell r="Q27">
            <v>0.25991822797322206</v>
          </cell>
          <cell r="S27">
            <v>164.71999999999989</v>
          </cell>
          <cell r="T27">
            <v>807.93600000000004</v>
          </cell>
          <cell r="U27">
            <v>0.20387753485424573</v>
          </cell>
          <cell r="W27">
            <v>0.20333333333333334</v>
          </cell>
        </row>
        <row r="28">
          <cell r="B28">
            <v>1474.412</v>
          </cell>
          <cell r="C28">
            <v>498</v>
          </cell>
          <cell r="D28">
            <v>976.41200000000003</v>
          </cell>
          <cell r="E28">
            <v>677.6</v>
          </cell>
          <cell r="F28">
            <v>136.5</v>
          </cell>
          <cell r="G28">
            <v>162.31200000000001</v>
          </cell>
          <cell r="H28">
            <v>0</v>
          </cell>
          <cell r="I28">
            <v>-18</v>
          </cell>
          <cell r="J28">
            <v>0</v>
          </cell>
          <cell r="L28">
            <v>30.5</v>
          </cell>
          <cell r="M28">
            <v>12.5</v>
          </cell>
          <cell r="N28">
            <v>0</v>
          </cell>
          <cell r="O28">
            <v>174.81200000000001</v>
          </cell>
          <cell r="P28">
            <v>36.765000000000001</v>
          </cell>
          <cell r="Q28">
            <v>0.2103116490858751</v>
          </cell>
          <cell r="S28">
            <v>138.04700000000003</v>
          </cell>
          <cell r="T28">
            <v>808.30200000000013</v>
          </cell>
          <cell r="U28">
            <v>0.1707864139888309</v>
          </cell>
          <cell r="W28">
            <v>0.17</v>
          </cell>
        </row>
        <row r="30">
          <cell r="A30" t="str">
            <v>1992</v>
          </cell>
          <cell r="B30">
            <v>5597.5120000000006</v>
          </cell>
          <cell r="C30">
            <v>1814.3</v>
          </cell>
          <cell r="D30">
            <v>3783.2120000000004</v>
          </cell>
          <cell r="E30">
            <v>2480.7999999999997</v>
          </cell>
          <cell r="F30">
            <v>473.42999999999995</v>
          </cell>
          <cell r="G30">
            <v>828.98199999999986</v>
          </cell>
          <cell r="H30">
            <v>0</v>
          </cell>
          <cell r="I30">
            <v>-75.900000000000006</v>
          </cell>
          <cell r="J30">
            <v>0</v>
          </cell>
          <cell r="L30">
            <v>105.5</v>
          </cell>
          <cell r="M30">
            <v>29.6</v>
          </cell>
          <cell r="N30">
            <v>0</v>
          </cell>
          <cell r="O30">
            <v>858.58199999999977</v>
          </cell>
          <cell r="P30">
            <v>214.61500000000001</v>
          </cell>
          <cell r="Q30">
            <v>0.24996447631094068</v>
          </cell>
          <cell r="S30">
            <v>643.96699999999987</v>
          </cell>
          <cell r="T30">
            <v>808.19999999999993</v>
          </cell>
          <cell r="U30">
            <v>0.79679163573372913</v>
          </cell>
          <cell r="W30">
            <v>0.81</v>
          </cell>
        </row>
        <row r="32">
          <cell r="A32" t="str">
            <v>1993</v>
          </cell>
          <cell r="B32">
            <v>1331.7</v>
          </cell>
          <cell r="C32">
            <v>410.9</v>
          </cell>
          <cell r="D32">
            <v>920.80000000000007</v>
          </cell>
          <cell r="E32">
            <v>588</v>
          </cell>
          <cell r="F32">
            <v>110.7</v>
          </cell>
          <cell r="G32">
            <v>222.10000000000008</v>
          </cell>
          <cell r="H32">
            <v>9.5</v>
          </cell>
          <cell r="I32">
            <v>-14</v>
          </cell>
          <cell r="J32">
            <v>-2.8</v>
          </cell>
          <cell r="L32">
            <v>30.099999999999998</v>
          </cell>
          <cell r="M32">
            <v>22.799999999999997</v>
          </cell>
          <cell r="N32">
            <v>0.1</v>
          </cell>
          <cell r="O32">
            <v>245.00000000000009</v>
          </cell>
          <cell r="P32">
            <v>63.7</v>
          </cell>
          <cell r="Q32">
            <v>0.2599999999999999</v>
          </cell>
          <cell r="S32">
            <v>181.30000000000007</v>
          </cell>
          <cell r="T32">
            <v>812.178</v>
          </cell>
          <cell r="U32">
            <v>0.2232269280871928</v>
          </cell>
          <cell r="W32">
            <v>0.22333333333333336</v>
          </cell>
        </row>
        <row r="33">
          <cell r="B33">
            <v>1449.7</v>
          </cell>
          <cell r="C33">
            <v>471.9</v>
          </cell>
          <cell r="D33">
            <v>977.80000000000007</v>
          </cell>
          <cell r="E33">
            <v>630</v>
          </cell>
          <cell r="F33">
            <v>107.7</v>
          </cell>
          <cell r="G33">
            <v>240.10000000000008</v>
          </cell>
          <cell r="H33">
            <v>9.5</v>
          </cell>
          <cell r="I33">
            <v>-16</v>
          </cell>
          <cell r="J33">
            <v>-2.8</v>
          </cell>
          <cell r="L33">
            <v>19.399999999999999</v>
          </cell>
          <cell r="M33">
            <v>10.099999999999998</v>
          </cell>
          <cell r="N33">
            <v>0.1</v>
          </cell>
          <cell r="O33">
            <v>250.30000000000007</v>
          </cell>
          <cell r="P33">
            <v>60.1</v>
          </cell>
          <cell r="Q33">
            <v>0.24011186576108665</v>
          </cell>
          <cell r="S33">
            <v>190.20000000000007</v>
          </cell>
          <cell r="T33">
            <v>811.19999999999993</v>
          </cell>
          <cell r="U33">
            <v>0.23446745562130189</v>
          </cell>
          <cell r="W33">
            <v>0.23333333333333331</v>
          </cell>
        </row>
        <row r="34">
          <cell r="B34">
            <v>1478.5</v>
          </cell>
          <cell r="C34">
            <v>498.3</v>
          </cell>
          <cell r="D34">
            <v>980.2</v>
          </cell>
          <cell r="E34">
            <v>665.3</v>
          </cell>
          <cell r="F34">
            <v>118.5</v>
          </cell>
          <cell r="G34">
            <v>196.40000000000009</v>
          </cell>
          <cell r="H34">
            <v>10.4</v>
          </cell>
          <cell r="I34">
            <v>-18</v>
          </cell>
          <cell r="J34">
            <v>-2.9</v>
          </cell>
          <cell r="L34">
            <v>8.0999999999999979</v>
          </cell>
          <cell r="M34">
            <v>-2.4000000000000021</v>
          </cell>
          <cell r="N34">
            <v>0.1</v>
          </cell>
          <cell r="O34">
            <v>194.10000000000008</v>
          </cell>
          <cell r="P34">
            <v>38.1</v>
          </cell>
          <cell r="Q34">
            <v>0.19629057187016993</v>
          </cell>
          <cell r="S34">
            <v>156.00000000000009</v>
          </cell>
          <cell r="T34">
            <v>809.40000000000009</v>
          </cell>
          <cell r="U34">
            <v>0.19273535952557458</v>
          </cell>
          <cell r="W34">
            <v>0.19333333333333333</v>
          </cell>
        </row>
        <row r="35">
          <cell r="B35">
            <v>1533.8</v>
          </cell>
          <cell r="C35">
            <v>537</v>
          </cell>
          <cell r="D35">
            <v>996.8</v>
          </cell>
          <cell r="E35">
            <v>712.8</v>
          </cell>
          <cell r="F35">
            <v>128</v>
          </cell>
          <cell r="G35">
            <v>156</v>
          </cell>
          <cell r="H35">
            <v>10.3</v>
          </cell>
          <cell r="I35">
            <v>-16.2</v>
          </cell>
          <cell r="J35">
            <v>-2.9</v>
          </cell>
          <cell r="L35">
            <v>6.9000000000000448</v>
          </cell>
          <cell r="M35">
            <v>-1.8999999999999542</v>
          </cell>
          <cell r="N35">
            <v>0.2</v>
          </cell>
          <cell r="O35">
            <v>154.30000000000004</v>
          </cell>
          <cell r="P35">
            <v>36.399999999999977</v>
          </cell>
          <cell r="Q35">
            <v>0.2359040829552817</v>
          </cell>
          <cell r="S35">
            <v>117.90000000000006</v>
          </cell>
          <cell r="T35">
            <v>806.40000000000009</v>
          </cell>
          <cell r="U35">
            <v>0.14620535714285721</v>
          </cell>
          <cell r="W35">
            <v>-0.24</v>
          </cell>
        </row>
        <row r="37">
          <cell r="A37" t="str">
            <v>1993</v>
          </cell>
          <cell r="B37">
            <v>5793.7</v>
          </cell>
          <cell r="C37">
            <v>1918.1</v>
          </cell>
          <cell r="D37">
            <v>3875.6</v>
          </cell>
          <cell r="E37">
            <v>2596.1</v>
          </cell>
          <cell r="F37">
            <v>464.9</v>
          </cell>
          <cell r="G37">
            <v>814.60000000000025</v>
          </cell>
          <cell r="H37">
            <v>39.700000000000003</v>
          </cell>
          <cell r="I37">
            <v>-64.2</v>
          </cell>
          <cell r="J37">
            <v>-11.4</v>
          </cell>
          <cell r="L37">
            <v>64.500000000000043</v>
          </cell>
          <cell r="M37">
            <v>28.600000000000037</v>
          </cell>
          <cell r="N37">
            <v>0.5</v>
          </cell>
          <cell r="O37">
            <v>843.70000000000039</v>
          </cell>
          <cell r="P37">
            <v>198.29999999999998</v>
          </cell>
          <cell r="Q37">
            <v>0.23503615029038746</v>
          </cell>
          <cell r="S37">
            <v>645.40000000000032</v>
          </cell>
          <cell r="T37">
            <v>810</v>
          </cell>
          <cell r="U37">
            <v>0.79679012345679057</v>
          </cell>
          <cell r="W37">
            <v>0.41</v>
          </cell>
        </row>
        <row r="39">
          <cell r="A39" t="str">
            <v>94/93</v>
          </cell>
          <cell r="B39">
            <v>0.10754750850061279</v>
          </cell>
          <cell r="C39">
            <v>0.12355977269172613</v>
          </cell>
          <cell r="D39">
            <v>9.9622768087522129E-2</v>
          </cell>
          <cell r="E39">
            <v>5.365740919070916E-2</v>
          </cell>
          <cell r="F39">
            <v>-1.9143901914390193E-2</v>
          </cell>
          <cell r="G39">
            <v>0.31389393567394963</v>
          </cell>
          <cell r="H39">
            <v>0.25188916876574297</v>
          </cell>
          <cell r="I39">
            <v>0.45950155763239864</v>
          </cell>
          <cell r="J39">
            <v>9.6491228070175294E-2</v>
          </cell>
          <cell r="L39">
            <v>-1.1317829457364341</v>
          </cell>
          <cell r="M39" t="str">
            <v xml:space="preserve">    NM</v>
          </cell>
          <cell r="N39" t="str">
            <v xml:space="preserve">    NM</v>
          </cell>
          <cell r="O39">
            <v>8.2235391726916518E-2</v>
          </cell>
          <cell r="P39">
            <v>0.10489157841654073</v>
          </cell>
          <cell r="Q39">
            <v>2.093462001226154E-2</v>
          </cell>
          <cell r="S39">
            <v>7.5274248528043985E-2</v>
          </cell>
          <cell r="T39">
            <v>-6.6666666666668206E-3</v>
          </cell>
          <cell r="U39">
            <v>8.3514099783079665E-2</v>
          </cell>
          <cell r="W39">
            <v>1.1056910569105689</v>
          </cell>
        </row>
        <row r="40">
          <cell r="A40" t="str">
            <v>1994</v>
          </cell>
        </row>
        <row r="41">
          <cell r="A41" t="str">
            <v xml:space="preserve"> 1Q</v>
          </cell>
          <cell r="B41">
            <v>1472.895</v>
          </cell>
          <cell r="C41">
            <v>479</v>
          </cell>
          <cell r="D41">
            <v>993.89499999999998</v>
          </cell>
          <cell r="E41">
            <v>612.40000000000009</v>
          </cell>
          <cell r="F41">
            <v>97.9</v>
          </cell>
          <cell r="G41">
            <v>283.59499999999991</v>
          </cell>
          <cell r="H41">
            <v>9.6</v>
          </cell>
          <cell r="I41">
            <v>-18.399999999999999</v>
          </cell>
          <cell r="J41">
            <v>-3.1</v>
          </cell>
          <cell r="L41">
            <v>1.8999999999999986</v>
          </cell>
          <cell r="M41">
            <v>-10</v>
          </cell>
          <cell r="N41">
            <v>-19.815999999999999</v>
          </cell>
          <cell r="O41">
            <v>253.77899999999991</v>
          </cell>
          <cell r="P41">
            <v>63.4</v>
          </cell>
          <cell r="Q41">
            <v>0.24982366547271453</v>
          </cell>
          <cell r="S41">
            <v>190.37899999999991</v>
          </cell>
          <cell r="T41">
            <v>803.09999999999991</v>
          </cell>
          <cell r="U41">
            <v>0.23666666666666666</v>
          </cell>
          <cell r="W41">
            <v>0.23666666666666666</v>
          </cell>
        </row>
        <row r="42">
          <cell r="A42" t="str">
            <v xml:space="preserve"> 2Q</v>
          </cell>
          <cell r="B42">
            <v>1552.203</v>
          </cell>
          <cell r="C42">
            <v>509.3</v>
          </cell>
          <cell r="D42">
            <v>1042.903</v>
          </cell>
          <cell r="E42">
            <v>657</v>
          </cell>
          <cell r="F42">
            <v>100.5</v>
          </cell>
          <cell r="G42">
            <v>285.40300000000002</v>
          </cell>
          <cell r="H42">
            <v>14.5</v>
          </cell>
          <cell r="I42">
            <v>-23.8</v>
          </cell>
          <cell r="J42">
            <v>-3.1</v>
          </cell>
          <cell r="L42">
            <v>1.0999999999999996</v>
          </cell>
          <cell r="M42">
            <v>-11.3</v>
          </cell>
          <cell r="N42">
            <v>-18.600000000000001</v>
          </cell>
          <cell r="O42">
            <v>255.50300000000001</v>
          </cell>
          <cell r="P42">
            <v>58.8</v>
          </cell>
          <cell r="Q42">
            <v>0.23013428413756393</v>
          </cell>
          <cell r="S42">
            <v>196.70300000000003</v>
          </cell>
          <cell r="T42">
            <v>802.7940000000001</v>
          </cell>
          <cell r="U42">
            <v>0.24666666666666667</v>
          </cell>
          <cell r="W42">
            <v>0.24666666666666667</v>
          </cell>
        </row>
        <row r="43">
          <cell r="A43" t="str">
            <v xml:space="preserve"> 3Q</v>
          </cell>
          <cell r="B43">
            <v>1671</v>
          </cell>
          <cell r="C43">
            <v>569.4</v>
          </cell>
          <cell r="D43">
            <v>1101.5999999999999</v>
          </cell>
          <cell r="E43">
            <v>701.1</v>
          </cell>
          <cell r="F43">
            <v>124.2</v>
          </cell>
          <cell r="G43">
            <v>276.2999999999999</v>
          </cell>
          <cell r="H43">
            <v>14.6</v>
          </cell>
          <cell r="I43">
            <v>-26</v>
          </cell>
          <cell r="J43">
            <v>-3.1</v>
          </cell>
          <cell r="L43">
            <v>-4.4000000000000004</v>
          </cell>
          <cell r="M43">
            <v>-18.899999999999999</v>
          </cell>
          <cell r="N43">
            <v>-34.700000000000003</v>
          </cell>
          <cell r="O43">
            <v>222.69999999999993</v>
          </cell>
          <cell r="P43">
            <v>53.5</v>
          </cell>
          <cell r="Q43">
            <v>0.24023349797934448</v>
          </cell>
          <cell r="S43">
            <v>169.19999999999993</v>
          </cell>
          <cell r="T43">
            <v>805.19999999999993</v>
          </cell>
          <cell r="U43">
            <v>0.21</v>
          </cell>
          <cell r="W43">
            <v>0.21</v>
          </cell>
        </row>
        <row r="44">
          <cell r="A44" t="str">
            <v xml:space="preserve"> 4Q</v>
          </cell>
          <cell r="B44">
            <v>1720.7</v>
          </cell>
          <cell r="C44">
            <v>597.4</v>
          </cell>
          <cell r="D44">
            <v>1123.3000000000002</v>
          </cell>
          <cell r="E44">
            <v>764.90000000000009</v>
          </cell>
          <cell r="F44">
            <v>133.4</v>
          </cell>
          <cell r="G44">
            <v>225.00000000000009</v>
          </cell>
          <cell r="H44">
            <v>11</v>
          </cell>
          <cell r="I44">
            <v>-25.5</v>
          </cell>
          <cell r="J44">
            <v>-3.2</v>
          </cell>
          <cell r="L44">
            <v>-7.1000000000000005</v>
          </cell>
          <cell r="M44">
            <v>-24.8</v>
          </cell>
          <cell r="N44">
            <v>-19.100000000000001</v>
          </cell>
          <cell r="O44">
            <v>181.10000000000008</v>
          </cell>
          <cell r="P44">
            <v>43.4</v>
          </cell>
          <cell r="Q44">
            <v>0.23964660408614014</v>
          </cell>
          <cell r="S44">
            <v>137.70000000000007</v>
          </cell>
          <cell r="T44">
            <v>807.24599999999998</v>
          </cell>
          <cell r="U44">
            <v>0.17</v>
          </cell>
          <cell r="W44">
            <v>0.17</v>
          </cell>
        </row>
        <row r="46">
          <cell r="A46" t="str">
            <v>1994</v>
          </cell>
          <cell r="B46">
            <v>6416.7979999999998</v>
          </cell>
          <cell r="C46">
            <v>2155.1</v>
          </cell>
          <cell r="D46">
            <v>4261.6980000000003</v>
          </cell>
          <cell r="E46">
            <v>2735.4</v>
          </cell>
          <cell r="F46">
            <v>456</v>
          </cell>
          <cell r="G46">
            <v>1070.2979999999998</v>
          </cell>
          <cell r="H46">
            <v>49.7</v>
          </cell>
          <cell r="I46">
            <v>-93.7</v>
          </cell>
          <cell r="J46">
            <v>-12.5</v>
          </cell>
          <cell r="L46">
            <v>-8.5000000000000036</v>
          </cell>
          <cell r="M46">
            <v>-65</v>
          </cell>
          <cell r="N46">
            <v>-92.216000000000008</v>
          </cell>
          <cell r="O46">
            <v>913.08199999999988</v>
          </cell>
          <cell r="P46">
            <v>219.1</v>
          </cell>
          <cell r="Q46">
            <v>0.23995654278586154</v>
          </cell>
          <cell r="S46">
            <v>693.98199999999997</v>
          </cell>
          <cell r="T46">
            <v>804.59999999999991</v>
          </cell>
          <cell r="U46">
            <v>0.86333333333333329</v>
          </cell>
          <cell r="W46">
            <v>0.86333333333333329</v>
          </cell>
        </row>
        <row r="48">
          <cell r="A48" t="str">
            <v>95/94</v>
          </cell>
        </row>
        <row r="49">
          <cell r="A49" t="str">
            <v xml:space="preserve"> 1Q</v>
          </cell>
          <cell r="B49">
            <v>8.9419137141479865E-2</v>
          </cell>
          <cell r="C49">
            <v>0.11127348643006263</v>
          </cell>
          <cell r="D49">
            <v>7.888660270954162E-2</v>
          </cell>
          <cell r="E49">
            <v>2.5310254735466886E-2</v>
          </cell>
          <cell r="F49">
            <v>0.16751787538304375</v>
          </cell>
          <cell r="G49">
            <v>0.16398385020892503</v>
          </cell>
          <cell r="H49">
            <v>0.30208333333333348</v>
          </cell>
          <cell r="I49">
            <v>0.5869565217391306</v>
          </cell>
          <cell r="J49">
            <v>0.12903225806451601</v>
          </cell>
          <cell r="L49" t="str">
            <v xml:space="preserve">    NM</v>
          </cell>
          <cell r="M49">
            <v>1.1200000000000001</v>
          </cell>
          <cell r="N49">
            <v>0.52906742026645137</v>
          </cell>
          <cell r="O49">
            <v>9.7805570988931612E-2</v>
          </cell>
          <cell r="P49">
            <v>0.21766561514195581</v>
          </cell>
          <cell r="Q49">
            <v>0.10918148652229132</v>
          </cell>
          <cell r="S49">
            <v>5.788978826446245E-2</v>
          </cell>
          <cell r="T49">
            <v>5.7900635039223047E-3</v>
          </cell>
          <cell r="U49">
            <v>5.6338028169014009E-2</v>
          </cell>
          <cell r="W49">
            <v>5.6338028169014009E-2</v>
          </cell>
        </row>
        <row r="50">
          <cell r="A50" t="str">
            <v xml:space="preserve"> 2Q</v>
          </cell>
          <cell r="B50">
            <v>0.15938443618521547</v>
          </cell>
          <cell r="C50">
            <v>0.20086393088552912</v>
          </cell>
          <cell r="D50">
            <v>0.13912799176912904</v>
          </cell>
          <cell r="E50">
            <v>0.1388127853881278</v>
          </cell>
          <cell r="F50">
            <v>0.18905472636815923</v>
          </cell>
          <cell r="G50">
            <v>0.12227271612421742</v>
          </cell>
          <cell r="H50">
            <v>-0.13103448275862073</v>
          </cell>
          <cell r="I50">
            <v>0.38655462184873945</v>
          </cell>
          <cell r="J50">
            <v>0.12903225806451601</v>
          </cell>
          <cell r="L50" t="str">
            <v xml:space="preserve">    NM</v>
          </cell>
          <cell r="M50">
            <v>0.21238938053097312</v>
          </cell>
          <cell r="N50">
            <v>0.5376344086021505</v>
          </cell>
          <cell r="O50">
            <v>8.804984677283656E-2</v>
          </cell>
          <cell r="P50">
            <v>0.30952380952380953</v>
          </cell>
          <cell r="Q50">
            <v>0.20355130181569003</v>
          </cell>
          <cell r="S50">
            <v>2.1845116749617643E-2</v>
          </cell>
          <cell r="T50">
            <v>8.2287610520257459E-3</v>
          </cell>
          <cell r="U50">
            <v>1.3513513513513598E-2</v>
          </cell>
          <cell r="W50">
            <v>1.3513513513513598E-2</v>
          </cell>
        </row>
        <row r="51">
          <cell r="A51" t="str">
            <v xml:space="preserve"> 3Q</v>
          </cell>
          <cell r="B51">
            <v>6.2657091561938882E-2</v>
          </cell>
          <cell r="C51">
            <v>9.2553565156304973E-2</v>
          </cell>
          <cell r="D51">
            <v>4.7204066811910028E-2</v>
          </cell>
          <cell r="E51">
            <v>0.12081015546997564</v>
          </cell>
          <cell r="F51">
            <v>4.8309178743961345E-2</v>
          </cell>
          <cell r="G51">
            <v>-0.1400651465798044</v>
          </cell>
          <cell r="H51">
            <v>-0.1095890410958904</v>
          </cell>
          <cell r="I51">
            <v>0.20384615384615379</v>
          </cell>
          <cell r="J51">
            <v>0.12903225806451601</v>
          </cell>
          <cell r="L51" t="str">
            <v xml:space="preserve">    NM</v>
          </cell>
          <cell r="M51">
            <v>0.23809523809523858</v>
          </cell>
          <cell r="N51">
            <v>1.4409221902017322E-2</v>
          </cell>
          <cell r="O51">
            <v>-0.19622810956443648</v>
          </cell>
          <cell r="P51">
            <v>-0.11401869158878508</v>
          </cell>
          <cell r="Q51">
            <v>0.10227953845350579</v>
          </cell>
          <cell r="S51">
            <v>-0.22222222222222232</v>
          </cell>
          <cell r="T51">
            <v>7.1572280178839875E-3</v>
          </cell>
          <cell r="U51">
            <v>-0.22222222222222221</v>
          </cell>
          <cell r="W51">
            <v>0.25396825396825418</v>
          </cell>
        </row>
        <row r="52">
          <cell r="A52" t="str">
            <v xml:space="preserve"> 4Q</v>
          </cell>
          <cell r="B52">
            <v>8.0897309234613912E-2</v>
          </cell>
          <cell r="C52">
            <v>0.10729829260127222</v>
          </cell>
          <cell r="D52">
            <v>6.6856583281402981E-2</v>
          </cell>
          <cell r="E52">
            <v>6.9290103281474558E-2</v>
          </cell>
          <cell r="F52">
            <v>2.8485757121439192E-2</v>
          </cell>
          <cell r="G52">
            <v>8.133333333333348E-2</v>
          </cell>
          <cell r="H52">
            <v>5.4545454545454453E-2</v>
          </cell>
          <cell r="I52">
            <v>0.1450980392156862</v>
          </cell>
          <cell r="J52">
            <v>0.40625</v>
          </cell>
          <cell r="L52" t="str">
            <v xml:space="preserve">    NM</v>
          </cell>
          <cell r="M52">
            <v>0.66935483870967727</v>
          </cell>
          <cell r="N52">
            <v>0.87958115183246055</v>
          </cell>
          <cell r="O52">
            <v>-8.3379348426283584E-2</v>
          </cell>
          <cell r="P52">
            <v>-1.1520737327188946E-2</v>
          </cell>
          <cell r="Q52">
            <v>7.8395147409915822E-2</v>
          </cell>
          <cell r="S52">
            <v>-0.1060275962236743</v>
          </cell>
          <cell r="T52">
            <v>4.8981351409607132E-3</v>
          </cell>
          <cell r="U52">
            <v>-0.11764705882352955</v>
          </cell>
          <cell r="W52">
            <v>-0.11764705882352955</v>
          </cell>
        </row>
        <row r="54">
          <cell r="A54" t="str">
            <v>95/94</v>
          </cell>
          <cell r="B54">
            <v>9.7089233602179803E-2</v>
          </cell>
          <cell r="C54">
            <v>0.1263978469676581</v>
          </cell>
          <cell r="D54">
            <v>8.2268147578734796E-2</v>
          </cell>
          <cell r="E54">
            <v>8.9347079037800592E-2</v>
          </cell>
          <cell r="F54">
            <v>9.9122807017543835E-2</v>
          </cell>
          <cell r="G54">
            <v>5.699534148433405E-2</v>
          </cell>
          <cell r="H54">
            <v>0</v>
          </cell>
          <cell r="I54">
            <v>0.30949839914621124</v>
          </cell>
          <cell r="J54">
            <v>0.19999999999999996</v>
          </cell>
          <cell r="L54">
            <v>0.37647058823529411</v>
          </cell>
          <cell r="M54" t="str">
            <v xml:space="preserve">    NM</v>
          </cell>
          <cell r="N54" t="str">
            <v xml:space="preserve">NM </v>
          </cell>
          <cell r="O54">
            <v>-1.2574993264569678E-2</v>
          </cell>
          <cell r="P54">
            <v>0.11592879963486991</v>
          </cell>
          <cell r="Q54">
            <v>0.13014030637556151</v>
          </cell>
          <cell r="S54">
            <v>-5.314547063180286E-2</v>
          </cell>
          <cell r="T54">
            <v>6.7114093959732557E-3</v>
          </cell>
          <cell r="U54">
            <v>-6.1776061776061653E-2</v>
          </cell>
          <cell r="W54">
            <v>5.7915057915058021E-2</v>
          </cell>
        </row>
        <row r="56">
          <cell r="A56" t="str">
            <v>1995</v>
          </cell>
        </row>
        <row r="57">
          <cell r="A57" t="str">
            <v xml:space="preserve"> 1Q</v>
          </cell>
          <cell r="B57">
            <v>1604.6</v>
          </cell>
          <cell r="C57">
            <v>532.29999999999995</v>
          </cell>
          <cell r="D57">
            <v>1072.3</v>
          </cell>
          <cell r="E57">
            <v>627.9</v>
          </cell>
          <cell r="F57">
            <v>114.3</v>
          </cell>
          <cell r="G57">
            <v>330.09999999999997</v>
          </cell>
          <cell r="H57">
            <v>12.5</v>
          </cell>
          <cell r="I57">
            <v>-29.2</v>
          </cell>
          <cell r="J57">
            <v>-3.5</v>
          </cell>
          <cell r="L57">
            <v>-0.99999999999999967</v>
          </cell>
          <cell r="M57">
            <v>-21.2</v>
          </cell>
          <cell r="N57">
            <v>-30.3</v>
          </cell>
          <cell r="O57">
            <v>278.59999999999997</v>
          </cell>
          <cell r="P57">
            <v>77.2</v>
          </cell>
          <cell r="Q57">
            <v>0.27709978463747315</v>
          </cell>
          <cell r="S57">
            <v>201.39999999999998</v>
          </cell>
          <cell r="T57">
            <v>807.75</v>
          </cell>
          <cell r="U57">
            <v>0.25</v>
          </cell>
          <cell r="W57">
            <v>0.25</v>
          </cell>
        </row>
        <row r="58">
          <cell r="A58" t="str">
            <v xml:space="preserve"> 2Q</v>
          </cell>
          <cell r="B58">
            <v>1799.6</v>
          </cell>
          <cell r="C58">
            <v>611.6</v>
          </cell>
          <cell r="D58">
            <v>1188</v>
          </cell>
          <cell r="E58">
            <v>748.19999999999993</v>
          </cell>
          <cell r="F58">
            <v>119.5</v>
          </cell>
          <cell r="G58">
            <v>320.30000000000007</v>
          </cell>
          <cell r="H58">
            <v>12.6</v>
          </cell>
          <cell r="I58">
            <v>-33</v>
          </cell>
          <cell r="J58">
            <v>-3.5</v>
          </cell>
          <cell r="L58">
            <v>10.200000000000001</v>
          </cell>
          <cell r="M58">
            <v>-13.699999999999998</v>
          </cell>
          <cell r="N58">
            <v>-28.6</v>
          </cell>
          <cell r="O58">
            <v>278.00000000000006</v>
          </cell>
          <cell r="P58">
            <v>77</v>
          </cell>
          <cell r="Q58">
            <v>0.27697841726618699</v>
          </cell>
          <cell r="S58">
            <v>201.00000000000006</v>
          </cell>
          <cell r="T58">
            <v>809.40000000000009</v>
          </cell>
          <cell r="U58">
            <v>0.25</v>
          </cell>
          <cell r="W58">
            <v>0.25</v>
          </cell>
        </row>
        <row r="59">
          <cell r="A59" t="str">
            <v xml:space="preserve"> 3Q</v>
          </cell>
          <cell r="B59">
            <v>1775.7</v>
          </cell>
          <cell r="C59">
            <v>622.1</v>
          </cell>
          <cell r="D59">
            <v>1153.5999999999999</v>
          </cell>
          <cell r="E59">
            <v>785.8</v>
          </cell>
          <cell r="F59">
            <v>130.19999999999999</v>
          </cell>
          <cell r="G59">
            <v>237.59999999999997</v>
          </cell>
          <cell r="H59">
            <v>13</v>
          </cell>
          <cell r="I59">
            <v>-31.3</v>
          </cell>
          <cell r="J59">
            <v>-3.5</v>
          </cell>
          <cell r="L59">
            <v>-1.6000000000000085</v>
          </cell>
          <cell r="M59">
            <v>-23.400000000000009</v>
          </cell>
          <cell r="N59">
            <v>-35.200000000000003</v>
          </cell>
          <cell r="O59">
            <v>178.99999999999994</v>
          </cell>
          <cell r="P59">
            <v>47.4</v>
          </cell>
          <cell r="Q59">
            <v>0.26480446927374307</v>
          </cell>
          <cell r="S59">
            <v>131.59999999999994</v>
          </cell>
          <cell r="T59">
            <v>810.96300000000008</v>
          </cell>
          <cell r="U59">
            <v>0.16333333333333333</v>
          </cell>
          <cell r="W59">
            <v>0.26333333333333336</v>
          </cell>
        </row>
        <row r="60">
          <cell r="A60" t="str">
            <v xml:space="preserve"> 4Q</v>
          </cell>
          <cell r="B60">
            <v>1859.9</v>
          </cell>
          <cell r="C60">
            <v>661.5</v>
          </cell>
          <cell r="D60">
            <v>1198.4000000000001</v>
          </cell>
          <cell r="E60">
            <v>817.9</v>
          </cell>
          <cell r="F60">
            <v>137.19999999999999</v>
          </cell>
          <cell r="G60">
            <v>243.30000000000013</v>
          </cell>
          <cell r="H60">
            <v>11.6</v>
          </cell>
          <cell r="I60">
            <v>-29.2</v>
          </cell>
          <cell r="J60">
            <v>-4.5</v>
          </cell>
          <cell r="L60">
            <v>-19.299999999999997</v>
          </cell>
          <cell r="M60">
            <v>-41.4</v>
          </cell>
          <cell r="N60">
            <v>-35.9</v>
          </cell>
          <cell r="O60">
            <v>166.00000000000011</v>
          </cell>
          <cell r="P60">
            <v>42.9</v>
          </cell>
          <cell r="Q60">
            <v>0.25843373493975885</v>
          </cell>
          <cell r="S60">
            <v>123.10000000000011</v>
          </cell>
          <cell r="T60">
            <v>811.19999999999993</v>
          </cell>
          <cell r="U60">
            <v>0.15</v>
          </cell>
          <cell r="W60">
            <v>0.15</v>
          </cell>
        </row>
        <row r="62">
          <cell r="A62" t="str">
            <v>1995</v>
          </cell>
          <cell r="B62">
            <v>7039.7999999999993</v>
          </cell>
          <cell r="C62">
            <v>2427.5</v>
          </cell>
          <cell r="D62">
            <v>4612.2999999999993</v>
          </cell>
          <cell r="E62">
            <v>2979.7999999999997</v>
          </cell>
          <cell r="F62">
            <v>501.2</v>
          </cell>
          <cell r="G62">
            <v>1131.2999999999995</v>
          </cell>
          <cell r="H62">
            <v>49.7</v>
          </cell>
          <cell r="I62">
            <v>-122.7</v>
          </cell>
          <cell r="J62">
            <v>-15</v>
          </cell>
          <cell r="L62">
            <v>-11.700000000000005</v>
          </cell>
          <cell r="M62">
            <v>-99.700000000000017</v>
          </cell>
          <cell r="N62">
            <v>-130</v>
          </cell>
          <cell r="O62">
            <v>901.6</v>
          </cell>
          <cell r="P62">
            <v>244.5</v>
          </cell>
          <cell r="Q62">
            <v>0.27118456078083408</v>
          </cell>
          <cell r="S62">
            <v>657.10000000000014</v>
          </cell>
          <cell r="T62">
            <v>810</v>
          </cell>
          <cell r="U62">
            <v>0.81</v>
          </cell>
          <cell r="W62">
            <v>0.91333333333333344</v>
          </cell>
        </row>
        <row r="64">
          <cell r="A64" t="str">
            <v>96/95</v>
          </cell>
        </row>
        <row r="65">
          <cell r="A65" t="str">
            <v xml:space="preserve"> 1Q</v>
          </cell>
          <cell r="B65">
            <v>0.13997257883584702</v>
          </cell>
          <cell r="C65">
            <v>0.10764606424948342</v>
          </cell>
          <cell r="D65">
            <v>0.15601977058658956</v>
          </cell>
          <cell r="E65">
            <v>0.20385411689759514</v>
          </cell>
          <cell r="F65">
            <v>0.13473315835520561</v>
          </cell>
          <cell r="G65">
            <v>7.2402302332626345E-2</v>
          </cell>
          <cell r="H65">
            <v>-3.2000000000000028E-2</v>
          </cell>
          <cell r="I65">
            <v>0</v>
          </cell>
          <cell r="J65" t="str">
            <v xml:space="preserve">NM </v>
          </cell>
          <cell r="L65" t="str">
            <v xml:space="preserve">NM </v>
          </cell>
          <cell r="M65" t="str">
            <v xml:space="preserve">NM </v>
          </cell>
          <cell r="N65">
            <v>7.2607260726072598E-2</v>
          </cell>
          <cell r="O65">
            <v>8.2555635319454534E-2</v>
          </cell>
          <cell r="P65">
            <v>5.569948186528495E-2</v>
          </cell>
          <cell r="Q65">
            <v>-2.4808104616484195E-2</v>
          </cell>
          <cell r="S65">
            <v>9.2850049652432931E-2</v>
          </cell>
          <cell r="T65">
            <v>2.3955431754874468E-2</v>
          </cell>
          <cell r="U65">
            <v>4.0000000000000036E-2</v>
          </cell>
          <cell r="W65">
            <v>0.21333333333333337</v>
          </cell>
        </row>
        <row r="66">
          <cell r="A66" t="str">
            <v xml:space="preserve"> 2Q</v>
          </cell>
          <cell r="B66">
            <v>-4.6677039342075677E-3</v>
          </cell>
          <cell r="C66">
            <v>-6.4748201438848962E-2</v>
          </cell>
          <cell r="D66">
            <v>2.626262626262621E-2</v>
          </cell>
          <cell r="E66">
            <v>2.0181769580326137E-2</v>
          </cell>
          <cell r="F66">
            <v>9.3723849372384871E-2</v>
          </cell>
          <cell r="G66">
            <v>1.5298157976896709E-2</v>
          </cell>
          <cell r="H66">
            <v>0.26984126984126977</v>
          </cell>
          <cell r="I66">
            <v>-4.8484848484848575E-2</v>
          </cell>
          <cell r="J66" t="str">
            <v xml:space="preserve">NM </v>
          </cell>
          <cell r="L66" t="str">
            <v xml:space="preserve">NM </v>
          </cell>
          <cell r="M66" t="str">
            <v xml:space="preserve">NM </v>
          </cell>
          <cell r="N66">
            <v>0.27622377622377625</v>
          </cell>
          <cell r="O66">
            <v>6.2589928057554145E-2</v>
          </cell>
          <cell r="P66">
            <v>6.7532467532467555E-2</v>
          </cell>
          <cell r="Q66">
            <v>4.6514081720578915E-3</v>
          </cell>
          <cell r="S66">
            <v>6.0696517412935469E-2</v>
          </cell>
          <cell r="T66">
            <v>2.1868050407709116E-2</v>
          </cell>
          <cell r="U66">
            <v>2.6666666666666616E-2</v>
          </cell>
          <cell r="W66">
            <v>2.6666666666666616E-2</v>
          </cell>
        </row>
        <row r="67">
          <cell r="A67" t="str">
            <v xml:space="preserve"> 3Q</v>
          </cell>
          <cell r="B67">
            <v>-4.3363180717463923E-3</v>
          </cell>
          <cell r="C67">
            <v>-6.735251567272138E-2</v>
          </cell>
          <cell r="D67">
            <v>2.9646324549237102E-2</v>
          </cell>
          <cell r="E67">
            <v>-9.1626368032577954E-3</v>
          </cell>
          <cell r="F67">
            <v>0.11367127496159757</v>
          </cell>
          <cell r="G67">
            <v>0.1119528619528618</v>
          </cell>
          <cell r="H67">
            <v>0.15384615384615374</v>
          </cell>
          <cell r="I67">
            <v>0.50479233226837072</v>
          </cell>
          <cell r="J67" t="str">
            <v xml:space="preserve">NM </v>
          </cell>
          <cell r="L67" t="str">
            <v xml:space="preserve">NM </v>
          </cell>
          <cell r="M67" t="str">
            <v xml:space="preserve">NM </v>
          </cell>
          <cell r="N67" t="str">
            <v xml:space="preserve">NM </v>
          </cell>
          <cell r="O67">
            <v>0.17318435754189943</v>
          </cell>
          <cell r="P67">
            <v>0.31434599156118148</v>
          </cell>
          <cell r="Q67">
            <v>0.12032348804500703</v>
          </cell>
          <cell r="S67">
            <v>0.12234042553191493</v>
          </cell>
          <cell r="T67">
            <v>1.9898565039341953E-2</v>
          </cell>
          <cell r="U67">
            <v>0.12244897959183687</v>
          </cell>
          <cell r="W67">
            <v>-0.30379746835443044</v>
          </cell>
        </row>
        <row r="68">
          <cell r="A68" t="str">
            <v xml:space="preserve"> 4Q</v>
          </cell>
          <cell r="B68">
            <v>-9.086510027420891E-3</v>
          </cell>
          <cell r="C68">
            <v>-8.5260770975056688E-2</v>
          </cell>
          <cell r="D68">
            <v>3.2960614152202972E-2</v>
          </cell>
          <cell r="E68">
            <v>1.2226433549344939E-4</v>
          </cell>
          <cell r="F68">
            <v>8.8921282798833934E-2</v>
          </cell>
          <cell r="G68">
            <v>0.11179613645704878</v>
          </cell>
          <cell r="H68">
            <v>8.6206896551723755E-3</v>
          </cell>
          <cell r="I68">
            <v>0.31506849315068486</v>
          </cell>
          <cell r="J68" t="str">
            <v xml:space="preserve">NM </v>
          </cell>
          <cell r="L68" t="str">
            <v xml:space="preserve">NM </v>
          </cell>
          <cell r="M68" t="str">
            <v xml:space="preserve">NM </v>
          </cell>
          <cell r="N68" t="str">
            <v xml:space="preserve">NM </v>
          </cell>
          <cell r="O68">
            <v>0.44879518072289115</v>
          </cell>
          <cell r="P68">
            <v>0.62703962703962701</v>
          </cell>
          <cell r="Q68">
            <v>0.12302943072173855</v>
          </cell>
          <cell r="S68">
            <v>0.38667749796913031</v>
          </cell>
          <cell r="T68">
            <v>1.9600591715976279E-2</v>
          </cell>
          <cell r="U68">
            <v>0.37777777777777777</v>
          </cell>
          <cell r="W68">
            <v>0.37777777777777777</v>
          </cell>
        </row>
        <row r="70">
          <cell r="A70" t="str">
            <v>96/95</v>
          </cell>
          <cell r="B70">
            <v>2.7216682292110717E-2</v>
          </cell>
          <cell r="C70">
            <v>-3.3202883625128687E-2</v>
          </cell>
          <cell r="D70">
            <v>5.9016109099581771E-2</v>
          </cell>
          <cell r="E70">
            <v>4.5640647023290182E-2</v>
          </cell>
          <cell r="F70">
            <v>0.10694333599361516</v>
          </cell>
          <cell r="G70">
            <v>7.3013347476355239E-2</v>
          </cell>
          <cell r="H70">
            <v>0.10261569416498983</v>
          </cell>
          <cell r="I70">
            <v>0.19070904645476761</v>
          </cell>
          <cell r="J70">
            <v>1.1000000000000001</v>
          </cell>
          <cell r="L70" t="str">
            <v xml:space="preserve">NM </v>
          </cell>
          <cell r="M70">
            <v>-2.3069207622868682E-2</v>
          </cell>
          <cell r="N70" t="str">
            <v xml:space="preserve">NM </v>
          </cell>
          <cell r="O70">
            <v>0.16182342502218283</v>
          </cell>
          <cell r="P70">
            <v>0.20981595092024552</v>
          </cell>
          <cell r="Q70">
            <v>4.1307934462714302E-2</v>
          </cell>
          <cell r="S70">
            <v>0.14396591082027066</v>
          </cell>
          <cell r="T70">
            <v>2.1111111111111081E-2</v>
          </cell>
          <cell r="U70">
            <v>0.11934156378600824</v>
          </cell>
          <cell r="W70">
            <v>4.014598540145986E-2</v>
          </cell>
        </row>
        <row r="72">
          <cell r="A72" t="str">
            <v>1996 (c)</v>
          </cell>
        </row>
        <row r="73">
          <cell r="A73" t="str">
            <v xml:space="preserve"> 1Q</v>
          </cell>
          <cell r="B73">
            <v>1829.2</v>
          </cell>
          <cell r="C73">
            <v>589.6</v>
          </cell>
          <cell r="D73">
            <v>1239.5999999999999</v>
          </cell>
          <cell r="E73">
            <v>755.9</v>
          </cell>
          <cell r="F73">
            <v>129.69999999999999</v>
          </cell>
          <cell r="G73">
            <v>353.99999999999994</v>
          </cell>
          <cell r="H73">
            <v>12.1</v>
          </cell>
          <cell r="I73">
            <v>-29.2</v>
          </cell>
          <cell r="J73">
            <v>-3.5</v>
          </cell>
          <cell r="L73">
            <v>0.69999999999999785</v>
          </cell>
          <cell r="M73">
            <v>-19.900000000000002</v>
          </cell>
          <cell r="N73">
            <v>-32.5</v>
          </cell>
          <cell r="O73">
            <v>301.59999999999997</v>
          </cell>
          <cell r="P73">
            <v>81.5</v>
          </cell>
          <cell r="Q73">
            <v>0.27022546419098148</v>
          </cell>
          <cell r="S73">
            <v>220.09999999999997</v>
          </cell>
          <cell r="T73">
            <v>827.09999999999991</v>
          </cell>
          <cell r="U73">
            <v>0.26</v>
          </cell>
          <cell r="W73">
            <v>0.30333333333333334</v>
          </cell>
        </row>
        <row r="74">
          <cell r="A74" t="str">
            <v xml:space="preserve"> 2Q</v>
          </cell>
          <cell r="B74">
            <v>1791.2</v>
          </cell>
          <cell r="C74">
            <v>572</v>
          </cell>
          <cell r="D74">
            <v>1219.2</v>
          </cell>
          <cell r="E74">
            <v>763.3</v>
          </cell>
          <cell r="F74">
            <v>130.69999999999999</v>
          </cell>
          <cell r="G74">
            <v>325.2000000000001</v>
          </cell>
          <cell r="H74">
            <v>16</v>
          </cell>
          <cell r="I74">
            <v>-31.4</v>
          </cell>
          <cell r="J74">
            <v>-4</v>
          </cell>
          <cell r="L74">
            <v>26.1</v>
          </cell>
          <cell r="M74">
            <v>6.7000000000000028</v>
          </cell>
          <cell r="N74">
            <v>-36.5</v>
          </cell>
          <cell r="O74">
            <v>295.40000000000009</v>
          </cell>
          <cell r="P74">
            <v>82.2</v>
          </cell>
          <cell r="Q74">
            <v>0.27826675693974262</v>
          </cell>
          <cell r="S74">
            <v>213.2000000000001</v>
          </cell>
          <cell r="T74">
            <v>827.09999999999991</v>
          </cell>
          <cell r="U74">
            <v>0.25666666666666665</v>
          </cell>
          <cell r="W74">
            <v>0.25666666666666665</v>
          </cell>
        </row>
        <row r="75">
          <cell r="A75" t="str">
            <v xml:space="preserve"> 3Q</v>
          </cell>
          <cell r="B75">
            <v>1768</v>
          </cell>
          <cell r="C75">
            <v>580.20000000000005</v>
          </cell>
          <cell r="D75">
            <v>1187.8</v>
          </cell>
          <cell r="E75">
            <v>778.6</v>
          </cell>
          <cell r="F75">
            <v>145</v>
          </cell>
          <cell r="G75">
            <v>264.19999999999993</v>
          </cell>
          <cell r="H75">
            <v>15</v>
          </cell>
          <cell r="I75">
            <v>-47.1</v>
          </cell>
          <cell r="J75">
            <v>-13</v>
          </cell>
          <cell r="L75">
            <v>-9.1</v>
          </cell>
          <cell r="M75">
            <v>-54.2</v>
          </cell>
          <cell r="N75">
            <v>0</v>
          </cell>
          <cell r="O75">
            <v>209.99999999999994</v>
          </cell>
          <cell r="P75">
            <v>62.3</v>
          </cell>
          <cell r="Q75">
            <v>0.29666666666666675</v>
          </cell>
          <cell r="S75">
            <v>147.69999999999993</v>
          </cell>
          <cell r="T75">
            <v>827.09999999999991</v>
          </cell>
          <cell r="U75">
            <v>0.18333333333333335</v>
          </cell>
          <cell r="W75">
            <v>0.18333333333333335</v>
          </cell>
        </row>
        <row r="76">
          <cell r="A76" t="str">
            <v xml:space="preserve"> 4Q</v>
          </cell>
          <cell r="B76">
            <v>1843</v>
          </cell>
          <cell r="C76">
            <v>605.1</v>
          </cell>
          <cell r="D76">
            <v>1237.9000000000001</v>
          </cell>
          <cell r="E76">
            <v>818</v>
          </cell>
          <cell r="F76">
            <v>149.4</v>
          </cell>
          <cell r="G76">
            <v>270.50000000000011</v>
          </cell>
          <cell r="H76">
            <v>11.7</v>
          </cell>
          <cell r="I76">
            <v>-38.4</v>
          </cell>
          <cell r="J76">
            <v>-11</v>
          </cell>
          <cell r="L76">
            <v>7.7</v>
          </cell>
          <cell r="M76">
            <v>-30.000000000000004</v>
          </cell>
          <cell r="N76">
            <v>0</v>
          </cell>
          <cell r="O76">
            <v>240.50000000000011</v>
          </cell>
          <cell r="P76">
            <v>69.8</v>
          </cell>
          <cell r="Q76">
            <v>0.29022869022869008</v>
          </cell>
          <cell r="S76">
            <v>170.7000000000001</v>
          </cell>
          <cell r="T76">
            <v>827.09999999999991</v>
          </cell>
          <cell r="U76">
            <v>0.20666666666666667</v>
          </cell>
          <cell r="W76">
            <v>0.20666666666666667</v>
          </cell>
        </row>
        <row r="78">
          <cell r="A78" t="str">
            <v>1996 (c)</v>
          </cell>
          <cell r="B78">
            <v>7231.4</v>
          </cell>
          <cell r="C78">
            <v>2346.9</v>
          </cell>
          <cell r="D78">
            <v>4884.5</v>
          </cell>
          <cell r="E78">
            <v>3115.7999999999997</v>
          </cell>
          <cell r="F78">
            <v>554.79999999999995</v>
          </cell>
          <cell r="G78">
            <v>1213.9000000000001</v>
          </cell>
          <cell r="H78">
            <v>54.8</v>
          </cell>
          <cell r="I78">
            <v>-146.1</v>
          </cell>
          <cell r="J78">
            <v>-31.5</v>
          </cell>
          <cell r="L78">
            <v>72</v>
          </cell>
          <cell r="M78">
            <v>-97.4</v>
          </cell>
          <cell r="N78">
            <v>-69</v>
          </cell>
          <cell r="O78">
            <v>1047.5</v>
          </cell>
          <cell r="P78">
            <v>295.8</v>
          </cell>
          <cell r="Q78">
            <v>0.28238663484486876</v>
          </cell>
          <cell r="S78">
            <v>751.7</v>
          </cell>
          <cell r="T78">
            <v>827.09999999999991</v>
          </cell>
          <cell r="U78">
            <v>0.90666666666666673</v>
          </cell>
          <cell r="W78">
            <v>0.95000000000000007</v>
          </cell>
        </row>
        <row r="80">
          <cell r="A80" t="str">
            <v>97/96</v>
          </cell>
        </row>
        <row r="81">
          <cell r="A81" t="str">
            <v xml:space="preserve"> 1Q</v>
          </cell>
          <cell r="B81">
            <v>-2.8318390553247252E-2</v>
          </cell>
          <cell r="C81">
            <v>-6.8521031207598337E-2</v>
          </cell>
          <cell r="D81">
            <v>-9.1965150048402E-3</v>
          </cell>
          <cell r="E81">
            <v>8.3344357719274953E-3</v>
          </cell>
          <cell r="F81">
            <v>3.2382420971472703E-2</v>
          </cell>
          <cell r="G81">
            <v>-6.1864406779660763E-2</v>
          </cell>
          <cell r="H81">
            <v>-0.3223140495867769</v>
          </cell>
          <cell r="I81">
            <v>0.34246575342465757</v>
          </cell>
          <cell r="J81" t="str">
            <v xml:space="preserve">NM </v>
          </cell>
          <cell r="L81" t="str">
            <v xml:space="preserve">NM </v>
          </cell>
          <cell r="M81" t="str">
            <v xml:space="preserve">NM </v>
          </cell>
          <cell r="N81" t="str">
            <v xml:space="preserve">NM </v>
          </cell>
          <cell r="O81">
            <v>-3.315649867373982E-2</v>
          </cell>
          <cell r="P81">
            <v>7.361963190184051E-2</v>
          </cell>
          <cell r="Q81">
            <v>0.11043786344854256</v>
          </cell>
          <cell r="S81">
            <v>-7.2694229895501783E-2</v>
          </cell>
          <cell r="T81">
            <v>7.5021158263812726E-3</v>
          </cell>
          <cell r="U81">
            <v>-5.7967970911010913E-2</v>
          </cell>
          <cell r="W81">
            <v>-0.19254397506658072</v>
          </cell>
        </row>
        <row r="82">
          <cell r="A82" t="str">
            <v xml:space="preserve"> 2Q</v>
          </cell>
          <cell r="B82">
            <v>9.7979008485931107E-2</v>
          </cell>
          <cell r="C82">
            <v>3.7762237762237749E-2</v>
          </cell>
          <cell r="D82">
            <v>0.12623031496062986</v>
          </cell>
          <cell r="E82">
            <v>0.12354251277348371</v>
          </cell>
          <cell r="F82">
            <v>0.21040550879877573</v>
          </cell>
          <cell r="G82">
            <v>9.8708487084870233E-2</v>
          </cell>
          <cell r="H82">
            <v>-0.4375</v>
          </cell>
          <cell r="I82">
            <v>0.52866242038216571</v>
          </cell>
          <cell r="J82" t="str">
            <v xml:space="preserve">NM </v>
          </cell>
          <cell r="L82" t="str">
            <v xml:space="preserve">NM </v>
          </cell>
          <cell r="M82" t="str">
            <v xml:space="preserve">NM </v>
          </cell>
          <cell r="N82" t="str">
            <v xml:space="preserve">NM </v>
          </cell>
          <cell r="O82">
            <v>0.11882193635748073</v>
          </cell>
          <cell r="P82">
            <v>0.20559610705596087</v>
          </cell>
          <cell r="Q82">
            <v>7.755851747150122E-2</v>
          </cell>
          <cell r="S82">
            <v>8.5365853658535551E-2</v>
          </cell>
          <cell r="T82">
            <v>1.2173860476363263E-2</v>
          </cell>
          <cell r="U82">
            <v>7.6913313271802064E-2</v>
          </cell>
          <cell r="W82">
            <v>7.6913313271802064E-2</v>
          </cell>
        </row>
        <row r="83">
          <cell r="A83" t="str">
            <v xml:space="preserve"> 3Q</v>
          </cell>
          <cell r="B83">
            <v>0.19247737556561106</v>
          </cell>
          <cell r="C83">
            <v>5.8255773871078942E-2</v>
          </cell>
          <cell r="D83">
            <v>0.25804007408654672</v>
          </cell>
          <cell r="E83">
            <v>0.24389930644746971</v>
          </cell>
          <cell r="F83">
            <v>0.25517241379310351</v>
          </cell>
          <cell r="G83">
            <v>0.30128690386071266</v>
          </cell>
          <cell r="H83">
            <v>-0.28666666666666674</v>
          </cell>
          <cell r="I83">
            <v>-8.7048832271762189E-2</v>
          </cell>
          <cell r="J83" t="str">
            <v xml:space="preserve">NM </v>
          </cell>
          <cell r="L83" t="str">
            <v xml:space="preserve">NM </v>
          </cell>
          <cell r="M83" t="str">
            <v xml:space="preserve">NM </v>
          </cell>
          <cell r="N83" t="str">
            <v xml:space="preserve">NM </v>
          </cell>
          <cell r="O83">
            <v>0.34904761904762038</v>
          </cell>
          <cell r="P83">
            <v>0.36436597110754421</v>
          </cell>
          <cell r="Q83">
            <v>1.1354937990059932E-2</v>
          </cell>
          <cell r="S83">
            <v>0.34258632362897945</v>
          </cell>
          <cell r="T83">
            <v>1.4508523757707614E-2</v>
          </cell>
          <cell r="U83">
            <v>0.30909090909090886</v>
          </cell>
          <cell r="W83">
            <v>0.30909090909090886</v>
          </cell>
        </row>
        <row r="84">
          <cell r="A84" t="str">
            <v xml:space="preserve"> 4Q</v>
          </cell>
          <cell r="B84">
            <v>0.26283233857840482</v>
          </cell>
          <cell r="C84">
            <v>7.5524706660056173E-2</v>
          </cell>
          <cell r="D84">
            <v>0.35439050004039108</v>
          </cell>
          <cell r="E84">
            <v>0.33007334963325174</v>
          </cell>
          <cell r="F84">
            <v>0.32597054886211496</v>
          </cell>
          <cell r="G84">
            <v>0.44362292051755992</v>
          </cell>
          <cell r="H84">
            <v>0.15384615384615397</v>
          </cell>
          <cell r="I84">
            <v>-4.1666666666666741E-2</v>
          </cell>
          <cell r="J84" t="str">
            <v xml:space="preserve">NM </v>
          </cell>
          <cell r="L84" t="str">
            <v xml:space="preserve">NM </v>
          </cell>
          <cell r="M84" t="str">
            <v xml:space="preserve">NM </v>
          </cell>
          <cell r="N84" t="str">
            <v xml:space="preserve">NM </v>
          </cell>
          <cell r="O84">
            <v>0.36382536382536368</v>
          </cell>
          <cell r="P84">
            <v>0.32234957020057298</v>
          </cell>
          <cell r="Q84">
            <v>-3.0411366971835663E-2</v>
          </cell>
          <cell r="S84">
            <v>0.3807850029291151</v>
          </cell>
          <cell r="T84">
            <v>1.4508523757707614E-2</v>
          </cell>
          <cell r="U84">
            <v>0.35483870967741948</v>
          </cell>
          <cell r="W84">
            <v>0.35483870967741948</v>
          </cell>
        </row>
        <row r="86">
          <cell r="A86" t="str">
            <v>Year</v>
          </cell>
          <cell r="B86">
            <v>0.13115026136017938</v>
          </cell>
          <cell r="C86">
            <v>2.5863905577570456E-2</v>
          </cell>
          <cell r="D86">
            <v>0.18173815129491255</v>
          </cell>
          <cell r="E86">
            <v>0.17988959496758472</v>
          </cell>
          <cell r="F86">
            <v>0.21160778658976231</v>
          </cell>
          <cell r="G86">
            <v>0.17283136996457715</v>
          </cell>
          <cell r="H86">
            <v>-0.24452554744525545</v>
          </cell>
          <cell r="I86">
            <v>0.14305270362765232</v>
          </cell>
          <cell r="J86">
            <v>0.79047619047619055</v>
          </cell>
          <cell r="L86" t="str">
            <v xml:space="preserve">NM </v>
          </cell>
          <cell r="M86">
            <v>0.9537987679671458</v>
          </cell>
          <cell r="N86" t="str">
            <v xml:space="preserve">NM </v>
          </cell>
          <cell r="O86">
            <v>0.17747016706443919</v>
          </cell>
          <cell r="P86">
            <v>0.23022312373225162</v>
          </cell>
          <cell r="Q86">
            <v>4.4801947551105448E-2</v>
          </cell>
          <cell r="S86">
            <v>0.15671145403751519</v>
          </cell>
          <cell r="T86">
            <v>1.2173255954539997E-2</v>
          </cell>
          <cell r="U86">
            <v>0.14853243893702173</v>
          </cell>
          <cell r="W86">
            <v>9.6143239967964478E-2</v>
          </cell>
        </row>
        <row r="88">
          <cell r="A88">
            <v>1997</v>
          </cell>
        </row>
        <row r="89">
          <cell r="A89" t="str">
            <v xml:space="preserve"> 1Q</v>
          </cell>
          <cell r="B89">
            <v>1777.4</v>
          </cell>
          <cell r="C89">
            <v>549.20000000000005</v>
          </cell>
          <cell r="D89">
            <v>1228.2</v>
          </cell>
          <cell r="E89">
            <v>762.2</v>
          </cell>
          <cell r="F89">
            <v>133.9</v>
          </cell>
          <cell r="G89">
            <v>332.1</v>
          </cell>
          <cell r="H89">
            <v>8.1999999999999993</v>
          </cell>
          <cell r="I89">
            <v>-39.200000000000003</v>
          </cell>
          <cell r="J89">
            <v>-12.4</v>
          </cell>
          <cell r="L89">
            <v>2.9</v>
          </cell>
          <cell r="M89">
            <v>-40.500000000000007</v>
          </cell>
          <cell r="N89">
            <v>0</v>
          </cell>
          <cell r="O89">
            <v>291.60000000000002</v>
          </cell>
          <cell r="P89">
            <v>87.5</v>
          </cell>
          <cell r="Q89">
            <v>0.30006858710562412</v>
          </cell>
          <cell r="S89">
            <v>204.10000000000002</v>
          </cell>
          <cell r="T89">
            <v>833.30499999999995</v>
          </cell>
          <cell r="U89">
            <v>0.24492832756313718</v>
          </cell>
          <cell r="V89">
            <v>0.13</v>
          </cell>
          <cell r="W89">
            <v>0.24492832756313718</v>
          </cell>
        </row>
        <row r="90">
          <cell r="A90" t="str">
            <v xml:space="preserve"> 2Q</v>
          </cell>
          <cell r="B90">
            <v>1966.7</v>
          </cell>
          <cell r="C90">
            <v>593.6</v>
          </cell>
          <cell r="D90">
            <v>1373.1</v>
          </cell>
          <cell r="E90">
            <v>857.6</v>
          </cell>
          <cell r="F90">
            <v>158.19999999999999</v>
          </cell>
          <cell r="G90">
            <v>357.2999999999999</v>
          </cell>
          <cell r="H90">
            <v>9</v>
          </cell>
          <cell r="I90">
            <v>-48</v>
          </cell>
          <cell r="J90">
            <v>-12.8</v>
          </cell>
          <cell r="L90">
            <v>25</v>
          </cell>
          <cell r="M90">
            <v>-26.799999999999997</v>
          </cell>
          <cell r="N90">
            <v>0</v>
          </cell>
          <cell r="O90">
            <v>330.49999999999989</v>
          </cell>
          <cell r="P90">
            <v>99.1</v>
          </cell>
          <cell r="Q90">
            <v>0.29984871406959163</v>
          </cell>
          <cell r="S90">
            <v>231.39999999999989</v>
          </cell>
          <cell r="T90">
            <v>837.16899999999998</v>
          </cell>
          <cell r="U90">
            <v>0.27640775040642918</v>
          </cell>
          <cell r="V90">
            <v>0.13</v>
          </cell>
          <cell r="W90">
            <v>0.27640775040642918</v>
          </cell>
        </row>
        <row r="91">
          <cell r="A91" t="str">
            <v xml:space="preserve"> 3Q</v>
          </cell>
          <cell r="B91">
            <v>2108.3000000000002</v>
          </cell>
          <cell r="C91">
            <v>614</v>
          </cell>
          <cell r="D91">
            <v>1494.3000000000002</v>
          </cell>
          <cell r="E91">
            <v>968.5</v>
          </cell>
          <cell r="F91">
            <v>182</v>
          </cell>
          <cell r="G91">
            <v>343.80000000000018</v>
          </cell>
          <cell r="H91">
            <v>10.7</v>
          </cell>
          <cell r="I91">
            <v>-43</v>
          </cell>
          <cell r="J91">
            <v>-13.2</v>
          </cell>
          <cell r="L91">
            <v>-15</v>
          </cell>
          <cell r="M91">
            <v>-60.5</v>
          </cell>
          <cell r="N91">
            <v>0</v>
          </cell>
          <cell r="O91">
            <v>283.30000000000018</v>
          </cell>
          <cell r="P91">
            <v>85</v>
          </cell>
          <cell r="Q91">
            <v>0.30003529827038455</v>
          </cell>
          <cell r="S91">
            <v>198.30000000000018</v>
          </cell>
          <cell r="T91">
            <v>839.09999999999991</v>
          </cell>
          <cell r="U91">
            <v>0.24</v>
          </cell>
          <cell r="V91">
            <v>0.13</v>
          </cell>
          <cell r="W91">
            <v>0.24</v>
          </cell>
        </row>
        <row r="92">
          <cell r="A92" t="str">
            <v xml:space="preserve"> 4Q</v>
          </cell>
          <cell r="B92">
            <v>2327.4</v>
          </cell>
          <cell r="C92">
            <v>650.79999999999995</v>
          </cell>
          <cell r="D92">
            <v>1676.6000000000001</v>
          </cell>
          <cell r="E92">
            <v>1088</v>
          </cell>
          <cell r="F92">
            <v>198.1</v>
          </cell>
          <cell r="G92">
            <v>390.50000000000011</v>
          </cell>
          <cell r="H92">
            <v>13.5</v>
          </cell>
          <cell r="I92">
            <v>-36.799999999999997</v>
          </cell>
          <cell r="J92">
            <v>-18</v>
          </cell>
          <cell r="L92">
            <v>-21.2</v>
          </cell>
          <cell r="M92">
            <v>-62.5</v>
          </cell>
          <cell r="N92">
            <v>0</v>
          </cell>
          <cell r="O92">
            <v>328.00000000000011</v>
          </cell>
          <cell r="P92">
            <v>92.3</v>
          </cell>
          <cell r="Q92">
            <v>0.28140243902439016</v>
          </cell>
          <cell r="S92">
            <v>235.7000000000001</v>
          </cell>
          <cell r="T92">
            <v>839.09999999999991</v>
          </cell>
          <cell r="U92">
            <v>0.28000000000000003</v>
          </cell>
          <cell r="V92">
            <v>0.13</v>
          </cell>
          <cell r="W92">
            <v>0.28000000000000003</v>
          </cell>
        </row>
        <row r="94">
          <cell r="A94" t="str">
            <v>Year</v>
          </cell>
          <cell r="B94">
            <v>8179.8000000000011</v>
          </cell>
          <cell r="C94">
            <v>2407.6000000000004</v>
          </cell>
          <cell r="D94">
            <v>5772.2000000000007</v>
          </cell>
          <cell r="E94">
            <v>3676.3</v>
          </cell>
          <cell r="F94">
            <v>672.2</v>
          </cell>
          <cell r="G94">
            <v>1423.7000000000003</v>
          </cell>
          <cell r="H94">
            <v>41.4</v>
          </cell>
          <cell r="I94">
            <v>-167</v>
          </cell>
          <cell r="J94">
            <v>-56.400000000000006</v>
          </cell>
          <cell r="L94">
            <v>-8.3000000000000007</v>
          </cell>
          <cell r="M94">
            <v>-190.3</v>
          </cell>
          <cell r="N94">
            <v>0</v>
          </cell>
          <cell r="O94">
            <v>1233.4000000000001</v>
          </cell>
          <cell r="P94">
            <v>363.90000000000003</v>
          </cell>
          <cell r="Q94">
            <v>0.2950381060483217</v>
          </cell>
          <cell r="S94">
            <v>869.50000000000023</v>
          </cell>
          <cell r="T94">
            <v>837.16849999999988</v>
          </cell>
          <cell r="U94">
            <v>1.0413360779695664</v>
          </cell>
          <cell r="V94">
            <v>0.52</v>
          </cell>
          <cell r="W94">
            <v>1.0413360779695664</v>
          </cell>
        </row>
        <row r="96">
          <cell r="A96" t="str">
            <v>1998/97</v>
          </cell>
        </row>
        <row r="97">
          <cell r="A97" t="str">
            <v xml:space="preserve"> 1Q</v>
          </cell>
          <cell r="B97">
            <v>0.31140992460897943</v>
          </cell>
          <cell r="C97">
            <v>0.19009468317552791</v>
          </cell>
          <cell r="D97">
            <v>0.36565705911089408</v>
          </cell>
          <cell r="E97">
            <v>0.3438729992128049</v>
          </cell>
          <cell r="F97">
            <v>0.55190440627333825</v>
          </cell>
          <cell r="G97">
            <v>0.34056007226738982</v>
          </cell>
          <cell r="H97">
            <v>0.79268292682926833</v>
          </cell>
          <cell r="I97">
            <v>-8.163265306122458E-2</v>
          </cell>
          <cell r="J97" t="str">
            <v xml:space="preserve">NM </v>
          </cell>
          <cell r="L97" t="str">
            <v xml:space="preserve">NM </v>
          </cell>
          <cell r="M97" t="str">
            <v xml:space="preserve">NM </v>
          </cell>
          <cell r="N97" t="str">
            <v xml:space="preserve">NM </v>
          </cell>
          <cell r="O97">
            <v>0.42661179698216811</v>
          </cell>
          <cell r="P97">
            <v>0.40685714285714281</v>
          </cell>
          <cell r="Q97">
            <v>-1.384725274725318E-2</v>
          </cell>
          <cell r="S97">
            <v>0.4350808427241557</v>
          </cell>
          <cell r="T97">
            <v>4.8798036733249006E-2</v>
          </cell>
          <cell r="U97">
            <v>0.34733292503674651</v>
          </cell>
          <cell r="V97">
            <v>0.23076923076923084</v>
          </cell>
          <cell r="W97">
            <v>0.36831000103135558</v>
          </cell>
        </row>
        <row r="98">
          <cell r="A98" t="str">
            <v xml:space="preserve"> 2Q</v>
          </cell>
          <cell r="B98">
            <v>0.36406162607413428</v>
          </cell>
          <cell r="C98">
            <v>0.19086927223719674</v>
          </cell>
          <cell r="D98">
            <v>0.43893379943194222</v>
          </cell>
          <cell r="E98">
            <v>0.38362873134328379</v>
          </cell>
          <cell r="F98">
            <v>0.64854614412136558</v>
          </cell>
          <cell r="G98">
            <v>0.47886929750909535</v>
          </cell>
          <cell r="H98">
            <v>0.57777777777777772</v>
          </cell>
          <cell r="I98">
            <v>-0.45000000000000007</v>
          </cell>
          <cell r="J98" t="str">
            <v xml:space="preserve">NM </v>
          </cell>
          <cell r="L98" t="str">
            <v xml:space="preserve">NM </v>
          </cell>
          <cell r="M98" t="str">
            <v xml:space="preserve">NM </v>
          </cell>
          <cell r="N98" t="str">
            <v xml:space="preserve">NM </v>
          </cell>
          <cell r="O98">
            <v>0.39546142208774526</v>
          </cell>
          <cell r="P98">
            <v>0.33299697275479323</v>
          </cell>
          <cell r="Q98">
            <v>-4.4762576982959046E-2</v>
          </cell>
          <cell r="S98">
            <v>0.42221261884183159</v>
          </cell>
          <cell r="T98">
            <v>4.961059117095834E-2</v>
          </cell>
          <cell r="U98">
            <v>0.44713742437338011</v>
          </cell>
          <cell r="V98">
            <v>0.23076923076923084</v>
          </cell>
          <cell r="W98">
            <v>0.35499072780429342</v>
          </cell>
        </row>
        <row r="99">
          <cell r="A99" t="str">
            <v xml:space="preserve"> 3Q</v>
          </cell>
          <cell r="B99">
            <v>0.27785419532324607</v>
          </cell>
          <cell r="C99">
            <v>0.1454397394136806</v>
          </cell>
          <cell r="D99">
            <v>0.33226259787191315</v>
          </cell>
          <cell r="E99">
            <v>0.25885389778007228</v>
          </cell>
          <cell r="F99">
            <v>0.41043956043956031</v>
          </cell>
          <cell r="G99">
            <v>0.49767306573589187</v>
          </cell>
          <cell r="H99">
            <v>0.14018691588785037</v>
          </cell>
          <cell r="I99">
            <v>-0.39534883720930236</v>
          </cell>
          <cell r="J99" t="str">
            <v xml:space="preserve">NM </v>
          </cell>
          <cell r="L99" t="str">
            <v xml:space="preserve">NM </v>
          </cell>
          <cell r="M99" t="str">
            <v xml:space="preserve">NM </v>
          </cell>
          <cell r="N99" t="str">
            <v xml:space="preserve">NM </v>
          </cell>
          <cell r="O99">
            <v>0.49805859512883721</v>
          </cell>
          <cell r="P99">
            <v>0.43529411764705883</v>
          </cell>
          <cell r="Q99">
            <v>-4.1897211287907243E-2</v>
          </cell>
          <cell r="S99">
            <v>0.52496217851739635</v>
          </cell>
          <cell r="T99">
            <v>4.9970574424979208E-2</v>
          </cell>
          <cell r="U99">
            <v>0.43014376137654531</v>
          </cell>
          <cell r="V99">
            <v>0.23076923076923084</v>
          </cell>
          <cell r="W99">
            <v>0.43014376137654531</v>
          </cell>
        </row>
        <row r="100">
          <cell r="A100" t="str">
            <v xml:space="preserve"> 4Q</v>
          </cell>
          <cell r="B100">
            <v>0.30450287874881843</v>
          </cell>
          <cell r="C100">
            <v>0.11017209588199139</v>
          </cell>
          <cell r="D100">
            <v>0.37993558391983751</v>
          </cell>
          <cell r="E100">
            <v>0.29034926470588251</v>
          </cell>
          <cell r="F100">
            <v>0.33064109035840494</v>
          </cell>
          <cell r="G100">
            <v>0.65454545454545343</v>
          </cell>
          <cell r="H100">
            <v>8.1481481481481488E-2</v>
          </cell>
          <cell r="I100">
            <v>-0.30163043478260865</v>
          </cell>
          <cell r="J100" t="str">
            <v xml:space="preserve">NM </v>
          </cell>
          <cell r="L100" t="str">
            <v xml:space="preserve">NM </v>
          </cell>
          <cell r="M100" t="str">
            <v xml:space="preserve">NM </v>
          </cell>
          <cell r="N100" t="str">
            <v xml:space="preserve">NM </v>
          </cell>
          <cell r="O100">
            <v>0.94695121951219385</v>
          </cell>
          <cell r="P100">
            <v>0.50920910075839676</v>
          </cell>
          <cell r="Q100">
            <v>-0.22483466168375443</v>
          </cell>
          <cell r="S100">
            <v>0.47942299533304977</v>
          </cell>
          <cell r="T100">
            <v>5.1514447622452719E-2</v>
          </cell>
          <cell r="U100">
            <v>0.41144822124236269</v>
          </cell>
          <cell r="V100">
            <v>0.23076923076923084</v>
          </cell>
          <cell r="W100">
            <v>0.41144822124236269</v>
          </cell>
        </row>
        <row r="102">
          <cell r="A102" t="str">
            <v>Year</v>
          </cell>
          <cell r="B102">
            <v>0.31345509670163074</v>
          </cell>
          <cell r="C102">
            <v>0.15729357036052494</v>
          </cell>
          <cell r="D102">
            <v>0.37859048543016516</v>
          </cell>
          <cell r="E102">
            <v>0.31490901177814634</v>
          </cell>
          <cell r="F102">
            <v>0.47113954180303463</v>
          </cell>
          <cell r="G102">
            <v>0.49933272459085409</v>
          </cell>
          <cell r="H102">
            <v>0.34541062801932365</v>
          </cell>
          <cell r="I102">
            <v>-0.3167664670658682</v>
          </cell>
          <cell r="J102">
            <v>6.0283687943262221E-2</v>
          </cell>
          <cell r="L102" t="str">
            <v xml:space="preserve">NM </v>
          </cell>
          <cell r="M102">
            <v>2.1544929059379658E-2</v>
          </cell>
          <cell r="N102" t="str">
            <v xml:space="preserve">NM </v>
          </cell>
          <cell r="O102">
            <v>0.57305010539970747</v>
          </cell>
          <cell r="P102">
            <v>0.41934597416872754</v>
          </cell>
          <cell r="Q102">
            <v>-9.7710893444124647E-2</v>
          </cell>
          <cell r="S102">
            <v>0.46417481311098285</v>
          </cell>
          <cell r="T102">
            <v>4.9975655737166447E-2</v>
          </cell>
          <cell r="U102">
            <v>0.41014993693625623</v>
          </cell>
          <cell r="V102">
            <v>0.23076923076923084</v>
          </cell>
          <cell r="W102">
            <v>0.39062484662615682</v>
          </cell>
        </row>
        <row r="104">
          <cell r="A104" t="str">
            <v>1998 (a)</v>
          </cell>
        </row>
        <row r="105">
          <cell r="A105" t="str">
            <v xml:space="preserve"> 1QR</v>
          </cell>
          <cell r="B105">
            <v>2330.9</v>
          </cell>
          <cell r="C105">
            <v>653.6</v>
          </cell>
          <cell r="D105">
            <v>1677.3000000000002</v>
          </cell>
          <cell r="E105">
            <v>1024.3</v>
          </cell>
          <cell r="F105">
            <v>207.8</v>
          </cell>
          <cell r="G105">
            <v>445.20000000000022</v>
          </cell>
          <cell r="H105">
            <v>14.7</v>
          </cell>
          <cell r="I105">
            <v>-36</v>
          </cell>
          <cell r="J105">
            <v>-14.8</v>
          </cell>
          <cell r="L105">
            <v>6.9</v>
          </cell>
          <cell r="M105">
            <v>-29.200000000000003</v>
          </cell>
          <cell r="N105">
            <v>0</v>
          </cell>
          <cell r="O105">
            <v>416.00000000000023</v>
          </cell>
          <cell r="P105">
            <v>123.1</v>
          </cell>
          <cell r="Q105">
            <v>0.29591346153846138</v>
          </cell>
          <cell r="S105">
            <v>292.9000000000002</v>
          </cell>
          <cell r="T105">
            <v>873.96864800000003</v>
          </cell>
          <cell r="U105">
            <v>0.33</v>
          </cell>
          <cell r="V105">
            <v>0.16</v>
          </cell>
          <cell r="W105">
            <v>0.33513788014052442</v>
          </cell>
        </row>
        <row r="106">
          <cell r="A106" t="str">
            <v xml:space="preserve"> 2QR</v>
          </cell>
          <cell r="B106">
            <v>2682.7</v>
          </cell>
          <cell r="C106">
            <v>706.9</v>
          </cell>
          <cell r="D106">
            <v>1975.7999999999997</v>
          </cell>
          <cell r="E106">
            <v>1186.6000000000001</v>
          </cell>
          <cell r="F106">
            <v>260.8</v>
          </cell>
          <cell r="G106">
            <v>528.39999999999964</v>
          </cell>
          <cell r="H106">
            <v>14.2</v>
          </cell>
          <cell r="I106">
            <v>-26.4</v>
          </cell>
          <cell r="J106">
            <v>-14.7</v>
          </cell>
          <cell r="L106">
            <v>-40.299999999999997</v>
          </cell>
          <cell r="M106">
            <v>-67.199999999999989</v>
          </cell>
          <cell r="N106">
            <v>0</v>
          </cell>
          <cell r="O106">
            <v>461.19999999999965</v>
          </cell>
          <cell r="P106">
            <v>132.1</v>
          </cell>
          <cell r="Q106">
            <v>0.28642671292281024</v>
          </cell>
          <cell r="S106">
            <v>329.09999999999968</v>
          </cell>
          <cell r="T106">
            <v>878.70144900000003</v>
          </cell>
          <cell r="U106">
            <v>0.4</v>
          </cell>
          <cell r="V106">
            <v>0.16</v>
          </cell>
          <cell r="W106">
            <v>0.37452993889395497</v>
          </cell>
        </row>
        <row r="107">
          <cell r="A107" t="str">
            <v xml:space="preserve"> 3QR</v>
          </cell>
          <cell r="B107">
            <v>2694.1</v>
          </cell>
          <cell r="C107">
            <v>703.3</v>
          </cell>
          <cell r="D107">
            <v>1990.8</v>
          </cell>
          <cell r="E107">
            <v>1219.2</v>
          </cell>
          <cell r="F107">
            <v>256.7</v>
          </cell>
          <cell r="G107">
            <v>514.89999999999986</v>
          </cell>
          <cell r="H107">
            <v>12.2</v>
          </cell>
          <cell r="I107">
            <v>-26</v>
          </cell>
          <cell r="J107">
            <v>-14.9</v>
          </cell>
          <cell r="L107">
            <v>-61.8</v>
          </cell>
          <cell r="M107">
            <v>-90.5</v>
          </cell>
          <cell r="N107">
            <v>0</v>
          </cell>
          <cell r="O107">
            <v>424.39999999999986</v>
          </cell>
          <cell r="P107">
            <v>122</v>
          </cell>
          <cell r="Q107">
            <v>0.28746465598491999</v>
          </cell>
          <cell r="S107">
            <v>302.39999999999998</v>
          </cell>
          <cell r="T107">
            <v>881.03030899999999</v>
          </cell>
          <cell r="U107">
            <v>0.34323450273037087</v>
          </cell>
          <cell r="V107">
            <v>0.16</v>
          </cell>
          <cell r="W107">
            <v>0.34323450273037087</v>
          </cell>
        </row>
        <row r="108">
          <cell r="A108" t="str">
            <v xml:space="preserve"> 4Q</v>
          </cell>
          <cell r="B108">
            <v>3036.1</v>
          </cell>
          <cell r="C108">
            <v>722.5</v>
          </cell>
          <cell r="D108">
            <v>2313.6</v>
          </cell>
          <cell r="E108">
            <v>1403.9</v>
          </cell>
          <cell r="F108">
            <v>263.60000000000002</v>
          </cell>
          <cell r="G108">
            <v>646.0999999999998</v>
          </cell>
          <cell r="H108">
            <v>14.6</v>
          </cell>
          <cell r="I108">
            <v>-25.7</v>
          </cell>
          <cell r="J108">
            <v>-15.4</v>
          </cell>
          <cell r="L108">
            <v>19</v>
          </cell>
          <cell r="M108">
            <v>-7.5</v>
          </cell>
          <cell r="N108">
            <v>0</v>
          </cell>
          <cell r="O108">
            <v>638.5999999999998</v>
          </cell>
          <cell r="P108">
            <v>139.30000000000001</v>
          </cell>
          <cell r="Q108">
            <v>0.21813341684935805</v>
          </cell>
          <cell r="S108">
            <v>348.7</v>
          </cell>
          <cell r="T108">
            <v>882.32577300000003</v>
          </cell>
          <cell r="U108">
            <v>0.39520550194786158</v>
          </cell>
          <cell r="V108">
            <v>0.16</v>
          </cell>
          <cell r="W108">
            <v>0.39520550194786158</v>
          </cell>
        </row>
        <row r="110">
          <cell r="A110" t="str">
            <v>Year</v>
          </cell>
          <cell r="B110">
            <v>10743.800000000001</v>
          </cell>
          <cell r="C110">
            <v>2786.3</v>
          </cell>
          <cell r="D110">
            <v>7957.5</v>
          </cell>
          <cell r="E110">
            <v>4834</v>
          </cell>
          <cell r="F110">
            <v>988.9</v>
          </cell>
          <cell r="G110">
            <v>2134.5999999999995</v>
          </cell>
          <cell r="H110">
            <v>55.699999999999996</v>
          </cell>
          <cell r="I110">
            <v>-114.10000000000001</v>
          </cell>
          <cell r="J110">
            <v>-59.8</v>
          </cell>
          <cell r="L110">
            <v>-76.199999999999989</v>
          </cell>
          <cell r="M110">
            <v>-194.39999999999998</v>
          </cell>
          <cell r="N110">
            <v>0</v>
          </cell>
          <cell r="O110">
            <v>1940.1999999999994</v>
          </cell>
          <cell r="P110">
            <v>516.5</v>
          </cell>
          <cell r="Q110">
            <v>0.2662096691062778</v>
          </cell>
          <cell r="S110">
            <v>1273.0999999999999</v>
          </cell>
          <cell r="T110">
            <v>879.00654474999999</v>
          </cell>
          <cell r="U110">
            <v>1.4684400046782324</v>
          </cell>
          <cell r="V110">
            <v>0.64</v>
          </cell>
          <cell r="W110">
            <v>1.4481078237127119</v>
          </cell>
        </row>
        <row r="112">
          <cell r="A112" t="str">
            <v>1999/98</v>
          </cell>
        </row>
        <row r="113">
          <cell r="A113" t="str">
            <v xml:space="preserve"> 1QA</v>
          </cell>
          <cell r="B113">
            <v>0.28963061478398888</v>
          </cell>
          <cell r="C113">
            <v>0.15116279069767424</v>
          </cell>
          <cell r="D113">
            <v>0.34358790913968851</v>
          </cell>
          <cell r="E113">
            <v>0.33115298252465108</v>
          </cell>
          <cell r="F113">
            <v>0.3185755534167467</v>
          </cell>
          <cell r="G113">
            <v>0.38387241689128393</v>
          </cell>
          <cell r="H113">
            <v>0.52380952380952372</v>
          </cell>
          <cell r="I113">
            <v>-9.722222222222221E-2</v>
          </cell>
          <cell r="J113" t="str">
            <v xml:space="preserve">NM </v>
          </cell>
          <cell r="L113" t="str">
            <v xml:space="preserve">NM </v>
          </cell>
          <cell r="M113" t="str">
            <v xml:space="preserve">NM </v>
          </cell>
          <cell r="N113" t="str">
            <v xml:space="preserve">NM </v>
          </cell>
          <cell r="O113">
            <v>0.29278846153846083</v>
          </cell>
          <cell r="P113">
            <v>0.26563769293257522</v>
          </cell>
          <cell r="Q113">
            <v>-3.6880584890332635E-2</v>
          </cell>
          <cell r="S113">
            <v>0.30419938545578584</v>
          </cell>
          <cell r="T113">
            <v>9.9226671572776315E-3</v>
          </cell>
          <cell r="U113">
            <v>0.31149140825272359</v>
          </cell>
          <cell r="V113">
            <v>0.25</v>
          </cell>
          <cell r="W113">
            <v>0.29138539797986329</v>
          </cell>
        </row>
        <row r="114">
          <cell r="A114" t="str">
            <v xml:space="preserve"> 2QA</v>
          </cell>
          <cell r="B114">
            <v>0.17445111268498148</v>
          </cell>
          <cell r="C114">
            <v>2.3058424105248276E-2</v>
          </cell>
          <cell r="D114">
            <v>0.22861625670614449</v>
          </cell>
          <cell r="E114">
            <v>0.22130456767234108</v>
          </cell>
          <cell r="F114">
            <v>8.0521472392637961E-2</v>
          </cell>
          <cell r="G114">
            <v>0.31813020439061401</v>
          </cell>
          <cell r="H114">
            <v>1.2605633802816905</v>
          </cell>
          <cell r="I114">
            <v>0.39393939393939381</v>
          </cell>
          <cell r="J114" t="str">
            <v xml:space="preserve">NM </v>
          </cell>
          <cell r="L114" t="str">
            <v xml:space="preserve">NM </v>
          </cell>
          <cell r="M114" t="str">
            <v xml:space="preserve">NM </v>
          </cell>
          <cell r="N114" t="str">
            <v xml:space="preserve">NM </v>
          </cell>
          <cell r="O114">
            <v>0.36513443191674</v>
          </cell>
          <cell r="P114">
            <v>0.38304314912944726</v>
          </cell>
          <cell r="Q114">
            <v>1.3118647361023861E-2</v>
          </cell>
          <cell r="S114">
            <v>0.35794591309632473</v>
          </cell>
          <cell r="T114">
            <v>4.1727221505925005E-3</v>
          </cell>
          <cell r="U114">
            <v>0.26619501962778513</v>
          </cell>
          <cell r="V114">
            <v>0.25</v>
          </cell>
          <cell r="W114">
            <v>0.35230312788030305</v>
          </cell>
        </row>
        <row r="115">
          <cell r="A115" t="str">
            <v xml:space="preserve"> 3QA</v>
          </cell>
          <cell r="B115">
            <v>0.20173712928250631</v>
          </cell>
          <cell r="C115">
            <v>9.0857386606000512E-2</v>
          </cell>
          <cell r="D115">
            <v>0.24090817761703875</v>
          </cell>
          <cell r="E115">
            <v>0.26667913385826791</v>
          </cell>
          <cell r="F115">
            <v>0.35021425788858607</v>
          </cell>
          <cell r="G115">
            <v>0.22450961351718912</v>
          </cell>
          <cell r="H115">
            <v>1.7049180327868854</v>
          </cell>
          <cell r="I115">
            <v>0.42692307692307696</v>
          </cell>
          <cell r="J115" t="str">
            <v xml:space="preserve">NM </v>
          </cell>
          <cell r="L115" t="str">
            <v xml:space="preserve">NM </v>
          </cell>
          <cell r="M115" t="str">
            <v xml:space="preserve">NM </v>
          </cell>
          <cell r="N115" t="str">
            <v xml:space="preserve">NM </v>
          </cell>
          <cell r="O115">
            <v>0.3840716305372307</v>
          </cell>
          <cell r="P115">
            <v>0.39672131147540979</v>
          </cell>
          <cell r="Q115">
            <v>9.1394698504652094E-3</v>
          </cell>
          <cell r="S115">
            <v>0.37896825396825595</v>
          </cell>
          <cell r="T115">
            <v>2.7707798188814081E-3</v>
          </cell>
          <cell r="U115">
            <v>0.37515799395084359</v>
          </cell>
          <cell r="V115">
            <v>0.25</v>
          </cell>
          <cell r="W115">
            <v>0.37515799395084359</v>
          </cell>
        </row>
        <row r="116">
          <cell r="A116" t="str">
            <v xml:space="preserve"> 4Q</v>
          </cell>
          <cell r="B116">
            <v>0.16422383979447308</v>
          </cell>
          <cell r="C116">
            <v>0.10602076124567472</v>
          </cell>
          <cell r="D116">
            <v>0.18239972337482713</v>
          </cell>
          <cell r="E116">
            <v>0.20097720635372873</v>
          </cell>
          <cell r="F116">
            <v>0.35280728376327763</v>
          </cell>
          <cell r="G116">
            <v>0.12443894134034994</v>
          </cell>
          <cell r="H116">
            <v>1.6712328767123288</v>
          </cell>
          <cell r="I116">
            <v>0.31906614785992216</v>
          </cell>
          <cell r="J116" t="str">
            <v xml:space="preserve">NM </v>
          </cell>
          <cell r="L116" t="str">
            <v xml:space="preserve">NM </v>
          </cell>
          <cell r="M116" t="str">
            <v xml:space="preserve">NM </v>
          </cell>
          <cell r="N116" t="str">
            <v xml:space="preserve">NM </v>
          </cell>
          <cell r="O116">
            <v>7.5007829627310008E-2</v>
          </cell>
          <cell r="P116">
            <v>0.42928930366116269</v>
          </cell>
          <cell r="Q116">
            <v>0.32956176157031081</v>
          </cell>
          <cell r="S116">
            <v>0.39776312016059623</v>
          </cell>
          <cell r="T116">
            <v>7.1588014237911057E-3</v>
          </cell>
          <cell r="U116">
            <v>0.38782793555953576</v>
          </cell>
          <cell r="V116">
            <v>0.25</v>
          </cell>
          <cell r="W116">
            <v>0.41060722050922016</v>
          </cell>
        </row>
        <row r="118">
          <cell r="A118" t="str">
            <v>Year</v>
          </cell>
          <cell r="B118">
            <v>0.20339172359872659</v>
          </cell>
          <cell r="C118">
            <v>9.173455837490585E-2</v>
          </cell>
          <cell r="D118">
            <v>0.24248821866163994</v>
          </cell>
          <cell r="E118">
            <v>0.23262308647083163</v>
          </cell>
          <cell r="F118">
            <v>0.27313176256446559</v>
          </cell>
          <cell r="G118">
            <v>0.25063243699053728</v>
          </cell>
          <cell r="H118">
            <v>1.2710951526032317</v>
          </cell>
          <cell r="I118">
            <v>0.22962313759859776</v>
          </cell>
          <cell r="J118">
            <v>1.5050167224080369E-2</v>
          </cell>
          <cell r="L118" t="str">
            <v xml:space="preserve">NM </v>
          </cell>
          <cell r="M118">
            <v>0.17438271604938294</v>
          </cell>
          <cell r="N118" t="str">
            <v xml:space="preserve">NM </v>
          </cell>
          <cell r="O118">
            <v>0.25827234305741742</v>
          </cell>
          <cell r="P118">
            <v>0.37076476282671833</v>
          </cell>
          <cell r="Q118">
            <v>8.9402282733132887E-2</v>
          </cell>
          <cell r="S118">
            <v>0.36147985232896129</v>
          </cell>
          <cell r="T118">
            <v>6.0000159060249469E-3</v>
          </cell>
          <cell r="U118">
            <v>0.3345789221558424</v>
          </cell>
          <cell r="V118">
            <v>0.25</v>
          </cell>
          <cell r="W118">
            <v>0.35953383111279114</v>
          </cell>
        </row>
        <row r="120">
          <cell r="A120" t="str">
            <v>1999 (a)</v>
          </cell>
        </row>
        <row r="121">
          <cell r="A121" t="str">
            <v xml:space="preserve"> 1QA R</v>
          </cell>
          <cell r="B121">
            <v>3006</v>
          </cell>
          <cell r="C121">
            <v>752.4</v>
          </cell>
          <cell r="D121">
            <v>2253.6</v>
          </cell>
          <cell r="E121">
            <v>1363.5</v>
          </cell>
          <cell r="F121">
            <v>274</v>
          </cell>
          <cell r="G121">
            <v>616.09999999999991</v>
          </cell>
          <cell r="H121">
            <v>22.4</v>
          </cell>
          <cell r="I121">
            <v>-32.5</v>
          </cell>
          <cell r="J121">
            <v>-15.7</v>
          </cell>
          <cell r="K121" t="str">
            <v xml:space="preserve"> </v>
          </cell>
          <cell r="L121">
            <v>-52.5</v>
          </cell>
          <cell r="M121">
            <v>-78.3</v>
          </cell>
          <cell r="N121">
            <v>0</v>
          </cell>
          <cell r="O121">
            <v>537.79999999999995</v>
          </cell>
          <cell r="P121">
            <v>155.80000000000001</v>
          </cell>
          <cell r="Q121">
            <v>0.28499999999999998</v>
          </cell>
          <cell r="S121">
            <v>381.99999999999994</v>
          </cell>
          <cell r="T121">
            <v>882.64074800000003</v>
          </cell>
          <cell r="U121">
            <v>0.43279216472339882</v>
          </cell>
          <cell r="V121">
            <v>0.2</v>
          </cell>
          <cell r="W121">
            <v>0.43279216472339882</v>
          </cell>
        </row>
        <row r="122">
          <cell r="A122" t="str">
            <v xml:space="preserve"> 2QA R</v>
          </cell>
          <cell r="B122">
            <v>3150.7</v>
          </cell>
          <cell r="C122">
            <v>723.2</v>
          </cell>
          <cell r="D122">
            <v>2427.5</v>
          </cell>
          <cell r="E122">
            <v>1449.2</v>
          </cell>
          <cell r="F122">
            <v>281.8</v>
          </cell>
          <cell r="G122">
            <v>696.5</v>
          </cell>
          <cell r="H122">
            <v>32.1</v>
          </cell>
          <cell r="I122">
            <v>-36.799999999999997</v>
          </cell>
          <cell r="J122">
            <v>-15.3</v>
          </cell>
          <cell r="K122" t="str">
            <v xml:space="preserve"> </v>
          </cell>
          <cell r="L122">
            <v>-46.9</v>
          </cell>
          <cell r="M122">
            <v>-66.899999999999991</v>
          </cell>
          <cell r="N122">
            <v>0</v>
          </cell>
          <cell r="O122">
            <v>629.6</v>
          </cell>
          <cell r="P122">
            <v>182.7</v>
          </cell>
          <cell r="Q122">
            <v>0.29018424396442183</v>
          </cell>
          <cell r="S122">
            <v>446.90000000000003</v>
          </cell>
          <cell r="T122">
            <v>882.36802599999999</v>
          </cell>
          <cell r="U122">
            <v>0.50647800785111408</v>
          </cell>
          <cell r="V122">
            <v>0.2</v>
          </cell>
          <cell r="W122">
            <v>0.50647800785111408</v>
          </cell>
        </row>
        <row r="123">
          <cell r="A123" t="str">
            <v xml:space="preserve"> 3QA</v>
          </cell>
          <cell r="B123">
            <v>3237.6000000000004</v>
          </cell>
          <cell r="C123">
            <v>767.2</v>
          </cell>
          <cell r="D123">
            <v>2470.4000000000005</v>
          </cell>
          <cell r="E123">
            <v>1493.3</v>
          </cell>
          <cell r="F123">
            <v>346.6</v>
          </cell>
          <cell r="G123">
            <v>630.50000000000057</v>
          </cell>
          <cell r="H123">
            <v>33</v>
          </cell>
          <cell r="I123">
            <v>-37.1</v>
          </cell>
          <cell r="J123">
            <v>-14.4</v>
          </cell>
          <cell r="L123">
            <v>-24.599999999999998</v>
          </cell>
          <cell r="M123">
            <v>-43.099999999999994</v>
          </cell>
          <cell r="N123">
            <v>0</v>
          </cell>
          <cell r="O123">
            <v>587.40000000000055</v>
          </cell>
          <cell r="P123">
            <v>170.4</v>
          </cell>
          <cell r="Q123">
            <v>0.2900919305413685</v>
          </cell>
          <cell r="S123">
            <v>417.00000000000057</v>
          </cell>
          <cell r="T123">
            <v>883.47145</v>
          </cell>
          <cell r="U123">
            <v>0.47200167022941214</v>
          </cell>
          <cell r="V123">
            <v>0.2</v>
          </cell>
          <cell r="W123">
            <v>0.47200167022941214</v>
          </cell>
        </row>
        <row r="124">
          <cell r="A124" t="str">
            <v xml:space="preserve"> 4Q</v>
          </cell>
          <cell r="B124">
            <v>3534.7</v>
          </cell>
          <cell r="C124">
            <v>799.1</v>
          </cell>
          <cell r="D124">
            <v>2735.6</v>
          </cell>
          <cell r="E124">
            <v>1652.5</v>
          </cell>
          <cell r="F124">
            <v>356.6</v>
          </cell>
          <cell r="G124">
            <v>726.49999999999989</v>
          </cell>
          <cell r="H124">
            <v>39</v>
          </cell>
          <cell r="I124">
            <v>-33.9</v>
          </cell>
          <cell r="J124">
            <v>-15.3</v>
          </cell>
          <cell r="L124">
            <v>-29.8</v>
          </cell>
          <cell r="M124">
            <v>-40</v>
          </cell>
          <cell r="N124">
            <v>0</v>
          </cell>
          <cell r="O124">
            <v>686.49999999999989</v>
          </cell>
          <cell r="P124">
            <v>199.1</v>
          </cell>
          <cell r="Q124">
            <v>0.29002184996358343</v>
          </cell>
          <cell r="S124">
            <v>487.39999999999986</v>
          </cell>
          <cell r="T124">
            <v>888.64216799999997</v>
          </cell>
          <cell r="U124">
            <v>0.5484772358900708</v>
          </cell>
          <cell r="V124">
            <v>0.2</v>
          </cell>
          <cell r="W124">
            <v>0.55747973463262424</v>
          </cell>
        </row>
        <row r="126">
          <cell r="A126" t="str">
            <v>Year</v>
          </cell>
          <cell r="B126">
            <v>12929</v>
          </cell>
          <cell r="C126">
            <v>3041.9</v>
          </cell>
          <cell r="D126">
            <v>9887.1</v>
          </cell>
          <cell r="E126">
            <v>5958.5</v>
          </cell>
          <cell r="F126">
            <v>1259</v>
          </cell>
          <cell r="G126">
            <v>2669.6000000000004</v>
          </cell>
          <cell r="H126">
            <v>126.5</v>
          </cell>
          <cell r="I126">
            <v>-140.30000000000001</v>
          </cell>
          <cell r="J126">
            <v>-60.7</v>
          </cell>
          <cell r="L126">
            <v>-153.80000000000001</v>
          </cell>
          <cell r="M126">
            <v>-228.3</v>
          </cell>
          <cell r="N126">
            <v>0</v>
          </cell>
          <cell r="O126">
            <v>2441.3000000000006</v>
          </cell>
          <cell r="P126">
            <v>708</v>
          </cell>
          <cell r="Q126">
            <v>0.290009421210011</v>
          </cell>
          <cell r="S126">
            <v>1733.3000000000004</v>
          </cell>
          <cell r="T126">
            <v>884.28059799999994</v>
          </cell>
          <cell r="U126">
            <v>1.9597490786939957</v>
          </cell>
          <cell r="V126">
            <v>0.8</v>
          </cell>
          <cell r="W126">
            <v>1.9687515774365494</v>
          </cell>
        </row>
        <row r="128">
          <cell r="A128" t="str">
            <v>2000E</v>
          </cell>
        </row>
        <row r="129">
          <cell r="A129" t="str">
            <v xml:space="preserve"> 1QA</v>
          </cell>
          <cell r="B129">
            <v>0.13339986693280115</v>
          </cell>
          <cell r="C129">
            <v>-2.6581605528963603E-4</v>
          </cell>
          <cell r="D129">
            <v>0.17802626908058228</v>
          </cell>
          <cell r="E129">
            <v>0.14712137880454712</v>
          </cell>
          <cell r="F129">
            <v>0.2729927007299271</v>
          </cell>
          <cell r="G129">
            <v>0.20418763187794253</v>
          </cell>
          <cell r="H129">
            <v>1.4553571428571428</v>
          </cell>
          <cell r="I129">
            <v>0.78153846153846152</v>
          </cell>
          <cell r="J129" t="str">
            <v xml:space="preserve">NM </v>
          </cell>
          <cell r="L129" t="str">
            <v xml:space="preserve">NM </v>
          </cell>
          <cell r="M129" t="str">
            <v xml:space="preserve">NM </v>
          </cell>
          <cell r="N129" t="str">
            <v xml:space="preserve">NM </v>
          </cell>
          <cell r="O129">
            <v>0.34101896615842375</v>
          </cell>
          <cell r="P129">
            <v>0.31926829268292711</v>
          </cell>
          <cell r="Q129">
            <v>0</v>
          </cell>
          <cell r="R129" t="e">
            <v>#DIV/0!</v>
          </cell>
          <cell r="S129">
            <v>0.34989005235602177</v>
          </cell>
          <cell r="T129">
            <v>1.468236315779059E-2</v>
          </cell>
          <cell r="U129">
            <v>0.33035726387815778</v>
          </cell>
          <cell r="V129">
            <v>0.25</v>
          </cell>
        </row>
        <row r="130">
          <cell r="A130" t="str">
            <v xml:space="preserve"> 2QE</v>
          </cell>
          <cell r="B130">
            <v>0.12531659631193093</v>
          </cell>
          <cell r="C130">
            <v>2.9538647676991214E-2</v>
          </cell>
          <cell r="D130">
            <v>0.15385073120494352</v>
          </cell>
          <cell r="E130">
            <v>0.13030442313000301</v>
          </cell>
          <cell r="F130">
            <v>0.22042900993612502</v>
          </cell>
          <cell r="G130">
            <v>0.17590608040200983</v>
          </cell>
          <cell r="H130">
            <v>0.55763239875389403</v>
          </cell>
          <cell r="I130">
            <v>0.63043478260869579</v>
          </cell>
          <cell r="J130" t="str">
            <v xml:space="preserve">NM </v>
          </cell>
          <cell r="L130" t="str">
            <v xml:space="preserve">NM </v>
          </cell>
          <cell r="M130" t="str">
            <v xml:space="preserve">NM </v>
          </cell>
          <cell r="N130" t="str">
            <v xml:space="preserve">NM </v>
          </cell>
          <cell r="O130">
            <v>0.25765340692503136</v>
          </cell>
          <cell r="P130">
            <v>0.23518498481116556</v>
          </cell>
          <cell r="Q130">
            <v>-1.7865353037766818E-2</v>
          </cell>
          <cell r="R130" t="e">
            <v>#DIV/0!</v>
          </cell>
          <cell r="S130">
            <v>0.26683886389572575</v>
          </cell>
          <cell r="T130">
            <v>1.4995980826712385E-2</v>
          </cell>
          <cell r="U130">
            <v>0.24812204957096262</v>
          </cell>
          <cell r="V130">
            <v>0.25</v>
          </cell>
        </row>
        <row r="131">
          <cell r="A131" t="str">
            <v xml:space="preserve"> 3QE</v>
          </cell>
          <cell r="B131">
            <v>0.14365826538176441</v>
          </cell>
          <cell r="C131">
            <v>4.2472533889468256E-2</v>
          </cell>
          <cell r="D131">
            <v>0.17508220207253888</v>
          </cell>
          <cell r="E131">
            <v>0.1505099524542961</v>
          </cell>
          <cell r="F131">
            <v>0.15375783035199087</v>
          </cell>
          <cell r="G131">
            <v>0.24500253132434491</v>
          </cell>
          <cell r="H131">
            <v>0.51515151515151514</v>
          </cell>
          <cell r="I131">
            <v>0.61725067385444743</v>
          </cell>
          <cell r="J131" t="str">
            <v xml:space="preserve">NM </v>
          </cell>
          <cell r="L131" t="str">
            <v xml:space="preserve">NM </v>
          </cell>
          <cell r="M131" t="str">
            <v xml:space="preserve">NM </v>
          </cell>
          <cell r="N131" t="str">
            <v xml:space="preserve">NM </v>
          </cell>
          <cell r="O131">
            <v>0.28783468845760884</v>
          </cell>
          <cell r="P131">
            <v>0.26522956197183101</v>
          </cell>
          <cell r="Q131">
            <v>-1.7552816901407753E-2</v>
          </cell>
          <cell r="R131" t="e">
            <v>#DIV/0!</v>
          </cell>
          <cell r="S131">
            <v>0.29707189122302013</v>
          </cell>
          <cell r="T131">
            <v>1.3728287427963837E-2</v>
          </cell>
          <cell r="U131">
            <v>0.27950645879080382</v>
          </cell>
          <cell r="V131">
            <v>0.25</v>
          </cell>
        </row>
        <row r="132">
          <cell r="A132" t="str">
            <v xml:space="preserve"> 4QE</v>
          </cell>
          <cell r="B132">
            <v>0.16783521158485137</v>
          </cell>
          <cell r="C132">
            <v>0.12203953001629131</v>
          </cell>
          <cell r="D132">
            <v>0.18121265314847035</v>
          </cell>
          <cell r="E132">
            <v>0.17349865947865983</v>
          </cell>
          <cell r="F132">
            <v>0.20599894449260914</v>
          </cell>
          <cell r="G132">
            <v>0.18659267110585831</v>
          </cell>
          <cell r="H132">
            <v>0.41025641025641035</v>
          </cell>
          <cell r="I132">
            <v>0.83185840707964598</v>
          </cell>
          <cell r="J132" t="str">
            <v xml:space="preserve">NM </v>
          </cell>
          <cell r="L132" t="str">
            <v xml:space="preserve">NM </v>
          </cell>
          <cell r="M132" t="str">
            <v xml:space="preserve">NM </v>
          </cell>
          <cell r="N132" t="str">
            <v xml:space="preserve">NM </v>
          </cell>
          <cell r="O132">
            <v>0.21742108602826815</v>
          </cell>
          <cell r="P132">
            <v>0.196340929352816</v>
          </cell>
          <cell r="Q132">
            <v>-1.7315419387242792E-2</v>
          </cell>
          <cell r="R132" t="e">
            <v>#DIV/0!</v>
          </cell>
          <cell r="S132">
            <v>0.22603220460455553</v>
          </cell>
          <cell r="T132">
            <v>7.8297342288624616E-3</v>
          </cell>
          <cell r="U132">
            <v>0.21650727594641772</v>
          </cell>
          <cell r="V132">
            <v>0.25</v>
          </cell>
        </row>
        <row r="134">
          <cell r="A134" t="str">
            <v>Year</v>
          </cell>
          <cell r="B134">
            <v>0.14341326648534114</v>
          </cell>
          <cell r="C134">
            <v>4.9728481026996008E-2</v>
          </cell>
          <cell r="D134">
            <v>0.17223665745799632</v>
          </cell>
          <cell r="E134">
            <v>0.14000000000000001</v>
          </cell>
          <cell r="F134">
            <v>0.2094269917442928</v>
          </cell>
          <cell r="G134">
            <v>0.20166026991249852</v>
          </cell>
          <cell r="H134">
            <v>0.66007905138339917</v>
          </cell>
          <cell r="I134" t="str">
            <v xml:space="preserve">NM </v>
          </cell>
          <cell r="J134" t="str">
            <v xml:space="preserve">NM </v>
          </cell>
          <cell r="L134" t="str">
            <v xml:space="preserve">NM </v>
          </cell>
          <cell r="M134" t="str">
            <v xml:space="preserve">NM </v>
          </cell>
          <cell r="N134" t="str">
            <v xml:space="preserve">NM </v>
          </cell>
          <cell r="O134">
            <v>0.2719666802762486</v>
          </cell>
          <cell r="P134">
            <v>0.24999561175020601</v>
          </cell>
          <cell r="Q134">
            <v>-1.7273305084745672E-2</v>
          </cell>
          <cell r="S134">
            <v>0.2809411893147522</v>
          </cell>
          <cell r="T134">
            <v>0</v>
          </cell>
          <cell r="U134">
            <v>0.2649937331431198</v>
          </cell>
          <cell r="V134">
            <v>0.25</v>
          </cell>
          <cell r="W134">
            <v>0.25920930375016038</v>
          </cell>
        </row>
        <row r="136">
          <cell r="A136" t="str">
            <v>2000E</v>
          </cell>
        </row>
        <row r="137">
          <cell r="A137" t="str">
            <v xml:space="preserve"> 1QA</v>
          </cell>
          <cell r="B137">
            <v>3407</v>
          </cell>
          <cell r="C137">
            <v>752.2</v>
          </cell>
          <cell r="D137">
            <v>2654.8</v>
          </cell>
          <cell r="E137">
            <v>1564.1</v>
          </cell>
          <cell r="F137">
            <v>348.8</v>
          </cell>
          <cell r="G137">
            <v>741.90000000000032</v>
          </cell>
          <cell r="H137">
            <v>55</v>
          </cell>
          <cell r="I137">
            <v>-57.9</v>
          </cell>
          <cell r="J137">
            <v>-14.9</v>
          </cell>
          <cell r="L137">
            <v>-2.9000000000000021</v>
          </cell>
          <cell r="M137">
            <v>-20.7</v>
          </cell>
          <cell r="N137">
            <v>0</v>
          </cell>
          <cell r="O137">
            <v>721.20000000000027</v>
          </cell>
          <cell r="P137">
            <v>205.54200000000006</v>
          </cell>
          <cell r="Q137">
            <v>0.28499999999999998</v>
          </cell>
          <cell r="S137">
            <v>515.65800000000024</v>
          </cell>
          <cell r="T137">
            <v>895.6</v>
          </cell>
          <cell r="U137">
            <v>0.57576820008932583</v>
          </cell>
          <cell r="V137">
            <v>0.25</v>
          </cell>
        </row>
        <row r="138">
          <cell r="A138" t="str">
            <v xml:space="preserve"> 2QE</v>
          </cell>
          <cell r="B138">
            <v>3545.5350000000003</v>
          </cell>
          <cell r="C138">
            <v>744.56235000000004</v>
          </cell>
          <cell r="D138">
            <v>2800.9726500000002</v>
          </cell>
          <cell r="E138">
            <v>1638.0371700000003</v>
          </cell>
          <cell r="F138">
            <v>343.91689500000007</v>
          </cell>
          <cell r="G138">
            <v>819.0185849999998</v>
          </cell>
          <cell r="H138">
            <v>50</v>
          </cell>
          <cell r="I138">
            <v>-60</v>
          </cell>
          <cell r="J138">
            <v>-14.2</v>
          </cell>
          <cell r="L138">
            <v>-3</v>
          </cell>
          <cell r="M138">
            <v>-27.2</v>
          </cell>
          <cell r="N138">
            <v>0</v>
          </cell>
          <cell r="O138">
            <v>791.81858499999976</v>
          </cell>
          <cell r="P138">
            <v>225.66829672499992</v>
          </cell>
          <cell r="Q138">
            <v>0.28499999999999998</v>
          </cell>
          <cell r="S138">
            <v>566.15028827499987</v>
          </cell>
          <cell r="T138">
            <v>895.6</v>
          </cell>
          <cell r="U138">
            <v>0.6321463692217506</v>
          </cell>
          <cell r="V138">
            <v>0.25</v>
          </cell>
        </row>
        <row r="139">
          <cell r="A139" t="str">
            <v xml:space="preserve"> 3QE</v>
          </cell>
          <cell r="B139">
            <v>3702.7080000000005</v>
          </cell>
          <cell r="C139">
            <v>799.78492800000015</v>
          </cell>
          <cell r="D139">
            <v>2902.9230720000005</v>
          </cell>
          <cell r="E139">
            <v>1718.0565120000003</v>
          </cell>
          <cell r="F139">
            <v>399.89246400000007</v>
          </cell>
          <cell r="G139">
            <v>784.97409600000015</v>
          </cell>
          <cell r="H139">
            <v>50</v>
          </cell>
          <cell r="I139">
            <v>-60</v>
          </cell>
          <cell r="J139">
            <v>-15.5</v>
          </cell>
          <cell r="L139">
            <v>-3</v>
          </cell>
          <cell r="M139">
            <v>-28.5</v>
          </cell>
          <cell r="N139">
            <v>0</v>
          </cell>
          <cell r="O139">
            <v>756.47409600000015</v>
          </cell>
          <cell r="P139">
            <v>215.59511736000002</v>
          </cell>
          <cell r="Q139">
            <v>0.28499999999999998</v>
          </cell>
          <cell r="S139">
            <v>540.87897864000013</v>
          </cell>
          <cell r="T139">
            <v>895.6</v>
          </cell>
          <cell r="U139">
            <v>0.60392918561857989</v>
          </cell>
          <cell r="V139">
            <v>0.25</v>
          </cell>
        </row>
        <row r="140">
          <cell r="A140" t="str">
            <v xml:space="preserve"> 4QE</v>
          </cell>
          <cell r="B140">
            <v>4127.9471223889741</v>
          </cell>
          <cell r="C140">
            <v>896.62178843601839</v>
          </cell>
          <cell r="D140">
            <v>3231.3253339529556</v>
          </cell>
          <cell r="E140">
            <v>1939.2065347884852</v>
          </cell>
          <cell r="F140">
            <v>430.05922360606445</v>
          </cell>
          <cell r="G140">
            <v>862.05957555840587</v>
          </cell>
          <cell r="H140">
            <v>55</v>
          </cell>
          <cell r="I140">
            <v>-62.099999999999994</v>
          </cell>
          <cell r="J140">
            <v>-16.100000000000005</v>
          </cell>
          <cell r="K140">
            <v>0</v>
          </cell>
          <cell r="L140">
            <v>-3.0999999999999979</v>
          </cell>
          <cell r="M140">
            <v>-26.299999999999997</v>
          </cell>
          <cell r="N140">
            <v>0</v>
          </cell>
          <cell r="O140">
            <v>835.75957555840591</v>
          </cell>
          <cell r="P140">
            <v>238.19147903414566</v>
          </cell>
          <cell r="Q140">
            <v>0.28499999999999998</v>
          </cell>
          <cell r="S140">
            <v>597.56809652426023</v>
          </cell>
          <cell r="T140">
            <v>895.6</v>
          </cell>
          <cell r="U140">
            <v>0.66722654815125082</v>
          </cell>
          <cell r="V140">
            <v>0.25</v>
          </cell>
        </row>
        <row r="142">
          <cell r="A142" t="str">
            <v>Year</v>
          </cell>
          <cell r="B142">
            <v>14783.190122388976</v>
          </cell>
          <cell r="C142">
            <v>3193.169066436019</v>
          </cell>
          <cell r="D142">
            <v>11590.021055952957</v>
          </cell>
          <cell r="E142">
            <v>6859.4002167884855</v>
          </cell>
          <cell r="F142">
            <v>1522.6685826060645</v>
          </cell>
          <cell r="G142">
            <v>3207.9522565584066</v>
          </cell>
          <cell r="H142">
            <v>210</v>
          </cell>
          <cell r="I142">
            <v>-240</v>
          </cell>
          <cell r="J142">
            <v>-60.7</v>
          </cell>
          <cell r="L142">
            <v>-12</v>
          </cell>
          <cell r="M142">
            <v>-102.7</v>
          </cell>
          <cell r="N142">
            <v>0</v>
          </cell>
          <cell r="O142">
            <v>3105.2522565584068</v>
          </cell>
          <cell r="P142">
            <v>884.99689311914585</v>
          </cell>
          <cell r="Q142">
            <v>0.28499999999999998</v>
          </cell>
          <cell r="S142">
            <v>2220.2553634392607</v>
          </cell>
          <cell r="T142">
            <v>895.6</v>
          </cell>
          <cell r="U142">
            <v>2.4790703030809071</v>
          </cell>
          <cell r="V142">
            <v>1</v>
          </cell>
          <cell r="W142">
            <v>2.4790703030809071</v>
          </cell>
        </row>
        <row r="145">
          <cell r="A145" t="str">
            <v>2001E/00E</v>
          </cell>
          <cell r="B145">
            <v>0.12828424913276026</v>
          </cell>
          <cell r="C145">
            <v>4.9931176276318601E-2</v>
          </cell>
          <cell r="D145">
            <v>0.14987132022586147</v>
          </cell>
          <cell r="E145">
            <v>0.10396777824627823</v>
          </cell>
          <cell r="F145">
            <v>8.8849071493168452E-2</v>
          </cell>
          <cell r="G145">
            <v>0.27698899348850703</v>
          </cell>
          <cell r="H145">
            <v>0.33333333333333326</v>
          </cell>
          <cell r="I145">
            <v>-2.083333333333337E-2</v>
          </cell>
          <cell r="J145" t="str">
            <v xml:space="preserve">NM </v>
          </cell>
          <cell r="L145">
            <v>-0.83333333333333337</v>
          </cell>
          <cell r="M145">
            <v>-0.82765335929892891</v>
          </cell>
          <cell r="N145" t="str">
            <v xml:space="preserve">NM </v>
          </cell>
          <cell r="O145">
            <v>0.31352282721865432</v>
          </cell>
          <cell r="P145">
            <v>0.31352282721865454</v>
          </cell>
          <cell r="Q145">
            <v>0</v>
          </cell>
          <cell r="S145">
            <v>0.31352282721865454</v>
          </cell>
          <cell r="T145">
            <v>0</v>
          </cell>
          <cell r="U145">
            <v>0.31352282721865476</v>
          </cell>
          <cell r="V145">
            <v>0.25</v>
          </cell>
          <cell r="W145">
            <v>0.31352282721865476</v>
          </cell>
        </row>
        <row r="146">
          <cell r="A146" t="str">
            <v>2002E/01E</v>
          </cell>
          <cell r="B146">
            <v>0.11639138913769598</v>
          </cell>
          <cell r="C146">
            <v>8.8620459059643775E-2</v>
          </cell>
          <cell r="D146">
            <v>0.1233775680434388</v>
          </cell>
          <cell r="E146">
            <v>0.10655534165630653</v>
          </cell>
          <cell r="F146">
            <v>8.9436265053888464E-2</v>
          </cell>
          <cell r="G146">
            <v>0.16821085915467382</v>
          </cell>
          <cell r="H146">
            <v>0.28571428571428581</v>
          </cell>
          <cell r="I146">
            <v>0</v>
          </cell>
          <cell r="J146" t="str">
            <v xml:space="preserve">NM </v>
          </cell>
          <cell r="L146">
            <v>-5</v>
          </cell>
          <cell r="M146">
            <v>-5.0847457627118633</v>
          </cell>
          <cell r="N146" t="str">
            <v xml:space="preserve">NM </v>
          </cell>
          <cell r="O146">
            <v>0.19100601523298333</v>
          </cell>
          <cell r="P146">
            <v>0.17011117286047495</v>
          </cell>
          <cell r="Q146">
            <v>-1.754385964912264E-2</v>
          </cell>
          <cell r="S146">
            <v>0.19933472862622081</v>
          </cell>
          <cell r="T146">
            <v>0</v>
          </cell>
          <cell r="U146">
            <v>0.19933472862622059</v>
          </cell>
          <cell r="V146">
            <v>0.25</v>
          </cell>
          <cell r="W146">
            <v>0.19933472862622059</v>
          </cell>
        </row>
        <row r="147">
          <cell r="A147" t="str">
            <v>2003E/02E</v>
          </cell>
          <cell r="B147">
            <v>4.1580886092527747E-2</v>
          </cell>
          <cell r="C147">
            <v>6.2837638869926327E-2</v>
          </cell>
          <cell r="D147">
            <v>3.6398891634356056E-2</v>
          </cell>
          <cell r="E147">
            <v>5.7783255431745006E-2</v>
          </cell>
          <cell r="F147">
            <v>2.010499153391887E-2</v>
          </cell>
          <cell r="G147">
            <v>5.105290859715339E-3</v>
          </cell>
          <cell r="H147">
            <v>0.33333333333333326</v>
          </cell>
          <cell r="I147">
            <v>0</v>
          </cell>
          <cell r="J147" t="str">
            <v xml:space="preserve">NM </v>
          </cell>
          <cell r="L147">
            <v>1.25</v>
          </cell>
          <cell r="M147">
            <v>1.7980636237897651</v>
          </cell>
          <cell r="N147" t="str">
            <v xml:space="preserve">NM </v>
          </cell>
          <cell r="O147">
            <v>3.1789849787038138E-2</v>
          </cell>
          <cell r="P147">
            <v>2.0734958539319726E-2</v>
          </cell>
          <cell r="Q147">
            <v>-1.0714285714285676E-2</v>
          </cell>
          <cell r="S147">
            <v>3.6088974161150755E-2</v>
          </cell>
          <cell r="T147">
            <v>0</v>
          </cell>
          <cell r="U147">
            <v>3.6088974161150755E-2</v>
          </cell>
          <cell r="V147">
            <v>0.25</v>
          </cell>
          <cell r="W147">
            <v>3.6088974161150755E-2</v>
          </cell>
        </row>
        <row r="148">
          <cell r="A148" t="str">
            <v>2004E/03E</v>
          </cell>
          <cell r="B148">
            <v>5.1808359840511242E-2</v>
          </cell>
          <cell r="C148">
            <v>5.9171018359394978E-2</v>
          </cell>
          <cell r="D148">
            <v>4.9967695210790364E-2</v>
          </cell>
          <cell r="E148">
            <v>5.5030529870657041E-2</v>
          </cell>
          <cell r="F148">
            <v>4.0736692894821624E-2</v>
          </cell>
          <cell r="G148">
            <v>4.4174266906185533E-2</v>
          </cell>
          <cell r="H148">
            <v>0.29166666666666674</v>
          </cell>
          <cell r="I148">
            <v>0</v>
          </cell>
          <cell r="J148" t="str">
            <v xml:space="preserve">NM </v>
          </cell>
          <cell r="L148">
            <v>0.55555555555555558</v>
          </cell>
          <cell r="M148">
            <v>0.74147305981216016</v>
          </cell>
          <cell r="N148" t="str">
            <v xml:space="preserve">NM </v>
          </cell>
          <cell r="O148">
            <v>7.2317570743227977E-2</v>
          </cell>
          <cell r="P148">
            <v>5.6832840479787761E-2</v>
          </cell>
          <cell r="Q148">
            <v>-1.4440433212996373E-2</v>
          </cell>
          <cell r="S148">
            <v>7.8250171411240244E-2</v>
          </cell>
          <cell r="T148">
            <v>0</v>
          </cell>
          <cell r="U148">
            <v>7.8250171411240244E-2</v>
          </cell>
          <cell r="V148">
            <v>0.25</v>
          </cell>
          <cell r="W148">
            <v>7.8250171411240244E-2</v>
          </cell>
        </row>
        <row r="149">
          <cell r="A149" t="str">
            <v>2005E/04E</v>
          </cell>
          <cell r="B149">
            <v>5.4959935589752984E-2</v>
          </cell>
          <cell r="C149">
            <v>4.7626549741561996E-2</v>
          </cell>
          <cell r="D149">
            <v>5.680935195567538E-2</v>
          </cell>
          <cell r="E149">
            <v>5.4039377181734238E-2</v>
          </cell>
          <cell r="F149">
            <v>2.7219026421072545E-2</v>
          </cell>
          <cell r="G149">
            <v>7.3264457709644626E-2</v>
          </cell>
          <cell r="H149">
            <v>0.2661290322580645</v>
          </cell>
          <cell r="I149">
            <v>0</v>
          </cell>
          <cell r="J149" t="str">
            <v xml:space="preserve">NM </v>
          </cell>
          <cell r="L149">
            <v>0.35714285714285721</v>
          </cell>
          <cell r="M149">
            <v>0.49673573658813486</v>
          </cell>
          <cell r="N149" t="str">
            <v xml:space="preserve">NM </v>
          </cell>
          <cell r="O149">
            <v>0.10102151773506796</v>
          </cell>
          <cell r="P149">
            <v>9.2955426030049138E-2</v>
          </cell>
          <cell r="Q149">
            <v>-7.3260073260073E-3</v>
          </cell>
          <cell r="S149">
            <v>0.10405046276322483</v>
          </cell>
          <cell r="T149">
            <v>0</v>
          </cell>
          <cell r="U149">
            <v>0.10405046276322505</v>
          </cell>
          <cell r="V149">
            <v>0.25</v>
          </cell>
          <cell r="W149">
            <v>0.10405046276322505</v>
          </cell>
        </row>
        <row r="152">
          <cell r="A152" t="str">
            <v>2001E</v>
          </cell>
          <cell r="B152">
            <v>16679.640567026483</v>
          </cell>
          <cell r="C152">
            <v>3352.6077539723233</v>
          </cell>
          <cell r="D152">
            <v>13327.03281305416</v>
          </cell>
          <cell r="E152">
            <v>7572.5568174300233</v>
          </cell>
          <cell r="F152">
            <v>1657.9562723624324</v>
          </cell>
          <cell r="G152">
            <v>4096.5197232617047</v>
          </cell>
          <cell r="H152">
            <v>280</v>
          </cell>
          <cell r="I152">
            <v>-235</v>
          </cell>
          <cell r="J152">
            <v>-60.7</v>
          </cell>
          <cell r="L152">
            <v>-2</v>
          </cell>
          <cell r="M152">
            <v>-17.700000000000003</v>
          </cell>
          <cell r="N152">
            <v>0</v>
          </cell>
          <cell r="O152">
            <v>4078.8197232617049</v>
          </cell>
          <cell r="P152">
            <v>1162.4636211295858</v>
          </cell>
          <cell r="Q152">
            <v>0.28499999999999998</v>
          </cell>
          <cell r="S152">
            <v>2916.3561021321193</v>
          </cell>
          <cell r="T152">
            <v>895.6</v>
          </cell>
          <cell r="U152">
            <v>3.2563154333766406</v>
          </cell>
          <cell r="V152">
            <v>1.25</v>
          </cell>
          <cell r="W152">
            <v>3.2563154333766406</v>
          </cell>
        </row>
        <row r="153">
          <cell r="A153" t="str">
            <v>2002E</v>
          </cell>
          <cell r="B153">
            <v>18621.007102940162</v>
          </cell>
          <cell r="C153">
            <v>3649.7173921762719</v>
          </cell>
          <cell r="D153">
            <v>14971.289710763891</v>
          </cell>
          <cell r="E153">
            <v>8379.4531963230729</v>
          </cell>
          <cell r="F153">
            <v>1806.2376889851957</v>
          </cell>
          <cell r="G153">
            <v>4785.5988254556223</v>
          </cell>
          <cell r="H153">
            <v>360</v>
          </cell>
          <cell r="I153">
            <v>-235</v>
          </cell>
          <cell r="J153">
            <v>-60.7</v>
          </cell>
          <cell r="L153">
            <v>8</v>
          </cell>
          <cell r="M153">
            <v>72.3</v>
          </cell>
          <cell r="N153">
            <v>0</v>
          </cell>
          <cell r="O153">
            <v>4857.8988254556225</v>
          </cell>
          <cell r="P153">
            <v>1360.2116711275744</v>
          </cell>
          <cell r="Q153">
            <v>0.28000000000000003</v>
          </cell>
          <cell r="S153">
            <v>3497.6871543280481</v>
          </cell>
          <cell r="T153">
            <v>895.6</v>
          </cell>
          <cell r="U153">
            <v>3.9054121866101474</v>
          </cell>
          <cell r="V153">
            <v>1.5625</v>
          </cell>
          <cell r="W153">
            <v>3.9054121866101474</v>
          </cell>
        </row>
        <row r="154">
          <cell r="A154" t="str">
            <v>2003E</v>
          </cell>
          <cell r="B154">
            <v>19395.285078215667</v>
          </cell>
          <cell r="C154">
            <v>3879.0570156431336</v>
          </cell>
          <cell r="D154">
            <v>15516.228062572534</v>
          </cell>
          <cell r="E154">
            <v>8863.6452807445603</v>
          </cell>
          <cell r="F154">
            <v>1842.5520824304883</v>
          </cell>
          <cell r="G154">
            <v>4810.0306993974855</v>
          </cell>
          <cell r="H154">
            <v>480</v>
          </cell>
          <cell r="I154">
            <v>-235</v>
          </cell>
          <cell r="J154">
            <v>-60.7</v>
          </cell>
          <cell r="L154">
            <v>18</v>
          </cell>
          <cell r="M154">
            <v>202.3</v>
          </cell>
          <cell r="N154">
            <v>0</v>
          </cell>
          <cell r="O154">
            <v>5012.3306993974857</v>
          </cell>
          <cell r="P154">
            <v>1388.4156037331036</v>
          </cell>
          <cell r="Q154">
            <v>0.27700000000000002</v>
          </cell>
          <cell r="S154">
            <v>3623.9150956643821</v>
          </cell>
          <cell r="T154">
            <v>895.6</v>
          </cell>
          <cell r="U154">
            <v>4.0463545061013644</v>
          </cell>
          <cell r="V154">
            <v>1.953125</v>
          </cell>
          <cell r="W154">
            <v>4.0463545061013644</v>
          </cell>
        </row>
        <row r="155">
          <cell r="A155" t="str">
            <v>2004E</v>
          </cell>
          <cell r="B155">
            <v>20400.122986757164</v>
          </cell>
          <cell r="C155">
            <v>4108.584769532893</v>
          </cell>
          <cell r="D155">
            <v>16291.538217224272</v>
          </cell>
          <cell r="E155">
            <v>9351.4163771294825</v>
          </cell>
          <cell r="F155">
            <v>1917.6115607551733</v>
          </cell>
          <cell r="G155">
            <v>5022.5102793396163</v>
          </cell>
          <cell r="H155">
            <v>620</v>
          </cell>
          <cell r="I155">
            <v>-235</v>
          </cell>
          <cell r="J155">
            <v>-60.7</v>
          </cell>
          <cell r="L155">
            <v>28</v>
          </cell>
          <cell r="M155">
            <v>352.3</v>
          </cell>
          <cell r="N155">
            <v>0</v>
          </cell>
          <cell r="O155">
            <v>5374.8102793396165</v>
          </cell>
          <cell r="P155">
            <v>1467.3232062597153</v>
          </cell>
          <cell r="Q155">
            <v>0.27300000000000002</v>
          </cell>
          <cell r="S155">
            <v>3907.4870730799012</v>
          </cell>
          <cell r="T155">
            <v>895.6</v>
          </cell>
          <cell r="U155">
            <v>4.3629824397944406</v>
          </cell>
          <cell r="V155">
            <v>2.44140625</v>
          </cell>
          <cell r="W155">
            <v>4.3629824397944406</v>
          </cell>
        </row>
        <row r="156">
          <cell r="A156" t="str">
            <v>2005E</v>
          </cell>
          <cell r="B156">
            <v>21521.312432132378</v>
          </cell>
          <cell r="C156">
            <v>4304.2624864264753</v>
          </cell>
          <cell r="D156">
            <v>17217.049945705901</v>
          </cell>
          <cell r="E156">
            <v>9856.7610939166298</v>
          </cell>
          <cell r="F156">
            <v>1969.8070804927227</v>
          </cell>
          <cell r="G156">
            <v>5390.4817712965487</v>
          </cell>
          <cell r="H156">
            <v>785</v>
          </cell>
          <cell r="I156">
            <v>-235</v>
          </cell>
          <cell r="J156">
            <v>-60.7</v>
          </cell>
          <cell r="L156">
            <v>38</v>
          </cell>
          <cell r="M156">
            <v>527.29999999999995</v>
          </cell>
          <cell r="N156">
            <v>0</v>
          </cell>
          <cell r="O156">
            <v>5917.7817712965489</v>
          </cell>
          <cell r="P156">
            <v>1603.7188600213649</v>
          </cell>
          <cell r="Q156">
            <v>0.27100000000000002</v>
          </cell>
          <cell r="S156">
            <v>4314.062911275184</v>
          </cell>
          <cell r="T156">
            <v>895.6</v>
          </cell>
          <cell r="U156">
            <v>4.8169527816828763</v>
          </cell>
          <cell r="V156">
            <v>3.0517578125</v>
          </cell>
          <cell r="W156">
            <v>4.8169527816828763</v>
          </cell>
        </row>
        <row r="158">
          <cell r="A158" t="str">
            <v xml:space="preserve">(a) First half 1998 and 1999 are fully restated for Agouron pooling-of-interest transaction; Costs are not restated for second half 1998. </v>
          </cell>
        </row>
        <row r="160">
          <cell r="A160" t="str">
            <v>E = Morgan Stanley Dean Witter Research Estimates             NM = Not Meaningful             A = Actual     R = Restated</v>
          </cell>
        </row>
      </sheetData>
      <sheetData sheetId="4" refreshError="1"/>
      <sheetData sheetId="5" refreshError="1"/>
      <sheetData sheetId="6" refreshError="1">
        <row r="2">
          <cell r="A2" t="str">
            <v>Table 5</v>
          </cell>
          <cell r="EM2" t="str">
            <v>Table 4 Continued</v>
          </cell>
        </row>
        <row r="3">
          <cell r="EM3" t="str">
            <v>Warner Lambert</v>
          </cell>
        </row>
        <row r="4">
          <cell r="EM4" t="str">
            <v>Quarterly/Annual Sales Analysis 1998-2005E -- Confectionery</v>
          </cell>
        </row>
        <row r="5">
          <cell r="EM5" t="str">
            <v>($ Millions)</v>
          </cell>
        </row>
        <row r="6">
          <cell r="EN6" t="str">
            <v>Bubblicious</v>
          </cell>
          <cell r="ER6" t="str">
            <v>Dentyne</v>
          </cell>
          <cell r="EV6" t="str">
            <v>Bubbaloo</v>
          </cell>
          <cell r="EZ6" t="str">
            <v>Other</v>
          </cell>
          <cell r="FD6" t="str">
            <v>Total</v>
          </cell>
          <cell r="FH6" t="str">
            <v>Total Corporate Sales</v>
          </cell>
        </row>
        <row r="7">
          <cell r="EN7" t="str">
            <v>U.S.</v>
          </cell>
          <cell r="EO7" t="str">
            <v>Intl</v>
          </cell>
          <cell r="EP7" t="str">
            <v>W/W</v>
          </cell>
          <cell r="ER7" t="str">
            <v>U.S.</v>
          </cell>
          <cell r="ES7" t="str">
            <v>Intl</v>
          </cell>
          <cell r="ET7" t="str">
            <v>W/W</v>
          </cell>
          <cell r="EV7" t="str">
            <v>U.S.</v>
          </cell>
          <cell r="EW7" t="str">
            <v>Intl</v>
          </cell>
          <cell r="EX7" t="str">
            <v>W/W</v>
          </cell>
          <cell r="EZ7" t="str">
            <v>U.S.</v>
          </cell>
          <cell r="FA7" t="str">
            <v>Intl</v>
          </cell>
          <cell r="FB7" t="str">
            <v>W/W</v>
          </cell>
          <cell r="FD7" t="str">
            <v>U.S.</v>
          </cell>
          <cell r="FE7" t="str">
            <v>Intl</v>
          </cell>
          <cell r="FF7" t="str">
            <v>W/W</v>
          </cell>
          <cell r="FH7" t="str">
            <v>U.S.</v>
          </cell>
          <cell r="FI7" t="str">
            <v>Intl</v>
          </cell>
          <cell r="FJ7" t="str">
            <v>W/W</v>
          </cell>
        </row>
        <row r="10">
          <cell r="EM10" t="str">
            <v xml:space="preserve">1994 </v>
          </cell>
        </row>
        <row r="11">
          <cell r="EM11" t="str">
            <v xml:space="preserve"> 1Q</v>
          </cell>
          <cell r="EN11">
            <v>15.1</v>
          </cell>
          <cell r="EO11">
            <v>7.8</v>
          </cell>
          <cell r="EP11">
            <v>22.9</v>
          </cell>
          <cell r="ER11">
            <v>12</v>
          </cell>
          <cell r="ES11">
            <v>9</v>
          </cell>
          <cell r="ET11">
            <v>21</v>
          </cell>
          <cell r="EV11">
            <v>0</v>
          </cell>
          <cell r="EW11">
            <v>9</v>
          </cell>
          <cell r="EX11">
            <v>9</v>
          </cell>
          <cell r="EZ11">
            <v>14.799999999999997</v>
          </cell>
          <cell r="FA11">
            <v>53.499999999999986</v>
          </cell>
          <cell r="FB11">
            <v>68.299999999999983</v>
          </cell>
          <cell r="FD11">
            <v>129.6</v>
          </cell>
          <cell r="FE11">
            <v>280.39999999999998</v>
          </cell>
          <cell r="FF11">
            <v>410</v>
          </cell>
          <cell r="FH11">
            <v>658.6</v>
          </cell>
          <cell r="FI11">
            <v>814.4</v>
          </cell>
          <cell r="FJ11">
            <v>1473</v>
          </cell>
        </row>
        <row r="12">
          <cell r="EM12" t="str">
            <v xml:space="preserve"> 2Q</v>
          </cell>
          <cell r="EN12">
            <v>17.2</v>
          </cell>
          <cell r="EO12">
            <v>11.1</v>
          </cell>
          <cell r="EP12">
            <v>28.299999999999997</v>
          </cell>
          <cell r="ER12">
            <v>15</v>
          </cell>
          <cell r="ES12">
            <v>10</v>
          </cell>
          <cell r="ET12">
            <v>25</v>
          </cell>
          <cell r="EV12">
            <v>0</v>
          </cell>
          <cell r="EW12">
            <v>9</v>
          </cell>
          <cell r="EX12">
            <v>9</v>
          </cell>
          <cell r="EZ12">
            <v>17.799999999999983</v>
          </cell>
          <cell r="FA12">
            <v>49.500000000000028</v>
          </cell>
          <cell r="FB12">
            <v>67.300000000000011</v>
          </cell>
          <cell r="FD12">
            <v>151.19999999999999</v>
          </cell>
          <cell r="FE12">
            <v>285.90000000000003</v>
          </cell>
          <cell r="FF12">
            <v>437.1</v>
          </cell>
          <cell r="FH12">
            <v>723.8</v>
          </cell>
          <cell r="FI12">
            <v>828.40000000000009</v>
          </cell>
          <cell r="FJ12">
            <v>1552.2</v>
          </cell>
        </row>
        <row r="13">
          <cell r="EM13" t="str">
            <v xml:space="preserve"> 3Q</v>
          </cell>
          <cell r="EN13">
            <v>9.1</v>
          </cell>
          <cell r="EO13">
            <v>8.1999999999999993</v>
          </cell>
          <cell r="EP13">
            <v>17.299999999999997</v>
          </cell>
          <cell r="ER13">
            <v>13</v>
          </cell>
          <cell r="ES13">
            <v>10</v>
          </cell>
          <cell r="ET13">
            <v>23</v>
          </cell>
          <cell r="EV13">
            <v>0</v>
          </cell>
          <cell r="EW13">
            <v>11</v>
          </cell>
          <cell r="EX13">
            <v>11</v>
          </cell>
          <cell r="EZ13">
            <v>29.699999999999996</v>
          </cell>
          <cell r="FA13">
            <v>51.500000000000014</v>
          </cell>
          <cell r="FB13">
            <v>81.200000000000017</v>
          </cell>
          <cell r="FD13">
            <v>182.1</v>
          </cell>
          <cell r="FE13">
            <v>270.8</v>
          </cell>
          <cell r="FF13">
            <v>452.9</v>
          </cell>
          <cell r="FH13">
            <v>825.00000000000011</v>
          </cell>
          <cell r="FI13">
            <v>845.90000000000009</v>
          </cell>
          <cell r="FJ13">
            <v>1670.9</v>
          </cell>
        </row>
        <row r="14">
          <cell r="EM14" t="str">
            <v xml:space="preserve"> 4Q</v>
          </cell>
          <cell r="EN14">
            <v>9.6</v>
          </cell>
          <cell r="EO14">
            <v>10.6</v>
          </cell>
          <cell r="EP14">
            <v>20.2</v>
          </cell>
          <cell r="ER14">
            <v>12</v>
          </cell>
          <cell r="ES14">
            <v>11</v>
          </cell>
          <cell r="ET14">
            <v>23</v>
          </cell>
          <cell r="EV14">
            <v>0</v>
          </cell>
          <cell r="EW14">
            <v>14</v>
          </cell>
          <cell r="EX14">
            <v>14</v>
          </cell>
          <cell r="EZ14">
            <v>22.599999999999994</v>
          </cell>
          <cell r="FA14">
            <v>61.199999999999974</v>
          </cell>
          <cell r="FB14">
            <v>83.799999999999969</v>
          </cell>
          <cell r="FD14">
            <v>173.7</v>
          </cell>
          <cell r="FE14">
            <v>337.7</v>
          </cell>
          <cell r="FF14">
            <v>511.4</v>
          </cell>
          <cell r="FH14">
            <v>746.8</v>
          </cell>
          <cell r="FI14">
            <v>974</v>
          </cell>
          <cell r="FJ14">
            <v>1720.8</v>
          </cell>
        </row>
        <row r="16">
          <cell r="EM16" t="str">
            <v>1994</v>
          </cell>
          <cell r="EN16">
            <v>51</v>
          </cell>
          <cell r="EO16">
            <v>37.699999999999996</v>
          </cell>
          <cell r="EP16">
            <v>88.7</v>
          </cell>
          <cell r="ER16">
            <v>52</v>
          </cell>
          <cell r="ES16">
            <v>40</v>
          </cell>
          <cell r="ET16">
            <v>92</v>
          </cell>
          <cell r="EV16">
            <v>0</v>
          </cell>
          <cell r="EW16">
            <v>43</v>
          </cell>
          <cell r="EX16">
            <v>43</v>
          </cell>
          <cell r="EZ16">
            <v>84.899999999999977</v>
          </cell>
          <cell r="FA16">
            <v>215.7</v>
          </cell>
          <cell r="FB16">
            <v>300.59999999999997</v>
          </cell>
          <cell r="FD16">
            <v>636.59999999999991</v>
          </cell>
          <cell r="FE16">
            <v>1174.8</v>
          </cell>
          <cell r="FF16">
            <v>1811.4</v>
          </cell>
          <cell r="FH16">
            <v>2954.2</v>
          </cell>
          <cell r="FI16">
            <v>3462.7000000000003</v>
          </cell>
          <cell r="FJ16">
            <v>6416.9000000000005</v>
          </cell>
        </row>
        <row r="18">
          <cell r="EM18" t="str">
            <v>1995/94 % Change</v>
          </cell>
        </row>
        <row r="19">
          <cell r="EM19" t="str">
            <v xml:space="preserve"> 1Q</v>
          </cell>
          <cell r="EN19">
            <v>5.2980132450331174E-2</v>
          </cell>
          <cell r="EO19">
            <v>0.11538461538461542</v>
          </cell>
          <cell r="EP19">
            <v>7.4235807860262071E-2</v>
          </cell>
          <cell r="ER19">
            <v>-0.25</v>
          </cell>
          <cell r="ES19">
            <v>0</v>
          </cell>
          <cell r="ET19">
            <v>-0.1428571428571429</v>
          </cell>
          <cell r="EV19" t="str">
            <v>NM</v>
          </cell>
          <cell r="EW19">
            <v>0.55555555555555558</v>
          </cell>
          <cell r="EX19">
            <v>0.55555555555555558</v>
          </cell>
          <cell r="EZ19">
            <v>4.4408920985006262E-16</v>
          </cell>
          <cell r="FA19">
            <v>0.19252336448598073</v>
          </cell>
          <cell r="FB19">
            <v>0.15080527086383588</v>
          </cell>
          <cell r="FD19">
            <v>-9.6450617283950657E-2</v>
          </cell>
          <cell r="FE19">
            <v>3.3166904422254007E-2</v>
          </cell>
          <cell r="FF19">
            <v>-7.8048780487806058E-3</v>
          </cell>
          <cell r="FH19">
            <v>3.0367446097783191E-2</v>
          </cell>
          <cell r="FI19">
            <v>0.13670186640471527</v>
          </cell>
          <cell r="FJ19">
            <v>8.9158180583842395E-2</v>
          </cell>
        </row>
        <row r="20">
          <cell r="EM20" t="str">
            <v xml:space="preserve"> 2Q</v>
          </cell>
          <cell r="EN20">
            <v>-0.19186046511627897</v>
          </cell>
          <cell r="EO20">
            <v>9.009009009008917E-3</v>
          </cell>
          <cell r="EP20">
            <v>-0.11307420494699638</v>
          </cell>
          <cell r="ER20">
            <v>-0.19999999999999996</v>
          </cell>
          <cell r="ES20">
            <v>0</v>
          </cell>
          <cell r="ET20">
            <v>-0.12</v>
          </cell>
          <cell r="EV20" t="str">
            <v>NM</v>
          </cell>
          <cell r="EW20">
            <v>1</v>
          </cell>
          <cell r="EX20">
            <v>1</v>
          </cell>
          <cell r="EZ20">
            <v>-0.11235955056179547</v>
          </cell>
          <cell r="FA20">
            <v>0.34343434343434232</v>
          </cell>
          <cell r="FB20">
            <v>0.2228826151560177</v>
          </cell>
          <cell r="FD20">
            <v>-0.12830687830687815</v>
          </cell>
          <cell r="FE20">
            <v>0.14585519412381953</v>
          </cell>
          <cell r="FF20">
            <v>5.1018073667353114E-2</v>
          </cell>
          <cell r="FH20">
            <v>5.8856037579442022E-2</v>
          </cell>
          <cell r="FI20">
            <v>0.24725977788507958</v>
          </cell>
          <cell r="FJ20">
            <v>0.15940600438087871</v>
          </cell>
        </row>
        <row r="21">
          <cell r="EM21" t="str">
            <v xml:space="preserve"> 3Q</v>
          </cell>
          <cell r="EN21">
            <v>0.23076923076923084</v>
          </cell>
          <cell r="EO21">
            <v>0.19512195121951237</v>
          </cell>
          <cell r="EP21">
            <v>0.21387283236994237</v>
          </cell>
          <cell r="ER21">
            <v>-0.30000000000000004</v>
          </cell>
          <cell r="ES21">
            <v>0.10000000000000009</v>
          </cell>
          <cell r="ET21">
            <v>-0.12608695652173907</v>
          </cell>
          <cell r="EV21" t="str">
            <v>NM</v>
          </cell>
          <cell r="EW21">
            <v>0.81818181818181812</v>
          </cell>
          <cell r="EX21">
            <v>0.81818181818181812</v>
          </cell>
          <cell r="EZ21">
            <v>-8.0808080808080995E-2</v>
          </cell>
          <cell r="FA21">
            <v>0.13980582524271767</v>
          </cell>
          <cell r="FB21">
            <v>5.9113300492610321E-2</v>
          </cell>
          <cell r="FD21">
            <v>-5.4914881933003867E-2</v>
          </cell>
          <cell r="FE21">
            <v>0.16248153618906946</v>
          </cell>
          <cell r="FF21">
            <v>7.5071759770368729E-2</v>
          </cell>
          <cell r="FH21">
            <v>-2.6666666666666838E-2</v>
          </cell>
          <cell r="FI21">
            <v>0.15013594987587164</v>
          </cell>
          <cell r="FJ21">
            <v>6.2840385421030431E-2</v>
          </cell>
        </row>
        <row r="22">
          <cell r="EM22" t="str">
            <v xml:space="preserve"> 4Q</v>
          </cell>
          <cell r="EN22">
            <v>0.11458333333333326</v>
          </cell>
          <cell r="EO22">
            <v>8.4905660377358583E-2</v>
          </cell>
          <cell r="EP22">
            <v>9.9009900990099098E-2</v>
          </cell>
          <cell r="ER22">
            <v>-0.16666666666666663</v>
          </cell>
          <cell r="ES22">
            <v>9.0909090909090828E-2</v>
          </cell>
          <cell r="ET22">
            <v>-4.3478260869565188E-2</v>
          </cell>
          <cell r="EV22" t="str">
            <v>NM</v>
          </cell>
          <cell r="EW22">
            <v>0.71428571428571419</v>
          </cell>
          <cell r="EX22">
            <v>0.71428571428571419</v>
          </cell>
          <cell r="EZ22">
            <v>-4.4247787610617317E-3</v>
          </cell>
          <cell r="FA22">
            <v>6.6993464052287788E-2</v>
          </cell>
          <cell r="FB22">
            <v>4.7732696897374804E-2</v>
          </cell>
          <cell r="FD22">
            <v>-5.526770293609673E-2</v>
          </cell>
          <cell r="FE22">
            <v>0.12289013917678404</v>
          </cell>
          <cell r="FF22">
            <v>6.2377786468517771E-2</v>
          </cell>
          <cell r="FH22">
            <v>3.6957686127477185E-2</v>
          </cell>
          <cell r="FI22">
            <v>0.11447638603696109</v>
          </cell>
          <cell r="FJ22">
            <v>8.0834495583449684E-2</v>
          </cell>
        </row>
        <row r="24">
          <cell r="EM24" t="str">
            <v>1995/94</v>
          </cell>
          <cell r="EN24">
            <v>1.3725490196078383E-2</v>
          </cell>
          <cell r="EO24">
            <v>9.2838196286472385E-2</v>
          </cell>
          <cell r="EP24">
            <v>4.7350620067643678E-2</v>
          </cell>
          <cell r="ER24">
            <v>-0.22884615384615381</v>
          </cell>
          <cell r="ES24">
            <v>5.0000000000000044E-2</v>
          </cell>
          <cell r="ET24">
            <v>-0.10760869565217401</v>
          </cell>
          <cell r="EV24" t="str">
            <v>NM</v>
          </cell>
          <cell r="EW24">
            <v>0.76744186046511631</v>
          </cell>
          <cell r="EX24">
            <v>0.76744186046511631</v>
          </cell>
          <cell r="EZ24">
            <v>-5.3003533568904082E-2</v>
          </cell>
          <cell r="FA24">
            <v>0.17895224849327751</v>
          </cell>
          <cell r="FB24">
            <v>0.1134397870924817</v>
          </cell>
          <cell r="FD24">
            <v>-8.0898523405592004E-2</v>
          </cell>
          <cell r="FE24">
            <v>0.11618998978549544</v>
          </cell>
          <cell r="FF24">
            <v>4.6925030363254905E-2</v>
          </cell>
          <cell r="FH24">
            <v>2.3085776183061402E-2</v>
          </cell>
          <cell r="FI24">
            <v>0.16018136136540839</v>
          </cell>
          <cell r="FJ24">
            <v>9.7065561252318133E-2</v>
          </cell>
        </row>
        <row r="26">
          <cell r="EM26" t="str">
            <v xml:space="preserve">1995 </v>
          </cell>
        </row>
        <row r="27">
          <cell r="EM27" t="str">
            <v xml:space="preserve"> 1Q</v>
          </cell>
          <cell r="EN27">
            <v>15.9</v>
          </cell>
          <cell r="EO27">
            <v>8.6999999999999993</v>
          </cell>
          <cell r="EP27">
            <v>24.6</v>
          </cell>
          <cell r="ER27">
            <v>9</v>
          </cell>
          <cell r="ES27">
            <v>9</v>
          </cell>
          <cell r="ET27">
            <v>18</v>
          </cell>
          <cell r="EV27">
            <v>0</v>
          </cell>
          <cell r="EW27">
            <v>14</v>
          </cell>
          <cell r="EX27">
            <v>14</v>
          </cell>
          <cell r="EZ27">
            <v>14.800000000000004</v>
          </cell>
          <cell r="FA27">
            <v>63.799999999999955</v>
          </cell>
          <cell r="FB27">
            <v>78.599999999999966</v>
          </cell>
          <cell r="FD27">
            <v>117.1</v>
          </cell>
          <cell r="FE27">
            <v>289.7</v>
          </cell>
          <cell r="FF27">
            <v>406.79999999999995</v>
          </cell>
          <cell r="FH27">
            <v>678.6</v>
          </cell>
          <cell r="FI27">
            <v>925.73</v>
          </cell>
          <cell r="FJ27">
            <v>1604.33</v>
          </cell>
        </row>
        <row r="28">
          <cell r="EM28" t="str">
            <v xml:space="preserve"> 2Q</v>
          </cell>
          <cell r="EN28">
            <v>13.9</v>
          </cell>
          <cell r="EO28">
            <v>11.2</v>
          </cell>
          <cell r="EP28">
            <v>25.1</v>
          </cell>
          <cell r="ER28">
            <v>12</v>
          </cell>
          <cell r="ES28">
            <v>10</v>
          </cell>
          <cell r="ET28">
            <v>22</v>
          </cell>
          <cell r="EV28">
            <v>0</v>
          </cell>
          <cell r="EW28">
            <v>18</v>
          </cell>
          <cell r="EX28">
            <v>18</v>
          </cell>
          <cell r="EZ28">
            <v>15.800000000000026</v>
          </cell>
          <cell r="FA28">
            <v>66.499999999999986</v>
          </cell>
          <cell r="FB28">
            <v>82.300000000000011</v>
          </cell>
          <cell r="FD28">
            <v>131.80000000000001</v>
          </cell>
          <cell r="FE28">
            <v>327.60000000000002</v>
          </cell>
          <cell r="FF28">
            <v>459.40000000000003</v>
          </cell>
          <cell r="FH28">
            <v>766.40000000000009</v>
          </cell>
          <cell r="FI28">
            <v>1033.23</v>
          </cell>
          <cell r="FJ28">
            <v>1799.63</v>
          </cell>
        </row>
        <row r="29">
          <cell r="EM29" t="str">
            <v xml:space="preserve"> 3Q</v>
          </cell>
          <cell r="EN29">
            <v>11.2</v>
          </cell>
          <cell r="EO29">
            <v>9.8000000000000007</v>
          </cell>
          <cell r="EP29">
            <v>21</v>
          </cell>
          <cell r="ER29">
            <v>9.1</v>
          </cell>
          <cell r="ES29">
            <v>11</v>
          </cell>
          <cell r="ET29">
            <v>20.100000000000001</v>
          </cell>
          <cell r="EV29">
            <v>0</v>
          </cell>
          <cell r="EW29">
            <v>20</v>
          </cell>
          <cell r="EX29">
            <v>20</v>
          </cell>
          <cell r="EZ29">
            <v>27.29999999999999</v>
          </cell>
          <cell r="FA29">
            <v>58.699999999999974</v>
          </cell>
          <cell r="FB29">
            <v>85.999999999999972</v>
          </cell>
          <cell r="FD29">
            <v>172.1</v>
          </cell>
          <cell r="FE29">
            <v>314.8</v>
          </cell>
          <cell r="FF29">
            <v>486.9</v>
          </cell>
          <cell r="FH29">
            <v>803</v>
          </cell>
          <cell r="FI29">
            <v>972.89999999999986</v>
          </cell>
          <cell r="FJ29">
            <v>1775.8999999999999</v>
          </cell>
        </row>
        <row r="30">
          <cell r="EM30" t="str">
            <v xml:space="preserve"> 4Q</v>
          </cell>
          <cell r="EN30">
            <v>10.7</v>
          </cell>
          <cell r="EO30">
            <v>11.5</v>
          </cell>
          <cell r="EP30">
            <v>22.2</v>
          </cell>
          <cell r="ER30">
            <v>10</v>
          </cell>
          <cell r="ES30">
            <v>12</v>
          </cell>
          <cell r="ET30">
            <v>22</v>
          </cell>
          <cell r="EV30">
            <v>0</v>
          </cell>
          <cell r="EW30">
            <v>24</v>
          </cell>
          <cell r="EX30">
            <v>24</v>
          </cell>
          <cell r="EZ30">
            <v>22.5</v>
          </cell>
          <cell r="FA30">
            <v>65.299999999999983</v>
          </cell>
          <cell r="FB30">
            <v>87.799999999999983</v>
          </cell>
          <cell r="FD30">
            <v>164.1</v>
          </cell>
          <cell r="FE30">
            <v>379.2</v>
          </cell>
          <cell r="FF30">
            <v>543.29999999999995</v>
          </cell>
          <cell r="FH30">
            <v>774.4</v>
          </cell>
          <cell r="FI30">
            <v>1085.5</v>
          </cell>
          <cell r="FJ30">
            <v>1859.9</v>
          </cell>
        </row>
        <row r="32">
          <cell r="EM32" t="str">
            <v xml:space="preserve">1995 </v>
          </cell>
          <cell r="EN32">
            <v>51.7</v>
          </cell>
          <cell r="EO32">
            <v>41.2</v>
          </cell>
          <cell r="EP32">
            <v>92.9</v>
          </cell>
          <cell r="ER32">
            <v>40.1</v>
          </cell>
          <cell r="ES32">
            <v>42</v>
          </cell>
          <cell r="ET32">
            <v>82.1</v>
          </cell>
          <cell r="EV32">
            <v>0</v>
          </cell>
          <cell r="EW32">
            <v>76</v>
          </cell>
          <cell r="EX32">
            <v>76</v>
          </cell>
          <cell r="EZ32">
            <v>80.40000000000002</v>
          </cell>
          <cell r="FA32">
            <v>254.29999999999993</v>
          </cell>
          <cell r="FB32">
            <v>334.69999999999993</v>
          </cell>
          <cell r="FD32">
            <v>585.1</v>
          </cell>
          <cell r="FE32">
            <v>1311.3</v>
          </cell>
          <cell r="FF32">
            <v>1896.3999999999999</v>
          </cell>
          <cell r="FH32">
            <v>3022.4</v>
          </cell>
          <cell r="FI32">
            <v>4017.3599999999997</v>
          </cell>
          <cell r="FJ32">
            <v>7039.76</v>
          </cell>
        </row>
        <row r="34">
          <cell r="EM34" t="str">
            <v xml:space="preserve">1996/95 </v>
          </cell>
        </row>
        <row r="35">
          <cell r="EM35" t="str">
            <v xml:space="preserve"> 1Q</v>
          </cell>
          <cell r="EN35">
            <v>-2.515723270440251E-2</v>
          </cell>
          <cell r="EO35">
            <v>-9.1954022988505635E-2</v>
          </cell>
          <cell r="EP35">
            <v>-4.8780487804878203E-2</v>
          </cell>
          <cell r="ER35">
            <v>-2.2222222222222143E-2</v>
          </cell>
          <cell r="ES35">
            <v>0.29999999999999982</v>
          </cell>
          <cell r="ET35">
            <v>0.13888888888888884</v>
          </cell>
          <cell r="EV35" t="str">
            <v>NM</v>
          </cell>
          <cell r="EW35">
            <v>0.56428571428571428</v>
          </cell>
          <cell r="EX35">
            <v>0.56428571428571428</v>
          </cell>
          <cell r="EZ35">
            <v>0.12837837837837851</v>
          </cell>
          <cell r="FA35">
            <v>-0.14122257053291454</v>
          </cell>
          <cell r="FB35">
            <v>-9.0458015267174896E-2</v>
          </cell>
          <cell r="FD35">
            <v>0.10589239965841157</v>
          </cell>
          <cell r="FE35">
            <v>0.17224715222644127</v>
          </cell>
          <cell r="FF35">
            <v>0.15314650934119989</v>
          </cell>
          <cell r="FH35">
            <v>0.15384615384615374</v>
          </cell>
          <cell r="FI35">
            <v>0.1301351365949035</v>
          </cell>
          <cell r="FJ35">
            <v>0.14016443001128209</v>
          </cell>
        </row>
        <row r="36">
          <cell r="EM36" t="str">
            <v xml:space="preserve"> 2Q</v>
          </cell>
          <cell r="EN36">
            <v>0.19424460431654689</v>
          </cell>
          <cell r="EO36">
            <v>-0.2767857142857143</v>
          </cell>
          <cell r="EP36">
            <v>-1.5936254980079667E-2</v>
          </cell>
          <cell r="ER36">
            <v>-0.125</v>
          </cell>
          <cell r="ES36">
            <v>0.29000000000000004</v>
          </cell>
          <cell r="ET36">
            <v>6.3636363636363491E-2</v>
          </cell>
          <cell r="EV36" t="str">
            <v>NM</v>
          </cell>
          <cell r="EW36">
            <v>-5.555555555555558E-2</v>
          </cell>
          <cell r="EX36">
            <v>-5.555555555555558E-2</v>
          </cell>
          <cell r="EZ36">
            <v>3.7974683544301557E-2</v>
          </cell>
          <cell r="FA36">
            <v>-0.184962406015037</v>
          </cell>
          <cell r="FB36">
            <v>-0.14216281895504235</v>
          </cell>
          <cell r="FD36">
            <v>4.7799696509863265E-2</v>
          </cell>
          <cell r="FE36">
            <v>-9.157509157509125E-4</v>
          </cell>
          <cell r="FF36">
            <v>1.3060513713539335E-2</v>
          </cell>
          <cell r="FH36">
            <v>1.1090814196242027E-2</v>
          </cell>
          <cell r="FI36">
            <v>-1.6385509518693886E-2</v>
          </cell>
          <cell r="FJ36">
            <v>-4.6842962164446167E-3</v>
          </cell>
        </row>
        <row r="37">
          <cell r="EM37" t="str">
            <v xml:space="preserve"> 3Q</v>
          </cell>
          <cell r="EN37">
            <v>1.7857142857143016E-2</v>
          </cell>
          <cell r="EO37">
            <v>-0.18367346938775519</v>
          </cell>
          <cell r="EP37">
            <v>-7.6190476190476253E-2</v>
          </cell>
          <cell r="ER37">
            <v>1.098901098901095E-2</v>
          </cell>
          <cell r="ES37">
            <v>0.15454545454545454</v>
          </cell>
          <cell r="ET37">
            <v>8.9552238805969964E-2</v>
          </cell>
          <cell r="EV37" t="str">
            <v>NM</v>
          </cell>
          <cell r="EW37">
            <v>-5.0000000000000044E-2</v>
          </cell>
          <cell r="EX37">
            <v>-5.0000000000000044E-2</v>
          </cell>
          <cell r="EZ37">
            <v>-0.24542124542124499</v>
          </cell>
          <cell r="FA37">
            <v>-0.21124361158432681</v>
          </cell>
          <cell r="FB37">
            <v>-0.22209302325581359</v>
          </cell>
          <cell r="FD37">
            <v>-9.0644973852411326E-2</v>
          </cell>
          <cell r="FE37">
            <v>5.0825921219821435E-3</v>
          </cell>
          <cell r="FF37">
            <v>-2.8753337440952986E-2</v>
          </cell>
          <cell r="FH37">
            <v>6.6002490660024282E-3</v>
          </cell>
          <cell r="FI37">
            <v>-1.3464898756295529E-2</v>
          </cell>
          <cell r="FJ37">
            <v>-4.3921391970268564E-3</v>
          </cell>
        </row>
        <row r="38">
          <cell r="EM38" t="str">
            <v xml:space="preserve"> 4Q</v>
          </cell>
          <cell r="EN38">
            <v>0.11214953271028039</v>
          </cell>
          <cell r="EO38">
            <v>-0.13043478260869568</v>
          </cell>
          <cell r="EP38">
            <v>-1.3513513513513598E-2</v>
          </cell>
          <cell r="ER38">
            <v>-0.13000000000000012</v>
          </cell>
          <cell r="ES38">
            <v>0.16666666666666674</v>
          </cell>
          <cell r="ET38">
            <v>3.1818181818181746E-2</v>
          </cell>
          <cell r="EV38" t="str">
            <v>NM</v>
          </cell>
          <cell r="EW38">
            <v>-0.24583333333333324</v>
          </cell>
          <cell r="EX38">
            <v>-0.24583333333333324</v>
          </cell>
          <cell r="EZ38">
            <v>-0.21333333333333271</v>
          </cell>
          <cell r="FA38">
            <v>-0.2404287901990807</v>
          </cell>
          <cell r="FB38">
            <v>-0.23348519362186748</v>
          </cell>
          <cell r="FD38">
            <v>7.3126142595978383E-3</v>
          </cell>
          <cell r="FE38">
            <v>-5.959915611814337E-2</v>
          </cell>
          <cell r="FF38">
            <v>-3.9388919565617297E-2</v>
          </cell>
          <cell r="FH38">
            <v>4.2613636363636243E-2</v>
          </cell>
          <cell r="FI38">
            <v>-4.6061722708429342E-2</v>
          </cell>
          <cell r="FJ38">
            <v>-9.1402763589440994E-3</v>
          </cell>
        </row>
        <row r="40">
          <cell r="EM40" t="str">
            <v>1996/95</v>
          </cell>
          <cell r="EN40">
            <v>7.1566731141199158E-2</v>
          </cell>
          <cell r="EO40">
            <v>-0.17475728155339809</v>
          </cell>
          <cell r="EP40">
            <v>-3.7674919268030127E-2</v>
          </cell>
          <cell r="ER40">
            <v>-7.2319201995012405E-2</v>
          </cell>
          <cell r="ES40">
            <v>0.22142857142857131</v>
          </cell>
          <cell r="ET40">
            <v>7.795371498172976E-2</v>
          </cell>
          <cell r="EV40" t="str">
            <v>NM</v>
          </cell>
          <cell r="EW40">
            <v>0</v>
          </cell>
          <cell r="EX40">
            <v>0</v>
          </cell>
          <cell r="EZ40">
            <v>-0.11194029850746268</v>
          </cell>
          <cell r="FA40">
            <v>-0.19429807314195791</v>
          </cell>
          <cell r="FB40">
            <v>-0.17451449058858637</v>
          </cell>
          <cell r="FD40">
            <v>7.3491710818665013E-3</v>
          </cell>
          <cell r="FE40">
            <v>2.1810417143293126E-2</v>
          </cell>
          <cell r="FF40">
            <v>1.7348660620122525E-2</v>
          </cell>
          <cell r="FH40">
            <v>5.0026469031233312E-2</v>
          </cell>
          <cell r="FI40">
            <v>1.0066312205030403E-2</v>
          </cell>
          <cell r="FJ40">
            <v>2.7222518949509666E-2</v>
          </cell>
        </row>
        <row r="42">
          <cell r="EM42" t="str">
            <v>1996</v>
          </cell>
        </row>
        <row r="43">
          <cell r="EM43" t="str">
            <v xml:space="preserve"> 1Q</v>
          </cell>
          <cell r="EN43">
            <v>15.5</v>
          </cell>
          <cell r="EO43">
            <v>7.9</v>
          </cell>
          <cell r="EP43">
            <v>23.4</v>
          </cell>
          <cell r="ER43">
            <v>8.8000000000000007</v>
          </cell>
          <cell r="ES43">
            <v>11.7</v>
          </cell>
          <cell r="ET43">
            <v>20.5</v>
          </cell>
          <cell r="EV43">
            <v>0</v>
          </cell>
          <cell r="EW43">
            <v>21.9</v>
          </cell>
          <cell r="EX43">
            <v>21.9</v>
          </cell>
          <cell r="EZ43">
            <v>16.700000000000006</v>
          </cell>
          <cell r="FA43">
            <v>54.790000000000013</v>
          </cell>
          <cell r="FB43">
            <v>71.490000000000023</v>
          </cell>
          <cell r="FD43">
            <v>129.5</v>
          </cell>
          <cell r="FE43">
            <v>339.6</v>
          </cell>
          <cell r="FF43">
            <v>469.1</v>
          </cell>
          <cell r="FH43">
            <v>783</v>
          </cell>
          <cell r="FI43">
            <v>1046.2</v>
          </cell>
          <cell r="FJ43">
            <v>1829.2</v>
          </cell>
        </row>
        <row r="44">
          <cell r="EM44" t="str">
            <v xml:space="preserve"> 2Q</v>
          </cell>
          <cell r="EN44">
            <v>16.600000000000001</v>
          </cell>
          <cell r="EO44">
            <v>8.1</v>
          </cell>
          <cell r="EP44">
            <v>24.700000000000003</v>
          </cell>
          <cell r="ER44">
            <v>10.5</v>
          </cell>
          <cell r="ES44">
            <v>12.9</v>
          </cell>
          <cell r="ET44">
            <v>23.4</v>
          </cell>
          <cell r="EV44">
            <v>0</v>
          </cell>
          <cell r="EW44">
            <v>17</v>
          </cell>
          <cell r="EX44">
            <v>17</v>
          </cell>
          <cell r="EZ44">
            <v>16.399999999999991</v>
          </cell>
          <cell r="FA44">
            <v>54.200000000000031</v>
          </cell>
          <cell r="FB44">
            <v>70.600000000000023</v>
          </cell>
          <cell r="FD44">
            <v>138.1</v>
          </cell>
          <cell r="FE44">
            <v>327.3</v>
          </cell>
          <cell r="FF44">
            <v>465.4</v>
          </cell>
          <cell r="FH44">
            <v>774.9</v>
          </cell>
          <cell r="FI44">
            <v>1016.3</v>
          </cell>
          <cell r="FJ44">
            <v>1791.1999999999998</v>
          </cell>
        </row>
        <row r="45">
          <cell r="EM45" t="str">
            <v xml:space="preserve"> 3Q</v>
          </cell>
          <cell r="EN45">
            <v>11.4</v>
          </cell>
          <cell r="EO45">
            <v>8</v>
          </cell>
          <cell r="EP45">
            <v>19.399999999999999</v>
          </cell>
          <cell r="ER45">
            <v>9.1999999999999993</v>
          </cell>
          <cell r="ES45">
            <v>12.7</v>
          </cell>
          <cell r="ET45">
            <v>21.9</v>
          </cell>
          <cell r="EV45">
            <v>0</v>
          </cell>
          <cell r="EW45">
            <v>19</v>
          </cell>
          <cell r="EX45">
            <v>19</v>
          </cell>
          <cell r="EZ45">
            <v>20.600000000000005</v>
          </cell>
          <cell r="FA45">
            <v>46.3</v>
          </cell>
          <cell r="FB45">
            <v>66.900000000000006</v>
          </cell>
          <cell r="FD45">
            <v>156.5</v>
          </cell>
          <cell r="FE45">
            <v>316.39999999999998</v>
          </cell>
          <cell r="FF45">
            <v>472.9</v>
          </cell>
          <cell r="FH45">
            <v>808.3</v>
          </cell>
          <cell r="FI45">
            <v>959.8</v>
          </cell>
          <cell r="FJ45">
            <v>1768.1</v>
          </cell>
        </row>
        <row r="46">
          <cell r="EM46" t="str">
            <v xml:space="preserve"> 4Q</v>
          </cell>
          <cell r="EN46">
            <v>11.9</v>
          </cell>
          <cell r="EO46">
            <v>10</v>
          </cell>
          <cell r="EP46">
            <v>21.9</v>
          </cell>
          <cell r="ER46">
            <v>8.6999999999999993</v>
          </cell>
          <cell r="ES46">
            <v>14</v>
          </cell>
          <cell r="ET46">
            <v>22.7</v>
          </cell>
          <cell r="EV46">
            <v>0</v>
          </cell>
          <cell r="EW46">
            <v>18.100000000000001</v>
          </cell>
          <cell r="EX46">
            <v>18.100000000000001</v>
          </cell>
          <cell r="EZ46">
            <v>17.700000000000014</v>
          </cell>
          <cell r="FA46">
            <v>49.600000000000016</v>
          </cell>
          <cell r="FB46">
            <v>67.300000000000026</v>
          </cell>
          <cell r="FD46">
            <v>165.3</v>
          </cell>
          <cell r="FE46">
            <v>356.6</v>
          </cell>
          <cell r="FF46">
            <v>521.90000000000009</v>
          </cell>
          <cell r="FH46">
            <v>807.39999999999986</v>
          </cell>
          <cell r="FI46">
            <v>1035.5</v>
          </cell>
          <cell r="FJ46">
            <v>1842.8999999999999</v>
          </cell>
        </row>
        <row r="48">
          <cell r="EM48" t="str">
            <v>1996</v>
          </cell>
          <cell r="EN48">
            <v>55.4</v>
          </cell>
          <cell r="EO48">
            <v>34</v>
          </cell>
          <cell r="EP48">
            <v>89.4</v>
          </cell>
          <cell r="ER48">
            <v>37.200000000000003</v>
          </cell>
          <cell r="ES48">
            <v>51.3</v>
          </cell>
          <cell r="ET48">
            <v>88.5</v>
          </cell>
          <cell r="EV48">
            <v>0</v>
          </cell>
          <cell r="EW48">
            <v>76</v>
          </cell>
          <cell r="EX48">
            <v>76</v>
          </cell>
          <cell r="EZ48">
            <v>71.40000000000002</v>
          </cell>
          <cell r="FA48">
            <v>204.89000000000004</v>
          </cell>
          <cell r="FB48">
            <v>276.29000000000008</v>
          </cell>
          <cell r="FD48">
            <v>589.40000000000009</v>
          </cell>
          <cell r="FE48">
            <v>1339.9</v>
          </cell>
          <cell r="FF48">
            <v>1929.3000000000002</v>
          </cell>
          <cell r="FH48">
            <v>3173.5999999999995</v>
          </cell>
          <cell r="FI48">
            <v>4057.8</v>
          </cell>
          <cell r="FJ48">
            <v>7231.4</v>
          </cell>
        </row>
        <row r="50">
          <cell r="EM50" t="str">
            <v xml:space="preserve">1997/96 </v>
          </cell>
        </row>
        <row r="51">
          <cell r="EM51" t="str">
            <v xml:space="preserve"> 1Q</v>
          </cell>
          <cell r="EN51">
            <v>-0.18709677419354842</v>
          </cell>
          <cell r="EO51">
            <v>-3.7974683544303889E-2</v>
          </cell>
          <cell r="EP51">
            <v>-0.13675213675213671</v>
          </cell>
          <cell r="ER51">
            <v>0.72727272727272707</v>
          </cell>
          <cell r="ES51">
            <v>0.11965811965811968</v>
          </cell>
          <cell r="ET51">
            <v>0.38048780487804867</v>
          </cell>
          <cell r="EV51" t="str">
            <v>NM</v>
          </cell>
          <cell r="EW51">
            <v>-5.9360730593607136E-2</v>
          </cell>
          <cell r="EX51">
            <v>-5.9360730593607136E-2</v>
          </cell>
          <cell r="EZ51">
            <v>0.17365269461077748</v>
          </cell>
          <cell r="FA51">
            <v>-0.36302244935207129</v>
          </cell>
          <cell r="FB51">
            <v>-0.23765561617009379</v>
          </cell>
          <cell r="FD51">
            <v>-7.7220077220077066E-3</v>
          </cell>
          <cell r="FE51">
            <v>-0.11484098939929333</v>
          </cell>
          <cell r="FF51">
            <v>-8.5269665316563659E-2</v>
          </cell>
          <cell r="FH51">
            <v>5.6960408684546548E-2</v>
          </cell>
          <cell r="FI51">
            <v>-9.2142993691454733E-2</v>
          </cell>
          <cell r="FJ51">
            <v>-2.8318390553247252E-2</v>
          </cell>
        </row>
        <row r="52">
          <cell r="EM52" t="str">
            <v xml:space="preserve"> 2Q</v>
          </cell>
          <cell r="EN52">
            <v>6.0240963855420215E-3</v>
          </cell>
          <cell r="EO52">
            <v>-8.6419753086419693E-2</v>
          </cell>
          <cell r="EP52">
            <v>-2.4291497975708509E-2</v>
          </cell>
          <cell r="ER52">
            <v>0.31428571428571428</v>
          </cell>
          <cell r="ES52">
            <v>0.17829457364341073</v>
          </cell>
          <cell r="ET52">
            <v>0.23931623931623935</v>
          </cell>
          <cell r="EV52" t="str">
            <v>NM</v>
          </cell>
          <cell r="EW52">
            <v>0.43529411764705883</v>
          </cell>
          <cell r="EX52">
            <v>0.43529411764705883</v>
          </cell>
          <cell r="EZ52">
            <v>-0.12804878048780499</v>
          </cell>
          <cell r="FA52">
            <v>-0.14575645756457711</v>
          </cell>
          <cell r="FB52">
            <v>-0.14164305949008615</v>
          </cell>
          <cell r="FD52">
            <v>4.9963794351918889E-2</v>
          </cell>
          <cell r="FE52">
            <v>-1.5582034830430858E-2</v>
          </cell>
          <cell r="FF52">
            <v>3.8676407391491363E-3</v>
          </cell>
          <cell r="FH52">
            <v>0.2238998580461995</v>
          </cell>
          <cell r="FI52">
            <v>2.0663190002954135E-3</v>
          </cell>
          <cell r="FJ52">
            <v>9.8034836980795292E-2</v>
          </cell>
        </row>
        <row r="53">
          <cell r="EM53" t="str">
            <v xml:space="preserve"> 3Q</v>
          </cell>
          <cell r="EN53">
            <v>0.13157894736842102</v>
          </cell>
          <cell r="EO53">
            <v>-5.0000000000000044E-2</v>
          </cell>
          <cell r="EP53">
            <v>5.6701030927835072E-2</v>
          </cell>
          <cell r="ER53">
            <v>0.92391304347826098</v>
          </cell>
          <cell r="ES53">
            <v>-5.5118110236220375E-2</v>
          </cell>
          <cell r="ET53">
            <v>0.35616438356164393</v>
          </cell>
          <cell r="EV53" t="str">
            <v>NM</v>
          </cell>
          <cell r="EW53">
            <v>0.28947368421052633</v>
          </cell>
          <cell r="EX53">
            <v>0.28947368421052633</v>
          </cell>
          <cell r="EZ53">
            <v>0.2135922330097082</v>
          </cell>
          <cell r="FA53">
            <v>-0.10799136069114446</v>
          </cell>
          <cell r="FB53">
            <v>-8.9686098654707669E-3</v>
          </cell>
          <cell r="FD53">
            <v>0.15974440894568698</v>
          </cell>
          <cell r="FE53">
            <v>-2.970922882427296E-2</v>
          </cell>
          <cell r="FF53">
            <v>3.2987946711778404E-2</v>
          </cell>
          <cell r="FH53">
            <v>0.39762464431522959</v>
          </cell>
          <cell r="FI53">
            <v>1.9483225672014992E-2</v>
          </cell>
          <cell r="FJ53">
            <v>0.19235337367795946</v>
          </cell>
        </row>
        <row r="54">
          <cell r="EM54" t="str">
            <v xml:space="preserve"> 4Q</v>
          </cell>
          <cell r="EN54">
            <v>-0.30252100840336127</v>
          </cell>
          <cell r="EO54">
            <v>-0.38</v>
          </cell>
          <cell r="EP54">
            <v>-0.33789954337899542</v>
          </cell>
          <cell r="ER54">
            <v>0.931034482758621</v>
          </cell>
          <cell r="ES54">
            <v>-2.1428571428571463E-2</v>
          </cell>
          <cell r="ET54">
            <v>0.34361233480176212</v>
          </cell>
          <cell r="EV54" t="str">
            <v>NM</v>
          </cell>
          <cell r="EW54">
            <v>9.3922651933701529E-2</v>
          </cell>
          <cell r="EX54">
            <v>0.11049723756906071</v>
          </cell>
          <cell r="EZ54">
            <v>0.1977401129943499</v>
          </cell>
          <cell r="FA54">
            <v>-0.2883064516129038</v>
          </cell>
          <cell r="FB54">
            <v>-0.16047548291233327</v>
          </cell>
          <cell r="FD54">
            <v>9.1954022988505635E-2</v>
          </cell>
          <cell r="FE54">
            <v>-0.14974761637689293</v>
          </cell>
          <cell r="FF54">
            <v>-7.3194098486300208E-2</v>
          </cell>
          <cell r="FH54">
            <v>0.60589546693088936</v>
          </cell>
          <cell r="FI54">
            <v>-4.6354418155479804E-3</v>
          </cell>
          <cell r="FJ54">
            <v>0.26284660046665609</v>
          </cell>
        </row>
        <row r="56">
          <cell r="EM56" t="str">
            <v>Year</v>
          </cell>
          <cell r="EN56">
            <v>-8.8447653429602813E-2</v>
          </cell>
          <cell r="EO56">
            <v>-0.15294117647058825</v>
          </cell>
          <cell r="EP56">
            <v>-0.11297539149888147</v>
          </cell>
          <cell r="ER56">
            <v>0.70698924731182777</v>
          </cell>
          <cell r="ES56">
            <v>5.2631578947368585E-2</v>
          </cell>
          <cell r="ET56">
            <v>0.32768361581920913</v>
          </cell>
          <cell r="EV56" t="str">
            <v>NM</v>
          </cell>
          <cell r="EW56">
            <v>0.17500000000000004</v>
          </cell>
          <cell r="EX56">
            <v>0.17894736842105252</v>
          </cell>
          <cell r="EZ56">
            <v>0.12184873949579789</v>
          </cell>
          <cell r="FA56">
            <v>-0.22983064083166616</v>
          </cell>
          <cell r="FB56">
            <v>-0.13894820659452056</v>
          </cell>
          <cell r="FD56">
            <v>7.8215134034611333E-2</v>
          </cell>
          <cell r="FE56">
            <v>-7.9782073289051514E-2</v>
          </cell>
          <cell r="FF56">
            <v>-3.1514020629243911E-2</v>
          </cell>
          <cell r="FH56">
            <v>0.32414292916561638</v>
          </cell>
          <cell r="FI56">
            <v>-1.9813692148454742E-2</v>
          </cell>
          <cell r="FJ56">
            <v>0.13113643277926812</v>
          </cell>
        </row>
        <row r="58">
          <cell r="EM58" t="str">
            <v>1997</v>
          </cell>
        </row>
        <row r="59">
          <cell r="EM59" t="str">
            <v xml:space="preserve"> 1Q</v>
          </cell>
          <cell r="EN59">
            <v>12.6</v>
          </cell>
          <cell r="EO59">
            <v>7.6</v>
          </cell>
          <cell r="EP59">
            <v>20.2</v>
          </cell>
          <cell r="ER59">
            <v>15.2</v>
          </cell>
          <cell r="ES59">
            <v>13.1</v>
          </cell>
          <cell r="ET59">
            <v>28.299999999999997</v>
          </cell>
          <cell r="EV59">
            <v>0</v>
          </cell>
          <cell r="EW59">
            <v>20.6</v>
          </cell>
          <cell r="EX59">
            <v>20.6</v>
          </cell>
          <cell r="EZ59">
            <v>19.599999999999991</v>
          </cell>
          <cell r="FA59">
            <v>34.90000000000002</v>
          </cell>
          <cell r="FB59">
            <v>54.500000000000014</v>
          </cell>
          <cell r="FD59">
            <v>128.5</v>
          </cell>
          <cell r="FE59">
            <v>300.60000000000002</v>
          </cell>
          <cell r="FF59">
            <v>429.1</v>
          </cell>
          <cell r="FH59">
            <v>827.6</v>
          </cell>
          <cell r="FI59">
            <v>949.80000000000007</v>
          </cell>
          <cell r="FJ59">
            <v>1777.4</v>
          </cell>
        </row>
        <row r="60">
          <cell r="EM60" t="str">
            <v xml:space="preserve"> 2Q</v>
          </cell>
          <cell r="EN60">
            <v>16.7</v>
          </cell>
          <cell r="EO60">
            <v>7.4</v>
          </cell>
          <cell r="EP60">
            <v>24.1</v>
          </cell>
          <cell r="ER60">
            <v>13.8</v>
          </cell>
          <cell r="ES60">
            <v>15.2</v>
          </cell>
          <cell r="ET60">
            <v>29</v>
          </cell>
          <cell r="EV60">
            <v>0</v>
          </cell>
          <cell r="EW60">
            <v>24.4</v>
          </cell>
          <cell r="EX60">
            <v>24.4</v>
          </cell>
          <cell r="EZ60">
            <v>14.29999999999999</v>
          </cell>
          <cell r="FA60">
            <v>46.299999999999947</v>
          </cell>
          <cell r="FB60">
            <v>60.599999999999937</v>
          </cell>
          <cell r="FD60">
            <v>145</v>
          </cell>
          <cell r="FE60">
            <v>322.2</v>
          </cell>
          <cell r="FF60">
            <v>467.2</v>
          </cell>
          <cell r="FH60">
            <v>948.4</v>
          </cell>
          <cell r="FI60">
            <v>1018.4000000000001</v>
          </cell>
          <cell r="FJ60">
            <v>1966.8000000000002</v>
          </cell>
        </row>
        <row r="61">
          <cell r="EM61" t="str">
            <v xml:space="preserve"> 3Q</v>
          </cell>
          <cell r="EN61">
            <v>12.9</v>
          </cell>
          <cell r="EO61">
            <v>7.6</v>
          </cell>
          <cell r="EP61">
            <v>20.5</v>
          </cell>
          <cell r="ER61">
            <v>17.7</v>
          </cell>
          <cell r="ES61">
            <v>12</v>
          </cell>
          <cell r="ET61">
            <v>29.7</v>
          </cell>
          <cell r="EV61">
            <v>0</v>
          </cell>
          <cell r="EW61">
            <v>24.5</v>
          </cell>
          <cell r="EX61">
            <v>24.5</v>
          </cell>
          <cell r="EZ61">
            <v>24.999999999999996</v>
          </cell>
          <cell r="FA61">
            <v>41.300000000000011</v>
          </cell>
          <cell r="FB61">
            <v>66.300000000000011</v>
          </cell>
          <cell r="FD61">
            <v>181.5</v>
          </cell>
          <cell r="FE61">
            <v>307</v>
          </cell>
          <cell r="FF61">
            <v>488.5</v>
          </cell>
          <cell r="FH61">
            <v>1129.7</v>
          </cell>
          <cell r="FI61">
            <v>978.5</v>
          </cell>
          <cell r="FJ61">
            <v>2108.1999999999998</v>
          </cell>
        </row>
        <row r="62">
          <cell r="EM62" t="str">
            <v xml:space="preserve"> 4Q</v>
          </cell>
          <cell r="EN62">
            <v>8.3000000000000007</v>
          </cell>
          <cell r="EO62">
            <v>6.2</v>
          </cell>
          <cell r="EP62">
            <v>14.5</v>
          </cell>
          <cell r="ER62">
            <v>16.8</v>
          </cell>
          <cell r="ES62">
            <v>13.7</v>
          </cell>
          <cell r="ET62">
            <v>30.5</v>
          </cell>
          <cell r="EV62">
            <v>0.3</v>
          </cell>
          <cell r="EW62">
            <v>19.8</v>
          </cell>
          <cell r="EX62">
            <v>20.100000000000001</v>
          </cell>
          <cell r="EZ62">
            <v>21.20000000000001</v>
          </cell>
          <cell r="FA62">
            <v>35.299999999999983</v>
          </cell>
          <cell r="FB62">
            <v>56.499999999999993</v>
          </cell>
          <cell r="FD62">
            <v>180.5</v>
          </cell>
          <cell r="FE62">
            <v>303.2</v>
          </cell>
          <cell r="FF62">
            <v>483.7</v>
          </cell>
          <cell r="FH62">
            <v>1296.5999999999999</v>
          </cell>
          <cell r="FI62">
            <v>1030.7</v>
          </cell>
          <cell r="FJ62">
            <v>2327.3000000000002</v>
          </cell>
        </row>
        <row r="64">
          <cell r="EM64" t="str">
            <v>Year</v>
          </cell>
          <cell r="EN64">
            <v>50.5</v>
          </cell>
          <cell r="EO64">
            <v>28.8</v>
          </cell>
          <cell r="EP64">
            <v>79.3</v>
          </cell>
          <cell r="ER64">
            <v>63.5</v>
          </cell>
          <cell r="ES64">
            <v>54</v>
          </cell>
          <cell r="ET64">
            <v>117.5</v>
          </cell>
          <cell r="EV64">
            <v>0.3</v>
          </cell>
          <cell r="EW64">
            <v>89.3</v>
          </cell>
          <cell r="EX64">
            <v>89.6</v>
          </cell>
          <cell r="EZ64">
            <v>80.099999999999994</v>
          </cell>
          <cell r="FA64">
            <v>157.79999999999995</v>
          </cell>
          <cell r="FB64">
            <v>237.89999999999998</v>
          </cell>
          <cell r="FD64">
            <v>635.5</v>
          </cell>
          <cell r="FE64">
            <v>1233</v>
          </cell>
          <cell r="FF64">
            <v>1868.5</v>
          </cell>
          <cell r="FH64">
            <v>4202.2999999999993</v>
          </cell>
          <cell r="FI64">
            <v>3977.4000000000005</v>
          </cell>
          <cell r="FJ64">
            <v>8179.7</v>
          </cell>
        </row>
        <row r="66">
          <cell r="EM66" t="str">
            <v>1998/97 % Change</v>
          </cell>
        </row>
        <row r="67">
          <cell r="EM67" t="str">
            <v xml:space="preserve"> 1Q</v>
          </cell>
          <cell r="EN67">
            <v>0.26984126984126977</v>
          </cell>
          <cell r="EO67">
            <v>0.25</v>
          </cell>
          <cell r="EP67">
            <v>0.26237623762376239</v>
          </cell>
          <cell r="ER67">
            <v>0.31578947368421062</v>
          </cell>
          <cell r="ES67">
            <v>-3.0534351145038219E-2</v>
          </cell>
          <cell r="ET67">
            <v>0.15547703180212036</v>
          </cell>
          <cell r="EV67" t="str">
            <v>NM</v>
          </cell>
          <cell r="EW67">
            <v>0.23300970873786397</v>
          </cell>
          <cell r="EX67">
            <v>0.26213592233009697</v>
          </cell>
          <cell r="EZ67">
            <v>-0.28061224489795866</v>
          </cell>
          <cell r="FA67">
            <v>0.17765042979942591</v>
          </cell>
          <cell r="FB67">
            <v>1.2844036697247319E-2</v>
          </cell>
          <cell r="FD67">
            <v>0.17120622568093391</v>
          </cell>
          <cell r="FE67">
            <v>-2.2288755821690098E-2</v>
          </cell>
          <cell r="FF67">
            <v>3.5656024236774497E-2</v>
          </cell>
          <cell r="FH67">
            <v>0.58107781536974379</v>
          </cell>
          <cell r="FI67">
            <v>7.5910718045904213E-2</v>
          </cell>
          <cell r="FJ67">
            <v>0.31112861483065157</v>
          </cell>
        </row>
        <row r="68">
          <cell r="EM68" t="str">
            <v xml:space="preserve"> 2Q</v>
          </cell>
          <cell r="EN68">
            <v>-5.9880239520956335E-3</v>
          </cell>
          <cell r="EO68">
            <v>0.49999999999999978</v>
          </cell>
          <cell r="EP68">
            <v>0.14937759336099599</v>
          </cell>
          <cell r="ER68">
            <v>0.53623188405797095</v>
          </cell>
          <cell r="ES68">
            <v>-6.5789473684210176E-3</v>
          </cell>
          <cell r="ET68">
            <v>0.25172413793103443</v>
          </cell>
          <cell r="EV68" t="str">
            <v>NM</v>
          </cell>
          <cell r="EW68">
            <v>0.20901639344262302</v>
          </cell>
          <cell r="EX68">
            <v>0.22540983606557385</v>
          </cell>
          <cell r="EZ68">
            <v>2.0979020979023488E-2</v>
          </cell>
          <cell r="FA68">
            <v>-0.11879049676025732</v>
          </cell>
          <cell r="FB68">
            <v>-8.5808580858083849E-2</v>
          </cell>
          <cell r="FD68">
            <v>7.1034482758620676E-2</v>
          </cell>
          <cell r="FE68">
            <v>-2.8243327126008633E-2</v>
          </cell>
          <cell r="FF68">
            <v>2.5684931506850806E-3</v>
          </cell>
          <cell r="FH68">
            <v>0.67302825811893729</v>
          </cell>
          <cell r="FI68">
            <v>7.6296150824822995E-2</v>
          </cell>
          <cell r="FJ68">
            <v>0.36404311572096804</v>
          </cell>
        </row>
        <row r="69">
          <cell r="EM69" t="str">
            <v xml:space="preserve"> 3Q</v>
          </cell>
          <cell r="EN69">
            <v>-0.17829457364341095</v>
          </cell>
          <cell r="EO69">
            <v>0.23684210526315796</v>
          </cell>
          <cell r="EP69">
            <v>-2.4390243902439046E-2</v>
          </cell>
          <cell r="ER69">
            <v>0.12429378531073443</v>
          </cell>
          <cell r="ES69">
            <v>-8.3333333333333037E-3</v>
          </cell>
          <cell r="ET69">
            <v>7.0707070707070718E-2</v>
          </cell>
          <cell r="EV69" t="str">
            <v>NM</v>
          </cell>
          <cell r="EW69">
            <v>0.25306122448979584</v>
          </cell>
          <cell r="EX69">
            <v>0.27755102040816326</v>
          </cell>
          <cell r="EZ69">
            <v>-0.21599999999999953</v>
          </cell>
          <cell r="FA69">
            <v>6.2953995157385201E-2</v>
          </cell>
          <cell r="FB69">
            <v>-4.2232277526394912E-2</v>
          </cell>
          <cell r="FD69">
            <v>-0.10523415977961426</v>
          </cell>
          <cell r="FE69">
            <v>2.6058631921823672E-3</v>
          </cell>
          <cell r="FF69">
            <v>-3.7461617195496344E-2</v>
          </cell>
          <cell r="FH69">
            <v>0.41037443569089138</v>
          </cell>
          <cell r="FI69">
            <v>0.12488502810424129</v>
          </cell>
          <cell r="FJ69">
            <v>0.27786737501185854</v>
          </cell>
        </row>
        <row r="70">
          <cell r="EM70" t="str">
            <v xml:space="preserve"> 4Q</v>
          </cell>
          <cell r="EN70">
            <v>0.54216867469879504</v>
          </cell>
          <cell r="EO70">
            <v>0.56451612903225801</v>
          </cell>
          <cell r="EP70">
            <v>0.55172413793103448</v>
          </cell>
          <cell r="ER70">
            <v>0.27976190476190466</v>
          </cell>
          <cell r="ES70">
            <v>0</v>
          </cell>
          <cell r="ET70">
            <v>0.15409836065573779</v>
          </cell>
          <cell r="EV70" t="str">
            <v>NM</v>
          </cell>
          <cell r="EW70">
            <v>0.34343434343434343</v>
          </cell>
          <cell r="EX70">
            <v>0.3383084577114428</v>
          </cell>
          <cell r="EZ70">
            <v>-0.25943396226415061</v>
          </cell>
          <cell r="FA70">
            <v>0.23796033994334365</v>
          </cell>
          <cell r="FB70">
            <v>5.1327433628319152E-2</v>
          </cell>
          <cell r="FD70">
            <v>6.094182825484773E-2</v>
          </cell>
          <cell r="FE70">
            <v>3.2321899736147852E-2</v>
          </cell>
          <cell r="FF70">
            <v>4.3001860657432278E-2</v>
          </cell>
          <cell r="FH70">
            <v>0.4022828937220424</v>
          </cell>
          <cell r="FI70">
            <v>0.18162413893470464</v>
          </cell>
          <cell r="FJ70">
            <v>0.30455893095002806</v>
          </cell>
        </row>
        <row r="72">
          <cell r="EM72" t="str">
            <v>Year</v>
          </cell>
          <cell r="EN72">
            <v>0.10891089108910901</v>
          </cell>
          <cell r="EO72">
            <v>0.37847222222222232</v>
          </cell>
          <cell r="EP72">
            <v>0.20680958385876425</v>
          </cell>
          <cell r="ER72">
            <v>0.3007874015748031</v>
          </cell>
          <cell r="ES72">
            <v>-1.1111111111111294E-2</v>
          </cell>
          <cell r="ET72">
            <v>0.15744680851063819</v>
          </cell>
          <cell r="EV72" t="str">
            <v>NM</v>
          </cell>
          <cell r="EW72">
            <v>0.25643896976483749</v>
          </cell>
          <cell r="EX72">
            <v>0.27343750000000022</v>
          </cell>
          <cell r="EZ72">
            <v>-0.20099875156054858</v>
          </cell>
          <cell r="FA72">
            <v>7.4144486692015787E-2</v>
          </cell>
          <cell r="FB72">
            <v>-1.8495166036149091E-2</v>
          </cell>
          <cell r="FD72">
            <v>3.8080251770259643E-2</v>
          </cell>
          <cell r="FE72">
            <v>-4.2173560421735479E-3</v>
          </cell>
          <cell r="FF72">
            <v>1.0168584426010208E-2</v>
          </cell>
          <cell r="FH72">
            <v>0.50077338600290333</v>
          </cell>
          <cell r="FI72">
            <v>0.1154523055262231</v>
          </cell>
          <cell r="FJ72">
            <v>0.31341002726261369</v>
          </cell>
        </row>
        <row r="74">
          <cell r="EM74" t="str">
            <v>1998</v>
          </cell>
        </row>
        <row r="75">
          <cell r="EM75" t="str">
            <v xml:space="preserve"> 1Q</v>
          </cell>
          <cell r="EN75">
            <v>16</v>
          </cell>
          <cell r="EO75">
            <v>9.5</v>
          </cell>
          <cell r="EP75">
            <v>25.5</v>
          </cell>
          <cell r="ER75">
            <v>20</v>
          </cell>
          <cell r="ES75">
            <v>12.7</v>
          </cell>
          <cell r="ET75">
            <v>32.700000000000003</v>
          </cell>
          <cell r="EV75">
            <v>0.6</v>
          </cell>
          <cell r="EW75">
            <v>25.4</v>
          </cell>
          <cell r="EX75">
            <v>26</v>
          </cell>
          <cell r="EZ75">
            <v>14.100000000000003</v>
          </cell>
          <cell r="FA75">
            <v>41.099999999999987</v>
          </cell>
          <cell r="FB75">
            <v>55.199999999999989</v>
          </cell>
          <cell r="FD75">
            <v>150.5</v>
          </cell>
          <cell r="FE75">
            <v>293.89999999999998</v>
          </cell>
          <cell r="FF75">
            <v>444.4</v>
          </cell>
          <cell r="FH75">
            <v>1308.5</v>
          </cell>
          <cell r="FI75">
            <v>1021.9</v>
          </cell>
          <cell r="FJ75">
            <v>2330.4</v>
          </cell>
        </row>
        <row r="76">
          <cell r="EM76" t="str">
            <v xml:space="preserve"> 2Q</v>
          </cell>
          <cell r="EN76">
            <v>16.600000000000001</v>
          </cell>
          <cell r="EO76">
            <v>11.1</v>
          </cell>
          <cell r="EP76">
            <v>27.700000000000003</v>
          </cell>
          <cell r="ER76">
            <v>21.2</v>
          </cell>
          <cell r="ES76">
            <v>15.1</v>
          </cell>
          <cell r="ET76">
            <v>36.299999999999997</v>
          </cell>
          <cell r="EV76">
            <v>0.4</v>
          </cell>
          <cell r="EW76">
            <v>29.5</v>
          </cell>
          <cell r="EX76">
            <v>29.9</v>
          </cell>
          <cell r="EZ76">
            <v>14.600000000000025</v>
          </cell>
          <cell r="FA76">
            <v>40.80000000000004</v>
          </cell>
          <cell r="FB76">
            <v>55.400000000000063</v>
          </cell>
          <cell r="FD76">
            <v>155.30000000000001</v>
          </cell>
          <cell r="FE76">
            <v>313.10000000000002</v>
          </cell>
          <cell r="FF76">
            <v>468.40000000000003</v>
          </cell>
          <cell r="FH76">
            <v>1586.7</v>
          </cell>
          <cell r="FI76">
            <v>1096.0999999999999</v>
          </cell>
          <cell r="FJ76">
            <v>2682.8</v>
          </cell>
        </row>
        <row r="77">
          <cell r="EM77" t="str">
            <v xml:space="preserve"> 3Q</v>
          </cell>
          <cell r="EN77">
            <v>10.6</v>
          </cell>
          <cell r="EO77">
            <v>9.4</v>
          </cell>
          <cell r="EP77">
            <v>20</v>
          </cell>
          <cell r="ER77">
            <v>19.899999999999999</v>
          </cell>
          <cell r="ES77">
            <v>11.9</v>
          </cell>
          <cell r="ET77">
            <v>31.799999999999997</v>
          </cell>
          <cell r="EV77">
            <v>0.6</v>
          </cell>
          <cell r="EW77">
            <v>30.7</v>
          </cell>
          <cell r="EX77">
            <v>31.3</v>
          </cell>
          <cell r="EZ77">
            <v>19.600000000000009</v>
          </cell>
          <cell r="FA77">
            <v>43.90000000000002</v>
          </cell>
          <cell r="FB77">
            <v>63.500000000000028</v>
          </cell>
          <cell r="FD77">
            <v>162.4</v>
          </cell>
          <cell r="FE77">
            <v>307.8</v>
          </cell>
          <cell r="FF77">
            <v>470.20000000000005</v>
          </cell>
          <cell r="FH77">
            <v>1593.3000000000002</v>
          </cell>
          <cell r="FI77">
            <v>1100.7</v>
          </cell>
          <cell r="FJ77">
            <v>2694</v>
          </cell>
        </row>
        <row r="78">
          <cell r="EM78" t="str">
            <v xml:space="preserve"> 4Q</v>
          </cell>
          <cell r="EN78">
            <v>12.8</v>
          </cell>
          <cell r="EO78">
            <v>9.6999999999999993</v>
          </cell>
          <cell r="EP78">
            <v>22.5</v>
          </cell>
          <cell r="ER78">
            <v>21.5</v>
          </cell>
          <cell r="ES78">
            <v>13.7</v>
          </cell>
          <cell r="ET78">
            <v>35.200000000000003</v>
          </cell>
          <cell r="EV78">
            <v>0.3</v>
          </cell>
          <cell r="EW78">
            <v>26.6</v>
          </cell>
          <cell r="EX78">
            <v>26.900000000000002</v>
          </cell>
          <cell r="EZ78">
            <v>15.700000000000014</v>
          </cell>
          <cell r="FA78">
            <v>43.70000000000001</v>
          </cell>
          <cell r="FB78">
            <v>59.40000000000002</v>
          </cell>
          <cell r="FD78">
            <v>191.5</v>
          </cell>
          <cell r="FE78">
            <v>313</v>
          </cell>
          <cell r="FF78">
            <v>504.5</v>
          </cell>
          <cell r="FH78">
            <v>1818.2</v>
          </cell>
          <cell r="FI78">
            <v>1217.9000000000001</v>
          </cell>
          <cell r="FJ78">
            <v>3036.1000000000004</v>
          </cell>
        </row>
        <row r="80">
          <cell r="EM80" t="str">
            <v>Year</v>
          </cell>
          <cell r="EN80">
            <v>56</v>
          </cell>
          <cell r="EO80">
            <v>39.700000000000003</v>
          </cell>
          <cell r="EP80">
            <v>95.7</v>
          </cell>
          <cell r="ER80">
            <v>82.6</v>
          </cell>
          <cell r="ES80">
            <v>53.399999999999991</v>
          </cell>
          <cell r="ET80">
            <v>136</v>
          </cell>
          <cell r="EV80">
            <v>1.9000000000000001</v>
          </cell>
          <cell r="EW80">
            <v>112.19999999999999</v>
          </cell>
          <cell r="EX80">
            <v>114.10000000000001</v>
          </cell>
          <cell r="EZ80">
            <v>64.000000000000057</v>
          </cell>
          <cell r="FA80">
            <v>169.50000000000006</v>
          </cell>
          <cell r="FB80">
            <v>233.50000000000011</v>
          </cell>
          <cell r="FD80">
            <v>659.7</v>
          </cell>
          <cell r="FE80">
            <v>1227.8</v>
          </cell>
          <cell r="FF80">
            <v>1887.5</v>
          </cell>
          <cell r="FH80">
            <v>6306.7</v>
          </cell>
          <cell r="FI80">
            <v>4436.6000000000004</v>
          </cell>
          <cell r="FJ80">
            <v>10743.300000000001</v>
          </cell>
        </row>
        <row r="82">
          <cell r="EM82" t="str">
            <v xml:space="preserve">1999/98 </v>
          </cell>
        </row>
        <row r="83">
          <cell r="EM83" t="str">
            <v xml:space="preserve"> 1Q</v>
          </cell>
          <cell r="EN83">
            <v>-0.16249999999999998</v>
          </cell>
          <cell r="EO83">
            <v>-5.2631578947368474E-2</v>
          </cell>
          <cell r="EP83">
            <v>-0.1215686274509804</v>
          </cell>
          <cell r="ER83">
            <v>0.125</v>
          </cell>
          <cell r="ES83">
            <v>-6.2992125984251857E-2</v>
          </cell>
          <cell r="ET83">
            <v>5.1987767584097622E-2</v>
          </cell>
          <cell r="EV83">
            <v>0</v>
          </cell>
          <cell r="EW83">
            <v>0.15748031496062986</v>
          </cell>
          <cell r="EX83">
            <v>0.15384615384615374</v>
          </cell>
          <cell r="EZ83">
            <v>-7.092198581560516E-3</v>
          </cell>
          <cell r="FA83">
            <v>2.1897810218978409E-2</v>
          </cell>
          <cell r="FB83">
            <v>1.4492753623188692E-2</v>
          </cell>
          <cell r="FD83">
            <v>2.6578073089700949E-2</v>
          </cell>
          <cell r="FE83">
            <v>4.0830214358625661E-2</v>
          </cell>
          <cell r="FF83">
            <v>3.6003600360036137E-2</v>
          </cell>
          <cell r="FH83">
            <v>0.35552158960641966</v>
          </cell>
          <cell r="FI83">
            <v>0.2062824151091105</v>
          </cell>
          <cell r="FJ83">
            <v>0.29007895640233428</v>
          </cell>
        </row>
        <row r="84">
          <cell r="EM84" t="str">
            <v xml:space="preserve"> 2Q</v>
          </cell>
          <cell r="EN84">
            <v>-2.4096385542168752E-2</v>
          </cell>
          <cell r="EO84">
            <v>-9.9099099099099086E-2</v>
          </cell>
          <cell r="EP84">
            <v>-5.4151624548736566E-2</v>
          </cell>
          <cell r="ER84">
            <v>0.27830188679245293</v>
          </cell>
          <cell r="ES84">
            <v>-8.6092715231787964E-2</v>
          </cell>
          <cell r="ET84">
            <v>0.12672176308539962</v>
          </cell>
          <cell r="EV84">
            <v>0.49999999999999978</v>
          </cell>
          <cell r="EW84">
            <v>3.7288135593220417E-2</v>
          </cell>
          <cell r="EX84">
            <v>4.347826086956541E-2</v>
          </cell>
          <cell r="EZ84">
            <v>-6.8493150684940662E-3</v>
          </cell>
          <cell r="FA84">
            <v>0.28186274509803688</v>
          </cell>
          <cell r="FB84">
            <v>0.2057761732851966</v>
          </cell>
          <cell r="FD84">
            <v>5.9884095299420403E-2</v>
          </cell>
          <cell r="FE84">
            <v>1.5649952091983277E-2</v>
          </cell>
          <cell r="FF84">
            <v>3.0315969257045161E-2</v>
          </cell>
          <cell r="FH84">
            <v>0.19108842251213209</v>
          </cell>
          <cell r="FI84">
            <v>0.15026001277255752</v>
          </cell>
          <cell r="FJ84">
            <v>0.17440733561950195</v>
          </cell>
        </row>
        <row r="85">
          <cell r="EM85" t="str">
            <v xml:space="preserve"> 3Q</v>
          </cell>
          <cell r="EN85">
            <v>5.6603773584905648E-2</v>
          </cell>
          <cell r="EO85">
            <v>-1.0638297872340385E-2</v>
          </cell>
          <cell r="EP85">
            <v>2.4999999999999911E-2</v>
          </cell>
          <cell r="ER85">
            <v>0.31658291457286447</v>
          </cell>
          <cell r="ES85">
            <v>3.3613445378151363E-2</v>
          </cell>
          <cell r="ET85">
            <v>0.21069182389937113</v>
          </cell>
          <cell r="EV85">
            <v>0.16666666666666674</v>
          </cell>
          <cell r="EW85">
            <v>-9.4462540716612309E-2</v>
          </cell>
          <cell r="EX85">
            <v>-8.9456869009584716E-2</v>
          </cell>
          <cell r="EZ85">
            <v>2.0408163265307033E-2</v>
          </cell>
          <cell r="FA85">
            <v>0.2733485193621854</v>
          </cell>
          <cell r="FB85">
            <v>0.19527559055118049</v>
          </cell>
          <cell r="FD85">
            <v>4.0640394088669929E-2</v>
          </cell>
          <cell r="FE85">
            <v>1.5269655620532729E-2</v>
          </cell>
          <cell r="FF85">
            <v>2.4032326669502169E-2</v>
          </cell>
          <cell r="FH85">
            <v>0.25387560409213572</v>
          </cell>
          <cell r="FI85">
            <v>0.12637412555646388</v>
          </cell>
          <cell r="FJ85">
            <v>0.20178173719376402</v>
          </cell>
        </row>
        <row r="86">
          <cell r="EM86" t="str">
            <v xml:space="preserve"> 4Q</v>
          </cell>
          <cell r="EN86">
            <v>-8.5937500000000111E-2</v>
          </cell>
          <cell r="EO86">
            <v>5.1546391752577359E-2</v>
          </cell>
          <cell r="EP86">
            <v>-2.6666666666666727E-2</v>
          </cell>
          <cell r="ER86">
            <v>0.36279069767441863</v>
          </cell>
          <cell r="ES86">
            <v>8.7591240875912524E-2</v>
          </cell>
          <cell r="ET86">
            <v>0.25568181818181812</v>
          </cell>
          <cell r="EV86">
            <v>0.33333333333333348</v>
          </cell>
          <cell r="EW86">
            <v>-2.6315789473684292E-2</v>
          </cell>
          <cell r="EX86">
            <v>-2.230483271375483E-2</v>
          </cell>
          <cell r="EZ86">
            <v>-0.70063694267516108</v>
          </cell>
          <cell r="FA86">
            <v>0.22883295194508091</v>
          </cell>
          <cell r="FB86">
            <v>-1.6835016835016869E-2</v>
          </cell>
          <cell r="FD86">
            <v>7.571801566579639E-2</v>
          </cell>
          <cell r="FE86">
            <v>2.4600638977635647E-2</v>
          </cell>
          <cell r="FF86">
            <v>4.4003964321110089E-2</v>
          </cell>
          <cell r="FH86">
            <v>0.21075789242107579</v>
          </cell>
          <cell r="FI86">
            <v>9.4753263814763011E-2</v>
          </cell>
          <cell r="FJ86">
            <v>0.16422383979447308</v>
          </cell>
        </row>
        <row r="88">
          <cell r="EM88" t="str">
            <v>Year</v>
          </cell>
          <cell r="EN88">
            <v>-6.25E-2</v>
          </cell>
          <cell r="EO88">
            <v>-3.0226700251889227E-2</v>
          </cell>
          <cell r="EP88">
            <v>-4.9111807732497459E-2</v>
          </cell>
          <cell r="ER88">
            <v>0.2723970944309928</v>
          </cell>
          <cell r="ES88">
            <v>-9.3632958801497246E-3</v>
          </cell>
          <cell r="ET88">
            <v>0.16176470588235303</v>
          </cell>
          <cell r="EV88">
            <v>0.21052631578947345</v>
          </cell>
          <cell r="EW88">
            <v>1.3368983957219305E-2</v>
          </cell>
          <cell r="EX88">
            <v>1.6652059596844904E-2</v>
          </cell>
          <cell r="EZ88">
            <v>-0.16875000000000051</v>
          </cell>
          <cell r="FA88">
            <v>0.20294985250737407</v>
          </cell>
          <cell r="FB88">
            <v>0.10107066381156238</v>
          </cell>
          <cell r="FD88">
            <v>5.2144914355009897E-2</v>
          </cell>
          <cell r="FE88">
            <v>2.3863821469294777E-2</v>
          </cell>
          <cell r="FF88">
            <v>3.374834437086105E-2</v>
          </cell>
          <cell r="FH88">
            <v>0.24673759652433147</v>
          </cell>
          <cell r="FI88">
            <v>0.14200063111391614</v>
          </cell>
          <cell r="FJ88">
            <v>0.20348496272095162</v>
          </cell>
        </row>
        <row r="90">
          <cell r="EM90" t="str">
            <v>1999</v>
          </cell>
          <cell r="EQ90">
            <v>0</v>
          </cell>
          <cell r="EU90">
            <v>0</v>
          </cell>
          <cell r="EY90">
            <v>0</v>
          </cell>
          <cell r="FC90">
            <v>0</v>
          </cell>
        </row>
        <row r="91">
          <cell r="EM91" t="str">
            <v xml:space="preserve"> 1Q</v>
          </cell>
          <cell r="EN91">
            <v>13.4</v>
          </cell>
          <cell r="EO91">
            <v>9</v>
          </cell>
          <cell r="EP91">
            <v>22.4</v>
          </cell>
          <cell r="ER91">
            <v>22.5</v>
          </cell>
          <cell r="ES91">
            <v>11.9</v>
          </cell>
          <cell r="ET91">
            <v>34.4</v>
          </cell>
          <cell r="EV91">
            <v>0.6</v>
          </cell>
          <cell r="EW91">
            <v>29.4</v>
          </cell>
          <cell r="EX91">
            <v>30</v>
          </cell>
          <cell r="EZ91">
            <v>14</v>
          </cell>
          <cell r="FA91">
            <v>42</v>
          </cell>
          <cell r="FB91">
            <v>56</v>
          </cell>
          <cell r="FD91">
            <v>154.5</v>
          </cell>
          <cell r="FE91">
            <v>305.90000000000003</v>
          </cell>
          <cell r="FF91">
            <v>460.40000000000003</v>
          </cell>
          <cell r="FH91">
            <v>1773.7</v>
          </cell>
          <cell r="FI91">
            <v>1232.7</v>
          </cell>
          <cell r="FJ91">
            <v>3006.4</v>
          </cell>
        </row>
        <row r="92">
          <cell r="EM92" t="str">
            <v xml:space="preserve"> 2Q</v>
          </cell>
          <cell r="EN92">
            <v>16.2</v>
          </cell>
          <cell r="EO92">
            <v>10</v>
          </cell>
          <cell r="EP92">
            <v>26.2</v>
          </cell>
          <cell r="ER92">
            <v>27.1</v>
          </cell>
          <cell r="ES92">
            <v>13.8</v>
          </cell>
          <cell r="ET92">
            <v>40.900000000000006</v>
          </cell>
          <cell r="EV92">
            <v>0.6</v>
          </cell>
          <cell r="EW92">
            <v>30.6</v>
          </cell>
          <cell r="EX92">
            <v>31.200000000000003</v>
          </cell>
          <cell r="EZ92">
            <v>14.500000000000011</v>
          </cell>
          <cell r="FA92">
            <v>52.299999999999955</v>
          </cell>
          <cell r="FB92">
            <v>66.799999999999969</v>
          </cell>
          <cell r="FD92">
            <v>164.6</v>
          </cell>
          <cell r="FE92">
            <v>318</v>
          </cell>
          <cell r="FF92">
            <v>482.6</v>
          </cell>
          <cell r="FH92">
            <v>1889.9</v>
          </cell>
          <cell r="FI92">
            <v>1260.8000000000002</v>
          </cell>
          <cell r="FJ92">
            <v>3150.7000000000003</v>
          </cell>
        </row>
        <row r="93">
          <cell r="EM93" t="str">
            <v xml:space="preserve"> 3Q</v>
          </cell>
          <cell r="EN93">
            <v>11.2</v>
          </cell>
          <cell r="EO93">
            <v>9.3000000000000007</v>
          </cell>
          <cell r="EP93">
            <v>20.5</v>
          </cell>
          <cell r="ER93">
            <v>26.2</v>
          </cell>
          <cell r="ES93">
            <v>12.3</v>
          </cell>
          <cell r="ET93">
            <v>38.5</v>
          </cell>
          <cell r="EV93">
            <v>0.7</v>
          </cell>
          <cell r="EW93">
            <v>27.8</v>
          </cell>
          <cell r="EX93">
            <v>28.5</v>
          </cell>
          <cell r="EZ93">
            <v>20.000000000000028</v>
          </cell>
          <cell r="FA93">
            <v>55.899999999999963</v>
          </cell>
          <cell r="FB93">
            <v>75.899999999999991</v>
          </cell>
          <cell r="FD93">
            <v>169</v>
          </cell>
          <cell r="FE93">
            <v>312.5</v>
          </cell>
          <cell r="FF93">
            <v>481.5</v>
          </cell>
          <cell r="FH93">
            <v>1997.8000000000002</v>
          </cell>
          <cell r="FI93">
            <v>1239.8</v>
          </cell>
          <cell r="FJ93">
            <v>3237.6000000000004</v>
          </cell>
        </row>
        <row r="94">
          <cell r="EM94" t="str">
            <v xml:space="preserve"> 4Q</v>
          </cell>
          <cell r="EN94">
            <v>11.7</v>
          </cell>
          <cell r="EO94">
            <v>10.199999999999999</v>
          </cell>
          <cell r="EP94">
            <v>21.9</v>
          </cell>
          <cell r="ER94">
            <v>29.3</v>
          </cell>
          <cell r="ES94">
            <v>14.9</v>
          </cell>
          <cell r="ET94">
            <v>44.2</v>
          </cell>
          <cell r="EV94">
            <v>0.4</v>
          </cell>
          <cell r="EW94">
            <v>25.9</v>
          </cell>
          <cell r="EX94">
            <v>26.299999999999997</v>
          </cell>
          <cell r="EZ94">
            <v>4.6999999999999744</v>
          </cell>
          <cell r="FA94">
            <v>53.700000000000045</v>
          </cell>
          <cell r="FB94">
            <v>58.40000000000002</v>
          </cell>
          <cell r="FD94">
            <v>206</v>
          </cell>
          <cell r="FE94">
            <v>320.7</v>
          </cell>
          <cell r="FF94">
            <v>526.70000000000005</v>
          </cell>
          <cell r="FH94">
            <v>2201.4</v>
          </cell>
          <cell r="FI94">
            <v>1333.3</v>
          </cell>
          <cell r="FJ94">
            <v>3534.7</v>
          </cell>
        </row>
        <row r="96">
          <cell r="EM96" t="str">
            <v>Year</v>
          </cell>
          <cell r="EN96">
            <v>52.5</v>
          </cell>
          <cell r="EO96">
            <v>38.5</v>
          </cell>
          <cell r="EP96">
            <v>91</v>
          </cell>
          <cell r="ER96">
            <v>105.1</v>
          </cell>
          <cell r="ES96">
            <v>52.9</v>
          </cell>
          <cell r="ET96">
            <v>158</v>
          </cell>
          <cell r="EV96">
            <v>2.2999999999999998</v>
          </cell>
          <cell r="EW96">
            <v>113.69999999999999</v>
          </cell>
          <cell r="EX96">
            <v>116</v>
          </cell>
          <cell r="EZ96">
            <v>53.200000000000017</v>
          </cell>
          <cell r="FA96">
            <v>203.89999999999998</v>
          </cell>
          <cell r="FB96">
            <v>257.09999999999997</v>
          </cell>
          <cell r="FD96">
            <v>694.1</v>
          </cell>
          <cell r="FE96">
            <v>1257.1000000000001</v>
          </cell>
          <cell r="FF96">
            <v>1951.2</v>
          </cell>
          <cell r="FH96">
            <v>7862.8000000000011</v>
          </cell>
          <cell r="FI96">
            <v>5066.6000000000004</v>
          </cell>
          <cell r="FJ96">
            <v>12929.400000000001</v>
          </cell>
        </row>
        <row r="98">
          <cell r="EM98" t="str">
            <v>2000E/99</v>
          </cell>
        </row>
        <row r="99">
          <cell r="EM99" t="str">
            <v xml:space="preserve"> 1QA</v>
          </cell>
          <cell r="EN99">
            <v>-4.4776119402985093E-2</v>
          </cell>
          <cell r="EO99">
            <v>-1.1111111111111072E-2</v>
          </cell>
          <cell r="EP99">
            <v>-3.1249999999999778E-2</v>
          </cell>
          <cell r="ER99">
            <v>0.27555555555555555</v>
          </cell>
          <cell r="ES99">
            <v>0.2100840336134453</v>
          </cell>
          <cell r="ET99">
            <v>0.25290697674418605</v>
          </cell>
          <cell r="EV99">
            <v>0.33333333333333348</v>
          </cell>
          <cell r="EW99">
            <v>9.5238095238095344E-2</v>
          </cell>
          <cell r="EX99">
            <v>0.10000000000000009</v>
          </cell>
          <cell r="EZ99">
            <v>0.17142857142857193</v>
          </cell>
          <cell r="FA99">
            <v>0.37380952380952492</v>
          </cell>
          <cell r="FB99">
            <v>0.32321428571428656</v>
          </cell>
          <cell r="FD99">
            <v>4.5307443365695699E-2</v>
          </cell>
          <cell r="FE99">
            <v>0.10722458319712302</v>
          </cell>
          <cell r="FF99">
            <v>8.6446568201563823E-2</v>
          </cell>
          <cell r="FH99">
            <v>0.17894796188757955</v>
          </cell>
          <cell r="FI99">
            <v>6.7494118601443942E-2</v>
          </cell>
          <cell r="FJ99">
            <v>0.13324906865353903</v>
          </cell>
        </row>
        <row r="100">
          <cell r="EM100" t="str">
            <v xml:space="preserve"> 2QE</v>
          </cell>
          <cell r="EN100">
            <v>0.03</v>
          </cell>
          <cell r="EO100">
            <v>0.03</v>
          </cell>
          <cell r="EP100">
            <v>3.0000000000000027E-2</v>
          </cell>
          <cell r="ER100">
            <v>0.2</v>
          </cell>
          <cell r="ES100">
            <v>-0.02</v>
          </cell>
          <cell r="ET100">
            <v>0.12577017114914413</v>
          </cell>
          <cell r="EV100">
            <v>0.26</v>
          </cell>
          <cell r="EW100">
            <v>0.08</v>
          </cell>
          <cell r="EX100">
            <v>8.3461538461538476E-2</v>
          </cell>
          <cell r="EZ100">
            <v>0</v>
          </cell>
          <cell r="FA100">
            <v>0.2</v>
          </cell>
          <cell r="FB100">
            <v>0.15658682634730514</v>
          </cell>
          <cell r="FD100">
            <v>4.5595382746051127E-2</v>
          </cell>
          <cell r="FE100">
            <v>7.5830188679245181E-2</v>
          </cell>
          <cell r="FF100">
            <v>6.551802735184431E-2</v>
          </cell>
          <cell r="FH100">
            <v>0.10382665749510567</v>
          </cell>
          <cell r="FI100">
            <v>0.15752934644670025</v>
          </cell>
          <cell r="FJ100">
            <v>0.12531659631193071</v>
          </cell>
        </row>
        <row r="101">
          <cell r="EM101" t="str">
            <v xml:space="preserve"> 3QE</v>
          </cell>
          <cell r="EN101">
            <v>0.03</v>
          </cell>
          <cell r="EO101">
            <v>0.03</v>
          </cell>
          <cell r="EP101">
            <v>3.0000000000000027E-2</v>
          </cell>
          <cell r="ER101">
            <v>0.2</v>
          </cell>
          <cell r="ES101">
            <v>-0.02</v>
          </cell>
          <cell r="ET101">
            <v>0.12971428571428567</v>
          </cell>
          <cell r="EV101">
            <v>0.26</v>
          </cell>
          <cell r="EW101">
            <v>0.08</v>
          </cell>
          <cell r="EX101">
            <v>8.4421052631579174E-2</v>
          </cell>
          <cell r="EZ101">
            <v>0</v>
          </cell>
          <cell r="FA101">
            <v>0.2</v>
          </cell>
          <cell r="FB101">
            <v>0.14729907773386031</v>
          </cell>
          <cell r="FD101">
            <v>8.1295857988165965E-2</v>
          </cell>
          <cell r="FE101">
            <v>7.8534400000000115E-2</v>
          </cell>
          <cell r="FF101">
            <v>7.9503634475597273E-2</v>
          </cell>
          <cell r="FH101">
            <v>0.11604615076584235</v>
          </cell>
          <cell r="FI101">
            <v>0.18815212130988912</v>
          </cell>
          <cell r="FJ101">
            <v>0.14365826538176441</v>
          </cell>
        </row>
        <row r="102">
          <cell r="EM102" t="str">
            <v xml:space="preserve"> 4QE</v>
          </cell>
          <cell r="EN102">
            <v>9.9118140426551538E-2</v>
          </cell>
          <cell r="EO102">
            <v>5.6949250288351072E-2</v>
          </cell>
          <cell r="EP102">
            <v>7.9477835430677546E-2</v>
          </cell>
          <cell r="ER102">
            <v>0.14197952218429966</v>
          </cell>
          <cell r="ES102">
            <v>-0.20375838926174505</v>
          </cell>
          <cell r="ET102">
            <v>2.5429864253392997E-2</v>
          </cell>
          <cell r="EV102">
            <v>0.15499999999999936</v>
          </cell>
          <cell r="EW102">
            <v>5.5903470977028746E-2</v>
          </cell>
          <cell r="EX102">
            <v>5.7410642521104283E-2</v>
          </cell>
          <cell r="EZ102">
            <v>-0.51063829787234361</v>
          </cell>
          <cell r="FA102">
            <v>6.4059590316573489E-2</v>
          </cell>
          <cell r="FB102">
            <v>1.7808219178081952E-2</v>
          </cell>
          <cell r="FD102">
            <v>4.7751565193718815E-3</v>
          </cell>
          <cell r="FE102">
            <v>4.1736950876155587E-2</v>
          </cell>
          <cell r="FF102">
            <v>2.7280657658958818E-2</v>
          </cell>
          <cell r="FH102">
            <v>0.11790550660624621</v>
          </cell>
          <cell r="FI102">
            <v>0.25027371195228665</v>
          </cell>
          <cell r="FJ102">
            <v>0.16783521158485137</v>
          </cell>
        </row>
        <row r="104">
          <cell r="EM104" t="str">
            <v>Year</v>
          </cell>
          <cell r="EN104">
            <v>2.6317757009345799E-2</v>
          </cell>
          <cell r="EO104">
            <v>2.7529411764706024E-2</v>
          </cell>
          <cell r="EP104">
            <v>2.6830380175075108E-2</v>
          </cell>
          <cell r="ER104">
            <v>0.2</v>
          </cell>
          <cell r="ES104">
            <v>-0.02</v>
          </cell>
          <cell r="ET104">
            <v>0.12634177215189868</v>
          </cell>
          <cell r="EV104">
            <v>0.26086956521739135</v>
          </cell>
          <cell r="EW104">
            <v>7.8451186440677834E-2</v>
          </cell>
          <cell r="EX104">
            <v>8.2068102571595247E-2</v>
          </cell>
          <cell r="EZ104">
            <v>0</v>
          </cell>
          <cell r="FA104">
            <v>0.2</v>
          </cell>
          <cell r="FB104">
            <v>0.15861532477635176</v>
          </cell>
          <cell r="FD104">
            <v>4.2108748369097615E-2</v>
          </cell>
          <cell r="FE104">
            <v>7.5444308444819752E-2</v>
          </cell>
          <cell r="FF104">
            <v>6.3585856082909675E-2</v>
          </cell>
          <cell r="FH104">
            <v>0.12781912070038537</v>
          </cell>
          <cell r="FI104">
            <v>0.16752337665218953</v>
          </cell>
          <cell r="FJ104">
            <v>0.1433778924303506</v>
          </cell>
        </row>
        <row r="106">
          <cell r="EM106" t="str">
            <v>2000E</v>
          </cell>
        </row>
        <row r="107">
          <cell r="EM107" t="str">
            <v xml:space="preserve"> 1QA</v>
          </cell>
          <cell r="EN107">
            <v>12.8</v>
          </cell>
          <cell r="EO107">
            <v>8.9</v>
          </cell>
          <cell r="EP107">
            <v>21.700000000000003</v>
          </cell>
          <cell r="ER107">
            <v>28.7</v>
          </cell>
          <cell r="ES107">
            <v>14.4</v>
          </cell>
          <cell r="ET107">
            <v>43.1</v>
          </cell>
          <cell r="EV107">
            <v>0.8</v>
          </cell>
          <cell r="EW107">
            <v>32.200000000000003</v>
          </cell>
          <cell r="EX107">
            <v>33</v>
          </cell>
          <cell r="EZ107">
            <v>16.400000000000006</v>
          </cell>
          <cell r="FA107">
            <v>57.700000000000045</v>
          </cell>
          <cell r="FB107">
            <v>74.100000000000051</v>
          </cell>
          <cell r="FD107">
            <v>161.5</v>
          </cell>
          <cell r="FE107">
            <v>338.7</v>
          </cell>
          <cell r="FF107">
            <v>500.2</v>
          </cell>
          <cell r="FH107">
            <v>2091.1</v>
          </cell>
          <cell r="FI107">
            <v>1315.9</v>
          </cell>
          <cell r="FJ107">
            <v>3407</v>
          </cell>
        </row>
        <row r="108">
          <cell r="EM108" t="str">
            <v xml:space="preserve"> 2QE</v>
          </cell>
          <cell r="EN108">
            <v>16.686</v>
          </cell>
          <cell r="EO108">
            <v>10.3</v>
          </cell>
          <cell r="EP108">
            <v>26.986000000000001</v>
          </cell>
          <cell r="ER108">
            <v>32.520000000000003</v>
          </cell>
          <cell r="ES108">
            <v>13.524000000000001</v>
          </cell>
          <cell r="ET108">
            <v>46.044000000000004</v>
          </cell>
          <cell r="EV108">
            <v>0.75600000000000001</v>
          </cell>
          <cell r="EW108">
            <v>33.048000000000002</v>
          </cell>
          <cell r="EX108">
            <v>33.804000000000002</v>
          </cell>
          <cell r="EZ108">
            <v>14.500000000000011</v>
          </cell>
          <cell r="FA108">
            <v>62.759999999999941</v>
          </cell>
          <cell r="FB108">
            <v>77.259999999999948</v>
          </cell>
          <cell r="FD108">
            <v>172.10500000000002</v>
          </cell>
          <cell r="FE108">
            <v>342.11399999999998</v>
          </cell>
          <cell r="FF108">
            <v>514.21900000000005</v>
          </cell>
          <cell r="FH108">
            <v>2086.1220000000003</v>
          </cell>
          <cell r="FI108">
            <v>1459.413</v>
          </cell>
          <cell r="FJ108">
            <v>3545.5350000000003</v>
          </cell>
        </row>
        <row r="109">
          <cell r="EM109" t="str">
            <v xml:space="preserve"> 3QE</v>
          </cell>
          <cell r="EN109">
            <v>11.536</v>
          </cell>
          <cell r="EO109">
            <v>9.5790000000000006</v>
          </cell>
          <cell r="EP109">
            <v>21.115000000000002</v>
          </cell>
          <cell r="ER109">
            <v>31.439999999999998</v>
          </cell>
          <cell r="ES109">
            <v>12.054</v>
          </cell>
          <cell r="ET109">
            <v>43.494</v>
          </cell>
          <cell r="EV109">
            <v>0.8819999999999999</v>
          </cell>
          <cell r="EW109">
            <v>30.024000000000004</v>
          </cell>
          <cell r="EX109">
            <v>30.906000000000006</v>
          </cell>
          <cell r="EZ109">
            <v>20.000000000000028</v>
          </cell>
          <cell r="FA109">
            <v>67.079999999999956</v>
          </cell>
          <cell r="FB109">
            <v>87.079999999999984</v>
          </cell>
          <cell r="FD109">
            <v>182.73900000000003</v>
          </cell>
          <cell r="FE109">
            <v>337.04200000000003</v>
          </cell>
          <cell r="FF109">
            <v>519.78100000000006</v>
          </cell>
          <cell r="FH109">
            <v>2229.6370000000002</v>
          </cell>
          <cell r="FI109">
            <v>1473.0710000000004</v>
          </cell>
          <cell r="FJ109">
            <v>3702.7080000000005</v>
          </cell>
        </row>
        <row r="110">
          <cell r="EM110" t="str">
            <v xml:space="preserve"> 4QE</v>
          </cell>
          <cell r="EN110">
            <v>12.859682242990653</v>
          </cell>
          <cell r="EO110">
            <v>10.78088235294118</v>
          </cell>
          <cell r="EP110">
            <v>23.640564595931835</v>
          </cell>
          <cell r="ER110">
            <v>33.45999999999998</v>
          </cell>
          <cell r="ES110">
            <v>11.863999999999999</v>
          </cell>
          <cell r="ET110">
            <v>45.323999999999977</v>
          </cell>
          <cell r="EV110">
            <v>0.46199999999999974</v>
          </cell>
          <cell r="EW110">
            <v>27.347899898305041</v>
          </cell>
          <cell r="EX110">
            <v>27.809899898305041</v>
          </cell>
          <cell r="EZ110">
            <v>2.2999999999999723</v>
          </cell>
          <cell r="FA110">
            <v>57.140000000000043</v>
          </cell>
          <cell r="FB110">
            <v>59.440000000000012</v>
          </cell>
          <cell r="FD110">
            <v>206.98368224299062</v>
          </cell>
          <cell r="FE110">
            <v>334.0850401459831</v>
          </cell>
          <cell r="FF110">
            <v>541.0687223889737</v>
          </cell>
          <cell r="FH110">
            <v>2460.9571822429907</v>
          </cell>
          <cell r="FI110">
            <v>1666.9899401459836</v>
          </cell>
          <cell r="FJ110">
            <v>4127.9471223889741</v>
          </cell>
        </row>
        <row r="112">
          <cell r="EM112" t="str">
            <v>Year</v>
          </cell>
          <cell r="EN112">
            <v>53.881682242990657</v>
          </cell>
          <cell r="EO112">
            <v>39.55988235294118</v>
          </cell>
          <cell r="EP112">
            <v>93.441564595931837</v>
          </cell>
          <cell r="ER112">
            <v>126.11999999999999</v>
          </cell>
          <cell r="ES112">
            <v>51.841999999999999</v>
          </cell>
          <cell r="ET112">
            <v>177.96199999999999</v>
          </cell>
          <cell r="EV112">
            <v>2.9</v>
          </cell>
          <cell r="EW112">
            <v>122.61989989830505</v>
          </cell>
          <cell r="EX112">
            <v>125.51989989830506</v>
          </cell>
          <cell r="EZ112">
            <v>53.200000000000017</v>
          </cell>
          <cell r="FA112">
            <v>244.67999999999998</v>
          </cell>
          <cell r="FB112">
            <v>297.88</v>
          </cell>
          <cell r="FD112">
            <v>723.3276822429907</v>
          </cell>
          <cell r="FE112">
            <v>1351.9410401459829</v>
          </cell>
          <cell r="FF112">
            <v>2075.2687223889734</v>
          </cell>
          <cell r="FH112">
            <v>8867.816182242992</v>
          </cell>
          <cell r="FI112">
            <v>5915.3739401459834</v>
          </cell>
          <cell r="FJ112">
            <v>14783.190122388976</v>
          </cell>
        </row>
        <row r="114">
          <cell r="EM114" t="str">
            <v>% Change</v>
          </cell>
        </row>
        <row r="115">
          <cell r="EM115" t="str">
            <v xml:space="preserve">2001E/00E </v>
          </cell>
          <cell r="EN115">
            <v>0</v>
          </cell>
          <cell r="EO115">
            <v>0</v>
          </cell>
          <cell r="EP115">
            <v>0</v>
          </cell>
          <cell r="ER115">
            <v>0.03</v>
          </cell>
          <cell r="ES115">
            <v>0.05</v>
          </cell>
          <cell r="ET115">
            <v>3.5826187613085869E-2</v>
          </cell>
          <cell r="EV115" t="str">
            <v>NM</v>
          </cell>
          <cell r="EW115">
            <v>0.04</v>
          </cell>
          <cell r="EX115">
            <v>4.3059275862322277E-2</v>
          </cell>
          <cell r="EZ115">
            <v>0</v>
          </cell>
          <cell r="FA115">
            <v>0</v>
          </cell>
          <cell r="FB115">
            <v>0</v>
          </cell>
          <cell r="FD115">
            <v>2.272042174445521E-2</v>
          </cell>
          <cell r="FE115">
            <v>2.4501276438986253E-2</v>
          </cell>
          <cell r="FF115">
            <v>2.3880565740314053E-2</v>
          </cell>
          <cell r="FH115">
            <v>0.12732994480208082</v>
          </cell>
          <cell r="FI115">
            <v>0.12971485951716022</v>
          </cell>
          <cell r="FJ115">
            <v>0.12828424913276026</v>
          </cell>
        </row>
        <row r="116">
          <cell r="EM116" t="str">
            <v xml:space="preserve">2002E/01E </v>
          </cell>
          <cell r="EN116">
            <v>0</v>
          </cell>
          <cell r="EO116">
            <v>0</v>
          </cell>
          <cell r="EP116">
            <v>0</v>
          </cell>
          <cell r="ER116">
            <v>0.03</v>
          </cell>
          <cell r="ES116">
            <v>0.05</v>
          </cell>
          <cell r="ET116">
            <v>3.5905910727973556E-2</v>
          </cell>
          <cell r="EV116" t="str">
            <v>NM</v>
          </cell>
          <cell r="EW116">
            <v>0.04</v>
          </cell>
          <cell r="EX116">
            <v>4.2780224139638667E-2</v>
          </cell>
          <cell r="EZ116">
            <v>0</v>
          </cell>
          <cell r="FA116">
            <v>0</v>
          </cell>
          <cell r="FB116">
            <v>0</v>
          </cell>
          <cell r="FD116">
            <v>2.2300195026214942E-2</v>
          </cell>
          <cell r="FE116">
            <v>2.2006113955851836E-2</v>
          </cell>
          <cell r="FF116">
            <v>2.2108498745950333E-2</v>
          </cell>
          <cell r="FH116">
            <v>0.11030698289999319</v>
          </cell>
          <cell r="FI116">
            <v>0.12549334831380476</v>
          </cell>
          <cell r="FJ116">
            <v>0.11639138913769598</v>
          </cell>
        </row>
        <row r="117">
          <cell r="EM117" t="str">
            <v xml:space="preserve">2003E/02E </v>
          </cell>
          <cell r="EN117">
            <v>0</v>
          </cell>
          <cell r="EO117">
            <v>0</v>
          </cell>
          <cell r="EP117">
            <v>0</v>
          </cell>
          <cell r="ER117">
            <v>0.03</v>
          </cell>
          <cell r="ES117">
            <v>0.05</v>
          </cell>
          <cell r="ET117">
            <v>3.5986264003469826E-2</v>
          </cell>
          <cell r="EV117" t="str">
            <v>NM</v>
          </cell>
          <cell r="EW117">
            <v>0.04</v>
          </cell>
          <cell r="EX117">
            <v>4.2519672420614052E-2</v>
          </cell>
          <cell r="EZ117">
            <v>0</v>
          </cell>
          <cell r="FA117">
            <v>0</v>
          </cell>
          <cell r="FB117">
            <v>0</v>
          </cell>
          <cell r="FD117">
            <v>2.2401366120483601E-2</v>
          </cell>
          <cell r="FE117">
            <v>2.2321665336997087E-2</v>
          </cell>
          <cell r="FF117">
            <v>2.2349418495037243E-2</v>
          </cell>
          <cell r="FH117">
            <v>7.308325301845553E-3</v>
          </cell>
          <cell r="FI117">
            <v>9.2159086665294376E-2</v>
          </cell>
          <cell r="FJ117">
            <v>4.1580886092527747E-2</v>
          </cell>
        </row>
        <row r="118">
          <cell r="EM118" t="str">
            <v xml:space="preserve">2004E/03E </v>
          </cell>
          <cell r="EN118">
            <v>0</v>
          </cell>
          <cell r="EO118">
            <v>0</v>
          </cell>
          <cell r="EP118">
            <v>0</v>
          </cell>
          <cell r="ER118">
            <v>0.03</v>
          </cell>
          <cell r="ES118">
            <v>0.05</v>
          </cell>
          <cell r="ET118">
            <v>3.6067239906592219E-2</v>
          </cell>
          <cell r="EV118" t="str">
            <v>NM</v>
          </cell>
          <cell r="EW118">
            <v>3.9999999999999813E-2</v>
          </cell>
          <cell r="EX118">
            <v>4.2276388542874965E-2</v>
          </cell>
          <cell r="EZ118">
            <v>0</v>
          </cell>
          <cell r="FA118">
            <v>0</v>
          </cell>
          <cell r="FB118">
            <v>0</v>
          </cell>
          <cell r="FD118">
            <v>2.2501610682441386E-2</v>
          </cell>
          <cell r="FE118">
            <v>2.2637076921179888E-2</v>
          </cell>
          <cell r="FF118">
            <v>2.2589902893498159E-2</v>
          </cell>
          <cell r="FH118">
            <v>3.7415214464936897E-2</v>
          </cell>
          <cell r="FI118">
            <v>7.1399019090570448E-2</v>
          </cell>
          <cell r="FJ118">
            <v>5.1808359840511242E-2</v>
          </cell>
        </row>
        <row r="119">
          <cell r="EM119" t="str">
            <v xml:space="preserve">2005E/04E </v>
          </cell>
          <cell r="EN119">
            <v>0</v>
          </cell>
          <cell r="EO119">
            <v>0</v>
          </cell>
          <cell r="EP119">
            <v>0</v>
          </cell>
          <cell r="ER119">
            <v>0.03</v>
          </cell>
          <cell r="ES119">
            <v>0.05</v>
          </cell>
          <cell r="ET119">
            <v>3.6148830555144285E-2</v>
          </cell>
          <cell r="EV119" t="str">
            <v>NM</v>
          </cell>
          <cell r="EW119">
            <v>0.04</v>
          </cell>
          <cell r="EX119">
            <v>4.2049236416621394E-2</v>
          </cell>
          <cell r="EZ119">
            <v>0</v>
          </cell>
          <cell r="FA119">
            <v>0</v>
          </cell>
          <cell r="FB119">
            <v>0</v>
          </cell>
          <cell r="FD119">
            <v>2.26009193891612E-2</v>
          </cell>
          <cell r="FE119">
            <v>2.2952221361577818E-2</v>
          </cell>
          <cell r="FF119">
            <v>2.2829896432196017E-2</v>
          </cell>
          <cell r="FH119">
            <v>4.6076622029444181E-2</v>
          </cell>
          <cell r="FI119">
            <v>6.6667584743925756E-2</v>
          </cell>
          <cell r="FJ119">
            <v>5.4959935589752984E-2</v>
          </cell>
        </row>
        <row r="121">
          <cell r="EM121" t="str">
            <v>2001E</v>
          </cell>
          <cell r="EN121">
            <v>53.881682242990657</v>
          </cell>
          <cell r="EO121">
            <v>39.55988235294118</v>
          </cell>
          <cell r="EP121">
            <v>93.441564595931837</v>
          </cell>
          <cell r="ER121">
            <v>129.90359999999998</v>
          </cell>
          <cell r="ES121">
            <v>54.434100000000001</v>
          </cell>
          <cell r="ET121">
            <v>184.33769999999998</v>
          </cell>
          <cell r="EV121">
            <v>3.4</v>
          </cell>
          <cell r="EW121">
            <v>127.52469589423725</v>
          </cell>
          <cell r="EX121">
            <v>130.92469589423726</v>
          </cell>
          <cell r="EZ121">
            <v>53.200000000000017</v>
          </cell>
          <cell r="FA121">
            <v>244.67999999999998</v>
          </cell>
          <cell r="FB121">
            <v>297.88</v>
          </cell>
          <cell r="FD121">
            <v>739.76199224299069</v>
          </cell>
          <cell r="FE121">
            <v>1385.0653212998102</v>
          </cell>
          <cell r="FF121">
            <v>2124.8273135428008</v>
          </cell>
          <cell r="FH121">
            <v>9996.9547272429918</v>
          </cell>
          <cell r="FI121">
            <v>6682.6858397834903</v>
          </cell>
          <cell r="FJ121">
            <v>16679.640567026483</v>
          </cell>
        </row>
        <row r="122">
          <cell r="EM122" t="str">
            <v>2002E</v>
          </cell>
          <cell r="EN122">
            <v>53.881682242990657</v>
          </cell>
          <cell r="EO122">
            <v>39.55988235294118</v>
          </cell>
          <cell r="EP122">
            <v>93.441564595931837</v>
          </cell>
          <cell r="ER122">
            <v>133.80070799999999</v>
          </cell>
          <cell r="ES122">
            <v>57.155805000000001</v>
          </cell>
          <cell r="ET122">
            <v>190.95651299999997</v>
          </cell>
          <cell r="EV122">
            <v>3.9</v>
          </cell>
          <cell r="EW122">
            <v>132.62568373000676</v>
          </cell>
          <cell r="EX122">
            <v>136.52568373000676</v>
          </cell>
          <cell r="EZ122">
            <v>53.200000000000017</v>
          </cell>
          <cell r="FA122">
            <v>244.67999999999998</v>
          </cell>
          <cell r="FB122">
            <v>297.88</v>
          </cell>
          <cell r="FD122">
            <v>756.2588289429907</v>
          </cell>
          <cell r="FE122">
            <v>1415.5452265966323</v>
          </cell>
          <cell r="FF122">
            <v>2171.8040555396228</v>
          </cell>
          <cell r="FH122">
            <v>11099.688641392991</v>
          </cell>
          <cell r="FI122">
            <v>7521.318461547171</v>
          </cell>
          <cell r="FJ122">
            <v>18621.007102940162</v>
          </cell>
        </row>
        <row r="123">
          <cell r="EM123" t="str">
            <v>2003E</v>
          </cell>
          <cell r="EN123">
            <v>53.881682242990657</v>
          </cell>
          <cell r="EO123">
            <v>39.55988235294118</v>
          </cell>
          <cell r="EP123">
            <v>93.441564595931837</v>
          </cell>
          <cell r="ER123">
            <v>137.81472923999999</v>
          </cell>
          <cell r="ES123">
            <v>60.013595250000002</v>
          </cell>
          <cell r="ET123">
            <v>197.82832449</v>
          </cell>
          <cell r="EV123">
            <v>4.4000000000000004</v>
          </cell>
          <cell r="EW123">
            <v>137.93071107920701</v>
          </cell>
          <cell r="EX123">
            <v>142.33071107920702</v>
          </cell>
          <cell r="EZ123">
            <v>53.200000000000017</v>
          </cell>
          <cell r="FA123">
            <v>244.67999999999998</v>
          </cell>
          <cell r="FB123">
            <v>297.88</v>
          </cell>
          <cell r="FD123">
            <v>773.20005985199077</v>
          </cell>
          <cell r="FE123">
            <v>1447.142553414106</v>
          </cell>
          <cell r="FF123">
            <v>2220.342613266097</v>
          </cell>
          <cell r="FH123">
            <v>11180.808776733491</v>
          </cell>
          <cell r="FI123">
            <v>8214.4763014821747</v>
          </cell>
          <cell r="FJ123">
            <v>19395.285078215667</v>
          </cell>
        </row>
        <row r="124">
          <cell r="EM124" t="str">
            <v>2004E</v>
          </cell>
          <cell r="EN124">
            <v>53.881682242990657</v>
          </cell>
          <cell r="EO124">
            <v>39.55988235294118</v>
          </cell>
          <cell r="EP124">
            <v>93.441564595931837</v>
          </cell>
          <cell r="ER124">
            <v>141.9491711172</v>
          </cell>
          <cell r="ES124">
            <v>63.014275012500001</v>
          </cell>
          <cell r="ET124">
            <v>204.9634461297</v>
          </cell>
          <cell r="EV124">
            <v>4.9000000000000004</v>
          </cell>
          <cell r="EW124">
            <v>143.44793952237526</v>
          </cell>
          <cell r="EX124">
            <v>148.34793952237527</v>
          </cell>
          <cell r="EZ124">
            <v>53.200000000000017</v>
          </cell>
          <cell r="FA124">
            <v>244.67999999999998</v>
          </cell>
          <cell r="FB124">
            <v>297.88</v>
          </cell>
          <cell r="FD124">
            <v>790.59830657842065</v>
          </cell>
          <cell r="FE124">
            <v>1479.9016307116538</v>
          </cell>
          <cell r="FF124">
            <v>2270.4999372900743</v>
          </cell>
          <cell r="FH124">
            <v>11599.141135006425</v>
          </cell>
          <cell r="FI124">
            <v>8800.9818517507392</v>
          </cell>
          <cell r="FJ124">
            <v>20400.122986757164</v>
          </cell>
        </row>
        <row r="125">
          <cell r="EM125" t="str">
            <v>2005E</v>
          </cell>
          <cell r="EN125">
            <v>53.881682242990657</v>
          </cell>
          <cell r="EO125">
            <v>39.55988235294118</v>
          </cell>
          <cell r="EP125">
            <v>93.441564595931837</v>
          </cell>
          <cell r="ER125">
            <v>146.20764625071598</v>
          </cell>
          <cell r="ES125">
            <v>66.164988763124995</v>
          </cell>
          <cell r="ET125">
            <v>212.37263501384098</v>
          </cell>
          <cell r="EV125">
            <v>5.4</v>
          </cell>
          <cell r="EW125">
            <v>149.18585710327028</v>
          </cell>
          <cell r="EX125">
            <v>154.58585710327029</v>
          </cell>
          <cell r="EZ125">
            <v>53.200000000000017</v>
          </cell>
          <cell r="FA125">
            <v>244.67999999999998</v>
          </cell>
          <cell r="FB125">
            <v>297.88</v>
          </cell>
          <cell r="FD125">
            <v>808.46655517460692</v>
          </cell>
          <cell r="FE125">
            <v>1513.8686605331075</v>
          </cell>
          <cell r="FF125">
            <v>2322.3352157077143</v>
          </cell>
          <cell r="FH125">
            <v>12133.590376950295</v>
          </cell>
          <cell r="FI125">
            <v>9387.7220551820847</v>
          </cell>
          <cell r="FJ125">
            <v>21521.312432132378</v>
          </cell>
        </row>
        <row r="127">
          <cell r="EM127" t="str">
            <v>E = Morgan Stanley Dean Witter Research Estimates             NM = Not Meaningful             A = Actual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379"/>
  <sheetViews>
    <sheetView showGridLines="0" tabSelected="1" workbookViewId="0">
      <selection activeCell="Z1" sqref="Z1"/>
    </sheetView>
  </sheetViews>
  <sheetFormatPr defaultRowHeight="12.75"/>
  <cols>
    <col min="1" max="1" width="25.7109375" style="457" customWidth="1"/>
    <col min="2" max="5" width="9.140625" style="457"/>
    <col min="6" max="6" width="18.7109375" style="457" customWidth="1"/>
    <col min="7" max="256" width="9.140625" style="457"/>
    <col min="257" max="257" width="100.7109375" style="457" customWidth="1"/>
    <col min="258" max="512" width="9.140625" style="457"/>
    <col min="513" max="513" width="100.7109375" style="457" customWidth="1"/>
    <col min="514" max="768" width="9.140625" style="457"/>
    <col min="769" max="769" width="100.7109375" style="457" customWidth="1"/>
    <col min="770" max="1024" width="9.140625" style="457"/>
    <col min="1025" max="1025" width="100.7109375" style="457" customWidth="1"/>
    <col min="1026" max="1280" width="9.140625" style="457"/>
    <col min="1281" max="1281" width="100.7109375" style="457" customWidth="1"/>
    <col min="1282" max="1536" width="9.140625" style="457"/>
    <col min="1537" max="1537" width="100.7109375" style="457" customWidth="1"/>
    <col min="1538" max="1792" width="9.140625" style="457"/>
    <col min="1793" max="1793" width="100.7109375" style="457" customWidth="1"/>
    <col min="1794" max="2048" width="9.140625" style="457"/>
    <col min="2049" max="2049" width="100.7109375" style="457" customWidth="1"/>
    <col min="2050" max="2304" width="9.140625" style="457"/>
    <col min="2305" max="2305" width="100.7109375" style="457" customWidth="1"/>
    <col min="2306" max="2560" width="9.140625" style="457"/>
    <col min="2561" max="2561" width="100.7109375" style="457" customWidth="1"/>
    <col min="2562" max="2816" width="9.140625" style="457"/>
    <col min="2817" max="2817" width="100.7109375" style="457" customWidth="1"/>
    <col min="2818" max="3072" width="9.140625" style="457"/>
    <col min="3073" max="3073" width="100.7109375" style="457" customWidth="1"/>
    <col min="3074" max="3328" width="9.140625" style="457"/>
    <col min="3329" max="3329" width="100.7109375" style="457" customWidth="1"/>
    <col min="3330" max="3584" width="9.140625" style="457"/>
    <col min="3585" max="3585" width="100.7109375" style="457" customWidth="1"/>
    <col min="3586" max="3840" width="9.140625" style="457"/>
    <col min="3841" max="3841" width="100.7109375" style="457" customWidth="1"/>
    <col min="3842" max="4096" width="9.140625" style="457"/>
    <col min="4097" max="4097" width="100.7109375" style="457" customWidth="1"/>
    <col min="4098" max="4352" width="9.140625" style="457"/>
    <col min="4353" max="4353" width="100.7109375" style="457" customWidth="1"/>
    <col min="4354" max="4608" width="9.140625" style="457"/>
    <col min="4609" max="4609" width="100.7109375" style="457" customWidth="1"/>
    <col min="4610" max="4864" width="9.140625" style="457"/>
    <col min="4865" max="4865" width="100.7109375" style="457" customWidth="1"/>
    <col min="4866" max="5120" width="9.140625" style="457"/>
    <col min="5121" max="5121" width="100.7109375" style="457" customWidth="1"/>
    <col min="5122" max="5376" width="9.140625" style="457"/>
    <col min="5377" max="5377" width="100.7109375" style="457" customWidth="1"/>
    <col min="5378" max="5632" width="9.140625" style="457"/>
    <col min="5633" max="5633" width="100.7109375" style="457" customWidth="1"/>
    <col min="5634" max="5888" width="9.140625" style="457"/>
    <col min="5889" max="5889" width="100.7109375" style="457" customWidth="1"/>
    <col min="5890" max="6144" width="9.140625" style="457"/>
    <col min="6145" max="6145" width="100.7109375" style="457" customWidth="1"/>
    <col min="6146" max="6400" width="9.140625" style="457"/>
    <col min="6401" max="6401" width="100.7109375" style="457" customWidth="1"/>
    <col min="6402" max="6656" width="9.140625" style="457"/>
    <col min="6657" max="6657" width="100.7109375" style="457" customWidth="1"/>
    <col min="6658" max="6912" width="9.140625" style="457"/>
    <col min="6913" max="6913" width="100.7109375" style="457" customWidth="1"/>
    <col min="6914" max="7168" width="9.140625" style="457"/>
    <col min="7169" max="7169" width="100.7109375" style="457" customWidth="1"/>
    <col min="7170" max="7424" width="9.140625" style="457"/>
    <col min="7425" max="7425" width="100.7109375" style="457" customWidth="1"/>
    <col min="7426" max="7680" width="9.140625" style="457"/>
    <col min="7681" max="7681" width="100.7109375" style="457" customWidth="1"/>
    <col min="7682" max="7936" width="9.140625" style="457"/>
    <col min="7937" max="7937" width="100.7109375" style="457" customWidth="1"/>
    <col min="7938" max="8192" width="9.140625" style="457"/>
    <col min="8193" max="8193" width="100.7109375" style="457" customWidth="1"/>
    <col min="8194" max="8448" width="9.140625" style="457"/>
    <col min="8449" max="8449" width="100.7109375" style="457" customWidth="1"/>
    <col min="8450" max="8704" width="9.140625" style="457"/>
    <col min="8705" max="8705" width="100.7109375" style="457" customWidth="1"/>
    <col min="8706" max="8960" width="9.140625" style="457"/>
    <col min="8961" max="8961" width="100.7109375" style="457" customWidth="1"/>
    <col min="8962" max="9216" width="9.140625" style="457"/>
    <col min="9217" max="9217" width="100.7109375" style="457" customWidth="1"/>
    <col min="9218" max="9472" width="9.140625" style="457"/>
    <col min="9473" max="9473" width="100.7109375" style="457" customWidth="1"/>
    <col min="9474" max="9728" width="9.140625" style="457"/>
    <col min="9729" max="9729" width="100.7109375" style="457" customWidth="1"/>
    <col min="9730" max="9984" width="9.140625" style="457"/>
    <col min="9985" max="9985" width="100.7109375" style="457" customWidth="1"/>
    <col min="9986" max="10240" width="9.140625" style="457"/>
    <col min="10241" max="10241" width="100.7109375" style="457" customWidth="1"/>
    <col min="10242" max="10496" width="9.140625" style="457"/>
    <col min="10497" max="10497" width="100.7109375" style="457" customWidth="1"/>
    <col min="10498" max="10752" width="9.140625" style="457"/>
    <col min="10753" max="10753" width="100.7109375" style="457" customWidth="1"/>
    <col min="10754" max="11008" width="9.140625" style="457"/>
    <col min="11009" max="11009" width="100.7109375" style="457" customWidth="1"/>
    <col min="11010" max="11264" width="9.140625" style="457"/>
    <col min="11265" max="11265" width="100.7109375" style="457" customWidth="1"/>
    <col min="11266" max="11520" width="9.140625" style="457"/>
    <col min="11521" max="11521" width="100.7109375" style="457" customWidth="1"/>
    <col min="11522" max="11776" width="9.140625" style="457"/>
    <col min="11777" max="11777" width="100.7109375" style="457" customWidth="1"/>
    <col min="11778" max="12032" width="9.140625" style="457"/>
    <col min="12033" max="12033" width="100.7109375" style="457" customWidth="1"/>
    <col min="12034" max="12288" width="9.140625" style="457"/>
    <col min="12289" max="12289" width="100.7109375" style="457" customWidth="1"/>
    <col min="12290" max="12544" width="9.140625" style="457"/>
    <col min="12545" max="12545" width="100.7109375" style="457" customWidth="1"/>
    <col min="12546" max="12800" width="9.140625" style="457"/>
    <col min="12801" max="12801" width="100.7109375" style="457" customWidth="1"/>
    <col min="12802" max="13056" width="9.140625" style="457"/>
    <col min="13057" max="13057" width="100.7109375" style="457" customWidth="1"/>
    <col min="13058" max="13312" width="9.140625" style="457"/>
    <col min="13313" max="13313" width="100.7109375" style="457" customWidth="1"/>
    <col min="13314" max="13568" width="9.140625" style="457"/>
    <col min="13569" max="13569" width="100.7109375" style="457" customWidth="1"/>
    <col min="13570" max="13824" width="9.140625" style="457"/>
    <col min="13825" max="13825" width="100.7109375" style="457" customWidth="1"/>
    <col min="13826" max="14080" width="9.140625" style="457"/>
    <col min="14081" max="14081" width="100.7109375" style="457" customWidth="1"/>
    <col min="14082" max="14336" width="9.140625" style="457"/>
    <col min="14337" max="14337" width="100.7109375" style="457" customWidth="1"/>
    <col min="14338" max="14592" width="9.140625" style="457"/>
    <col min="14593" max="14593" width="100.7109375" style="457" customWidth="1"/>
    <col min="14594" max="14848" width="9.140625" style="457"/>
    <col min="14849" max="14849" width="100.7109375" style="457" customWidth="1"/>
    <col min="14850" max="15104" width="9.140625" style="457"/>
    <col min="15105" max="15105" width="100.7109375" style="457" customWidth="1"/>
    <col min="15106" max="15360" width="9.140625" style="457"/>
    <col min="15361" max="15361" width="100.7109375" style="457" customWidth="1"/>
    <col min="15362" max="15616" width="9.140625" style="457"/>
    <col min="15617" max="15617" width="100.7109375" style="457" customWidth="1"/>
    <col min="15618" max="15872" width="9.140625" style="457"/>
    <col min="15873" max="15873" width="100.7109375" style="457" customWidth="1"/>
    <col min="15874" max="16128" width="9.140625" style="457"/>
    <col min="16129" max="16129" width="100.7109375" style="457" customWidth="1"/>
    <col min="16130" max="16384" width="9.140625" style="457"/>
  </cols>
  <sheetData>
    <row r="1" spans="1:8" ht="30" customHeight="1">
      <c r="A1" s="455"/>
      <c r="B1" s="456"/>
      <c r="C1" s="456"/>
      <c r="D1" s="456"/>
      <c r="E1" s="456"/>
      <c r="F1" s="456"/>
      <c r="G1" s="456"/>
      <c r="H1" s="456"/>
    </row>
    <row r="2" spans="1:8" ht="14.25">
      <c r="A2" s="458" t="s">
        <v>428</v>
      </c>
      <c r="B2" s="456"/>
      <c r="C2" s="456"/>
      <c r="D2" s="456"/>
      <c r="E2" s="456"/>
      <c r="F2" s="456"/>
      <c r="G2" s="456"/>
      <c r="H2" s="456"/>
    </row>
    <row r="3" spans="1:8" ht="14.25">
      <c r="A3" s="458" t="s">
        <v>429</v>
      </c>
      <c r="B3" s="456"/>
      <c r="C3" s="456"/>
      <c r="D3" s="456"/>
      <c r="E3" s="456"/>
      <c r="F3" s="456"/>
      <c r="G3" s="456"/>
      <c r="H3" s="456"/>
    </row>
    <row r="4" spans="1:8" ht="14.25">
      <c r="A4" s="458" t="s">
        <v>430</v>
      </c>
      <c r="B4" s="456"/>
      <c r="C4" s="456"/>
      <c r="D4" s="456"/>
      <c r="E4" s="456"/>
      <c r="F4" s="456"/>
      <c r="G4" s="456"/>
      <c r="H4" s="456"/>
    </row>
    <row r="5" spans="1:8" ht="14.25">
      <c r="A5" s="458" t="s">
        <v>431</v>
      </c>
      <c r="B5" s="456"/>
      <c r="C5" s="456"/>
      <c r="D5" s="456"/>
      <c r="E5" s="456"/>
      <c r="F5" s="456"/>
      <c r="G5" s="456"/>
      <c r="H5" s="456"/>
    </row>
    <row r="6" spans="1:8" ht="14.25">
      <c r="A6" s="458"/>
      <c r="B6" s="456"/>
      <c r="C6" s="456"/>
      <c r="D6" s="456"/>
      <c r="E6" s="456"/>
      <c r="F6" s="456"/>
      <c r="G6" s="456"/>
      <c r="H6" s="456"/>
    </row>
    <row r="7" spans="1:8">
      <c r="A7" s="455" t="s">
        <v>432</v>
      </c>
      <c r="B7" s="456"/>
      <c r="C7" s="456"/>
      <c r="D7" s="456"/>
      <c r="E7" s="456"/>
      <c r="F7" s="456"/>
      <c r="G7" s="456"/>
      <c r="H7" s="456"/>
    </row>
    <row r="8" spans="1:8">
      <c r="A8" s="455" t="s">
        <v>433</v>
      </c>
      <c r="B8" s="456"/>
      <c r="C8" s="456"/>
      <c r="D8" s="456"/>
      <c r="E8" s="456"/>
      <c r="F8" s="456"/>
      <c r="G8" s="456"/>
      <c r="H8" s="456"/>
    </row>
    <row r="9" spans="1:8">
      <c r="A9" s="455"/>
      <c r="B9" s="456"/>
      <c r="C9" s="456"/>
      <c r="D9" s="456"/>
      <c r="E9" s="456"/>
      <c r="F9" s="456"/>
      <c r="G9" s="456"/>
      <c r="H9" s="456"/>
    </row>
    <row r="10" spans="1:8">
      <c r="A10" s="459" t="s">
        <v>434</v>
      </c>
      <c r="B10" s="456"/>
      <c r="C10" s="456"/>
      <c r="D10" s="456"/>
      <c r="E10" s="456"/>
      <c r="F10" s="456"/>
      <c r="G10" s="456"/>
      <c r="H10" s="456"/>
    </row>
    <row r="11" spans="1:8">
      <c r="A11" s="459" t="s">
        <v>435</v>
      </c>
      <c r="B11" s="456"/>
      <c r="C11" s="456"/>
      <c r="D11" s="456"/>
      <c r="E11" s="456"/>
      <c r="F11" s="456"/>
      <c r="G11" s="456"/>
      <c r="H11" s="456"/>
    </row>
    <row r="12" spans="1:8">
      <c r="A12" s="459" t="s">
        <v>436</v>
      </c>
      <c r="B12" s="456"/>
      <c r="C12" s="456"/>
      <c r="D12" s="456"/>
      <c r="E12" s="456"/>
      <c r="F12" s="456"/>
      <c r="G12" s="456"/>
      <c r="H12" s="456"/>
    </row>
    <row r="13" spans="1:8">
      <c r="A13" s="459" t="s">
        <v>437</v>
      </c>
      <c r="B13" s="456"/>
      <c r="C13" s="456"/>
      <c r="D13" s="456"/>
      <c r="E13" s="456"/>
      <c r="F13" s="456"/>
      <c r="G13" s="456"/>
      <c r="H13" s="456"/>
    </row>
    <row r="14" spans="1:8">
      <c r="A14" s="459" t="s">
        <v>438</v>
      </c>
      <c r="B14" s="456"/>
      <c r="C14" s="456"/>
      <c r="D14" s="456"/>
      <c r="E14" s="456"/>
      <c r="F14" s="456"/>
      <c r="G14" s="456"/>
      <c r="H14" s="456"/>
    </row>
    <row r="15" spans="1:8">
      <c r="A15" s="459" t="s">
        <v>439</v>
      </c>
      <c r="B15" s="456"/>
      <c r="C15" s="456"/>
      <c r="D15" s="456"/>
      <c r="E15" s="456"/>
      <c r="F15" s="456"/>
      <c r="G15" s="456"/>
      <c r="H15" s="456"/>
    </row>
    <row r="16" spans="1:8">
      <c r="A16" s="459"/>
      <c r="B16" s="456"/>
      <c r="C16" s="456"/>
      <c r="D16" s="456"/>
      <c r="E16" s="456"/>
      <c r="F16" s="456"/>
      <c r="G16" s="456"/>
      <c r="H16" s="456"/>
    </row>
    <row r="17" spans="1:8">
      <c r="A17" s="459" t="s">
        <v>425</v>
      </c>
      <c r="B17" s="456"/>
      <c r="C17" s="456"/>
      <c r="D17" s="456"/>
      <c r="E17" s="456"/>
      <c r="F17" s="456"/>
      <c r="G17" s="456"/>
      <c r="H17" s="456"/>
    </row>
    <row r="18" spans="1:8">
      <c r="A18" s="459"/>
      <c r="B18" s="456"/>
      <c r="C18" s="456"/>
      <c r="D18" s="456"/>
      <c r="E18" s="456"/>
      <c r="F18" s="456"/>
      <c r="G18" s="456"/>
      <c r="H18" s="456"/>
    </row>
    <row r="19" spans="1:8">
      <c r="A19" s="459" t="s">
        <v>426</v>
      </c>
      <c r="B19" s="456"/>
      <c r="C19" s="456"/>
      <c r="D19" s="456"/>
      <c r="E19" s="456"/>
      <c r="F19" s="456"/>
      <c r="G19" s="456"/>
      <c r="H19" s="456"/>
    </row>
    <row r="20" spans="1:8">
      <c r="A20" s="455"/>
      <c r="B20" s="456"/>
      <c r="C20" s="456"/>
      <c r="D20" s="456"/>
      <c r="E20" s="456"/>
      <c r="F20" s="456"/>
      <c r="G20" s="456"/>
      <c r="H20" s="456"/>
    </row>
    <row r="21" spans="1:8">
      <c r="A21" s="460" t="s">
        <v>427</v>
      </c>
      <c r="B21" s="456"/>
      <c r="C21" s="456"/>
      <c r="D21" s="456"/>
      <c r="E21" s="456"/>
      <c r="F21" s="456"/>
      <c r="G21" s="456"/>
      <c r="H21" s="456"/>
    </row>
    <row r="22" spans="1:8">
      <c r="A22" s="461"/>
      <c r="B22" s="461"/>
      <c r="C22" s="461"/>
      <c r="D22" s="461"/>
      <c r="E22" s="461"/>
      <c r="F22" s="461"/>
      <c r="G22" s="461"/>
      <c r="H22" s="461"/>
    </row>
    <row r="23" spans="1:8">
      <c r="A23" s="462" t="s">
        <v>711</v>
      </c>
      <c r="B23" s="461"/>
      <c r="C23" s="461"/>
      <c r="D23" s="461"/>
      <c r="E23" s="461"/>
      <c r="F23" s="461"/>
      <c r="G23" s="461"/>
      <c r="H23" s="461"/>
    </row>
    <row r="24" spans="1:8">
      <c r="A24" s="462" t="s">
        <v>712</v>
      </c>
      <c r="B24" s="461"/>
      <c r="C24" s="461"/>
      <c r="D24" s="461"/>
      <c r="E24" s="461"/>
      <c r="F24" s="461"/>
      <c r="G24" s="461"/>
      <c r="H24" s="461"/>
    </row>
    <row r="25" spans="1:8">
      <c r="A25" s="462" t="s">
        <v>713</v>
      </c>
      <c r="B25" s="461"/>
      <c r="C25" s="461"/>
      <c r="D25" s="461"/>
      <c r="E25" s="461"/>
      <c r="F25" s="461"/>
      <c r="G25" s="461"/>
      <c r="H25" s="461"/>
    </row>
    <row r="26" spans="1:8">
      <c r="A26" s="462" t="s">
        <v>714</v>
      </c>
      <c r="B26" s="461"/>
      <c r="C26" s="461"/>
      <c r="D26" s="461"/>
      <c r="E26" s="461"/>
      <c r="F26" s="461"/>
      <c r="G26" s="461"/>
      <c r="H26" s="461"/>
    </row>
    <row r="27" spans="1:8">
      <c r="A27" s="461"/>
      <c r="B27" s="461"/>
      <c r="C27" s="461"/>
      <c r="D27" s="461"/>
      <c r="E27" s="461"/>
      <c r="F27" s="461"/>
      <c r="G27" s="461"/>
      <c r="H27" s="461"/>
    </row>
    <row r="28" spans="1:8">
      <c r="A28" s="461"/>
      <c r="B28" s="461"/>
      <c r="C28" s="461"/>
      <c r="D28" s="461"/>
      <c r="E28" s="461"/>
      <c r="F28" s="461"/>
      <c r="G28" s="461"/>
      <c r="H28" s="461"/>
    </row>
    <row r="29" spans="1:8">
      <c r="A29" s="462" t="s">
        <v>706</v>
      </c>
      <c r="B29" s="461"/>
      <c r="C29" s="461"/>
      <c r="D29" s="461"/>
      <c r="E29" s="461"/>
      <c r="F29" s="461"/>
      <c r="G29" s="461"/>
      <c r="H29" s="461"/>
    </row>
    <row r="30" spans="1:8">
      <c r="A30" s="462" t="s">
        <v>707</v>
      </c>
      <c r="B30" s="461"/>
      <c r="C30" s="461"/>
      <c r="D30" s="461"/>
      <c r="E30" s="461"/>
      <c r="F30" s="461"/>
      <c r="G30" s="461"/>
      <c r="H30" s="461"/>
    </row>
    <row r="31" spans="1:8">
      <c r="A31" s="462" t="s">
        <v>708</v>
      </c>
      <c r="B31" s="461"/>
      <c r="C31" s="461"/>
      <c r="D31" s="461"/>
      <c r="E31" s="461"/>
      <c r="F31" s="461"/>
      <c r="G31" s="461"/>
      <c r="H31" s="461"/>
    </row>
    <row r="32" spans="1:8">
      <c r="A32" s="462" t="s">
        <v>709</v>
      </c>
      <c r="B32" s="461"/>
      <c r="C32" s="461"/>
      <c r="D32" s="461"/>
      <c r="E32" s="461"/>
      <c r="F32" s="461"/>
      <c r="G32" s="461"/>
      <c r="H32" s="461"/>
    </row>
    <row r="33" spans="1:8">
      <c r="A33" s="462" t="s">
        <v>710</v>
      </c>
      <c r="B33" s="461"/>
      <c r="C33" s="461"/>
      <c r="D33" s="461"/>
      <c r="E33" s="461"/>
      <c r="F33" s="461"/>
      <c r="G33" s="461"/>
      <c r="H33" s="461"/>
    </row>
    <row r="34" spans="1:8">
      <c r="A34" s="461"/>
      <c r="B34" s="461"/>
      <c r="C34" s="461"/>
      <c r="D34" s="461"/>
      <c r="E34" s="461"/>
      <c r="F34" s="461"/>
      <c r="G34" s="461"/>
      <c r="H34" s="461"/>
    </row>
    <row r="35" spans="1:8">
      <c r="A35" s="462" t="s">
        <v>702</v>
      </c>
      <c r="B35" s="461"/>
      <c r="C35" s="461"/>
      <c r="D35" s="461"/>
      <c r="E35" s="461"/>
      <c r="F35" s="461"/>
      <c r="G35" s="461"/>
      <c r="H35" s="461"/>
    </row>
    <row r="36" spans="1:8">
      <c r="A36" s="462" t="s">
        <v>703</v>
      </c>
      <c r="B36" s="461"/>
      <c r="C36" s="461"/>
      <c r="D36" s="461"/>
      <c r="E36" s="461"/>
      <c r="F36" s="461"/>
      <c r="G36" s="461"/>
      <c r="H36" s="461"/>
    </row>
    <row r="37" spans="1:8">
      <c r="A37" s="462" t="s">
        <v>704</v>
      </c>
      <c r="B37" s="461"/>
      <c r="C37" s="461"/>
      <c r="D37" s="461"/>
      <c r="E37" s="461"/>
      <c r="F37" s="461"/>
      <c r="G37" s="461"/>
      <c r="H37" s="461"/>
    </row>
    <row r="38" spans="1:8">
      <c r="A38" s="462" t="s">
        <v>705</v>
      </c>
      <c r="B38" s="461"/>
      <c r="C38" s="461"/>
      <c r="D38" s="461"/>
      <c r="E38" s="461"/>
      <c r="F38" s="461"/>
      <c r="G38" s="461"/>
      <c r="H38" s="461"/>
    </row>
    <row r="39" spans="1:8">
      <c r="A39" s="461"/>
      <c r="B39" s="461"/>
      <c r="C39" s="461"/>
      <c r="D39" s="461"/>
      <c r="E39" s="461"/>
      <c r="F39" s="461"/>
      <c r="G39" s="461"/>
      <c r="H39" s="461"/>
    </row>
    <row r="40" spans="1:8">
      <c r="A40" s="462" t="s">
        <v>696</v>
      </c>
      <c r="B40" s="461"/>
      <c r="C40" s="461"/>
      <c r="D40" s="461"/>
      <c r="E40" s="461"/>
      <c r="F40" s="461"/>
      <c r="G40" s="461"/>
      <c r="H40" s="461"/>
    </row>
    <row r="41" spans="1:8">
      <c r="A41" s="462" t="s">
        <v>697</v>
      </c>
      <c r="B41" s="461"/>
      <c r="C41" s="461"/>
      <c r="D41" s="461"/>
      <c r="E41" s="461"/>
      <c r="F41" s="461"/>
      <c r="G41" s="461"/>
      <c r="H41" s="461"/>
    </row>
    <row r="42" spans="1:8">
      <c r="A42" s="462" t="s">
        <v>698</v>
      </c>
      <c r="B42" s="461"/>
      <c r="C42" s="461"/>
      <c r="D42" s="461"/>
      <c r="E42" s="461"/>
      <c r="F42" s="461"/>
      <c r="G42" s="461"/>
      <c r="H42" s="461"/>
    </row>
    <row r="43" spans="1:8">
      <c r="A43" s="462" t="s">
        <v>699</v>
      </c>
      <c r="B43" s="461"/>
      <c r="C43" s="461"/>
      <c r="D43" s="461"/>
      <c r="E43" s="461"/>
      <c r="F43" s="461"/>
      <c r="G43" s="461"/>
      <c r="H43" s="461"/>
    </row>
    <row r="44" spans="1:8">
      <c r="A44" s="462" t="s">
        <v>700</v>
      </c>
      <c r="B44" s="461"/>
      <c r="C44" s="461"/>
      <c r="D44" s="461"/>
      <c r="E44" s="461"/>
      <c r="F44" s="461"/>
      <c r="G44" s="461"/>
      <c r="H44" s="461"/>
    </row>
    <row r="45" spans="1:8">
      <c r="A45" s="462" t="s">
        <v>701</v>
      </c>
      <c r="B45" s="461"/>
      <c r="C45" s="461"/>
      <c r="D45" s="461"/>
      <c r="E45" s="461"/>
      <c r="F45" s="461"/>
      <c r="G45" s="461"/>
      <c r="H45" s="461"/>
    </row>
    <row r="46" spans="1:8">
      <c r="A46" s="461"/>
      <c r="B46" s="461"/>
      <c r="C46" s="461"/>
      <c r="D46" s="461"/>
      <c r="E46" s="461"/>
      <c r="F46" s="461"/>
      <c r="G46" s="461"/>
      <c r="H46" s="461"/>
    </row>
    <row r="47" spans="1:8" ht="15.75">
      <c r="A47" s="463" t="s">
        <v>440</v>
      </c>
      <c r="B47" s="461"/>
      <c r="C47" s="461"/>
      <c r="D47" s="461"/>
      <c r="E47" s="461"/>
      <c r="F47" s="461"/>
      <c r="G47" s="461"/>
      <c r="H47" s="461"/>
    </row>
    <row r="48" spans="1:8">
      <c r="A48" s="461"/>
      <c r="B48" s="461"/>
      <c r="C48" s="461"/>
      <c r="D48" s="461"/>
      <c r="E48" s="461"/>
      <c r="F48" s="461"/>
      <c r="G48" s="461"/>
      <c r="H48" s="461"/>
    </row>
    <row r="49" spans="1:8">
      <c r="A49" s="462" t="s">
        <v>692</v>
      </c>
      <c r="B49" s="461"/>
      <c r="C49" s="461"/>
      <c r="D49" s="461"/>
      <c r="E49" s="461"/>
      <c r="F49" s="461"/>
      <c r="G49" s="461"/>
      <c r="H49" s="461"/>
    </row>
    <row r="50" spans="1:8">
      <c r="A50" s="462" t="s">
        <v>693</v>
      </c>
      <c r="B50" s="461"/>
      <c r="C50" s="461"/>
      <c r="D50" s="461"/>
      <c r="E50" s="461"/>
      <c r="F50" s="461"/>
      <c r="G50" s="461"/>
      <c r="H50" s="461"/>
    </row>
    <row r="51" spans="1:8">
      <c r="A51" s="462" t="s">
        <v>694</v>
      </c>
      <c r="B51" s="461"/>
      <c r="C51" s="461"/>
      <c r="D51" s="461"/>
      <c r="E51" s="461"/>
      <c r="F51" s="461"/>
      <c r="G51" s="461"/>
      <c r="H51" s="461"/>
    </row>
    <row r="52" spans="1:8">
      <c r="A52" s="462" t="s">
        <v>695</v>
      </c>
      <c r="B52" s="461"/>
      <c r="C52" s="461"/>
      <c r="D52" s="461"/>
      <c r="E52" s="461"/>
      <c r="F52" s="461"/>
      <c r="G52" s="461"/>
      <c r="H52" s="461"/>
    </row>
    <row r="53" spans="1:8">
      <c r="A53" s="461"/>
      <c r="B53" s="461"/>
      <c r="C53" s="461"/>
      <c r="D53" s="461"/>
      <c r="E53" s="461"/>
      <c r="F53" s="461"/>
      <c r="G53" s="461"/>
      <c r="H53" s="461"/>
    </row>
    <row r="54" spans="1:8">
      <c r="A54" s="462" t="s">
        <v>441</v>
      </c>
      <c r="B54" s="461"/>
      <c r="C54" s="461"/>
      <c r="D54" s="461"/>
      <c r="E54" s="461"/>
      <c r="F54" s="461"/>
      <c r="G54" s="461"/>
      <c r="H54" s="461"/>
    </row>
    <row r="55" spans="1:8">
      <c r="A55" s="461"/>
      <c r="B55" s="461"/>
      <c r="C55" s="461"/>
      <c r="D55" s="461"/>
      <c r="E55" s="461"/>
      <c r="F55" s="461"/>
      <c r="G55" s="461"/>
      <c r="H55" s="461"/>
    </row>
    <row r="56" spans="1:8" ht="15.75">
      <c r="A56" s="463" t="s">
        <v>442</v>
      </c>
      <c r="B56" s="461"/>
      <c r="C56" s="461"/>
      <c r="D56" s="461"/>
      <c r="E56" s="461"/>
      <c r="F56" s="461"/>
      <c r="G56" s="461"/>
      <c r="H56" s="461"/>
    </row>
    <row r="57" spans="1:8">
      <c r="A57" s="461"/>
      <c r="B57" s="461"/>
      <c r="C57" s="461"/>
      <c r="D57" s="461"/>
      <c r="E57" s="461"/>
      <c r="F57" s="461"/>
      <c r="G57" s="461"/>
      <c r="H57" s="461"/>
    </row>
    <row r="58" spans="1:8">
      <c r="A58" s="462" t="s">
        <v>690</v>
      </c>
      <c r="B58" s="461"/>
      <c r="C58" s="461"/>
      <c r="D58" s="461"/>
      <c r="E58" s="461"/>
      <c r="F58" s="461"/>
      <c r="G58" s="461"/>
      <c r="H58" s="461"/>
    </row>
    <row r="59" spans="1:8">
      <c r="A59" s="462" t="s">
        <v>691</v>
      </c>
      <c r="B59" s="461"/>
      <c r="C59" s="461"/>
      <c r="D59" s="461"/>
      <c r="E59" s="461"/>
      <c r="F59" s="461"/>
      <c r="G59" s="461"/>
      <c r="H59" s="461"/>
    </row>
    <row r="60" spans="1:8">
      <c r="A60" s="461"/>
      <c r="B60" s="461"/>
      <c r="C60" s="461"/>
      <c r="D60" s="461"/>
      <c r="E60" s="461"/>
      <c r="F60" s="461"/>
      <c r="G60" s="461"/>
      <c r="H60" s="461"/>
    </row>
    <row r="61" spans="1:8" ht="15.75">
      <c r="A61" s="463" t="s">
        <v>443</v>
      </c>
      <c r="B61" s="461"/>
      <c r="C61" s="461"/>
      <c r="D61" s="461"/>
      <c r="E61" s="461"/>
      <c r="F61" s="461"/>
      <c r="G61" s="461"/>
      <c r="H61" s="461"/>
    </row>
    <row r="62" spans="1:8">
      <c r="A62" s="461"/>
      <c r="B62" s="461"/>
      <c r="C62" s="461"/>
      <c r="D62" s="461"/>
      <c r="E62" s="461"/>
      <c r="F62" s="461"/>
      <c r="G62" s="461"/>
      <c r="H62" s="461"/>
    </row>
    <row r="63" spans="1:8">
      <c r="A63" s="462" t="s">
        <v>688</v>
      </c>
      <c r="B63" s="461"/>
      <c r="C63" s="461"/>
      <c r="D63" s="461"/>
      <c r="E63" s="461"/>
      <c r="F63" s="461"/>
      <c r="G63" s="461"/>
      <c r="H63" s="461"/>
    </row>
    <row r="64" spans="1:8">
      <c r="A64" s="462" t="s">
        <v>689</v>
      </c>
      <c r="B64" s="461"/>
      <c r="C64" s="461"/>
      <c r="D64" s="461"/>
      <c r="E64" s="461"/>
      <c r="F64" s="461"/>
      <c r="G64" s="461"/>
      <c r="H64" s="461"/>
    </row>
    <row r="65" spans="1:8">
      <c r="A65" s="461"/>
      <c r="B65" s="461"/>
      <c r="C65" s="461"/>
      <c r="D65" s="461"/>
      <c r="E65" s="461"/>
      <c r="F65" s="461"/>
      <c r="G65" s="461"/>
      <c r="H65" s="461"/>
    </row>
    <row r="66" spans="1:8">
      <c r="A66" s="462" t="s">
        <v>686</v>
      </c>
      <c r="B66" s="461"/>
      <c r="C66" s="461"/>
      <c r="D66" s="461"/>
      <c r="E66" s="461"/>
      <c r="F66" s="461"/>
      <c r="G66" s="461"/>
      <c r="H66" s="461"/>
    </row>
    <row r="67" spans="1:8">
      <c r="A67" s="462" t="s">
        <v>687</v>
      </c>
      <c r="B67" s="461"/>
      <c r="C67" s="461"/>
      <c r="D67" s="461"/>
      <c r="E67" s="461"/>
      <c r="F67" s="461"/>
      <c r="G67" s="461"/>
      <c r="H67" s="461"/>
    </row>
    <row r="68" spans="1:8">
      <c r="A68" s="461"/>
      <c r="B68" s="461"/>
      <c r="C68" s="461"/>
      <c r="D68" s="461"/>
      <c r="E68" s="461"/>
      <c r="F68" s="461"/>
      <c r="G68" s="461"/>
      <c r="H68" s="461"/>
    </row>
    <row r="69" spans="1:8">
      <c r="A69" s="462" t="s">
        <v>681</v>
      </c>
      <c r="B69" s="461"/>
      <c r="C69" s="461"/>
      <c r="D69" s="461"/>
      <c r="E69" s="461"/>
      <c r="F69" s="461"/>
      <c r="G69" s="461"/>
      <c r="H69" s="461"/>
    </row>
    <row r="70" spans="1:8">
      <c r="A70" s="462" t="s">
        <v>682</v>
      </c>
      <c r="B70" s="461"/>
      <c r="C70" s="461"/>
      <c r="D70" s="461"/>
      <c r="E70" s="461"/>
      <c r="F70" s="461"/>
      <c r="G70" s="461"/>
      <c r="H70" s="461"/>
    </row>
    <row r="71" spans="1:8">
      <c r="A71" s="462" t="s">
        <v>683</v>
      </c>
      <c r="B71" s="461"/>
      <c r="C71" s="461"/>
      <c r="D71" s="461"/>
      <c r="E71" s="461"/>
      <c r="F71" s="461"/>
      <c r="G71" s="461"/>
      <c r="H71" s="461"/>
    </row>
    <row r="72" spans="1:8">
      <c r="A72" s="462" t="s">
        <v>684</v>
      </c>
      <c r="B72" s="461"/>
      <c r="C72" s="461"/>
      <c r="D72" s="461"/>
      <c r="E72" s="461"/>
      <c r="F72" s="461"/>
      <c r="G72" s="461"/>
      <c r="H72" s="461"/>
    </row>
    <row r="73" spans="1:8">
      <c r="A73" s="462" t="s">
        <v>685</v>
      </c>
      <c r="B73" s="461"/>
      <c r="C73" s="461"/>
      <c r="D73" s="461"/>
      <c r="E73" s="461"/>
      <c r="F73" s="461"/>
      <c r="G73" s="461"/>
      <c r="H73" s="461"/>
    </row>
    <row r="74" spans="1:8">
      <c r="A74" s="462" t="s">
        <v>570</v>
      </c>
      <c r="B74" s="461"/>
      <c r="C74" s="461"/>
      <c r="D74" s="461"/>
      <c r="E74" s="461"/>
      <c r="F74" s="461"/>
      <c r="G74" s="461"/>
      <c r="H74" s="461"/>
    </row>
    <row r="75" spans="1:8">
      <c r="A75" s="461"/>
      <c r="B75" s="461"/>
      <c r="C75" s="461"/>
      <c r="D75" s="461"/>
      <c r="E75" s="461"/>
      <c r="F75" s="461"/>
      <c r="G75" s="461"/>
      <c r="H75" s="461"/>
    </row>
    <row r="76" spans="1:8">
      <c r="A76" s="462" t="s">
        <v>674</v>
      </c>
      <c r="B76" s="461"/>
      <c r="C76" s="461"/>
      <c r="D76" s="461"/>
      <c r="E76" s="461"/>
      <c r="F76" s="461"/>
      <c r="G76" s="461"/>
      <c r="H76" s="461"/>
    </row>
    <row r="77" spans="1:8">
      <c r="A77" s="462" t="s">
        <v>675</v>
      </c>
      <c r="B77" s="461"/>
      <c r="C77" s="461"/>
      <c r="D77" s="461"/>
      <c r="E77" s="461"/>
      <c r="F77" s="461"/>
      <c r="G77" s="461"/>
      <c r="H77" s="461"/>
    </row>
    <row r="78" spans="1:8">
      <c r="A78" s="462" t="s">
        <v>676</v>
      </c>
      <c r="B78" s="461"/>
      <c r="C78" s="461"/>
      <c r="D78" s="461"/>
      <c r="E78" s="461"/>
      <c r="F78" s="461"/>
      <c r="G78" s="461"/>
      <c r="H78" s="461"/>
    </row>
    <row r="79" spans="1:8">
      <c r="A79" s="462" t="s">
        <v>677</v>
      </c>
      <c r="B79" s="461"/>
      <c r="C79" s="461"/>
      <c r="D79" s="461"/>
      <c r="E79" s="461"/>
      <c r="F79" s="461"/>
      <c r="G79" s="461"/>
      <c r="H79" s="461"/>
    </row>
    <row r="80" spans="1:8">
      <c r="A80" s="462" t="s">
        <v>678</v>
      </c>
      <c r="B80" s="461"/>
      <c r="C80" s="461"/>
      <c r="D80" s="461"/>
      <c r="E80" s="461"/>
      <c r="F80" s="461"/>
      <c r="G80" s="461"/>
      <c r="H80" s="461"/>
    </row>
    <row r="81" spans="1:8">
      <c r="A81" s="462" t="s">
        <v>679</v>
      </c>
      <c r="B81" s="461"/>
      <c r="C81" s="461"/>
      <c r="D81" s="461"/>
      <c r="E81" s="461"/>
      <c r="F81" s="461"/>
      <c r="G81" s="461"/>
      <c r="H81" s="461"/>
    </row>
    <row r="82" spans="1:8">
      <c r="A82" s="462" t="s">
        <v>680</v>
      </c>
      <c r="B82" s="461"/>
      <c r="C82" s="461"/>
      <c r="D82" s="461"/>
      <c r="E82" s="461"/>
      <c r="F82" s="461"/>
      <c r="G82" s="461"/>
      <c r="H82" s="461"/>
    </row>
    <row r="83" spans="1:8">
      <c r="A83" s="461"/>
      <c r="B83" s="461"/>
      <c r="C83" s="461"/>
      <c r="D83" s="461"/>
      <c r="E83" s="461"/>
      <c r="F83" s="461"/>
      <c r="G83" s="461"/>
      <c r="H83" s="461"/>
    </row>
    <row r="84" spans="1:8">
      <c r="A84" s="462" t="s">
        <v>672</v>
      </c>
      <c r="B84" s="461"/>
      <c r="C84" s="461"/>
      <c r="D84" s="461"/>
      <c r="E84" s="461"/>
      <c r="F84" s="461"/>
      <c r="G84" s="461"/>
      <c r="H84" s="461"/>
    </row>
    <row r="85" spans="1:8">
      <c r="A85" s="462" t="s">
        <v>673</v>
      </c>
      <c r="B85" s="461"/>
      <c r="C85" s="461"/>
      <c r="D85" s="461"/>
      <c r="E85" s="461"/>
      <c r="F85" s="461"/>
      <c r="G85" s="461"/>
      <c r="H85" s="461"/>
    </row>
    <row r="86" spans="1:8">
      <c r="A86" s="461"/>
      <c r="B86" s="461"/>
      <c r="C86" s="461"/>
      <c r="D86" s="461"/>
      <c r="E86" s="461"/>
      <c r="F86" s="461"/>
      <c r="G86" s="461"/>
      <c r="H86" s="461"/>
    </row>
    <row r="87" spans="1:8" ht="15.75">
      <c r="A87" s="463" t="s">
        <v>444</v>
      </c>
      <c r="B87" s="461"/>
      <c r="C87" s="461"/>
      <c r="D87" s="461"/>
      <c r="E87" s="461"/>
      <c r="F87" s="461"/>
      <c r="G87" s="461"/>
      <c r="H87" s="461"/>
    </row>
    <row r="88" spans="1:8">
      <c r="A88" s="461"/>
      <c r="B88" s="461"/>
      <c r="C88" s="461"/>
      <c r="D88" s="461"/>
      <c r="E88" s="461"/>
      <c r="F88" s="461"/>
      <c r="G88" s="461"/>
      <c r="H88" s="461"/>
    </row>
    <row r="89" spans="1:8">
      <c r="A89" s="462" t="s">
        <v>663</v>
      </c>
      <c r="B89" s="461"/>
      <c r="C89" s="461"/>
      <c r="D89" s="461"/>
      <c r="E89" s="461"/>
      <c r="F89" s="461"/>
      <c r="G89" s="461"/>
      <c r="H89" s="461"/>
    </row>
    <row r="90" spans="1:8">
      <c r="A90" s="462" t="s">
        <v>664</v>
      </c>
      <c r="B90" s="461"/>
      <c r="C90" s="461"/>
      <c r="D90" s="461"/>
      <c r="E90" s="461"/>
      <c r="F90" s="461"/>
      <c r="G90" s="461"/>
      <c r="H90" s="461"/>
    </row>
    <row r="91" spans="1:8">
      <c r="A91" s="462" t="s">
        <v>665</v>
      </c>
      <c r="B91" s="461"/>
      <c r="C91" s="461"/>
      <c r="D91" s="461"/>
      <c r="E91" s="461"/>
      <c r="F91" s="461"/>
      <c r="G91" s="461"/>
      <c r="H91" s="461"/>
    </row>
    <row r="92" spans="1:8">
      <c r="A92" s="462" t="s">
        <v>666</v>
      </c>
      <c r="B92" s="461"/>
      <c r="C92" s="461"/>
      <c r="D92" s="461"/>
      <c r="E92" s="461"/>
      <c r="F92" s="461"/>
      <c r="G92" s="461"/>
      <c r="H92" s="461"/>
    </row>
    <row r="93" spans="1:8">
      <c r="A93" s="462" t="s">
        <v>667</v>
      </c>
      <c r="B93" s="461"/>
      <c r="C93" s="461"/>
      <c r="D93" s="461"/>
      <c r="E93" s="461"/>
      <c r="F93" s="461"/>
      <c r="G93" s="461"/>
      <c r="H93" s="461"/>
    </row>
    <row r="94" spans="1:8">
      <c r="A94" s="462" t="s">
        <v>668</v>
      </c>
      <c r="B94" s="461"/>
      <c r="C94" s="461"/>
      <c r="D94" s="461"/>
      <c r="E94" s="461"/>
      <c r="F94" s="461"/>
      <c r="G94" s="461"/>
      <c r="H94" s="461"/>
    </row>
    <row r="95" spans="1:8">
      <c r="A95" s="462" t="s">
        <v>669</v>
      </c>
      <c r="B95" s="461"/>
      <c r="C95" s="461"/>
      <c r="D95" s="461"/>
      <c r="E95" s="461"/>
      <c r="F95" s="461"/>
      <c r="G95" s="461"/>
      <c r="H95" s="461"/>
    </row>
    <row r="96" spans="1:8">
      <c r="A96" s="462" t="s">
        <v>670</v>
      </c>
      <c r="B96" s="461"/>
      <c r="C96" s="461"/>
      <c r="D96" s="461"/>
      <c r="E96" s="461"/>
      <c r="F96" s="461"/>
      <c r="G96" s="461"/>
      <c r="H96" s="461"/>
    </row>
    <row r="97" spans="1:8">
      <c r="A97" s="462" t="s">
        <v>671</v>
      </c>
      <c r="B97" s="461"/>
      <c r="C97" s="461"/>
      <c r="D97" s="461"/>
      <c r="E97" s="461"/>
      <c r="F97" s="461"/>
      <c r="G97" s="461"/>
      <c r="H97" s="461"/>
    </row>
    <row r="98" spans="1:8">
      <c r="A98" s="461"/>
      <c r="B98" s="461"/>
      <c r="C98" s="461"/>
      <c r="D98" s="461"/>
      <c r="E98" s="461"/>
      <c r="F98" s="461"/>
      <c r="G98" s="461"/>
      <c r="H98" s="461"/>
    </row>
    <row r="99" spans="1:8" ht="15.75">
      <c r="A99" s="464" t="s">
        <v>445</v>
      </c>
      <c r="B99" s="464"/>
      <c r="C99" s="464"/>
      <c r="D99" s="464"/>
      <c r="E99" s="464"/>
      <c r="F99" s="464"/>
      <c r="G99" s="464"/>
      <c r="H99" s="464"/>
    </row>
    <row r="100" spans="1:8">
      <c r="A100" s="465" t="s">
        <v>446</v>
      </c>
      <c r="B100" s="465"/>
      <c r="C100" s="465"/>
      <c r="D100" s="465"/>
      <c r="E100" s="465"/>
      <c r="F100" s="465"/>
      <c r="G100" s="465"/>
      <c r="H100" s="465"/>
    </row>
    <row r="101" spans="1:8">
      <c r="A101" s="466"/>
      <c r="B101" s="466"/>
      <c r="C101" s="466"/>
      <c r="D101" s="466"/>
      <c r="E101" s="466"/>
      <c r="F101" s="466"/>
      <c r="G101" s="466"/>
      <c r="H101" s="466"/>
    </row>
    <row r="102" spans="1:8">
      <c r="A102" s="465" t="s">
        <v>661</v>
      </c>
      <c r="B102" s="465"/>
      <c r="C102" s="465"/>
      <c r="D102" s="465"/>
      <c r="E102" s="465"/>
      <c r="F102" s="465"/>
      <c r="G102" s="465"/>
      <c r="H102" s="465"/>
    </row>
    <row r="103" spans="1:8">
      <c r="A103" s="462" t="s">
        <v>662</v>
      </c>
      <c r="B103" s="462"/>
      <c r="C103" s="462"/>
      <c r="D103" s="462"/>
      <c r="E103" s="462"/>
      <c r="F103" s="462"/>
      <c r="G103" s="462"/>
      <c r="H103" s="462"/>
    </row>
    <row r="104" spans="1:8">
      <c r="A104" s="466"/>
      <c r="B104" s="466"/>
      <c r="C104" s="466"/>
      <c r="D104" s="466"/>
      <c r="E104" s="466"/>
      <c r="F104" s="466"/>
      <c r="G104" s="466"/>
      <c r="H104" s="466"/>
    </row>
    <row r="105" spans="1:8">
      <c r="A105" s="465" t="s">
        <v>654</v>
      </c>
      <c r="B105" s="465"/>
      <c r="C105" s="465"/>
      <c r="D105" s="465"/>
      <c r="E105" s="465"/>
      <c r="F105" s="465"/>
      <c r="G105" s="465"/>
      <c r="H105" s="465"/>
    </row>
    <row r="106" spans="1:8">
      <c r="A106" s="462" t="s">
        <v>655</v>
      </c>
      <c r="B106" s="462"/>
      <c r="C106" s="462"/>
      <c r="D106" s="462"/>
      <c r="E106" s="462"/>
      <c r="F106" s="462"/>
      <c r="G106" s="462"/>
      <c r="H106" s="462"/>
    </row>
    <row r="107" spans="1:8">
      <c r="A107" s="462" t="s">
        <v>656</v>
      </c>
      <c r="B107" s="462"/>
      <c r="C107" s="462"/>
      <c r="D107" s="462"/>
      <c r="E107" s="462"/>
      <c r="F107" s="462"/>
      <c r="G107" s="462"/>
      <c r="H107" s="462"/>
    </row>
    <row r="108" spans="1:8">
      <c r="A108" s="462" t="s">
        <v>657</v>
      </c>
      <c r="B108" s="462"/>
      <c r="C108" s="462"/>
      <c r="D108" s="462"/>
      <c r="E108" s="462"/>
      <c r="F108" s="462"/>
      <c r="G108" s="462"/>
      <c r="H108" s="462"/>
    </row>
    <row r="109" spans="1:8">
      <c r="A109" s="462" t="s">
        <v>658</v>
      </c>
      <c r="B109" s="462"/>
      <c r="C109" s="462"/>
      <c r="D109" s="462"/>
      <c r="E109" s="462"/>
      <c r="F109" s="462"/>
      <c r="G109" s="462"/>
      <c r="H109" s="462"/>
    </row>
    <row r="110" spans="1:8">
      <c r="A110" s="462" t="s">
        <v>659</v>
      </c>
      <c r="B110" s="462"/>
      <c r="C110" s="462"/>
      <c r="D110" s="462"/>
      <c r="E110" s="462"/>
      <c r="F110" s="462"/>
      <c r="G110" s="462"/>
      <c r="H110" s="462"/>
    </row>
    <row r="111" spans="1:8">
      <c r="A111" s="462" t="s">
        <v>660</v>
      </c>
      <c r="B111" s="462"/>
      <c r="C111" s="462"/>
      <c r="D111" s="462"/>
      <c r="E111" s="462"/>
      <c r="F111" s="462"/>
      <c r="G111" s="462"/>
      <c r="H111" s="462"/>
    </row>
    <row r="112" spans="1:8">
      <c r="A112" s="467"/>
      <c r="B112" s="467"/>
      <c r="C112" s="467"/>
      <c r="D112" s="467"/>
      <c r="E112" s="467"/>
      <c r="F112" s="467"/>
      <c r="G112" s="467"/>
      <c r="H112" s="467"/>
    </row>
    <row r="113" spans="1:8">
      <c r="A113" s="468"/>
      <c r="B113" s="469" t="s">
        <v>447</v>
      </c>
      <c r="C113" s="470"/>
      <c r="D113" s="469" t="s">
        <v>448</v>
      </c>
      <c r="E113" s="471"/>
      <c r="F113" s="470"/>
      <c r="G113" s="469" t="s">
        <v>449</v>
      </c>
      <c r="H113" s="470"/>
    </row>
    <row r="114" spans="1:8">
      <c r="A114" s="468" t="s">
        <v>450</v>
      </c>
      <c r="B114" s="468" t="s">
        <v>400</v>
      </c>
      <c r="C114" s="468" t="s">
        <v>451</v>
      </c>
      <c r="D114" s="468" t="s">
        <v>400</v>
      </c>
      <c r="E114" s="468" t="s">
        <v>452</v>
      </c>
      <c r="F114" s="468" t="s">
        <v>453</v>
      </c>
      <c r="G114" s="468" t="s">
        <v>400</v>
      </c>
      <c r="H114" s="468" t="s">
        <v>454</v>
      </c>
    </row>
    <row r="115" spans="1:8">
      <c r="A115" s="468" t="s">
        <v>455</v>
      </c>
      <c r="B115" s="468">
        <v>1175</v>
      </c>
      <c r="C115" s="472">
        <v>0.37</v>
      </c>
      <c r="D115" s="468">
        <v>315</v>
      </c>
      <c r="E115" s="472">
        <v>0.41</v>
      </c>
      <c r="F115" s="472">
        <v>0.27</v>
      </c>
      <c r="G115" s="468">
        <v>555</v>
      </c>
      <c r="H115" s="472">
        <v>0.39</v>
      </c>
    </row>
    <row r="116" spans="1:8">
      <c r="A116" s="468" t="s">
        <v>456</v>
      </c>
      <c r="B116" s="468">
        <v>1369</v>
      </c>
      <c r="C116" s="472">
        <v>0.43</v>
      </c>
      <c r="D116" s="468">
        <v>357</v>
      </c>
      <c r="E116" s="472">
        <v>0.47</v>
      </c>
      <c r="F116" s="472">
        <v>0.26</v>
      </c>
      <c r="G116" s="468">
        <v>643</v>
      </c>
      <c r="H116" s="472">
        <v>0.45</v>
      </c>
    </row>
    <row r="117" spans="1:8">
      <c r="A117" s="468" t="s">
        <v>457</v>
      </c>
      <c r="B117" s="468">
        <v>53</v>
      </c>
      <c r="C117" s="472">
        <v>0.02</v>
      </c>
      <c r="D117" s="468">
        <v>5</v>
      </c>
      <c r="E117" s="472">
        <v>0.01</v>
      </c>
      <c r="F117" s="472">
        <v>0.09</v>
      </c>
      <c r="G117" s="468">
        <v>7</v>
      </c>
      <c r="H117" s="472">
        <v>0</v>
      </c>
    </row>
    <row r="118" spans="1:8">
      <c r="A118" s="468" t="s">
        <v>458</v>
      </c>
      <c r="B118" s="468">
        <v>552</v>
      </c>
      <c r="C118" s="472">
        <v>0.18</v>
      </c>
      <c r="D118" s="468">
        <v>87</v>
      </c>
      <c r="E118" s="472">
        <v>0.11</v>
      </c>
      <c r="F118" s="472">
        <v>0.16</v>
      </c>
      <c r="G118" s="468">
        <v>222</v>
      </c>
      <c r="H118" s="472">
        <v>0.16</v>
      </c>
    </row>
    <row r="119" spans="1:8">
      <c r="A119" s="468" t="s">
        <v>459</v>
      </c>
      <c r="B119" s="473">
        <v>3149</v>
      </c>
      <c r="C119" s="468"/>
      <c r="D119" s="468">
        <v>764</v>
      </c>
      <c r="E119" s="468"/>
      <c r="F119" s="468"/>
      <c r="G119" s="468">
        <v>1427</v>
      </c>
      <c r="H119" s="468"/>
    </row>
    <row r="120" spans="1:8">
      <c r="A120" s="474"/>
      <c r="B120" s="474"/>
      <c r="C120" s="474"/>
      <c r="D120" s="474"/>
      <c r="E120" s="474"/>
      <c r="F120" s="474"/>
      <c r="G120" s="474"/>
      <c r="H120" s="474"/>
    </row>
    <row r="121" spans="1:8">
      <c r="A121" s="465" t="s">
        <v>650</v>
      </c>
      <c r="B121" s="465"/>
      <c r="C121" s="465"/>
      <c r="D121" s="465"/>
      <c r="E121" s="465"/>
      <c r="F121" s="465"/>
      <c r="G121" s="465"/>
      <c r="H121" s="465"/>
    </row>
    <row r="122" spans="1:8">
      <c r="A122" s="462" t="s">
        <v>651</v>
      </c>
      <c r="B122" s="462"/>
      <c r="C122" s="462"/>
      <c r="D122" s="462"/>
      <c r="E122" s="462"/>
      <c r="F122" s="462"/>
      <c r="G122" s="462"/>
      <c r="H122" s="462"/>
    </row>
    <row r="123" spans="1:8">
      <c r="A123" s="462" t="s">
        <v>652</v>
      </c>
      <c r="B123" s="462"/>
      <c r="C123" s="462"/>
      <c r="D123" s="462"/>
      <c r="E123" s="462"/>
      <c r="F123" s="462"/>
      <c r="G123" s="462"/>
      <c r="H123" s="462"/>
    </row>
    <row r="124" spans="1:8">
      <c r="A124" s="462" t="s">
        <v>653</v>
      </c>
      <c r="B124" s="462"/>
      <c r="C124" s="462"/>
      <c r="D124" s="462"/>
      <c r="E124" s="462"/>
      <c r="F124" s="462"/>
      <c r="G124" s="462"/>
      <c r="H124" s="462"/>
    </row>
    <row r="125" spans="1:8">
      <c r="A125" s="461"/>
      <c r="B125" s="461"/>
      <c r="C125" s="461"/>
      <c r="D125" s="461"/>
      <c r="E125" s="461"/>
      <c r="F125" s="461"/>
      <c r="G125" s="461"/>
      <c r="H125" s="461"/>
    </row>
    <row r="126" spans="1:8" ht="15.75">
      <c r="A126" s="463" t="s">
        <v>460</v>
      </c>
      <c r="B126" s="461"/>
      <c r="C126" s="461"/>
      <c r="D126" s="461"/>
      <c r="E126" s="461"/>
      <c r="F126" s="461"/>
      <c r="G126" s="461"/>
      <c r="H126" s="461"/>
    </row>
    <row r="127" spans="1:8">
      <c r="A127" s="461"/>
      <c r="B127" s="461"/>
      <c r="C127" s="461"/>
      <c r="D127" s="461"/>
      <c r="E127" s="461"/>
      <c r="F127" s="461"/>
      <c r="G127" s="461"/>
      <c r="H127" s="461"/>
    </row>
    <row r="128" spans="1:8">
      <c r="A128" s="462" t="s">
        <v>648</v>
      </c>
      <c r="B128" s="461"/>
      <c r="C128" s="461"/>
      <c r="D128" s="461"/>
      <c r="E128" s="461"/>
      <c r="F128" s="461"/>
      <c r="G128" s="461"/>
      <c r="H128" s="461"/>
    </row>
    <row r="129" spans="1:8">
      <c r="A129" s="462" t="s">
        <v>649</v>
      </c>
      <c r="B129" s="461"/>
      <c r="C129" s="461"/>
      <c r="D129" s="461"/>
      <c r="E129" s="461"/>
      <c r="F129" s="461"/>
      <c r="G129" s="461"/>
      <c r="H129" s="461"/>
    </row>
    <row r="130" spans="1:8">
      <c r="A130" s="461"/>
      <c r="B130" s="461"/>
      <c r="C130" s="461"/>
      <c r="D130" s="461"/>
      <c r="E130" s="461"/>
      <c r="F130" s="461"/>
      <c r="G130" s="461"/>
      <c r="H130" s="461"/>
    </row>
    <row r="131" spans="1:8">
      <c r="A131" s="462" t="s">
        <v>645</v>
      </c>
      <c r="B131" s="461"/>
      <c r="C131" s="461"/>
      <c r="D131" s="461"/>
      <c r="E131" s="461"/>
      <c r="F131" s="461"/>
      <c r="G131" s="461"/>
      <c r="H131" s="461"/>
    </row>
    <row r="132" spans="1:8">
      <c r="A132" s="462" t="s">
        <v>646</v>
      </c>
      <c r="B132" s="461"/>
      <c r="C132" s="461"/>
      <c r="D132" s="461"/>
      <c r="E132" s="461"/>
      <c r="F132" s="461"/>
      <c r="G132" s="461"/>
      <c r="H132" s="461"/>
    </row>
    <row r="133" spans="1:8">
      <c r="A133" s="462" t="s">
        <v>647</v>
      </c>
      <c r="B133" s="461"/>
      <c r="C133" s="461"/>
      <c r="D133" s="461"/>
      <c r="E133" s="461"/>
      <c r="F133" s="461"/>
      <c r="G133" s="461"/>
      <c r="H133" s="461"/>
    </row>
    <row r="134" spans="1:8">
      <c r="A134" s="461"/>
      <c r="B134" s="461"/>
      <c r="C134" s="461"/>
      <c r="D134" s="461"/>
      <c r="E134" s="461"/>
      <c r="F134" s="461"/>
      <c r="G134" s="461"/>
      <c r="H134" s="461"/>
    </row>
    <row r="135" spans="1:8">
      <c r="A135" s="462" t="s">
        <v>642</v>
      </c>
      <c r="B135" s="461"/>
      <c r="C135" s="461"/>
      <c r="D135" s="461"/>
      <c r="E135" s="461"/>
      <c r="F135" s="461"/>
      <c r="G135" s="461"/>
      <c r="H135" s="461"/>
    </row>
    <row r="136" spans="1:8">
      <c r="A136" s="462" t="s">
        <v>643</v>
      </c>
      <c r="B136" s="461"/>
      <c r="C136" s="461"/>
      <c r="D136" s="461"/>
      <c r="E136" s="461"/>
      <c r="F136" s="461"/>
      <c r="G136" s="461"/>
      <c r="H136" s="461"/>
    </row>
    <row r="137" spans="1:8">
      <c r="A137" s="462" t="s">
        <v>644</v>
      </c>
      <c r="B137" s="461"/>
      <c r="C137" s="461"/>
      <c r="D137" s="461"/>
      <c r="E137" s="461"/>
      <c r="F137" s="461"/>
      <c r="G137" s="461"/>
      <c r="H137" s="461"/>
    </row>
    <row r="138" spans="1:8">
      <c r="A138" s="461"/>
      <c r="B138" s="461"/>
      <c r="C138" s="461"/>
      <c r="D138" s="461"/>
      <c r="E138" s="461"/>
      <c r="F138" s="461"/>
      <c r="G138" s="461"/>
      <c r="H138" s="461"/>
    </row>
    <row r="139" spans="1:8">
      <c r="A139" s="462" t="s">
        <v>639</v>
      </c>
      <c r="B139" s="461"/>
      <c r="C139" s="461"/>
      <c r="D139" s="461"/>
      <c r="E139" s="461"/>
      <c r="F139" s="461"/>
      <c r="G139" s="461"/>
      <c r="H139" s="461"/>
    </row>
    <row r="140" spans="1:8">
      <c r="A140" s="462" t="s">
        <v>640</v>
      </c>
      <c r="B140" s="461"/>
      <c r="C140" s="461"/>
      <c r="D140" s="461"/>
      <c r="E140" s="461"/>
      <c r="F140" s="461"/>
      <c r="G140" s="461"/>
      <c r="H140" s="461"/>
    </row>
    <row r="141" spans="1:8">
      <c r="A141" s="462" t="s">
        <v>641</v>
      </c>
      <c r="B141" s="461"/>
      <c r="C141" s="461"/>
      <c r="D141" s="461"/>
      <c r="E141" s="461"/>
      <c r="F141" s="461"/>
      <c r="G141" s="461"/>
      <c r="H141" s="461"/>
    </row>
    <row r="142" spans="1:8">
      <c r="A142" s="461"/>
      <c r="B142" s="461"/>
      <c r="C142" s="461"/>
      <c r="D142" s="461"/>
      <c r="E142" s="461"/>
      <c r="F142" s="461"/>
      <c r="G142" s="461"/>
      <c r="H142" s="461"/>
    </row>
    <row r="143" spans="1:8">
      <c r="A143" s="462" t="s">
        <v>637</v>
      </c>
      <c r="B143" s="461"/>
      <c r="C143" s="461"/>
      <c r="D143" s="461"/>
      <c r="E143" s="461"/>
      <c r="F143" s="461"/>
      <c r="G143" s="461"/>
      <c r="H143" s="461"/>
    </row>
    <row r="144" spans="1:8">
      <c r="A144" s="462" t="s">
        <v>638</v>
      </c>
      <c r="B144" s="461"/>
      <c r="C144" s="461"/>
      <c r="D144" s="461"/>
      <c r="E144" s="461"/>
      <c r="F144" s="461"/>
      <c r="G144" s="461"/>
      <c r="H144" s="461"/>
    </row>
    <row r="145" spans="1:8">
      <c r="A145" s="461"/>
      <c r="B145" s="461"/>
      <c r="C145" s="461"/>
      <c r="D145" s="461"/>
      <c r="E145" s="461"/>
      <c r="F145" s="461"/>
      <c r="G145" s="461"/>
      <c r="H145" s="461"/>
    </row>
    <row r="146" spans="1:8" ht="15.75">
      <c r="A146" s="463" t="s">
        <v>461</v>
      </c>
      <c r="B146" s="461"/>
      <c r="C146" s="461"/>
      <c r="D146" s="461"/>
      <c r="E146" s="461"/>
      <c r="F146" s="461"/>
      <c r="G146" s="461"/>
      <c r="H146" s="461"/>
    </row>
    <row r="147" spans="1:8">
      <c r="A147" s="461"/>
      <c r="B147" s="461"/>
      <c r="C147" s="461"/>
      <c r="D147" s="461"/>
      <c r="E147" s="461"/>
      <c r="F147" s="461"/>
      <c r="G147" s="461"/>
      <c r="H147" s="461"/>
    </row>
    <row r="148" spans="1:8">
      <c r="A148" s="462" t="s">
        <v>635</v>
      </c>
      <c r="B148" s="461"/>
      <c r="C148" s="461"/>
      <c r="D148" s="461"/>
      <c r="E148" s="461"/>
      <c r="F148" s="461"/>
      <c r="G148" s="461"/>
      <c r="H148" s="461"/>
    </row>
    <row r="149" spans="1:8">
      <c r="A149" s="462" t="s">
        <v>636</v>
      </c>
      <c r="B149" s="461"/>
      <c r="C149" s="461"/>
      <c r="D149" s="461"/>
      <c r="E149" s="461"/>
      <c r="F149" s="461"/>
      <c r="G149" s="461"/>
      <c r="H149" s="461"/>
    </row>
    <row r="150" spans="1:8">
      <c r="A150" s="461"/>
      <c r="B150" s="461"/>
      <c r="C150" s="461"/>
      <c r="D150" s="461"/>
      <c r="E150" s="461"/>
      <c r="F150" s="461"/>
      <c r="G150" s="461"/>
      <c r="H150" s="461"/>
    </row>
    <row r="151" spans="1:8">
      <c r="A151" s="462" t="s">
        <v>633</v>
      </c>
      <c r="B151" s="461"/>
      <c r="C151" s="461"/>
      <c r="D151" s="461"/>
      <c r="E151" s="461"/>
      <c r="F151" s="461"/>
      <c r="G151" s="461"/>
      <c r="H151" s="461"/>
    </row>
    <row r="152" spans="1:8">
      <c r="A152" s="462" t="s">
        <v>634</v>
      </c>
      <c r="B152" s="461"/>
      <c r="C152" s="461"/>
      <c r="D152" s="461"/>
      <c r="E152" s="461"/>
      <c r="F152" s="461"/>
      <c r="G152" s="461"/>
      <c r="H152" s="461"/>
    </row>
    <row r="153" spans="1:8">
      <c r="A153" s="461"/>
      <c r="B153" s="461"/>
      <c r="C153" s="461"/>
      <c r="D153" s="461"/>
      <c r="E153" s="461"/>
      <c r="F153" s="461"/>
      <c r="G153" s="461"/>
      <c r="H153" s="461"/>
    </row>
    <row r="154" spans="1:8">
      <c r="A154" s="462" t="s">
        <v>631</v>
      </c>
      <c r="B154" s="461"/>
      <c r="C154" s="461"/>
      <c r="D154" s="461"/>
      <c r="E154" s="461"/>
      <c r="F154" s="461"/>
      <c r="G154" s="461"/>
      <c r="H154" s="461"/>
    </row>
    <row r="155" spans="1:8">
      <c r="A155" s="462" t="s">
        <v>632</v>
      </c>
      <c r="B155" s="461"/>
      <c r="C155" s="461"/>
      <c r="D155" s="461"/>
      <c r="E155" s="461"/>
      <c r="F155" s="461"/>
      <c r="G155" s="461"/>
      <c r="H155" s="461"/>
    </row>
    <row r="156" spans="1:8">
      <c r="A156" s="461"/>
      <c r="B156" s="461"/>
      <c r="C156" s="461"/>
      <c r="D156" s="461"/>
      <c r="E156" s="461"/>
      <c r="F156" s="461"/>
      <c r="G156" s="461"/>
      <c r="H156" s="461"/>
    </row>
    <row r="157" spans="1:8">
      <c r="A157" s="462" t="s">
        <v>628</v>
      </c>
      <c r="B157" s="461"/>
      <c r="C157" s="461"/>
      <c r="D157" s="461"/>
      <c r="E157" s="461"/>
      <c r="F157" s="461"/>
      <c r="G157" s="461"/>
      <c r="H157" s="461"/>
    </row>
    <row r="158" spans="1:8">
      <c r="A158" s="462" t="s">
        <v>629</v>
      </c>
      <c r="B158" s="461"/>
      <c r="C158" s="461"/>
      <c r="D158" s="461"/>
      <c r="E158" s="461"/>
      <c r="F158" s="461"/>
      <c r="G158" s="461"/>
      <c r="H158" s="461"/>
    </row>
    <row r="159" spans="1:8">
      <c r="A159" s="462" t="s">
        <v>630</v>
      </c>
      <c r="B159" s="461"/>
      <c r="C159" s="461"/>
      <c r="D159" s="461"/>
      <c r="E159" s="461"/>
      <c r="F159" s="461"/>
      <c r="G159" s="461"/>
      <c r="H159" s="461"/>
    </row>
    <row r="160" spans="1:8">
      <c r="A160" s="461"/>
      <c r="B160" s="461"/>
      <c r="C160" s="461"/>
      <c r="D160" s="461"/>
      <c r="E160" s="461"/>
      <c r="F160" s="461"/>
      <c r="G160" s="461"/>
      <c r="H160" s="461"/>
    </row>
    <row r="161" spans="1:8">
      <c r="A161" s="461"/>
      <c r="B161" s="461"/>
      <c r="C161" s="461"/>
      <c r="D161" s="461"/>
      <c r="E161" s="461"/>
      <c r="F161" s="461"/>
      <c r="G161" s="461"/>
      <c r="H161" s="461"/>
    </row>
    <row r="162" spans="1:8">
      <c r="A162" s="462" t="s">
        <v>462</v>
      </c>
      <c r="B162" s="461"/>
      <c r="C162" s="461"/>
      <c r="D162" s="461"/>
      <c r="E162" s="461"/>
      <c r="F162" s="461"/>
      <c r="G162" s="461"/>
      <c r="H162" s="461"/>
    </row>
    <row r="163" spans="1:8">
      <c r="A163" s="461"/>
      <c r="B163" s="461"/>
      <c r="C163" s="461"/>
      <c r="D163" s="461"/>
      <c r="E163" s="461"/>
      <c r="F163" s="461"/>
      <c r="G163" s="461"/>
      <c r="H163" s="461"/>
    </row>
    <row r="164" spans="1:8" ht="15.75">
      <c r="A164" s="463" t="s">
        <v>463</v>
      </c>
      <c r="B164" s="461"/>
      <c r="C164" s="461"/>
      <c r="D164" s="461"/>
      <c r="E164" s="461"/>
      <c r="F164" s="461"/>
      <c r="G164" s="461"/>
      <c r="H164" s="461"/>
    </row>
    <row r="165" spans="1:8">
      <c r="A165" s="461"/>
      <c r="B165" s="461"/>
      <c r="C165" s="461"/>
      <c r="D165" s="461"/>
      <c r="E165" s="461"/>
      <c r="F165" s="461"/>
      <c r="G165" s="461"/>
      <c r="H165" s="461"/>
    </row>
    <row r="166" spans="1:8">
      <c r="A166" s="461"/>
      <c r="B166" s="461"/>
      <c r="C166" s="461"/>
      <c r="D166" s="461"/>
      <c r="E166" s="461"/>
      <c r="F166" s="461"/>
      <c r="G166" s="461"/>
      <c r="H166" s="461"/>
    </row>
    <row r="167" spans="1:8">
      <c r="A167" s="461"/>
      <c r="B167" s="461"/>
      <c r="C167" s="461"/>
      <c r="D167" s="461"/>
      <c r="E167" s="461"/>
      <c r="F167" s="461"/>
      <c r="G167" s="461"/>
      <c r="H167" s="461"/>
    </row>
    <row r="168" spans="1:8">
      <c r="A168" s="461"/>
      <c r="B168" s="461"/>
      <c r="C168" s="461"/>
      <c r="D168" s="461"/>
      <c r="E168" s="461"/>
      <c r="F168" s="461"/>
      <c r="G168" s="461"/>
      <c r="H168" s="461"/>
    </row>
    <row r="169" spans="1:8">
      <c r="A169" s="461"/>
      <c r="B169" s="461"/>
      <c r="C169" s="461"/>
      <c r="D169" s="461"/>
      <c r="E169" s="461"/>
      <c r="F169" s="461"/>
      <c r="G169" s="461"/>
      <c r="H169" s="461"/>
    </row>
    <row r="170" spans="1:8">
      <c r="A170" s="461"/>
      <c r="B170" s="461"/>
      <c r="C170" s="461"/>
      <c r="D170" s="461"/>
      <c r="E170" s="461"/>
      <c r="F170" s="461"/>
      <c r="G170" s="461"/>
      <c r="H170" s="461"/>
    </row>
    <row r="171" spans="1:8">
      <c r="A171" s="461"/>
      <c r="B171" s="461"/>
      <c r="C171" s="461"/>
      <c r="D171" s="461"/>
      <c r="E171" s="461"/>
      <c r="F171" s="461"/>
      <c r="G171" s="461"/>
      <c r="H171" s="461"/>
    </row>
    <row r="172" spans="1:8">
      <c r="A172" s="461"/>
      <c r="B172" s="461"/>
      <c r="C172" s="461"/>
      <c r="D172" s="461"/>
      <c r="E172" s="461"/>
      <c r="F172" s="461"/>
      <c r="G172" s="461"/>
      <c r="H172" s="461"/>
    </row>
    <row r="173" spans="1:8">
      <c r="A173" s="461"/>
      <c r="B173" s="461"/>
      <c r="C173" s="461"/>
      <c r="D173" s="461"/>
      <c r="E173" s="461"/>
      <c r="F173" s="461"/>
      <c r="G173" s="461"/>
      <c r="H173" s="461"/>
    </row>
    <row r="174" spans="1:8">
      <c r="A174" s="461"/>
      <c r="B174" s="461"/>
      <c r="C174" s="461"/>
      <c r="D174" s="461"/>
      <c r="E174" s="461"/>
      <c r="F174" s="461"/>
      <c r="G174" s="461"/>
      <c r="H174" s="461"/>
    </row>
    <row r="175" spans="1:8">
      <c r="A175" s="461"/>
      <c r="B175" s="461"/>
      <c r="C175" s="461"/>
      <c r="D175" s="461"/>
      <c r="E175" s="461"/>
      <c r="F175" s="461"/>
      <c r="G175" s="461"/>
      <c r="H175" s="461"/>
    </row>
    <row r="176" spans="1:8">
      <c r="A176" s="461"/>
      <c r="B176" s="461"/>
      <c r="C176" s="461"/>
      <c r="D176" s="461"/>
      <c r="E176" s="461"/>
      <c r="F176" s="461"/>
      <c r="G176" s="461"/>
      <c r="H176" s="461"/>
    </row>
    <row r="177" spans="1:8">
      <c r="A177" s="461"/>
      <c r="B177" s="461"/>
      <c r="C177" s="461"/>
      <c r="D177" s="461"/>
      <c r="E177" s="461"/>
      <c r="F177" s="461"/>
      <c r="G177" s="461"/>
      <c r="H177" s="461"/>
    </row>
    <row r="178" spans="1:8">
      <c r="A178" s="461"/>
      <c r="B178" s="461"/>
      <c r="C178" s="461"/>
      <c r="D178" s="461"/>
      <c r="E178" s="461"/>
      <c r="F178" s="461"/>
      <c r="G178" s="461"/>
      <c r="H178" s="461"/>
    </row>
    <row r="179" spans="1:8">
      <c r="A179" s="461"/>
      <c r="B179" s="461"/>
      <c r="C179" s="461"/>
      <c r="D179" s="461"/>
      <c r="E179" s="461"/>
      <c r="F179" s="461"/>
      <c r="G179" s="461"/>
      <c r="H179" s="461"/>
    </row>
    <row r="180" spans="1:8">
      <c r="A180" s="461"/>
      <c r="B180" s="461"/>
      <c r="C180" s="461"/>
      <c r="D180" s="461"/>
      <c r="E180" s="461"/>
      <c r="F180" s="461"/>
      <c r="G180" s="461"/>
      <c r="H180" s="461"/>
    </row>
    <row r="181" spans="1:8">
      <c r="A181" s="461"/>
      <c r="B181" s="461"/>
      <c r="C181" s="461"/>
      <c r="D181" s="461"/>
      <c r="E181" s="461"/>
      <c r="F181" s="461"/>
      <c r="G181" s="461"/>
      <c r="H181" s="461"/>
    </row>
    <row r="182" spans="1:8">
      <c r="A182" s="461"/>
      <c r="B182" s="461"/>
      <c r="C182" s="461"/>
      <c r="D182" s="461"/>
      <c r="E182" s="461"/>
      <c r="F182" s="461"/>
      <c r="G182" s="461"/>
      <c r="H182" s="461"/>
    </row>
    <row r="183" spans="1:8">
      <c r="A183" s="461"/>
      <c r="B183" s="461"/>
      <c r="C183" s="461"/>
      <c r="D183" s="461"/>
      <c r="E183" s="461"/>
      <c r="F183" s="461"/>
      <c r="G183" s="461"/>
      <c r="H183" s="461"/>
    </row>
    <row r="184" spans="1:8">
      <c r="A184" s="461"/>
      <c r="B184" s="461"/>
      <c r="C184" s="461"/>
      <c r="D184" s="461"/>
      <c r="E184" s="461"/>
      <c r="F184" s="461"/>
      <c r="G184" s="461"/>
      <c r="H184" s="461"/>
    </row>
    <row r="185" spans="1:8">
      <c r="A185" s="461"/>
      <c r="B185" s="461"/>
      <c r="C185" s="461"/>
      <c r="D185" s="461"/>
      <c r="E185" s="461"/>
      <c r="F185" s="461"/>
      <c r="G185" s="461"/>
      <c r="H185" s="461"/>
    </row>
    <row r="186" spans="1:8">
      <c r="A186" s="461"/>
      <c r="B186" s="461"/>
      <c r="C186" s="461"/>
      <c r="D186" s="461"/>
      <c r="E186" s="461"/>
      <c r="F186" s="461"/>
      <c r="G186" s="461"/>
      <c r="H186" s="461"/>
    </row>
    <row r="187" spans="1:8">
      <c r="A187" s="461"/>
      <c r="B187" s="461"/>
      <c r="C187" s="461"/>
      <c r="D187" s="461"/>
      <c r="E187" s="461"/>
      <c r="F187" s="461"/>
      <c r="G187" s="461"/>
      <c r="H187" s="461"/>
    </row>
    <row r="188" spans="1:8">
      <c r="A188" s="461"/>
      <c r="B188" s="461"/>
      <c r="C188" s="461"/>
      <c r="D188" s="461"/>
      <c r="E188" s="461"/>
      <c r="F188" s="461"/>
      <c r="G188" s="461"/>
      <c r="H188" s="461"/>
    </row>
    <row r="189" spans="1:8">
      <c r="A189" s="461"/>
      <c r="B189" s="461"/>
      <c r="C189" s="461"/>
      <c r="D189" s="461"/>
      <c r="E189" s="461"/>
      <c r="F189" s="461"/>
      <c r="G189" s="461"/>
      <c r="H189" s="461"/>
    </row>
    <row r="190" spans="1:8">
      <c r="A190" s="461"/>
      <c r="B190" s="461"/>
      <c r="C190" s="461"/>
      <c r="D190" s="461"/>
      <c r="E190" s="461"/>
      <c r="F190" s="461"/>
      <c r="G190" s="461"/>
      <c r="H190" s="461"/>
    </row>
    <row r="191" spans="1:8" ht="15.75">
      <c r="A191" s="463" t="s">
        <v>464</v>
      </c>
      <c r="B191" s="461"/>
      <c r="C191" s="461"/>
      <c r="D191" s="461"/>
      <c r="E191" s="461"/>
      <c r="F191" s="461"/>
      <c r="G191" s="461"/>
      <c r="H191" s="461"/>
    </row>
    <row r="192" spans="1:8">
      <c r="A192" s="461"/>
      <c r="B192" s="461"/>
      <c r="C192" s="461"/>
      <c r="D192" s="461"/>
      <c r="E192" s="461"/>
      <c r="F192" s="461"/>
      <c r="G192" s="461"/>
      <c r="H192" s="461"/>
    </row>
    <row r="193" spans="1:8">
      <c r="A193" s="462" t="s">
        <v>623</v>
      </c>
      <c r="B193" s="461"/>
      <c r="C193" s="461"/>
      <c r="D193" s="461"/>
      <c r="E193" s="461"/>
      <c r="F193" s="461"/>
      <c r="G193" s="461"/>
      <c r="H193" s="461"/>
    </row>
    <row r="194" spans="1:8">
      <c r="A194" s="462" t="s">
        <v>624</v>
      </c>
      <c r="B194" s="461"/>
      <c r="C194" s="461"/>
      <c r="D194" s="461"/>
      <c r="E194" s="461"/>
      <c r="F194" s="461"/>
      <c r="G194" s="461"/>
      <c r="H194" s="461"/>
    </row>
    <row r="195" spans="1:8">
      <c r="A195" s="462" t="s">
        <v>625</v>
      </c>
      <c r="B195" s="461"/>
      <c r="C195" s="461"/>
      <c r="D195" s="461"/>
      <c r="E195" s="461"/>
      <c r="F195" s="461"/>
      <c r="G195" s="461"/>
      <c r="H195" s="461"/>
    </row>
    <row r="196" spans="1:8">
      <c r="A196" s="462" t="s">
        <v>626</v>
      </c>
      <c r="B196" s="461"/>
      <c r="C196" s="461"/>
      <c r="D196" s="461"/>
      <c r="E196" s="461"/>
      <c r="F196" s="461"/>
      <c r="G196" s="461"/>
      <c r="H196" s="461"/>
    </row>
    <row r="197" spans="1:8">
      <c r="A197" s="462" t="s">
        <v>627</v>
      </c>
      <c r="B197" s="461"/>
      <c r="C197" s="461"/>
      <c r="D197" s="461"/>
      <c r="E197" s="461"/>
      <c r="F197" s="461"/>
      <c r="G197" s="461"/>
      <c r="H197" s="461"/>
    </row>
    <row r="198" spans="1:8">
      <c r="A198" s="461"/>
      <c r="B198" s="461"/>
      <c r="C198" s="461"/>
      <c r="D198" s="461"/>
      <c r="E198" s="461"/>
      <c r="F198" s="461"/>
      <c r="G198" s="461"/>
      <c r="H198" s="461"/>
    </row>
    <row r="199" spans="1:8">
      <c r="A199" s="462" t="s">
        <v>620</v>
      </c>
      <c r="B199" s="461"/>
      <c r="C199" s="461"/>
      <c r="D199" s="461"/>
      <c r="E199" s="461"/>
      <c r="F199" s="461"/>
      <c r="G199" s="461"/>
      <c r="H199" s="461"/>
    </row>
    <row r="200" spans="1:8">
      <c r="A200" s="462" t="s">
        <v>621</v>
      </c>
      <c r="B200" s="461"/>
      <c r="C200" s="461"/>
      <c r="D200" s="461"/>
      <c r="E200" s="461"/>
      <c r="F200" s="461"/>
      <c r="G200" s="461"/>
      <c r="H200" s="461"/>
    </row>
    <row r="201" spans="1:8">
      <c r="A201" s="462" t="s">
        <v>622</v>
      </c>
      <c r="B201" s="461"/>
      <c r="C201" s="461"/>
      <c r="D201" s="461"/>
      <c r="E201" s="461"/>
      <c r="F201" s="461"/>
      <c r="G201" s="461"/>
      <c r="H201" s="461"/>
    </row>
    <row r="202" spans="1:8" ht="15.75">
      <c r="A202" s="463" t="s">
        <v>465</v>
      </c>
      <c r="B202" s="461"/>
      <c r="C202" s="461"/>
      <c r="D202" s="461"/>
      <c r="E202" s="461"/>
      <c r="F202" s="461"/>
      <c r="G202" s="461"/>
      <c r="H202" s="461"/>
    </row>
    <row r="203" spans="1:8">
      <c r="A203" s="461"/>
      <c r="B203" s="461"/>
      <c r="C203" s="461"/>
      <c r="D203" s="461"/>
      <c r="E203" s="461"/>
      <c r="F203" s="461"/>
      <c r="G203" s="461"/>
      <c r="H203" s="461"/>
    </row>
    <row r="204" spans="1:8">
      <c r="A204" s="462" t="s">
        <v>613</v>
      </c>
      <c r="B204" s="461"/>
      <c r="C204" s="461"/>
      <c r="D204" s="461"/>
      <c r="E204" s="461"/>
      <c r="F204" s="461"/>
      <c r="G204" s="461"/>
      <c r="H204" s="461"/>
    </row>
    <row r="205" spans="1:8">
      <c r="A205" s="462" t="s">
        <v>614</v>
      </c>
      <c r="B205" s="461"/>
      <c r="C205" s="461"/>
      <c r="D205" s="461"/>
      <c r="E205" s="461"/>
      <c r="F205" s="461"/>
      <c r="G205" s="461"/>
      <c r="H205" s="461"/>
    </row>
    <row r="206" spans="1:8">
      <c r="A206" s="462" t="s">
        <v>615</v>
      </c>
      <c r="B206" s="461"/>
      <c r="C206" s="461"/>
      <c r="D206" s="461"/>
      <c r="E206" s="461"/>
      <c r="F206" s="461"/>
      <c r="G206" s="461"/>
      <c r="H206" s="461"/>
    </row>
    <row r="207" spans="1:8">
      <c r="A207" s="462" t="s">
        <v>616</v>
      </c>
      <c r="B207" s="461"/>
      <c r="C207" s="461"/>
      <c r="D207" s="461"/>
      <c r="E207" s="461"/>
      <c r="F207" s="461"/>
      <c r="G207" s="461"/>
      <c r="H207" s="461"/>
    </row>
    <row r="208" spans="1:8">
      <c r="A208" s="462" t="s">
        <v>617</v>
      </c>
      <c r="B208" s="461"/>
      <c r="C208" s="461"/>
      <c r="D208" s="461"/>
      <c r="E208" s="461"/>
      <c r="F208" s="461"/>
      <c r="G208" s="461"/>
      <c r="H208" s="461"/>
    </row>
    <row r="209" spans="1:8">
      <c r="A209" s="462" t="s">
        <v>618</v>
      </c>
      <c r="B209" s="461"/>
      <c r="C209" s="461"/>
      <c r="D209" s="461"/>
      <c r="E209" s="461"/>
      <c r="F209" s="461"/>
      <c r="G209" s="461"/>
      <c r="H209" s="461"/>
    </row>
    <row r="210" spans="1:8">
      <c r="A210" s="462" t="s">
        <v>619</v>
      </c>
      <c r="B210" s="461"/>
      <c r="C210" s="461"/>
      <c r="D210" s="461"/>
      <c r="E210" s="461"/>
      <c r="F210" s="461"/>
      <c r="G210" s="461"/>
      <c r="H210" s="461"/>
    </row>
    <row r="211" spans="1:8">
      <c r="A211" s="461"/>
      <c r="B211" s="461"/>
      <c r="C211" s="461"/>
      <c r="D211" s="461"/>
      <c r="E211" s="461"/>
      <c r="F211" s="461"/>
      <c r="G211" s="461"/>
      <c r="H211" s="461"/>
    </row>
    <row r="212" spans="1:8">
      <c r="A212" s="462" t="s">
        <v>610</v>
      </c>
      <c r="B212" s="461"/>
      <c r="C212" s="461"/>
      <c r="D212" s="461"/>
      <c r="E212" s="461"/>
      <c r="F212" s="461"/>
      <c r="G212" s="461"/>
      <c r="H212" s="461"/>
    </row>
    <row r="213" spans="1:8">
      <c r="A213" s="462" t="s">
        <v>611</v>
      </c>
      <c r="B213" s="461"/>
      <c r="C213" s="461"/>
      <c r="D213" s="461"/>
      <c r="E213" s="461"/>
      <c r="F213" s="461"/>
      <c r="G213" s="461"/>
      <c r="H213" s="461"/>
    </row>
    <row r="214" spans="1:8">
      <c r="A214" s="462" t="s">
        <v>612</v>
      </c>
      <c r="B214" s="461"/>
      <c r="C214" s="461"/>
      <c r="D214" s="461"/>
      <c r="E214" s="461"/>
      <c r="F214" s="461"/>
      <c r="G214" s="461"/>
      <c r="H214" s="461"/>
    </row>
    <row r="215" spans="1:8">
      <c r="A215" s="461"/>
      <c r="B215" s="461"/>
      <c r="C215" s="461"/>
      <c r="D215" s="461"/>
      <c r="E215" s="461"/>
      <c r="F215" s="461"/>
      <c r="G215" s="461"/>
      <c r="H215" s="461"/>
    </row>
    <row r="216" spans="1:8">
      <c r="A216" s="462" t="s">
        <v>605</v>
      </c>
      <c r="B216" s="461"/>
      <c r="C216" s="461"/>
      <c r="D216" s="461"/>
      <c r="E216" s="461"/>
      <c r="F216" s="461"/>
      <c r="G216" s="461"/>
      <c r="H216" s="461"/>
    </row>
    <row r="217" spans="1:8">
      <c r="A217" s="462" t="s">
        <v>606</v>
      </c>
      <c r="B217" s="461"/>
      <c r="C217" s="461"/>
      <c r="D217" s="461"/>
      <c r="E217" s="461"/>
      <c r="F217" s="461"/>
      <c r="G217" s="461"/>
      <c r="H217" s="461"/>
    </row>
    <row r="218" spans="1:8">
      <c r="A218" s="462" t="s">
        <v>607</v>
      </c>
      <c r="B218" s="461"/>
      <c r="C218" s="461"/>
      <c r="D218" s="461"/>
      <c r="E218" s="461"/>
      <c r="F218" s="461"/>
      <c r="G218" s="461"/>
      <c r="H218" s="461"/>
    </row>
    <row r="219" spans="1:8">
      <c r="A219" s="462" t="s">
        <v>608</v>
      </c>
      <c r="B219" s="461"/>
      <c r="C219" s="461"/>
      <c r="D219" s="461"/>
      <c r="E219" s="461"/>
      <c r="F219" s="461"/>
      <c r="G219" s="461"/>
      <c r="H219" s="461"/>
    </row>
    <row r="220" spans="1:8">
      <c r="A220" s="462" t="s">
        <v>609</v>
      </c>
      <c r="B220" s="461"/>
      <c r="C220" s="461"/>
      <c r="D220" s="461"/>
      <c r="E220" s="461"/>
      <c r="F220" s="461"/>
      <c r="G220" s="461"/>
      <c r="H220" s="461"/>
    </row>
    <row r="221" spans="1:8">
      <c r="A221" s="461"/>
      <c r="B221" s="461"/>
      <c r="C221" s="461"/>
      <c r="D221" s="461"/>
      <c r="E221" s="461"/>
      <c r="F221" s="461"/>
      <c r="G221" s="461"/>
      <c r="H221" s="461"/>
    </row>
    <row r="222" spans="1:8">
      <c r="A222" s="462" t="s">
        <v>599</v>
      </c>
      <c r="B222" s="461"/>
      <c r="C222" s="461"/>
      <c r="D222" s="461"/>
      <c r="E222" s="461"/>
      <c r="F222" s="461"/>
      <c r="G222" s="461"/>
      <c r="H222" s="461"/>
    </row>
    <row r="223" spans="1:8">
      <c r="A223" s="462" t="s">
        <v>600</v>
      </c>
      <c r="B223" s="461"/>
      <c r="C223" s="461"/>
      <c r="D223" s="461"/>
      <c r="E223" s="461"/>
      <c r="F223" s="461"/>
      <c r="G223" s="461"/>
      <c r="H223" s="461"/>
    </row>
    <row r="224" spans="1:8">
      <c r="A224" s="462" t="s">
        <v>601</v>
      </c>
      <c r="B224" s="461"/>
      <c r="C224" s="461"/>
      <c r="D224" s="461"/>
      <c r="E224" s="461"/>
      <c r="F224" s="461"/>
      <c r="G224" s="461"/>
      <c r="H224" s="461"/>
    </row>
    <row r="225" spans="1:8">
      <c r="A225" s="462" t="s">
        <v>602</v>
      </c>
      <c r="B225" s="461"/>
      <c r="C225" s="461"/>
      <c r="D225" s="461"/>
      <c r="E225" s="461"/>
      <c r="F225" s="461"/>
      <c r="G225" s="461"/>
      <c r="H225" s="461"/>
    </row>
    <row r="226" spans="1:8">
      <c r="A226" s="462" t="s">
        <v>603</v>
      </c>
      <c r="B226" s="461"/>
      <c r="C226" s="461"/>
      <c r="D226" s="461"/>
      <c r="E226" s="461"/>
      <c r="F226" s="461"/>
      <c r="G226" s="461"/>
      <c r="H226" s="461"/>
    </row>
    <row r="227" spans="1:8">
      <c r="A227" s="462" t="s">
        <v>604</v>
      </c>
      <c r="B227" s="461"/>
      <c r="C227" s="461"/>
      <c r="D227" s="461"/>
      <c r="E227" s="461"/>
      <c r="F227" s="461"/>
      <c r="G227" s="461"/>
      <c r="H227" s="461"/>
    </row>
    <row r="228" spans="1:8">
      <c r="A228" s="461"/>
      <c r="B228" s="461"/>
      <c r="C228" s="461"/>
      <c r="D228" s="461"/>
      <c r="E228" s="461"/>
      <c r="F228" s="461"/>
      <c r="G228" s="461"/>
      <c r="H228" s="461"/>
    </row>
    <row r="229" spans="1:8">
      <c r="A229" s="462" t="s">
        <v>589</v>
      </c>
      <c r="B229" s="461"/>
      <c r="C229" s="461"/>
      <c r="D229" s="461"/>
      <c r="E229" s="461"/>
      <c r="F229" s="461"/>
      <c r="G229" s="461"/>
      <c r="H229" s="461"/>
    </row>
    <row r="230" spans="1:8">
      <c r="A230" s="462" t="s">
        <v>590</v>
      </c>
      <c r="B230" s="461"/>
      <c r="C230" s="461"/>
      <c r="D230" s="461"/>
      <c r="E230" s="461"/>
      <c r="F230" s="461"/>
      <c r="G230" s="461"/>
      <c r="H230" s="461"/>
    </row>
    <row r="231" spans="1:8">
      <c r="A231" s="462" t="s">
        <v>591</v>
      </c>
      <c r="B231" s="461"/>
      <c r="C231" s="461"/>
      <c r="D231" s="461"/>
      <c r="E231" s="461"/>
      <c r="F231" s="461"/>
      <c r="G231" s="461"/>
      <c r="H231" s="461"/>
    </row>
    <row r="232" spans="1:8">
      <c r="A232" s="462" t="s">
        <v>592</v>
      </c>
      <c r="B232" s="461"/>
      <c r="C232" s="461"/>
      <c r="D232" s="461"/>
      <c r="E232" s="461"/>
      <c r="F232" s="461"/>
      <c r="G232" s="461"/>
      <c r="H232" s="461"/>
    </row>
    <row r="233" spans="1:8">
      <c r="A233" s="462" t="s">
        <v>593</v>
      </c>
      <c r="B233" s="461"/>
      <c r="C233" s="461"/>
      <c r="D233" s="461"/>
      <c r="E233" s="461"/>
      <c r="F233" s="461"/>
      <c r="G233" s="461"/>
      <c r="H233" s="461"/>
    </row>
    <row r="234" spans="1:8">
      <c r="A234" s="462" t="s">
        <v>594</v>
      </c>
      <c r="B234" s="461"/>
      <c r="C234" s="461"/>
      <c r="D234" s="461"/>
      <c r="E234" s="461"/>
      <c r="F234" s="461"/>
      <c r="G234" s="461"/>
      <c r="H234" s="461"/>
    </row>
    <row r="235" spans="1:8">
      <c r="A235" s="462" t="s">
        <v>595</v>
      </c>
      <c r="B235" s="461"/>
      <c r="C235" s="461"/>
      <c r="D235" s="461"/>
      <c r="E235" s="461"/>
      <c r="F235" s="461"/>
      <c r="G235" s="461"/>
      <c r="H235" s="461"/>
    </row>
    <row r="236" spans="1:8">
      <c r="A236" s="462" t="s">
        <v>596</v>
      </c>
      <c r="B236" s="461"/>
      <c r="C236" s="461"/>
      <c r="D236" s="461"/>
      <c r="E236" s="461"/>
      <c r="F236" s="461"/>
      <c r="G236" s="461"/>
      <c r="H236" s="461"/>
    </row>
    <row r="237" spans="1:8">
      <c r="A237" s="462" t="s">
        <v>597</v>
      </c>
      <c r="B237" s="461"/>
      <c r="C237" s="461"/>
      <c r="D237" s="461"/>
      <c r="E237" s="461"/>
      <c r="F237" s="461"/>
      <c r="G237" s="461"/>
      <c r="H237" s="461"/>
    </row>
    <row r="238" spans="1:8">
      <c r="A238" s="462" t="s">
        <v>598</v>
      </c>
      <c r="B238" s="461"/>
      <c r="C238" s="461"/>
      <c r="D238" s="461"/>
      <c r="E238" s="461"/>
      <c r="F238" s="461"/>
      <c r="G238" s="461"/>
      <c r="H238" s="461"/>
    </row>
    <row r="239" spans="1:8">
      <c r="A239" s="461"/>
      <c r="B239" s="461"/>
      <c r="C239" s="461"/>
      <c r="D239" s="461"/>
      <c r="E239" s="461"/>
      <c r="F239" s="461"/>
      <c r="G239" s="461"/>
      <c r="H239" s="461"/>
    </row>
    <row r="240" spans="1:8">
      <c r="A240" s="462" t="s">
        <v>587</v>
      </c>
      <c r="B240" s="461"/>
      <c r="C240" s="461"/>
      <c r="D240" s="461"/>
      <c r="E240" s="461"/>
      <c r="F240" s="461"/>
      <c r="G240" s="461"/>
      <c r="H240" s="461"/>
    </row>
    <row r="241" spans="1:8">
      <c r="A241" s="462" t="s">
        <v>588</v>
      </c>
      <c r="B241" s="461"/>
      <c r="C241" s="461"/>
      <c r="D241" s="461"/>
      <c r="E241" s="461"/>
      <c r="F241" s="461"/>
      <c r="G241" s="461"/>
      <c r="H241" s="461"/>
    </row>
    <row r="242" spans="1:8">
      <c r="A242" s="461"/>
      <c r="B242" s="461"/>
      <c r="C242" s="461"/>
      <c r="D242" s="461"/>
      <c r="E242" s="461"/>
      <c r="F242" s="461"/>
      <c r="G242" s="461"/>
      <c r="H242" s="461"/>
    </row>
    <row r="243" spans="1:8">
      <c r="A243" s="462" t="s">
        <v>571</v>
      </c>
      <c r="B243" s="461"/>
      <c r="C243" s="461"/>
      <c r="D243" s="461"/>
      <c r="E243" s="461"/>
      <c r="F243" s="461"/>
      <c r="G243" s="461"/>
      <c r="H243" s="461"/>
    </row>
    <row r="244" spans="1:8">
      <c r="A244" s="462" t="s">
        <v>572</v>
      </c>
      <c r="B244" s="461"/>
      <c r="C244" s="461"/>
      <c r="D244" s="461"/>
      <c r="E244" s="461"/>
      <c r="F244" s="461"/>
      <c r="G244" s="461"/>
      <c r="H244" s="461"/>
    </row>
    <row r="245" spans="1:8">
      <c r="A245" s="462" t="s">
        <v>573</v>
      </c>
      <c r="B245" s="461"/>
      <c r="C245" s="461"/>
      <c r="D245" s="461"/>
      <c r="E245" s="461"/>
      <c r="F245" s="461"/>
      <c r="G245" s="461"/>
      <c r="H245" s="461"/>
    </row>
    <row r="246" spans="1:8">
      <c r="A246" s="462" t="s">
        <v>574</v>
      </c>
      <c r="B246" s="461"/>
      <c r="C246" s="461"/>
      <c r="D246" s="461"/>
      <c r="E246" s="461"/>
      <c r="F246" s="461"/>
      <c r="G246" s="461"/>
      <c r="H246" s="461"/>
    </row>
    <row r="247" spans="1:8">
      <c r="A247" s="462" t="s">
        <v>575</v>
      </c>
      <c r="B247" s="461"/>
      <c r="C247" s="461"/>
      <c r="D247" s="461"/>
      <c r="E247" s="461"/>
      <c r="F247" s="461"/>
      <c r="G247" s="461"/>
      <c r="H247" s="461"/>
    </row>
    <row r="248" spans="1:8">
      <c r="A248" s="462" t="s">
        <v>576</v>
      </c>
      <c r="B248" s="461"/>
      <c r="C248" s="461"/>
      <c r="D248" s="461"/>
      <c r="E248" s="461"/>
      <c r="F248" s="461"/>
      <c r="G248" s="461"/>
      <c r="H248" s="461"/>
    </row>
    <row r="249" spans="1:8">
      <c r="A249" s="462" t="s">
        <v>577</v>
      </c>
      <c r="B249" s="461"/>
      <c r="C249" s="461"/>
      <c r="D249" s="461"/>
      <c r="E249" s="461"/>
      <c r="F249" s="461"/>
      <c r="G249" s="461"/>
      <c r="H249" s="461"/>
    </row>
    <row r="250" spans="1:8">
      <c r="A250" s="462" t="s">
        <v>578</v>
      </c>
      <c r="B250" s="461"/>
      <c r="C250" s="461"/>
      <c r="D250" s="461"/>
      <c r="E250" s="461"/>
      <c r="F250" s="461"/>
      <c r="G250" s="461"/>
      <c r="H250" s="461"/>
    </row>
    <row r="251" spans="1:8">
      <c r="A251" s="462" t="s">
        <v>579</v>
      </c>
      <c r="B251" s="461"/>
      <c r="C251" s="461"/>
      <c r="D251" s="461"/>
      <c r="E251" s="461"/>
      <c r="F251" s="461"/>
      <c r="G251" s="461"/>
      <c r="H251" s="461"/>
    </row>
    <row r="252" spans="1:8">
      <c r="A252" s="462" t="s">
        <v>580</v>
      </c>
      <c r="B252" s="461"/>
      <c r="C252" s="461"/>
      <c r="D252" s="461"/>
      <c r="E252" s="461"/>
      <c r="F252" s="461"/>
      <c r="G252" s="461"/>
      <c r="H252" s="461"/>
    </row>
    <row r="253" spans="1:8">
      <c r="A253" s="462" t="s">
        <v>581</v>
      </c>
      <c r="B253" s="461"/>
      <c r="C253" s="461"/>
      <c r="D253" s="461"/>
      <c r="E253" s="461"/>
      <c r="F253" s="461"/>
      <c r="G253" s="461"/>
      <c r="H253" s="461"/>
    </row>
    <row r="254" spans="1:8">
      <c r="A254" s="462" t="s">
        <v>582</v>
      </c>
      <c r="B254" s="461"/>
      <c r="C254" s="461"/>
      <c r="D254" s="461"/>
      <c r="E254" s="461"/>
      <c r="F254" s="461"/>
      <c r="G254" s="461"/>
      <c r="H254" s="461"/>
    </row>
    <row r="255" spans="1:8">
      <c r="A255" s="462" t="s">
        <v>583</v>
      </c>
      <c r="B255" s="461"/>
      <c r="C255" s="461"/>
      <c r="D255" s="461"/>
      <c r="E255" s="461"/>
      <c r="F255" s="461"/>
      <c r="G255" s="461"/>
      <c r="H255" s="461"/>
    </row>
    <row r="256" spans="1:8">
      <c r="A256" s="462" t="s">
        <v>584</v>
      </c>
      <c r="B256" s="461"/>
      <c r="C256" s="461"/>
      <c r="D256" s="461"/>
      <c r="E256" s="461"/>
      <c r="F256" s="461"/>
      <c r="G256" s="461"/>
      <c r="H256" s="461"/>
    </row>
    <row r="257" spans="1:8">
      <c r="A257" s="462" t="s">
        <v>585</v>
      </c>
      <c r="B257" s="461"/>
      <c r="C257" s="461"/>
      <c r="D257" s="461"/>
      <c r="E257" s="461"/>
      <c r="F257" s="461"/>
      <c r="G257" s="461"/>
      <c r="H257" s="461"/>
    </row>
    <row r="258" spans="1:8">
      <c r="A258" s="462" t="s">
        <v>586</v>
      </c>
      <c r="B258" s="461"/>
      <c r="C258" s="461"/>
      <c r="D258" s="461"/>
      <c r="E258" s="461"/>
      <c r="F258" s="461"/>
      <c r="G258" s="461"/>
      <c r="H258" s="461"/>
    </row>
    <row r="259" spans="1:8">
      <c r="A259" s="461"/>
      <c r="B259" s="461"/>
      <c r="C259" s="461"/>
      <c r="D259" s="461"/>
      <c r="E259" s="461"/>
      <c r="F259" s="461"/>
      <c r="G259" s="461"/>
      <c r="H259" s="461"/>
    </row>
    <row r="260" spans="1:8">
      <c r="A260" s="462" t="s">
        <v>564</v>
      </c>
      <c r="B260" s="461"/>
      <c r="C260" s="461"/>
      <c r="D260" s="461"/>
      <c r="E260" s="461"/>
      <c r="F260" s="461"/>
      <c r="G260" s="461"/>
      <c r="H260" s="461"/>
    </row>
    <row r="261" spans="1:8">
      <c r="A261" s="462" t="s">
        <v>565</v>
      </c>
      <c r="B261" s="461"/>
      <c r="C261" s="461"/>
      <c r="D261" s="461"/>
      <c r="E261" s="461"/>
      <c r="F261" s="461"/>
      <c r="G261" s="461"/>
      <c r="H261" s="461"/>
    </row>
    <row r="262" spans="1:8">
      <c r="A262" s="462" t="s">
        <v>566</v>
      </c>
      <c r="B262" s="461"/>
      <c r="C262" s="461"/>
      <c r="D262" s="461"/>
      <c r="E262" s="461"/>
      <c r="F262" s="461"/>
      <c r="G262" s="461"/>
      <c r="H262" s="461"/>
    </row>
    <row r="263" spans="1:8">
      <c r="A263" s="462" t="s">
        <v>567</v>
      </c>
      <c r="B263" s="461"/>
      <c r="C263" s="461"/>
      <c r="D263" s="461"/>
      <c r="E263" s="461"/>
      <c r="F263" s="461"/>
      <c r="G263" s="461"/>
      <c r="H263" s="461"/>
    </row>
    <row r="264" spans="1:8">
      <c r="A264" s="462" t="s">
        <v>568</v>
      </c>
      <c r="B264" s="461"/>
      <c r="C264" s="461"/>
      <c r="D264" s="461"/>
      <c r="E264" s="461"/>
      <c r="F264" s="461"/>
      <c r="G264" s="461"/>
      <c r="H264" s="461"/>
    </row>
    <row r="265" spans="1:8">
      <c r="A265" s="462" t="s">
        <v>569</v>
      </c>
      <c r="B265" s="461"/>
      <c r="C265" s="461"/>
      <c r="D265" s="461"/>
      <c r="E265" s="461"/>
      <c r="F265" s="461"/>
      <c r="G265" s="461"/>
      <c r="H265" s="461"/>
    </row>
    <row r="266" spans="1:8">
      <c r="A266" s="462" t="s">
        <v>570</v>
      </c>
      <c r="B266" s="461"/>
      <c r="C266" s="461"/>
      <c r="D266" s="461"/>
      <c r="E266" s="461"/>
      <c r="F266" s="461"/>
      <c r="G266" s="461"/>
      <c r="H266" s="461"/>
    </row>
    <row r="267" spans="1:8">
      <c r="A267" s="461"/>
      <c r="B267" s="461"/>
      <c r="C267" s="461"/>
      <c r="D267" s="461"/>
      <c r="E267" s="461"/>
      <c r="F267" s="461"/>
      <c r="G267" s="461"/>
      <c r="H267" s="461"/>
    </row>
    <row r="268" spans="1:8">
      <c r="A268" s="462" t="s">
        <v>555</v>
      </c>
      <c r="B268" s="461"/>
      <c r="C268" s="461"/>
      <c r="D268" s="461"/>
      <c r="E268" s="461"/>
      <c r="F268" s="461"/>
      <c r="G268" s="461"/>
      <c r="H268" s="461"/>
    </row>
    <row r="269" spans="1:8">
      <c r="A269" s="462" t="s">
        <v>556</v>
      </c>
      <c r="B269" s="461"/>
      <c r="C269" s="461"/>
      <c r="D269" s="461"/>
      <c r="E269" s="461"/>
      <c r="F269" s="461"/>
      <c r="G269" s="461"/>
      <c r="H269" s="461"/>
    </row>
    <row r="270" spans="1:8">
      <c r="A270" s="462" t="s">
        <v>557</v>
      </c>
      <c r="B270" s="461"/>
      <c r="C270" s="461"/>
      <c r="D270" s="461"/>
      <c r="E270" s="461"/>
      <c r="F270" s="461"/>
      <c r="G270" s="461"/>
      <c r="H270" s="461"/>
    </row>
    <row r="271" spans="1:8">
      <c r="A271" s="462" t="s">
        <v>558</v>
      </c>
      <c r="B271" s="461"/>
      <c r="C271" s="461"/>
      <c r="D271" s="461"/>
      <c r="E271" s="461"/>
      <c r="F271" s="461"/>
      <c r="G271" s="461"/>
      <c r="H271" s="461"/>
    </row>
    <row r="272" spans="1:8">
      <c r="A272" s="462" t="s">
        <v>559</v>
      </c>
      <c r="B272" s="461"/>
      <c r="C272" s="461"/>
      <c r="D272" s="461"/>
      <c r="E272" s="461"/>
      <c r="F272" s="461"/>
      <c r="G272" s="461"/>
      <c r="H272" s="461"/>
    </row>
    <row r="273" spans="1:8">
      <c r="A273" s="462" t="s">
        <v>560</v>
      </c>
      <c r="B273" s="461"/>
      <c r="C273" s="461"/>
      <c r="D273" s="461"/>
      <c r="E273" s="461"/>
      <c r="F273" s="461"/>
      <c r="G273" s="461"/>
      <c r="H273" s="461"/>
    </row>
    <row r="274" spans="1:8">
      <c r="A274" s="462" t="s">
        <v>561</v>
      </c>
      <c r="B274" s="461"/>
      <c r="C274" s="461"/>
      <c r="D274" s="461"/>
      <c r="E274" s="461"/>
      <c r="F274" s="461"/>
      <c r="G274" s="461"/>
      <c r="H274" s="461"/>
    </row>
    <row r="275" spans="1:8">
      <c r="A275" s="462" t="s">
        <v>562</v>
      </c>
      <c r="B275" s="461"/>
      <c r="C275" s="461"/>
      <c r="D275" s="461"/>
      <c r="E275" s="461"/>
      <c r="F275" s="461"/>
      <c r="G275" s="461"/>
      <c r="H275" s="461"/>
    </row>
    <row r="276" spans="1:8">
      <c r="A276" s="462" t="s">
        <v>563</v>
      </c>
      <c r="B276" s="461"/>
      <c r="C276" s="461"/>
      <c r="D276" s="461"/>
      <c r="E276" s="461"/>
      <c r="F276" s="461"/>
      <c r="G276" s="461"/>
      <c r="H276" s="461"/>
    </row>
    <row r="277" spans="1:8">
      <c r="A277" s="461"/>
      <c r="B277" s="461"/>
      <c r="C277" s="461"/>
      <c r="D277" s="461"/>
      <c r="E277" s="461"/>
      <c r="F277" s="461"/>
      <c r="G277" s="461"/>
      <c r="H277" s="461"/>
    </row>
    <row r="278" spans="1:8">
      <c r="A278" s="462" t="s">
        <v>548</v>
      </c>
      <c r="B278" s="461"/>
      <c r="C278" s="461"/>
      <c r="D278" s="461"/>
      <c r="E278" s="461"/>
      <c r="F278" s="461"/>
      <c r="G278" s="461"/>
      <c r="H278" s="461"/>
    </row>
    <row r="279" spans="1:8">
      <c r="A279" s="462" t="s">
        <v>549</v>
      </c>
      <c r="B279" s="461"/>
      <c r="C279" s="461"/>
      <c r="D279" s="461"/>
      <c r="E279" s="461"/>
      <c r="F279" s="461"/>
      <c r="G279" s="461"/>
      <c r="H279" s="461"/>
    </row>
    <row r="280" spans="1:8">
      <c r="A280" s="462" t="s">
        <v>550</v>
      </c>
      <c r="B280" s="461"/>
      <c r="C280" s="461"/>
      <c r="D280" s="461"/>
      <c r="E280" s="461"/>
      <c r="F280" s="461"/>
      <c r="G280" s="461"/>
      <c r="H280" s="461"/>
    </row>
    <row r="281" spans="1:8">
      <c r="A281" s="462" t="s">
        <v>551</v>
      </c>
      <c r="B281" s="461"/>
      <c r="C281" s="461"/>
      <c r="D281" s="461"/>
      <c r="E281" s="461"/>
      <c r="F281" s="461"/>
      <c r="G281" s="461"/>
      <c r="H281" s="461"/>
    </row>
    <row r="282" spans="1:8">
      <c r="A282" s="462" t="s">
        <v>552</v>
      </c>
      <c r="B282" s="461"/>
      <c r="C282" s="461"/>
      <c r="D282" s="461"/>
      <c r="E282" s="461"/>
      <c r="F282" s="461"/>
      <c r="G282" s="461"/>
      <c r="H282" s="461"/>
    </row>
    <row r="283" spans="1:8">
      <c r="A283" s="462" t="s">
        <v>553</v>
      </c>
      <c r="B283" s="461"/>
      <c r="C283" s="461"/>
      <c r="D283" s="461"/>
      <c r="E283" s="461"/>
      <c r="F283" s="461"/>
      <c r="G283" s="461"/>
      <c r="H283" s="461"/>
    </row>
    <row r="284" spans="1:8">
      <c r="A284" s="462" t="s">
        <v>554</v>
      </c>
      <c r="B284" s="461"/>
      <c r="C284" s="461"/>
      <c r="D284" s="461"/>
      <c r="E284" s="461"/>
      <c r="F284" s="461"/>
      <c r="G284" s="461"/>
      <c r="H284" s="461"/>
    </row>
    <row r="285" spans="1:8">
      <c r="A285" s="461"/>
      <c r="B285" s="461"/>
      <c r="C285" s="461"/>
      <c r="D285" s="461"/>
      <c r="E285" s="461"/>
      <c r="F285" s="461"/>
      <c r="G285" s="461"/>
      <c r="H285" s="461"/>
    </row>
    <row r="286" spans="1:8">
      <c r="A286" s="462" t="s">
        <v>545</v>
      </c>
      <c r="B286" s="461"/>
      <c r="C286" s="461"/>
      <c r="D286" s="461"/>
      <c r="E286" s="461"/>
      <c r="F286" s="461"/>
      <c r="G286" s="461"/>
      <c r="H286" s="461"/>
    </row>
    <row r="287" spans="1:8">
      <c r="A287" s="462" t="s">
        <v>546</v>
      </c>
      <c r="B287" s="461"/>
      <c r="C287" s="461"/>
      <c r="D287" s="461"/>
      <c r="E287" s="461"/>
      <c r="F287" s="461"/>
      <c r="G287" s="461"/>
      <c r="H287" s="461"/>
    </row>
    <row r="288" spans="1:8">
      <c r="A288" s="462" t="s">
        <v>547</v>
      </c>
      <c r="B288" s="461"/>
      <c r="C288" s="461"/>
      <c r="D288" s="461"/>
      <c r="E288" s="461"/>
      <c r="F288" s="461"/>
      <c r="G288" s="461"/>
      <c r="H288" s="461"/>
    </row>
    <row r="289" spans="1:8">
      <c r="A289" s="461"/>
      <c r="B289" s="461"/>
      <c r="C289" s="461"/>
      <c r="D289" s="461"/>
      <c r="E289" s="461"/>
      <c r="F289" s="461"/>
      <c r="G289" s="461"/>
      <c r="H289" s="461"/>
    </row>
    <row r="290" spans="1:8">
      <c r="A290" s="462" t="s">
        <v>543</v>
      </c>
      <c r="B290" s="461"/>
      <c r="C290" s="461"/>
      <c r="D290" s="461"/>
      <c r="E290" s="461"/>
      <c r="F290" s="461"/>
      <c r="G290" s="461"/>
      <c r="H290" s="461"/>
    </row>
    <row r="291" spans="1:8">
      <c r="A291" s="462" t="s">
        <v>544</v>
      </c>
      <c r="B291" s="461"/>
      <c r="C291" s="461"/>
      <c r="D291" s="461"/>
      <c r="E291" s="461"/>
      <c r="F291" s="461"/>
      <c r="G291" s="461"/>
      <c r="H291" s="461"/>
    </row>
    <row r="292" spans="1:8">
      <c r="A292" s="461"/>
      <c r="B292" s="461"/>
      <c r="C292" s="461"/>
      <c r="D292" s="461"/>
      <c r="E292" s="461"/>
      <c r="F292" s="461"/>
      <c r="G292" s="461"/>
      <c r="H292" s="461"/>
    </row>
    <row r="293" spans="1:8">
      <c r="A293" s="462" t="s">
        <v>530</v>
      </c>
      <c r="B293" s="461"/>
      <c r="C293" s="461"/>
      <c r="D293" s="461"/>
      <c r="E293" s="461"/>
      <c r="F293" s="461"/>
      <c r="G293" s="461"/>
      <c r="H293" s="461"/>
    </row>
    <row r="294" spans="1:8">
      <c r="A294" s="462" t="s">
        <v>531</v>
      </c>
      <c r="B294" s="461"/>
      <c r="C294" s="461"/>
      <c r="D294" s="461"/>
      <c r="E294" s="461"/>
      <c r="F294" s="461"/>
      <c r="G294" s="461"/>
      <c r="H294" s="461"/>
    </row>
    <row r="295" spans="1:8">
      <c r="A295" s="462" t="s">
        <v>532</v>
      </c>
      <c r="B295" s="461"/>
      <c r="C295" s="461"/>
      <c r="D295" s="461"/>
      <c r="E295" s="461"/>
      <c r="F295" s="461"/>
      <c r="G295" s="461"/>
      <c r="H295" s="461"/>
    </row>
    <row r="296" spans="1:8">
      <c r="A296" s="462" t="s">
        <v>533</v>
      </c>
      <c r="B296" s="461"/>
      <c r="C296" s="461"/>
      <c r="D296" s="461"/>
      <c r="E296" s="461"/>
      <c r="F296" s="461"/>
      <c r="G296" s="461"/>
      <c r="H296" s="461"/>
    </row>
    <row r="297" spans="1:8">
      <c r="A297" s="462" t="s">
        <v>534</v>
      </c>
      <c r="B297" s="461"/>
      <c r="C297" s="461"/>
      <c r="D297" s="461"/>
      <c r="E297" s="461"/>
      <c r="F297" s="461"/>
      <c r="G297" s="461"/>
      <c r="H297" s="461"/>
    </row>
    <row r="298" spans="1:8">
      <c r="A298" s="462" t="s">
        <v>535</v>
      </c>
      <c r="B298" s="461"/>
      <c r="C298" s="461"/>
      <c r="D298" s="461"/>
      <c r="E298" s="461"/>
      <c r="F298" s="461"/>
      <c r="G298" s="461"/>
      <c r="H298" s="461"/>
    </row>
    <row r="299" spans="1:8">
      <c r="A299" s="462" t="s">
        <v>536</v>
      </c>
      <c r="B299" s="461"/>
      <c r="C299" s="461"/>
      <c r="D299" s="461"/>
      <c r="E299" s="461"/>
      <c r="F299" s="461"/>
      <c r="G299" s="461"/>
      <c r="H299" s="461"/>
    </row>
    <row r="300" spans="1:8">
      <c r="A300" s="462" t="s">
        <v>537</v>
      </c>
      <c r="B300" s="461"/>
      <c r="C300" s="461"/>
      <c r="D300" s="461"/>
      <c r="E300" s="461"/>
      <c r="F300" s="461"/>
      <c r="G300" s="461"/>
      <c r="H300" s="461"/>
    </row>
    <row r="301" spans="1:8">
      <c r="A301" s="462" t="s">
        <v>538</v>
      </c>
      <c r="B301" s="461"/>
      <c r="C301" s="461"/>
      <c r="D301" s="461"/>
      <c r="E301" s="461"/>
      <c r="F301" s="461"/>
      <c r="G301" s="461"/>
      <c r="H301" s="461"/>
    </row>
    <row r="302" spans="1:8">
      <c r="A302" s="462" t="s">
        <v>539</v>
      </c>
      <c r="B302" s="461"/>
      <c r="C302" s="461"/>
      <c r="D302" s="461"/>
      <c r="E302" s="461"/>
      <c r="F302" s="461"/>
      <c r="G302" s="461"/>
      <c r="H302" s="461"/>
    </row>
    <row r="303" spans="1:8">
      <c r="A303" s="462" t="s">
        <v>540</v>
      </c>
      <c r="B303" s="461"/>
      <c r="C303" s="461"/>
      <c r="D303" s="461"/>
      <c r="E303" s="461"/>
      <c r="F303" s="461"/>
      <c r="G303" s="461"/>
      <c r="H303" s="461"/>
    </row>
    <row r="304" spans="1:8">
      <c r="A304" s="462" t="s">
        <v>541</v>
      </c>
      <c r="B304" s="461"/>
      <c r="C304" s="461"/>
      <c r="D304" s="461"/>
      <c r="E304" s="461"/>
      <c r="F304" s="461"/>
      <c r="G304" s="461"/>
      <c r="H304" s="461"/>
    </row>
    <row r="305" spans="1:8">
      <c r="A305" s="462" t="s">
        <v>542</v>
      </c>
      <c r="B305" s="461"/>
      <c r="C305" s="461"/>
      <c r="D305" s="461"/>
      <c r="E305" s="461"/>
      <c r="F305" s="461"/>
      <c r="G305" s="461"/>
      <c r="H305" s="461"/>
    </row>
    <row r="306" spans="1:8">
      <c r="A306" s="461"/>
      <c r="B306" s="461"/>
      <c r="C306" s="461"/>
      <c r="D306" s="461"/>
      <c r="E306" s="461"/>
      <c r="F306" s="461"/>
      <c r="G306" s="461"/>
      <c r="H306" s="461"/>
    </row>
    <row r="307" spans="1:8">
      <c r="A307" s="462" t="s">
        <v>522</v>
      </c>
      <c r="B307" s="461"/>
      <c r="C307" s="461"/>
      <c r="D307" s="461"/>
      <c r="E307" s="461"/>
      <c r="F307" s="461"/>
      <c r="G307" s="461"/>
      <c r="H307" s="461"/>
    </row>
    <row r="308" spans="1:8">
      <c r="A308" s="462" t="s">
        <v>523</v>
      </c>
      <c r="B308" s="461"/>
      <c r="C308" s="461"/>
      <c r="D308" s="461"/>
      <c r="E308" s="461"/>
      <c r="F308" s="461"/>
      <c r="G308" s="461"/>
      <c r="H308" s="461"/>
    </row>
    <row r="309" spans="1:8">
      <c r="A309" s="462" t="s">
        <v>524</v>
      </c>
      <c r="B309" s="461"/>
      <c r="C309" s="461"/>
      <c r="D309" s="461"/>
      <c r="E309" s="461"/>
      <c r="F309" s="461"/>
      <c r="G309" s="461"/>
      <c r="H309" s="461"/>
    </row>
    <row r="310" spans="1:8">
      <c r="A310" s="462" t="s">
        <v>525</v>
      </c>
      <c r="B310" s="461"/>
      <c r="C310" s="461"/>
      <c r="D310" s="461"/>
      <c r="E310" s="461"/>
      <c r="F310" s="461"/>
      <c r="G310" s="461"/>
      <c r="H310" s="461"/>
    </row>
    <row r="311" spans="1:8">
      <c r="A311" s="462" t="s">
        <v>526</v>
      </c>
      <c r="B311" s="461"/>
      <c r="C311" s="461"/>
      <c r="D311" s="461"/>
      <c r="E311" s="461"/>
      <c r="F311" s="461"/>
      <c r="G311" s="461"/>
      <c r="H311" s="461"/>
    </row>
    <row r="312" spans="1:8">
      <c r="A312" s="462" t="s">
        <v>527</v>
      </c>
      <c r="B312" s="461"/>
      <c r="C312" s="461"/>
      <c r="D312" s="461"/>
      <c r="E312" s="461"/>
      <c r="F312" s="461"/>
      <c r="G312" s="461"/>
      <c r="H312" s="461"/>
    </row>
    <row r="313" spans="1:8">
      <c r="A313" s="462" t="s">
        <v>528</v>
      </c>
      <c r="B313" s="461"/>
      <c r="C313" s="461"/>
      <c r="D313" s="461"/>
      <c r="E313" s="461"/>
      <c r="F313" s="461"/>
      <c r="G313" s="461"/>
      <c r="H313" s="461"/>
    </row>
    <row r="314" spans="1:8">
      <c r="A314" s="462" t="s">
        <v>529</v>
      </c>
      <c r="B314" s="461"/>
      <c r="C314" s="461"/>
      <c r="D314" s="461"/>
      <c r="E314" s="461"/>
      <c r="F314" s="461"/>
      <c r="G314" s="461"/>
      <c r="H314" s="461"/>
    </row>
    <row r="315" spans="1:8">
      <c r="A315" s="461"/>
      <c r="B315" s="461"/>
      <c r="C315" s="461"/>
      <c r="D315" s="461"/>
      <c r="E315" s="461"/>
      <c r="F315" s="461"/>
      <c r="G315" s="461"/>
      <c r="H315" s="461"/>
    </row>
    <row r="316" spans="1:8">
      <c r="A316" s="462" t="s">
        <v>487</v>
      </c>
      <c r="B316" s="461"/>
      <c r="C316" s="461"/>
      <c r="D316" s="461"/>
      <c r="E316" s="461"/>
      <c r="F316" s="461"/>
      <c r="G316" s="461"/>
      <c r="H316" s="461"/>
    </row>
    <row r="317" spans="1:8">
      <c r="A317" s="462" t="s">
        <v>488</v>
      </c>
      <c r="B317" s="461"/>
      <c r="C317" s="461"/>
      <c r="D317" s="461"/>
      <c r="E317" s="461"/>
      <c r="F317" s="461"/>
      <c r="G317" s="461"/>
      <c r="H317" s="461"/>
    </row>
    <row r="318" spans="1:8">
      <c r="A318" s="462" t="s">
        <v>489</v>
      </c>
      <c r="B318" s="461"/>
      <c r="C318" s="461"/>
      <c r="D318" s="461"/>
      <c r="E318" s="461"/>
      <c r="F318" s="461"/>
      <c r="G318" s="461"/>
      <c r="H318" s="461"/>
    </row>
    <row r="319" spans="1:8">
      <c r="A319" s="462" t="s">
        <v>490</v>
      </c>
      <c r="B319" s="461"/>
      <c r="C319" s="461"/>
      <c r="D319" s="461"/>
      <c r="E319" s="461"/>
      <c r="F319" s="461"/>
      <c r="G319" s="461"/>
      <c r="H319" s="461"/>
    </row>
    <row r="320" spans="1:8">
      <c r="A320" s="462" t="s">
        <v>491</v>
      </c>
      <c r="B320" s="461"/>
      <c r="C320" s="461"/>
      <c r="D320" s="461"/>
      <c r="E320" s="461"/>
      <c r="F320" s="461"/>
      <c r="G320" s="461"/>
      <c r="H320" s="461"/>
    </row>
    <row r="321" spans="1:8">
      <c r="A321" s="462" t="s">
        <v>492</v>
      </c>
      <c r="B321" s="461"/>
      <c r="C321" s="461"/>
      <c r="D321" s="461"/>
      <c r="E321" s="461"/>
      <c r="F321" s="461"/>
      <c r="G321" s="461"/>
      <c r="H321" s="461"/>
    </row>
    <row r="322" spans="1:8">
      <c r="A322" s="462" t="s">
        <v>493</v>
      </c>
      <c r="B322" s="461"/>
      <c r="C322" s="461"/>
      <c r="D322" s="461"/>
      <c r="E322" s="461"/>
      <c r="F322" s="461"/>
      <c r="G322" s="461"/>
      <c r="H322" s="461"/>
    </row>
    <row r="323" spans="1:8">
      <c r="A323" s="462" t="s">
        <v>494</v>
      </c>
      <c r="B323" s="461"/>
      <c r="C323" s="461"/>
      <c r="D323" s="461"/>
      <c r="E323" s="461"/>
      <c r="F323" s="461"/>
      <c r="G323" s="461"/>
      <c r="H323" s="461"/>
    </row>
    <row r="324" spans="1:8">
      <c r="A324" s="462" t="s">
        <v>495</v>
      </c>
      <c r="B324" s="461"/>
      <c r="C324" s="461"/>
      <c r="D324" s="461"/>
      <c r="E324" s="461"/>
      <c r="F324" s="461"/>
      <c r="G324" s="461"/>
      <c r="H324" s="461"/>
    </row>
    <row r="325" spans="1:8">
      <c r="A325" s="462" t="s">
        <v>496</v>
      </c>
      <c r="B325" s="461"/>
      <c r="C325" s="461"/>
      <c r="D325" s="461"/>
      <c r="E325" s="461"/>
      <c r="F325" s="461"/>
      <c r="G325" s="461"/>
      <c r="H325" s="461"/>
    </row>
    <row r="326" spans="1:8">
      <c r="A326" s="462" t="s">
        <v>497</v>
      </c>
      <c r="B326" s="461"/>
      <c r="C326" s="461"/>
      <c r="D326" s="461"/>
      <c r="E326" s="461"/>
      <c r="F326" s="461"/>
      <c r="G326" s="461"/>
      <c r="H326" s="461"/>
    </row>
    <row r="327" spans="1:8">
      <c r="A327" s="462" t="s">
        <v>498</v>
      </c>
      <c r="B327" s="461"/>
      <c r="C327" s="461"/>
      <c r="D327" s="461"/>
      <c r="E327" s="461"/>
      <c r="F327" s="461"/>
      <c r="G327" s="461"/>
      <c r="H327" s="461"/>
    </row>
    <row r="328" spans="1:8">
      <c r="A328" s="462" t="s">
        <v>499</v>
      </c>
      <c r="B328" s="461"/>
      <c r="C328" s="461"/>
      <c r="D328" s="461"/>
      <c r="E328" s="461"/>
      <c r="F328" s="461"/>
      <c r="G328" s="461"/>
      <c r="H328" s="461"/>
    </row>
    <row r="329" spans="1:8">
      <c r="A329" s="462" t="s">
        <v>500</v>
      </c>
      <c r="B329" s="461"/>
      <c r="C329" s="461"/>
      <c r="D329" s="461"/>
      <c r="E329" s="461"/>
      <c r="F329" s="461"/>
      <c r="G329" s="461"/>
      <c r="H329" s="461"/>
    </row>
    <row r="330" spans="1:8">
      <c r="A330" s="462" t="s">
        <v>501</v>
      </c>
      <c r="B330" s="461"/>
      <c r="C330" s="461"/>
      <c r="D330" s="461"/>
      <c r="E330" s="461"/>
      <c r="F330" s="461"/>
      <c r="G330" s="461"/>
      <c r="H330" s="461"/>
    </row>
    <row r="331" spans="1:8">
      <c r="A331" s="462" t="s">
        <v>502</v>
      </c>
      <c r="B331" s="461"/>
      <c r="C331" s="461"/>
      <c r="D331" s="461"/>
      <c r="E331" s="461"/>
      <c r="F331" s="461"/>
      <c r="G331" s="461"/>
      <c r="H331" s="461"/>
    </row>
    <row r="332" spans="1:8">
      <c r="A332" s="462" t="s">
        <v>503</v>
      </c>
      <c r="B332" s="461"/>
      <c r="C332" s="461"/>
      <c r="D332" s="461"/>
      <c r="E332" s="461"/>
      <c r="F332" s="461"/>
      <c r="G332" s="461"/>
      <c r="H332" s="461"/>
    </row>
    <row r="333" spans="1:8">
      <c r="A333" s="462" t="s">
        <v>504</v>
      </c>
      <c r="B333" s="461"/>
      <c r="C333" s="461"/>
      <c r="D333" s="461"/>
      <c r="E333" s="461"/>
      <c r="F333" s="461"/>
      <c r="G333" s="461"/>
      <c r="H333" s="461"/>
    </row>
    <row r="334" spans="1:8">
      <c r="A334" s="462" t="s">
        <v>505</v>
      </c>
      <c r="B334" s="461"/>
      <c r="C334" s="461"/>
      <c r="D334" s="461"/>
      <c r="E334" s="461"/>
      <c r="F334" s="461"/>
      <c r="G334" s="461"/>
      <c r="H334" s="461"/>
    </row>
    <row r="335" spans="1:8">
      <c r="A335" s="462" t="s">
        <v>506</v>
      </c>
      <c r="B335" s="461"/>
      <c r="C335" s="461"/>
      <c r="D335" s="461"/>
      <c r="E335" s="461"/>
      <c r="F335" s="461"/>
      <c r="G335" s="461"/>
      <c r="H335" s="461"/>
    </row>
    <row r="336" spans="1:8">
      <c r="A336" s="462" t="s">
        <v>507</v>
      </c>
      <c r="B336" s="461"/>
      <c r="C336" s="461"/>
      <c r="D336" s="461"/>
      <c r="E336" s="461"/>
      <c r="F336" s="461"/>
      <c r="G336" s="461"/>
      <c r="H336" s="461"/>
    </row>
    <row r="337" spans="1:8">
      <c r="A337" s="462" t="s">
        <v>508</v>
      </c>
      <c r="B337" s="461"/>
      <c r="C337" s="461"/>
      <c r="D337" s="461"/>
      <c r="E337" s="461"/>
      <c r="F337" s="461"/>
      <c r="G337" s="461"/>
      <c r="H337" s="461"/>
    </row>
    <row r="338" spans="1:8">
      <c r="A338" s="462" t="s">
        <v>509</v>
      </c>
      <c r="B338" s="461"/>
      <c r="C338" s="461"/>
      <c r="D338" s="461"/>
      <c r="E338" s="461"/>
      <c r="F338" s="461"/>
      <c r="G338" s="461"/>
      <c r="H338" s="461"/>
    </row>
    <row r="339" spans="1:8">
      <c r="A339" s="462" t="s">
        <v>510</v>
      </c>
      <c r="B339" s="461"/>
      <c r="C339" s="461"/>
      <c r="D339" s="461"/>
      <c r="E339" s="461"/>
      <c r="F339" s="461"/>
      <c r="G339" s="461"/>
      <c r="H339" s="461"/>
    </row>
    <row r="340" spans="1:8">
      <c r="A340" s="462" t="s">
        <v>511</v>
      </c>
      <c r="B340" s="461"/>
      <c r="C340" s="461"/>
      <c r="D340" s="461"/>
      <c r="E340" s="461"/>
      <c r="F340" s="461"/>
      <c r="G340" s="461"/>
      <c r="H340" s="461"/>
    </row>
    <row r="341" spans="1:8">
      <c r="A341" s="462" t="s">
        <v>512</v>
      </c>
      <c r="B341" s="461"/>
      <c r="C341" s="461"/>
      <c r="D341" s="461"/>
      <c r="E341" s="461"/>
      <c r="F341" s="461"/>
      <c r="G341" s="461"/>
      <c r="H341" s="461"/>
    </row>
    <row r="342" spans="1:8">
      <c r="A342" s="462" t="s">
        <v>513</v>
      </c>
      <c r="B342" s="461"/>
      <c r="C342" s="461"/>
      <c r="D342" s="461"/>
      <c r="E342" s="461"/>
      <c r="F342" s="461"/>
      <c r="G342" s="461"/>
      <c r="H342" s="461"/>
    </row>
    <row r="343" spans="1:8">
      <c r="A343" s="462" t="s">
        <v>514</v>
      </c>
      <c r="B343" s="461"/>
      <c r="C343" s="461"/>
      <c r="D343" s="461"/>
      <c r="E343" s="461"/>
      <c r="F343" s="461"/>
      <c r="G343" s="461"/>
      <c r="H343" s="461"/>
    </row>
    <row r="344" spans="1:8">
      <c r="A344" s="462" t="s">
        <v>515</v>
      </c>
      <c r="B344" s="461"/>
      <c r="C344" s="461"/>
      <c r="D344" s="461"/>
      <c r="E344" s="461"/>
      <c r="F344" s="461"/>
      <c r="G344" s="461"/>
      <c r="H344" s="461"/>
    </row>
    <row r="345" spans="1:8">
      <c r="A345" s="462" t="s">
        <v>516</v>
      </c>
      <c r="B345" s="461"/>
      <c r="C345" s="461"/>
      <c r="D345" s="461"/>
      <c r="E345" s="461"/>
      <c r="F345" s="461"/>
      <c r="G345" s="461"/>
      <c r="H345" s="461"/>
    </row>
    <row r="346" spans="1:8">
      <c r="A346" s="462" t="s">
        <v>517</v>
      </c>
      <c r="B346" s="461"/>
      <c r="C346" s="461"/>
      <c r="D346" s="461"/>
      <c r="E346" s="461"/>
      <c r="F346" s="461"/>
      <c r="G346" s="461"/>
      <c r="H346" s="461"/>
    </row>
    <row r="347" spans="1:8">
      <c r="A347" s="462" t="s">
        <v>518</v>
      </c>
      <c r="B347" s="461"/>
      <c r="C347" s="461"/>
      <c r="D347" s="461"/>
      <c r="E347" s="461"/>
      <c r="F347" s="461"/>
      <c r="G347" s="461"/>
      <c r="H347" s="461"/>
    </row>
    <row r="348" spans="1:8">
      <c r="A348" s="462" t="s">
        <v>519</v>
      </c>
      <c r="B348" s="461"/>
      <c r="C348" s="461"/>
      <c r="D348" s="461"/>
      <c r="E348" s="461"/>
      <c r="F348" s="461"/>
      <c r="G348" s="461"/>
      <c r="H348" s="461"/>
    </row>
    <row r="349" spans="1:8">
      <c r="A349" s="462" t="s">
        <v>520</v>
      </c>
      <c r="B349" s="461"/>
      <c r="C349" s="461"/>
      <c r="D349" s="461"/>
      <c r="E349" s="461"/>
      <c r="F349" s="461"/>
      <c r="G349" s="461"/>
      <c r="H349" s="461"/>
    </row>
    <row r="350" spans="1:8">
      <c r="A350" s="462" t="s">
        <v>521</v>
      </c>
      <c r="B350" s="461"/>
      <c r="C350" s="461"/>
      <c r="D350" s="461"/>
      <c r="E350" s="461"/>
      <c r="F350" s="461"/>
      <c r="G350" s="461"/>
      <c r="H350" s="461"/>
    </row>
    <row r="351" spans="1:8">
      <c r="A351" s="461"/>
      <c r="B351" s="461"/>
      <c r="C351" s="461"/>
      <c r="D351" s="461"/>
      <c r="E351" s="461"/>
      <c r="F351" s="461"/>
      <c r="G351" s="461"/>
      <c r="H351" s="461"/>
    </row>
    <row r="352" spans="1:8">
      <c r="A352" s="462" t="s">
        <v>479</v>
      </c>
      <c r="B352" s="461"/>
      <c r="C352" s="461"/>
      <c r="D352" s="461"/>
      <c r="E352" s="461"/>
      <c r="F352" s="461"/>
      <c r="G352" s="461"/>
      <c r="H352" s="461"/>
    </row>
    <row r="353" spans="1:8">
      <c r="A353" s="462" t="s">
        <v>483</v>
      </c>
      <c r="B353" s="461"/>
      <c r="C353" s="461"/>
      <c r="D353" s="461"/>
      <c r="E353" s="461"/>
      <c r="F353" s="461"/>
      <c r="G353" s="461"/>
      <c r="H353" s="461"/>
    </row>
    <row r="354" spans="1:8">
      <c r="A354" s="462" t="s">
        <v>484</v>
      </c>
      <c r="B354" s="461"/>
      <c r="C354" s="461"/>
      <c r="D354" s="461"/>
      <c r="E354" s="461"/>
      <c r="F354" s="461"/>
      <c r="G354" s="461"/>
      <c r="H354" s="461"/>
    </row>
    <row r="355" spans="1:8">
      <c r="A355" s="462" t="s">
        <v>485</v>
      </c>
      <c r="B355" s="461"/>
      <c r="C355" s="461"/>
      <c r="D355" s="461"/>
      <c r="E355" s="461"/>
      <c r="F355" s="461"/>
      <c r="G355" s="461"/>
      <c r="H355" s="461"/>
    </row>
    <row r="356" spans="1:8">
      <c r="A356" s="462" t="s">
        <v>486</v>
      </c>
      <c r="B356" s="461"/>
      <c r="C356" s="461"/>
      <c r="D356" s="461"/>
      <c r="E356" s="461"/>
      <c r="F356" s="461"/>
      <c r="G356" s="461"/>
      <c r="H356" s="461"/>
    </row>
    <row r="357" spans="1:8">
      <c r="A357" s="461"/>
      <c r="B357" s="461"/>
      <c r="C357" s="461"/>
      <c r="D357" s="461"/>
      <c r="E357" s="461"/>
      <c r="F357" s="461"/>
      <c r="G357" s="461"/>
      <c r="H357" s="461"/>
    </row>
    <row r="358" spans="1:8">
      <c r="A358" s="462" t="s">
        <v>479</v>
      </c>
      <c r="B358" s="461"/>
      <c r="C358" s="461"/>
      <c r="D358" s="461"/>
      <c r="E358" s="461"/>
      <c r="F358" s="461"/>
      <c r="G358" s="461"/>
      <c r="H358" s="461"/>
    </row>
    <row r="359" spans="1:8">
      <c r="A359" s="462" t="s">
        <v>480</v>
      </c>
      <c r="B359" s="461"/>
      <c r="C359" s="461"/>
      <c r="D359" s="461"/>
      <c r="E359" s="461"/>
      <c r="F359" s="461"/>
      <c r="G359" s="461"/>
      <c r="H359" s="461"/>
    </row>
    <row r="360" spans="1:8">
      <c r="A360" s="462" t="s">
        <v>481</v>
      </c>
      <c r="B360" s="461"/>
      <c r="C360" s="461"/>
      <c r="D360" s="461"/>
      <c r="E360" s="461"/>
      <c r="F360" s="461"/>
      <c r="G360" s="461"/>
      <c r="H360" s="461"/>
    </row>
    <row r="361" spans="1:8">
      <c r="A361" s="462" t="s">
        <v>482</v>
      </c>
      <c r="B361" s="461"/>
      <c r="C361" s="461"/>
      <c r="D361" s="461"/>
      <c r="E361" s="461"/>
      <c r="F361" s="461"/>
      <c r="G361" s="461"/>
      <c r="H361" s="461"/>
    </row>
    <row r="362" spans="1:8">
      <c r="A362" s="461"/>
      <c r="B362" s="461"/>
      <c r="C362" s="461"/>
      <c r="D362" s="461"/>
      <c r="E362" s="461"/>
      <c r="F362" s="461"/>
      <c r="G362" s="461"/>
      <c r="H362" s="461"/>
    </row>
    <row r="363" spans="1:8">
      <c r="A363" s="462" t="s">
        <v>473</v>
      </c>
      <c r="B363" s="461"/>
      <c r="C363" s="461"/>
      <c r="D363" s="461"/>
      <c r="E363" s="461"/>
      <c r="F363" s="461"/>
      <c r="G363" s="461"/>
      <c r="H363" s="461"/>
    </row>
    <row r="364" spans="1:8">
      <c r="A364" s="462" t="s">
        <v>474</v>
      </c>
      <c r="B364" s="461"/>
      <c r="C364" s="461"/>
      <c r="D364" s="461"/>
      <c r="E364" s="461"/>
      <c r="F364" s="461"/>
      <c r="G364" s="461"/>
      <c r="H364" s="461"/>
    </row>
    <row r="365" spans="1:8">
      <c r="A365" s="462" t="s">
        <v>475</v>
      </c>
      <c r="B365" s="461"/>
      <c r="C365" s="461"/>
      <c r="D365" s="461"/>
      <c r="E365" s="461"/>
      <c r="F365" s="461"/>
      <c r="G365" s="461"/>
      <c r="H365" s="461"/>
    </row>
    <row r="366" spans="1:8">
      <c r="A366" s="462" t="s">
        <v>476</v>
      </c>
      <c r="B366" s="461"/>
      <c r="C366" s="461"/>
      <c r="D366" s="461"/>
      <c r="E366" s="461"/>
      <c r="F366" s="461"/>
      <c r="G366" s="461"/>
      <c r="H366" s="461"/>
    </row>
    <row r="367" spans="1:8">
      <c r="A367" s="462" t="s">
        <v>477</v>
      </c>
      <c r="B367" s="461"/>
      <c r="C367" s="461"/>
      <c r="D367" s="461"/>
      <c r="E367" s="461"/>
      <c r="F367" s="461"/>
      <c r="G367" s="461"/>
      <c r="H367" s="461"/>
    </row>
    <row r="368" spans="1:8">
      <c r="A368" s="462" t="s">
        <v>478</v>
      </c>
      <c r="B368" s="461"/>
      <c r="C368" s="461"/>
      <c r="D368" s="461"/>
      <c r="E368" s="461"/>
      <c r="F368" s="461"/>
      <c r="G368" s="461"/>
      <c r="H368" s="461"/>
    </row>
    <row r="369" spans="1:8">
      <c r="A369" s="461"/>
      <c r="B369" s="461"/>
      <c r="C369" s="461"/>
      <c r="D369" s="461"/>
      <c r="E369" s="461"/>
      <c r="F369" s="461"/>
      <c r="G369" s="461"/>
      <c r="H369" s="461"/>
    </row>
    <row r="370" spans="1:8">
      <c r="A370" s="462" t="s">
        <v>468</v>
      </c>
      <c r="B370" s="461"/>
      <c r="C370" s="461"/>
      <c r="D370" s="461"/>
      <c r="E370" s="461"/>
      <c r="F370" s="461"/>
      <c r="G370" s="461"/>
      <c r="H370" s="461"/>
    </row>
    <row r="371" spans="1:8">
      <c r="A371" s="462" t="s">
        <v>469</v>
      </c>
      <c r="B371" s="461"/>
      <c r="C371" s="461"/>
      <c r="D371" s="461"/>
      <c r="E371" s="461"/>
      <c r="F371" s="461"/>
      <c r="G371" s="461"/>
      <c r="H371" s="461"/>
    </row>
    <row r="372" spans="1:8">
      <c r="A372" s="462" t="s">
        <v>470</v>
      </c>
      <c r="B372" s="461"/>
      <c r="C372" s="461"/>
      <c r="D372" s="461"/>
      <c r="E372" s="461"/>
      <c r="F372" s="461"/>
      <c r="G372" s="461"/>
      <c r="H372" s="461"/>
    </row>
    <row r="373" spans="1:8">
      <c r="A373" s="462" t="s">
        <v>471</v>
      </c>
      <c r="B373" s="461"/>
      <c r="C373" s="461"/>
      <c r="D373" s="461"/>
      <c r="E373" s="461"/>
      <c r="F373" s="461"/>
      <c r="G373" s="461"/>
      <c r="H373" s="461"/>
    </row>
    <row r="374" spans="1:8">
      <c r="A374" s="462" t="s">
        <v>472</v>
      </c>
      <c r="B374" s="461"/>
      <c r="C374" s="461"/>
      <c r="D374" s="461"/>
      <c r="E374" s="461"/>
      <c r="F374" s="461"/>
      <c r="G374" s="461"/>
      <c r="H374" s="461"/>
    </row>
    <row r="375" spans="1:8">
      <c r="A375" s="461"/>
      <c r="B375" s="461"/>
      <c r="C375" s="461"/>
      <c r="D375" s="461"/>
      <c r="E375" s="461"/>
      <c r="F375" s="461"/>
      <c r="G375" s="461"/>
      <c r="H375" s="461"/>
    </row>
    <row r="376" spans="1:8">
      <c r="A376" s="462" t="s">
        <v>466</v>
      </c>
      <c r="B376" s="461"/>
      <c r="C376" s="461"/>
      <c r="D376" s="461"/>
      <c r="E376" s="461"/>
      <c r="F376" s="461"/>
      <c r="G376" s="461"/>
      <c r="H376" s="461"/>
    </row>
    <row r="377" spans="1:8">
      <c r="A377" s="462" t="s">
        <v>467</v>
      </c>
      <c r="B377" s="461"/>
      <c r="C377" s="461"/>
      <c r="D377" s="461"/>
      <c r="E377" s="461"/>
      <c r="F377" s="461"/>
      <c r="G377" s="461"/>
      <c r="H377" s="461"/>
    </row>
    <row r="379" spans="1:8">
      <c r="A379" s="457" t="s">
        <v>715</v>
      </c>
    </row>
  </sheetData>
  <mergeCells count="12">
    <mergeCell ref="A120:H120"/>
    <mergeCell ref="A121:H121"/>
    <mergeCell ref="B113:C113"/>
    <mergeCell ref="D113:F113"/>
    <mergeCell ref="G113:H113"/>
    <mergeCell ref="A99:H99"/>
    <mergeCell ref="A100:H100"/>
    <mergeCell ref="A101:H101"/>
    <mergeCell ref="A102:H102"/>
    <mergeCell ref="A104:H104"/>
    <mergeCell ref="A105:H105"/>
    <mergeCell ref="A112:H112"/>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T40"/>
  <sheetViews>
    <sheetView zoomScaleNormal="100" workbookViewId="0">
      <selection activeCell="D31" sqref="D31"/>
    </sheetView>
  </sheetViews>
  <sheetFormatPr defaultRowHeight="12.75"/>
  <cols>
    <col min="1" max="1" width="4" customWidth="1"/>
    <col min="2" max="2" width="31.140625" bestFit="1" customWidth="1"/>
    <col min="3" max="3" width="0" hidden="1" customWidth="1"/>
    <col min="21" max="21" width="9.7109375" customWidth="1"/>
    <col min="258" max="258" width="4" customWidth="1"/>
    <col min="259" max="259" width="22.5703125" bestFit="1" customWidth="1"/>
    <col min="514" max="514" width="4" customWidth="1"/>
    <col min="515" max="515" width="22.5703125" bestFit="1" customWidth="1"/>
    <col min="770" max="770" width="4" customWidth="1"/>
    <col min="771" max="771" width="22.5703125" bestFit="1" customWidth="1"/>
    <col min="1026" max="1026" width="4" customWidth="1"/>
    <col min="1027" max="1027" width="22.5703125" bestFit="1" customWidth="1"/>
    <col min="1282" max="1282" width="4" customWidth="1"/>
    <col min="1283" max="1283" width="22.5703125" bestFit="1" customWidth="1"/>
    <col min="1538" max="1538" width="4" customWidth="1"/>
    <col min="1539" max="1539" width="22.5703125" bestFit="1" customWidth="1"/>
    <col min="1794" max="1794" width="4" customWidth="1"/>
    <col min="1795" max="1795" width="22.5703125" bestFit="1" customWidth="1"/>
    <col min="2050" max="2050" width="4" customWidth="1"/>
    <col min="2051" max="2051" width="22.5703125" bestFit="1" customWidth="1"/>
    <col min="2306" max="2306" width="4" customWidth="1"/>
    <col min="2307" max="2307" width="22.5703125" bestFit="1" customWidth="1"/>
    <col min="2562" max="2562" width="4" customWidth="1"/>
    <col min="2563" max="2563" width="22.5703125" bestFit="1" customWidth="1"/>
    <col min="2818" max="2818" width="4" customWidth="1"/>
    <col min="2819" max="2819" width="22.5703125" bestFit="1" customWidth="1"/>
    <col min="3074" max="3074" width="4" customWidth="1"/>
    <col min="3075" max="3075" width="22.5703125" bestFit="1" customWidth="1"/>
    <col min="3330" max="3330" width="4" customWidth="1"/>
    <col min="3331" max="3331" width="22.5703125" bestFit="1" customWidth="1"/>
    <col min="3586" max="3586" width="4" customWidth="1"/>
    <col min="3587" max="3587" width="22.5703125" bestFit="1" customWidth="1"/>
    <col min="3842" max="3842" width="4" customWidth="1"/>
    <col min="3843" max="3843" width="22.5703125" bestFit="1" customWidth="1"/>
    <col min="4098" max="4098" width="4" customWidth="1"/>
    <col min="4099" max="4099" width="22.5703125" bestFit="1" customWidth="1"/>
    <col min="4354" max="4354" width="4" customWidth="1"/>
    <col min="4355" max="4355" width="22.5703125" bestFit="1" customWidth="1"/>
    <col min="4610" max="4610" width="4" customWidth="1"/>
    <col min="4611" max="4611" width="22.5703125" bestFit="1" customWidth="1"/>
    <col min="4866" max="4866" width="4" customWidth="1"/>
    <col min="4867" max="4867" width="22.5703125" bestFit="1" customWidth="1"/>
    <col min="5122" max="5122" width="4" customWidth="1"/>
    <col min="5123" max="5123" width="22.5703125" bestFit="1" customWidth="1"/>
    <col min="5378" max="5378" width="4" customWidth="1"/>
    <col min="5379" max="5379" width="22.5703125" bestFit="1" customWidth="1"/>
    <col min="5634" max="5634" width="4" customWidth="1"/>
    <col min="5635" max="5635" width="22.5703125" bestFit="1" customWidth="1"/>
    <col min="5890" max="5890" width="4" customWidth="1"/>
    <col min="5891" max="5891" width="22.5703125" bestFit="1" customWidth="1"/>
    <col min="6146" max="6146" width="4" customWidth="1"/>
    <col min="6147" max="6147" width="22.5703125" bestFit="1" customWidth="1"/>
    <col min="6402" max="6402" width="4" customWidth="1"/>
    <col min="6403" max="6403" width="22.5703125" bestFit="1" customWidth="1"/>
    <col min="6658" max="6658" width="4" customWidth="1"/>
    <col min="6659" max="6659" width="22.5703125" bestFit="1" customWidth="1"/>
    <col min="6914" max="6914" width="4" customWidth="1"/>
    <col min="6915" max="6915" width="22.5703125" bestFit="1" customWidth="1"/>
    <col min="7170" max="7170" width="4" customWidth="1"/>
    <col min="7171" max="7171" width="22.5703125" bestFit="1" customWidth="1"/>
    <col min="7426" max="7426" width="4" customWidth="1"/>
    <col min="7427" max="7427" width="22.5703125" bestFit="1" customWidth="1"/>
    <col min="7682" max="7682" width="4" customWidth="1"/>
    <col min="7683" max="7683" width="22.5703125" bestFit="1" customWidth="1"/>
    <col min="7938" max="7938" width="4" customWidth="1"/>
    <col min="7939" max="7939" width="22.5703125" bestFit="1" customWidth="1"/>
    <col min="8194" max="8194" width="4" customWidth="1"/>
    <col min="8195" max="8195" width="22.5703125" bestFit="1" customWidth="1"/>
    <col min="8450" max="8450" width="4" customWidth="1"/>
    <col min="8451" max="8451" width="22.5703125" bestFit="1" customWidth="1"/>
    <col min="8706" max="8706" width="4" customWidth="1"/>
    <col min="8707" max="8707" width="22.5703125" bestFit="1" customWidth="1"/>
    <col min="8962" max="8962" width="4" customWidth="1"/>
    <col min="8963" max="8963" width="22.5703125" bestFit="1" customWidth="1"/>
    <col min="9218" max="9218" width="4" customWidth="1"/>
    <col min="9219" max="9219" width="22.5703125" bestFit="1" customWidth="1"/>
    <col min="9474" max="9474" width="4" customWidth="1"/>
    <col min="9475" max="9475" width="22.5703125" bestFit="1" customWidth="1"/>
    <col min="9730" max="9730" width="4" customWidth="1"/>
    <col min="9731" max="9731" width="22.5703125" bestFit="1" customWidth="1"/>
    <col min="9986" max="9986" width="4" customWidth="1"/>
    <col min="9987" max="9987" width="22.5703125" bestFit="1" customWidth="1"/>
    <col min="10242" max="10242" width="4" customWidth="1"/>
    <col min="10243" max="10243" width="22.5703125" bestFit="1" customWidth="1"/>
    <col min="10498" max="10498" width="4" customWidth="1"/>
    <col min="10499" max="10499" width="22.5703125" bestFit="1" customWidth="1"/>
    <col min="10754" max="10754" width="4" customWidth="1"/>
    <col min="10755" max="10755" width="22.5703125" bestFit="1" customWidth="1"/>
    <col min="11010" max="11010" width="4" customWidth="1"/>
    <col min="11011" max="11011" width="22.5703125" bestFit="1" customWidth="1"/>
    <col min="11266" max="11266" width="4" customWidth="1"/>
    <col min="11267" max="11267" width="22.5703125" bestFit="1" customWidth="1"/>
    <col min="11522" max="11522" width="4" customWidth="1"/>
    <col min="11523" max="11523" width="22.5703125" bestFit="1" customWidth="1"/>
    <col min="11778" max="11778" width="4" customWidth="1"/>
    <col min="11779" max="11779" width="22.5703125" bestFit="1" customWidth="1"/>
    <col min="12034" max="12034" width="4" customWidth="1"/>
    <col min="12035" max="12035" width="22.5703125" bestFit="1" customWidth="1"/>
    <col min="12290" max="12290" width="4" customWidth="1"/>
    <col min="12291" max="12291" width="22.5703125" bestFit="1" customWidth="1"/>
    <col min="12546" max="12546" width="4" customWidth="1"/>
    <col min="12547" max="12547" width="22.5703125" bestFit="1" customWidth="1"/>
    <col min="12802" max="12802" width="4" customWidth="1"/>
    <col min="12803" max="12803" width="22.5703125" bestFit="1" customWidth="1"/>
    <col min="13058" max="13058" width="4" customWidth="1"/>
    <col min="13059" max="13059" width="22.5703125" bestFit="1" customWidth="1"/>
    <col min="13314" max="13314" width="4" customWidth="1"/>
    <col min="13315" max="13315" width="22.5703125" bestFit="1" customWidth="1"/>
    <col min="13570" max="13570" width="4" customWidth="1"/>
    <col min="13571" max="13571" width="22.5703125" bestFit="1" customWidth="1"/>
    <col min="13826" max="13826" width="4" customWidth="1"/>
    <col min="13827" max="13827" width="22.5703125" bestFit="1" customWidth="1"/>
    <col min="14082" max="14082" width="4" customWidth="1"/>
    <col min="14083" max="14083" width="22.5703125" bestFit="1" customWidth="1"/>
    <col min="14338" max="14338" width="4" customWidth="1"/>
    <col min="14339" max="14339" width="22.5703125" bestFit="1" customWidth="1"/>
    <col min="14594" max="14594" width="4" customWidth="1"/>
    <col min="14595" max="14595" width="22.5703125" bestFit="1" customWidth="1"/>
    <col min="14850" max="14850" width="4" customWidth="1"/>
    <col min="14851" max="14851" width="22.5703125" bestFit="1" customWidth="1"/>
    <col min="15106" max="15106" width="4" customWidth="1"/>
    <col min="15107" max="15107" width="22.5703125" bestFit="1" customWidth="1"/>
    <col min="15362" max="15362" width="4" customWidth="1"/>
    <col min="15363" max="15363" width="22.5703125" bestFit="1" customWidth="1"/>
    <col min="15618" max="15618" width="4" customWidth="1"/>
    <col min="15619" max="15619" width="22.5703125" bestFit="1" customWidth="1"/>
    <col min="15874" max="15874" width="4" customWidth="1"/>
    <col min="15875" max="15875" width="22.5703125" bestFit="1" customWidth="1"/>
    <col min="16130" max="16130" width="4" customWidth="1"/>
    <col min="16131" max="16131" width="22.5703125" bestFit="1" customWidth="1"/>
  </cols>
  <sheetData>
    <row r="1" spans="1:20">
      <c r="A1" s="2"/>
      <c r="B1" s="2"/>
      <c r="C1" s="193"/>
      <c r="D1" s="193"/>
      <c r="E1" s="193"/>
      <c r="F1" s="193"/>
      <c r="G1" s="193"/>
      <c r="H1" s="193"/>
      <c r="I1" s="193"/>
      <c r="J1" s="193"/>
      <c r="K1" s="193"/>
      <c r="L1" s="193"/>
      <c r="M1" s="193"/>
      <c r="N1" s="193"/>
      <c r="O1" s="193"/>
      <c r="P1" s="193"/>
      <c r="Q1" s="193"/>
      <c r="R1" s="193"/>
      <c r="S1" s="193"/>
      <c r="T1" s="193"/>
    </row>
    <row r="2" spans="1:20">
      <c r="A2" s="3"/>
      <c r="B2" s="3"/>
      <c r="C2" s="193"/>
      <c r="D2" s="193"/>
      <c r="E2" s="193"/>
      <c r="F2" s="193"/>
      <c r="G2" s="193"/>
      <c r="H2" s="193"/>
      <c r="I2" s="193"/>
      <c r="J2" s="193"/>
      <c r="K2" s="193"/>
      <c r="L2" s="193"/>
      <c r="M2" s="193"/>
      <c r="N2" s="193"/>
      <c r="O2" s="193"/>
      <c r="P2" s="193"/>
      <c r="Q2" s="193"/>
      <c r="R2" s="193"/>
      <c r="S2" s="193"/>
      <c r="T2" s="193"/>
    </row>
    <row r="3" spans="1:20">
      <c r="A3" s="3"/>
      <c r="B3" s="3"/>
      <c r="C3" s="193"/>
      <c r="D3" s="193"/>
      <c r="E3" s="193"/>
      <c r="F3" s="193"/>
      <c r="G3" s="193"/>
      <c r="H3" s="193"/>
      <c r="I3" s="193"/>
      <c r="J3" s="193"/>
      <c r="K3" s="193"/>
      <c r="L3" s="193"/>
      <c r="M3" s="193"/>
      <c r="N3" s="193"/>
      <c r="O3" s="193"/>
      <c r="P3" s="193"/>
      <c r="Q3" s="193"/>
      <c r="R3" s="193"/>
      <c r="S3" s="193"/>
      <c r="T3" s="193"/>
    </row>
    <row r="4" spans="1:20" ht="12.75" customHeight="1">
      <c r="A4" s="3"/>
      <c r="B4" s="453" t="s">
        <v>19</v>
      </c>
      <c r="C4" s="202"/>
      <c r="D4" s="202"/>
      <c r="E4" s="202"/>
      <c r="F4" s="202"/>
      <c r="G4" s="201"/>
      <c r="H4" s="201"/>
      <c r="I4" s="201"/>
      <c r="J4" s="202"/>
      <c r="K4" s="202"/>
      <c r="L4" s="202"/>
      <c r="M4" s="201"/>
      <c r="N4" s="202"/>
      <c r="O4" s="201"/>
      <c r="P4" s="201"/>
      <c r="Q4" s="203" t="s">
        <v>73</v>
      </c>
    </row>
    <row r="5" spans="1:20" ht="12.75" customHeight="1">
      <c r="A5" s="3"/>
      <c r="B5" s="454"/>
      <c r="C5" s="204">
        <v>2017</v>
      </c>
      <c r="D5" s="204">
        <f>C5+1</f>
        <v>2018</v>
      </c>
      <c r="E5" s="204">
        <f t="shared" ref="E5:Q5" si="0">D5+1</f>
        <v>2019</v>
      </c>
      <c r="F5" s="204">
        <f t="shared" si="0"/>
        <v>2020</v>
      </c>
      <c r="G5" s="204">
        <f t="shared" si="0"/>
        <v>2021</v>
      </c>
      <c r="H5" s="204">
        <f t="shared" si="0"/>
        <v>2022</v>
      </c>
      <c r="I5" s="204">
        <f t="shared" si="0"/>
        <v>2023</v>
      </c>
      <c r="J5" s="204">
        <f t="shared" si="0"/>
        <v>2024</v>
      </c>
      <c r="K5" s="204">
        <f t="shared" si="0"/>
        <v>2025</v>
      </c>
      <c r="L5" s="204">
        <f t="shared" si="0"/>
        <v>2026</v>
      </c>
      <c r="M5" s="204">
        <f t="shared" si="0"/>
        <v>2027</v>
      </c>
      <c r="N5" s="204">
        <f t="shared" si="0"/>
        <v>2028</v>
      </c>
      <c r="O5" s="204">
        <f t="shared" si="0"/>
        <v>2029</v>
      </c>
      <c r="P5" s="204">
        <f t="shared" si="0"/>
        <v>2030</v>
      </c>
      <c r="Q5" s="204">
        <f t="shared" si="0"/>
        <v>2031</v>
      </c>
    </row>
    <row r="6" spans="1:20">
      <c r="A6" s="3"/>
      <c r="B6" s="4" t="s">
        <v>211</v>
      </c>
      <c r="C6" s="355">
        <f>IS!AA28</f>
        <v>-220.36780700000003</v>
      </c>
      <c r="D6" s="355">
        <f>IS!AF28</f>
        <v>-214.71825745000001</v>
      </c>
      <c r="E6" s="355">
        <f>IS!AK28</f>
        <v>-159.53260431576342</v>
      </c>
      <c r="F6" s="355">
        <f>IS!AP28</f>
        <v>-0.81615563528480095</v>
      </c>
      <c r="G6" s="355">
        <f>IS!AU28</f>
        <v>464.05359879797868</v>
      </c>
      <c r="H6" s="355">
        <f>IS!AZ28</f>
        <v>1084.6884853863382</v>
      </c>
      <c r="I6" s="356">
        <f>IS!BE28</f>
        <v>1268.353053810252</v>
      </c>
      <c r="J6" s="356">
        <f>IS!BJ28</f>
        <v>1076.5455082710016</v>
      </c>
      <c r="K6" s="356">
        <f>IS!BO28</f>
        <v>1009.4465034529196</v>
      </c>
      <c r="L6" s="356">
        <f>IS!BT28</f>
        <v>898.54027806422778</v>
      </c>
      <c r="M6" s="356">
        <f>IS!BY28</f>
        <v>844.25205478533803</v>
      </c>
      <c r="N6" s="356">
        <f>IS!CD28</f>
        <v>891.55121168651044</v>
      </c>
      <c r="O6" s="356">
        <f>IS!CI28</f>
        <v>940.61174026720857</v>
      </c>
      <c r="P6" s="356">
        <f>IS!CN28</f>
        <v>991.45421683995642</v>
      </c>
      <c r="Q6" s="194"/>
    </row>
    <row r="7" spans="1:20">
      <c r="A7" s="3"/>
      <c r="B7" s="5" t="s">
        <v>74</v>
      </c>
      <c r="C7" s="195"/>
      <c r="D7" s="195" t="str">
        <f>IF(C6&lt;0,"NM",D6/C6-1)</f>
        <v>NM</v>
      </c>
      <c r="E7" s="195" t="str">
        <f>IF(D6&lt;0,"NM",E6/D6-1)</f>
        <v>NM</v>
      </c>
      <c r="F7" s="195" t="str">
        <f>IF(E6&lt;0,"NM",F6/E6-1)</f>
        <v>NM</v>
      </c>
      <c r="G7" s="195" t="str">
        <f t="shared" ref="G7:P7" si="1">IF(F6&lt;0,"NM",G6/F6-1)</f>
        <v>NM</v>
      </c>
      <c r="H7" s="195">
        <f t="shared" si="1"/>
        <v>1.3374206949282752</v>
      </c>
      <c r="I7" s="195">
        <f t="shared" si="1"/>
        <v>0.16932471478988487</v>
      </c>
      <c r="J7" s="195">
        <f t="shared" si="1"/>
        <v>-0.15122567408423271</v>
      </c>
      <c r="K7" s="195">
        <f t="shared" si="1"/>
        <v>-6.2328070947829328E-2</v>
      </c>
      <c r="L7" s="195">
        <f t="shared" si="1"/>
        <v>-0.10986835360697689</v>
      </c>
      <c r="M7" s="195">
        <f t="shared" si="1"/>
        <v>-6.0418241234378112E-2</v>
      </c>
      <c r="N7" s="195">
        <f t="shared" si="1"/>
        <v>5.6024923638709812E-2</v>
      </c>
      <c r="O7" s="195">
        <f t="shared" si="1"/>
        <v>5.502827873218008E-2</v>
      </c>
      <c r="P7" s="195">
        <f t="shared" si="1"/>
        <v>5.4052564300658856E-2</v>
      </c>
      <c r="Q7" s="196"/>
    </row>
    <row r="8" spans="1:20">
      <c r="A8" s="3"/>
      <c r="B8" s="5"/>
      <c r="C8" s="195"/>
      <c r="D8" s="195"/>
      <c r="E8" s="195"/>
      <c r="F8" s="195"/>
      <c r="G8" s="193"/>
      <c r="H8" s="193"/>
      <c r="I8" s="193"/>
      <c r="J8" s="193"/>
      <c r="K8" s="193"/>
      <c r="L8" s="193"/>
      <c r="M8" s="193"/>
      <c r="N8" s="193"/>
      <c r="O8" s="6"/>
      <c r="P8" s="6"/>
      <c r="Q8" s="196"/>
    </row>
    <row r="9" spans="1:20">
      <c r="A9" s="3"/>
      <c r="B9" s="4" t="s">
        <v>75</v>
      </c>
      <c r="C9" s="355">
        <f>IS!AA34</f>
        <v>0</v>
      </c>
      <c r="D9" s="355">
        <f>IS!AF34</f>
        <v>0</v>
      </c>
      <c r="E9" s="355">
        <f>IS!AK34</f>
        <v>0</v>
      </c>
      <c r="F9" s="355">
        <f>IS!AP34</f>
        <v>0</v>
      </c>
      <c r="G9" s="355">
        <f>IS!AU34</f>
        <v>0</v>
      </c>
      <c r="H9" s="355">
        <f>IS!AZ34</f>
        <v>344.68725217850124</v>
      </c>
      <c r="I9" s="356">
        <f>IS!BE34</f>
        <v>447.46819967607229</v>
      </c>
      <c r="J9" s="356">
        <f>IS!BJ34</f>
        <v>382.26942509027043</v>
      </c>
      <c r="K9" s="356">
        <f>IS!BO34</f>
        <v>360.4876644956272</v>
      </c>
      <c r="L9" s="356">
        <f>IS!BT34</f>
        <v>323.25499479134123</v>
      </c>
      <c r="M9" s="356">
        <f>IS!BY34</f>
        <v>305.68276356934246</v>
      </c>
      <c r="N9" s="356">
        <f>IS!CD34</f>
        <v>323.57992154083166</v>
      </c>
      <c r="O9" s="356">
        <f>IS!CI34</f>
        <v>342.15235849098633</v>
      </c>
      <c r="P9" s="356">
        <f>IS!CN34</f>
        <v>361.41913819266853</v>
      </c>
      <c r="Q9" s="196"/>
    </row>
    <row r="10" spans="1:20">
      <c r="A10" s="3"/>
      <c r="B10" s="5" t="s">
        <v>76</v>
      </c>
      <c r="C10" s="195"/>
      <c r="D10" s="195">
        <f>D9/D6</f>
        <v>0</v>
      </c>
      <c r="E10" s="195">
        <f>E9/E6</f>
        <v>0</v>
      </c>
      <c r="F10" s="195">
        <f>F9/F6</f>
        <v>0</v>
      </c>
      <c r="G10" s="195">
        <v>0.35</v>
      </c>
      <c r="H10" s="195">
        <f>G10</f>
        <v>0.35</v>
      </c>
      <c r="I10" s="195">
        <f t="shared" ref="I10:O10" si="2">H10</f>
        <v>0.35</v>
      </c>
      <c r="J10" s="195">
        <f t="shared" si="2"/>
        <v>0.35</v>
      </c>
      <c r="K10" s="195">
        <f t="shared" si="2"/>
        <v>0.35</v>
      </c>
      <c r="L10" s="195">
        <f t="shared" si="2"/>
        <v>0.35</v>
      </c>
      <c r="M10" s="195">
        <f t="shared" si="2"/>
        <v>0.35</v>
      </c>
      <c r="N10" s="195">
        <f t="shared" si="2"/>
        <v>0.35</v>
      </c>
      <c r="O10" s="195">
        <f t="shared" si="2"/>
        <v>0.35</v>
      </c>
      <c r="P10" s="195">
        <f>O10</f>
        <v>0.35</v>
      </c>
      <c r="Q10" s="196"/>
    </row>
    <row r="11" spans="1:20">
      <c r="A11" s="3"/>
      <c r="B11" s="4" t="s">
        <v>77</v>
      </c>
      <c r="C11" s="355">
        <f t="shared" ref="C11:P11" si="3">C6-C9</f>
        <v>-220.36780700000003</v>
      </c>
      <c r="D11" s="355">
        <f t="shared" si="3"/>
        <v>-214.71825745000001</v>
      </c>
      <c r="E11" s="355">
        <f t="shared" si="3"/>
        <v>-159.53260431576342</v>
      </c>
      <c r="F11" s="355">
        <f t="shared" si="3"/>
        <v>-0.81615563528480095</v>
      </c>
      <c r="G11" s="355">
        <f t="shared" si="3"/>
        <v>464.05359879797868</v>
      </c>
      <c r="H11" s="355">
        <f t="shared" si="3"/>
        <v>740.001233207837</v>
      </c>
      <c r="I11" s="356">
        <f t="shared" si="3"/>
        <v>820.8848541341797</v>
      </c>
      <c r="J11" s="356">
        <f t="shared" si="3"/>
        <v>694.27608318073112</v>
      </c>
      <c r="K11" s="356">
        <f t="shared" si="3"/>
        <v>648.95883895729241</v>
      </c>
      <c r="L11" s="356">
        <f t="shared" si="3"/>
        <v>575.28528327288655</v>
      </c>
      <c r="M11" s="356">
        <f t="shared" si="3"/>
        <v>538.56929121599558</v>
      </c>
      <c r="N11" s="356">
        <f t="shared" si="3"/>
        <v>567.97129014567872</v>
      </c>
      <c r="O11" s="356">
        <f t="shared" si="3"/>
        <v>598.45938177622224</v>
      </c>
      <c r="P11" s="356">
        <f t="shared" si="3"/>
        <v>630.03507864728795</v>
      </c>
      <c r="Q11" s="196"/>
    </row>
    <row r="12" spans="1:20">
      <c r="A12" s="3"/>
      <c r="B12" s="4" t="s">
        <v>78</v>
      </c>
      <c r="C12" s="355">
        <f>CF!G7</f>
        <v>2.27</v>
      </c>
      <c r="D12" s="355">
        <f>CF!H7</f>
        <v>4.9657294818000004</v>
      </c>
      <c r="E12" s="355">
        <f>CF!I7</f>
        <v>7.1795615571981042</v>
      </c>
      <c r="F12" s="355">
        <f>CF!J7</f>
        <v>9.6181575758624707</v>
      </c>
      <c r="G12" s="355">
        <f>CF!K7</f>
        <v>11.87694332676802</v>
      </c>
      <c r="H12" s="355">
        <f>CF!L7</f>
        <v>13.86944947716797</v>
      </c>
      <c r="I12" s="356">
        <f>CF!M7</f>
        <v>15.921969570976776</v>
      </c>
      <c r="J12" s="356">
        <f>CF!N7</f>
        <v>18.018143250720339</v>
      </c>
      <c r="K12" s="356">
        <f>CF!O7</f>
        <v>20.075407627536293</v>
      </c>
      <c r="L12" s="356">
        <f>CF!P7</f>
        <v>22.251083114928097</v>
      </c>
      <c r="M12" s="356">
        <f>CF!Q7</f>
        <v>24.552843992132772</v>
      </c>
      <c r="N12" s="356">
        <f>CF!R7</f>
        <v>26.935615034958587</v>
      </c>
      <c r="O12" s="356">
        <f>CF!S7</f>
        <v>29.5744737004527</v>
      </c>
      <c r="P12" s="356">
        <f>CF!T7</f>
        <v>32.668449649009339</v>
      </c>
      <c r="Q12" s="196"/>
    </row>
    <row r="13" spans="1:20">
      <c r="A13" s="3"/>
      <c r="B13" s="4" t="s">
        <v>79</v>
      </c>
      <c r="C13" s="355">
        <f>(BS!G6-BS!H6)+(BS!G7-BS!H7)+(BS!G8-BS!H8)+(BS!H17-BS!G17)+(BS!H18-BS!D18)+(BS!H19-BS!G19)+(BS!H20-BS!G20)+(BS!H21-BS!G21)</f>
        <v>50.719935</v>
      </c>
      <c r="D13" s="355">
        <f>(BS!H6-BS!I6)+(BS!H7-BS!I7)+(BS!H8-BS!I8)+(BS!I17-BS!H17)+(BS!I18-BS!E18)+(BS!I19-BS!H19)+(BS!I20-BS!H20)+(BS!I21-BS!H21)</f>
        <v>39.976553102411501</v>
      </c>
      <c r="E13" s="355">
        <f>(BS!I6-BS!J6)+(BS!I7-BS!J7)+(BS!I8-BS!J8)+(BS!J17-BS!I17)+(BS!J18-BS!F18)+(BS!J19-BS!I19)+(BS!J20-BS!I20)+(BS!J21-BS!I21)</f>
        <v>34.715462961150727</v>
      </c>
      <c r="F13" s="355">
        <f>(BS!J6-BS!K6)+(BS!J7-BS!K7)+(BS!J8-BS!K8)+(BS!K17-BS!J17)+(BS!K18-BS!G18)+(BS!K19-BS!J19)+(BS!K20-BS!J20)+(BS!K21-BS!J21)</f>
        <v>3.0352079655722157</v>
      </c>
      <c r="G13" s="355">
        <f>(BS!K6-BS!L6)+(BS!K7-BS!L7)+(BS!K8-BS!L8)+(BS!L17-BS!K17)+(BS!L18-BS!H18)+(BS!L19-BS!K19)+(BS!L20-BS!K20)+(BS!L21-BS!K21)</f>
        <v>-68.275973054626036</v>
      </c>
      <c r="H13" s="355">
        <f>(BS!L6-BS!M6)+(BS!L7-BS!M7)+(BS!L8-BS!M8)+(BS!M17-BS!L17)+(BS!M18-BS!I18)+(BS!M19-BS!L19)+(BS!M20-BS!L20)+(BS!M21-BS!L21)</f>
        <v>-19.24792084598802</v>
      </c>
      <c r="I13" s="356">
        <f>(BS!M6-BS!N6)+(BS!M7-BS!N7)+(BS!M8-BS!N8)+(BS!N17-BS!M17)+(BS!N18-BS!J18)+(BS!N19-BS!M19)+(BS!N20-BS!M20)+(BS!N21-BS!M21)</f>
        <v>-12.671963916305955</v>
      </c>
      <c r="J13" s="356">
        <f>(BS!N6-BS!O6)+(BS!N7-BS!O7)+(BS!N8-BS!O8)+(BS!O17-BS!N17)+(BS!O18-BS!K18)+(BS!O19-BS!N19)+(BS!O20-BS!N20)+(BS!O21-BS!N21)</f>
        <v>19.160874595129666</v>
      </c>
      <c r="K13" s="356">
        <f>(BS!O6-BS!P6)+(BS!O7-BS!P7)+(BS!O8-BS!P8)+(BS!P17-BS!O17)+(BS!P18-BS!L18)+(BS!P19-BS!O19)+(BS!P20-BS!O20)+(BS!P21-BS!O21)</f>
        <v>6.9482996850617358</v>
      </c>
      <c r="L13" s="356">
        <f>(BS!P6-BS!Q6)+(BS!P7-BS!Q7)+(BS!P8-BS!Q8)+(BS!Q17-BS!P17)+(BS!Q18-BS!M18)+(BS!Q19-BS!P19)+(BS!Q20-BS!P20)+(BS!Q21-BS!P21)</f>
        <v>10.053214916120911</v>
      </c>
      <c r="M13" s="356">
        <f>(BS!Q6-BS!R6)+(BS!Q7-BS!R7)+(BS!Q8-BS!R8)+(BS!R17-BS!Q17)+(BS!R18-BS!N18)+(BS!R19-BS!Q19)+(BS!R20-BS!Q20)+(BS!R21-BS!Q21)</f>
        <v>4.2479767860674844</v>
      </c>
      <c r="N13" s="356">
        <f>(BS!R6-BS!S6)+(BS!R7-BS!S7)+(BS!R8-BS!S8)+(BS!S17-BS!R17)+(BS!S18-BS!O18)+(BS!S19-BS!R19)+(BS!S20-BS!R20)+(BS!S21-BS!R21)</f>
        <v>-5.0775993390579686</v>
      </c>
      <c r="O13" s="356">
        <f>(BS!S6-BS!T6)+(BS!S7-BS!T7)+(BS!S8-BS!T8)+(BS!T17-BS!S17)+(BS!T18-BS!P18)+(BS!T19-BS!S19)+(BS!T20-BS!S20)+(BS!T21-BS!S21)</f>
        <v>-5.3852516779055097</v>
      </c>
      <c r="P13" s="356">
        <f>(BS!T6-BS!U6)+(BS!T7-BS!U7)+(BS!T8-BS!U8)+(BS!U17-BS!T17)+(BS!U18-BS!Q18)+(BS!U19-BS!T19)+(BS!U20-BS!T20)+(BS!U21-BS!T21)</f>
        <v>-5.6774809318430659</v>
      </c>
      <c r="Q13" s="196"/>
    </row>
    <row r="14" spans="1:20">
      <c r="A14" s="3"/>
      <c r="B14" s="4" t="s">
        <v>80</v>
      </c>
      <c r="C14" s="355">
        <f>CF!G23</f>
        <v>-32.046999999999997</v>
      </c>
      <c r="D14" s="355">
        <f>CF!H23</f>
        <v>-20.14118925</v>
      </c>
      <c r="E14" s="355">
        <f>CF!I23</f>
        <v>-24.137634446562082</v>
      </c>
      <c r="F14" s="355">
        <f>CF!J23</f>
        <v>-24.636249896465259</v>
      </c>
      <c r="G14" s="355">
        <f>CF!K23</f>
        <v>-20.54123269441169</v>
      </c>
      <c r="H14" s="355">
        <f>CF!L23</f>
        <v>-19.310481129076734</v>
      </c>
      <c r="I14" s="356">
        <f>CF!M23</f>
        <v>-21.741352481039879</v>
      </c>
      <c r="J14" s="356">
        <f>CF!N23</f>
        <v>-20.183409674377788</v>
      </c>
      <c r="K14" s="356">
        <f>CF!O23</f>
        <v>-20.963037566433091</v>
      </c>
      <c r="L14" s="356">
        <f>CF!P23</f>
        <v>-22.55151591544551</v>
      </c>
      <c r="M14" s="356">
        <f>CF!Q23</f>
        <v>-23.484640989286344</v>
      </c>
      <c r="N14" s="356">
        <f>CF!R23</f>
        <v>-24.171625291804489</v>
      </c>
      <c r="O14" s="356">
        <f>CF!S23</f>
        <v>-28.606308900194886</v>
      </c>
      <c r="P14" s="356">
        <f>CF!T23</f>
        <v>-33.273894864843179</v>
      </c>
      <c r="Q14" s="196"/>
    </row>
    <row r="15" spans="1:20">
      <c r="A15" s="3"/>
      <c r="B15" s="4" t="s">
        <v>81</v>
      </c>
      <c r="C15" s="355">
        <f t="shared" ref="C15:P15" si="4">SUM(C11:C14)</f>
        <v>-199.42487200000002</v>
      </c>
      <c r="D15" s="355">
        <f t="shared" si="4"/>
        <v>-189.91716411578849</v>
      </c>
      <c r="E15" s="355">
        <f t="shared" si="4"/>
        <v>-141.77521424397668</v>
      </c>
      <c r="F15" s="355">
        <f t="shared" si="4"/>
        <v>-12.799039990315373</v>
      </c>
      <c r="G15" s="355">
        <f t="shared" si="4"/>
        <v>387.11333637570897</v>
      </c>
      <c r="H15" s="355">
        <f t="shared" si="4"/>
        <v>715.3122807099403</v>
      </c>
      <c r="I15" s="356">
        <f t="shared" si="4"/>
        <v>802.39350730781075</v>
      </c>
      <c r="J15" s="356">
        <f t="shared" si="4"/>
        <v>711.27169135220333</v>
      </c>
      <c r="K15" s="356">
        <f t="shared" si="4"/>
        <v>655.0195087034574</v>
      </c>
      <c r="L15" s="356">
        <f t="shared" si="4"/>
        <v>585.03806538849005</v>
      </c>
      <c r="M15" s="356">
        <f t="shared" si="4"/>
        <v>543.8854710049095</v>
      </c>
      <c r="N15" s="356">
        <f t="shared" si="4"/>
        <v>565.6576805497748</v>
      </c>
      <c r="O15" s="356">
        <f t="shared" si="4"/>
        <v>594.04229489857448</v>
      </c>
      <c r="P15" s="356">
        <f t="shared" si="4"/>
        <v>623.75215249961093</v>
      </c>
      <c r="Q15" s="197">
        <f>P15*(1+D25)/(D24-D25)</f>
        <v>6059.306624281935</v>
      </c>
    </row>
    <row r="16" spans="1:20">
      <c r="A16" s="7"/>
      <c r="B16" s="5" t="s">
        <v>7</v>
      </c>
      <c r="C16" s="198"/>
      <c r="D16" s="198">
        <f>D15/C15-1</f>
        <v>-4.7675637390964587E-2</v>
      </c>
      <c r="E16" s="198">
        <f>E15/D15-1</f>
        <v>-0.2534891993356676</v>
      </c>
      <c r="F16" s="198">
        <f>F15/E15-1</f>
        <v>-0.90972300723672406</v>
      </c>
      <c r="G16" s="198">
        <f>G15/F15-1</f>
        <v>-31.245497839574323</v>
      </c>
      <c r="H16" s="198">
        <f>H15/G15-1</f>
        <v>0.84781099872958432</v>
      </c>
      <c r="I16" s="198">
        <f t="shared" ref="I16" si="5">I15/H15-1</f>
        <v>0.12173875515102739</v>
      </c>
      <c r="J16" s="198">
        <f t="shared" ref="J16" si="6">J15/I15-1</f>
        <v>-0.11356250409021773</v>
      </c>
      <c r="K16" s="198">
        <f t="shared" ref="K16" si="7">K15/J15-1</f>
        <v>-7.9086772793958038E-2</v>
      </c>
      <c r="L16" s="198">
        <f t="shared" ref="L16" si="8">L15/K15-1</f>
        <v>-0.10683871607654605</v>
      </c>
      <c r="M16" s="198">
        <f t="shared" ref="M16" si="9">M15/L15-1</f>
        <v>-7.0341738116225794E-2</v>
      </c>
      <c r="N16" s="198">
        <f t="shared" ref="N16" si="10">N15/M15-1</f>
        <v>4.0030871765406539E-2</v>
      </c>
      <c r="O16" s="198">
        <f t="shared" ref="O16" si="11">O15/N15-1</f>
        <v>5.0179844320706657E-2</v>
      </c>
      <c r="P16" s="198">
        <f t="shared" ref="P16" si="12">P15/O15-1</f>
        <v>5.0013034183212568E-2</v>
      </c>
      <c r="Q16" s="199">
        <f>Q15/O15-1</f>
        <v>9.2001266177797802</v>
      </c>
    </row>
    <row r="17" spans="1:20" ht="13.5" thickBot="1">
      <c r="A17" s="3"/>
      <c r="B17" s="8" t="s">
        <v>82</v>
      </c>
      <c r="C17" s="9">
        <f t="shared" ref="C17:Q17" si="13">C15/(1+$D$24)^(C5-$D$26)</f>
        <v>-237.96227136677501</v>
      </c>
      <c r="D17" s="9">
        <f t="shared" si="13"/>
        <v>-201.43757191498872</v>
      </c>
      <c r="E17" s="9">
        <f t="shared" si="13"/>
        <v>-133.66695386145537</v>
      </c>
      <c r="F17" s="9">
        <f t="shared" si="13"/>
        <v>-10.726267223501988</v>
      </c>
      <c r="G17" s="9">
        <f t="shared" si="13"/>
        <v>288.37448189789006</v>
      </c>
      <c r="H17" s="9">
        <f t="shared" si="13"/>
        <v>473.65470169232583</v>
      </c>
      <c r="I17" s="9">
        <f t="shared" si="13"/>
        <v>472.28163150913855</v>
      </c>
      <c r="J17" s="9">
        <f t="shared" si="13"/>
        <v>372.1316860436865</v>
      </c>
      <c r="K17" s="9">
        <f t="shared" si="13"/>
        <v>304.62310394677058</v>
      </c>
      <c r="L17" s="9">
        <f t="shared" si="13"/>
        <v>241.84672234119594</v>
      </c>
      <c r="M17" s="9">
        <f t="shared" si="13"/>
        <v>199.85315869689242</v>
      </c>
      <c r="N17" s="9">
        <f t="shared" si="13"/>
        <v>184.75862654631035</v>
      </c>
      <c r="O17" s="9">
        <f t="shared" si="13"/>
        <v>172.47092058961047</v>
      </c>
      <c r="P17" s="9">
        <f t="shared" si="13"/>
        <v>160.97485745481671</v>
      </c>
      <c r="Q17" s="9">
        <f t="shared" si="13"/>
        <v>1390.0051183400046</v>
      </c>
    </row>
    <row r="18" spans="1:20" ht="13.5" thickTop="1">
      <c r="A18" s="3"/>
      <c r="B18" s="3"/>
      <c r="C18" s="193"/>
      <c r="D18" s="193"/>
      <c r="E18" s="193"/>
      <c r="F18" s="193"/>
      <c r="G18" s="193"/>
      <c r="H18" s="193"/>
      <c r="I18" s="193"/>
      <c r="J18" s="193"/>
      <c r="K18" s="193"/>
      <c r="L18" s="193"/>
      <c r="M18" s="193"/>
      <c r="N18" s="193"/>
      <c r="O18" s="193"/>
      <c r="P18" s="193"/>
      <c r="Q18" s="193"/>
      <c r="R18" s="193"/>
      <c r="S18" s="193"/>
      <c r="T18" s="193"/>
    </row>
    <row r="19" spans="1:20">
      <c r="A19" s="3"/>
      <c r="B19" s="10" t="s">
        <v>83</v>
      </c>
      <c r="D19" s="11">
        <f>SUM(E17:Q17)+(D17*0.5)</f>
        <v>4015.8630020161909</v>
      </c>
      <c r="E19" s="193"/>
      <c r="F19" s="225"/>
      <c r="G19" s="225"/>
      <c r="H19" s="225"/>
      <c r="I19" s="225"/>
      <c r="J19" s="225"/>
      <c r="K19" s="225"/>
      <c r="L19" s="225"/>
      <c r="M19" s="225"/>
      <c r="N19" s="225"/>
      <c r="O19" s="225"/>
      <c r="P19" s="225"/>
      <c r="Q19" s="225"/>
      <c r="R19" s="225"/>
      <c r="S19" s="225"/>
      <c r="T19" s="225"/>
    </row>
    <row r="20" spans="1:20">
      <c r="A20" s="3"/>
      <c r="B20" s="3" t="s">
        <v>52</v>
      </c>
      <c r="D20" s="11">
        <f>BS!H4+CF!H71</f>
        <v>756.5204592</v>
      </c>
      <c r="E20" s="193"/>
      <c r="F20" s="237"/>
      <c r="G20" s="237"/>
      <c r="H20" s="237"/>
      <c r="I20" s="237"/>
      <c r="J20" s="237"/>
      <c r="K20" s="237"/>
      <c r="L20" s="237"/>
      <c r="M20" s="237"/>
      <c r="N20" s="237"/>
      <c r="O20" s="237"/>
      <c r="P20" s="237"/>
      <c r="Q20" s="237"/>
      <c r="R20" s="237"/>
      <c r="S20" s="237"/>
      <c r="T20" s="237"/>
    </row>
    <row r="21" spans="1:20">
      <c r="A21" s="3"/>
      <c r="B21" s="12" t="s">
        <v>53</v>
      </c>
      <c r="D21" s="13">
        <f>D19+D20</f>
        <v>4772.3834612161909</v>
      </c>
      <c r="E21" s="193"/>
      <c r="F21" s="193"/>
      <c r="G21" s="193"/>
      <c r="H21" s="193"/>
      <c r="I21" s="193"/>
      <c r="J21" s="193"/>
      <c r="K21" s="193"/>
      <c r="L21" s="193"/>
      <c r="M21" s="193"/>
      <c r="N21" s="193"/>
      <c r="O21" s="193"/>
      <c r="P21" s="193"/>
      <c r="Q21" s="193"/>
      <c r="R21" s="193"/>
      <c r="S21" s="193"/>
      <c r="T21" s="193"/>
    </row>
    <row r="22" spans="1:20">
      <c r="A22" s="3"/>
      <c r="B22" s="12" t="s">
        <v>84</v>
      </c>
      <c r="D22" s="13">
        <f>IF(D30=3,(D20+D17+E17+F17)/D27,D21/D27)</f>
        <v>129.4039898722512</v>
      </c>
      <c r="E22" s="193"/>
      <c r="F22" s="193"/>
      <c r="G22" s="193"/>
      <c r="H22" s="193"/>
      <c r="I22" s="193"/>
      <c r="J22" s="193"/>
      <c r="K22" s="193"/>
      <c r="L22" s="193"/>
      <c r="M22" s="193"/>
      <c r="N22" s="193"/>
      <c r="O22" s="193"/>
      <c r="P22" s="193"/>
      <c r="Q22" s="193"/>
      <c r="R22" s="193"/>
      <c r="S22" s="193"/>
      <c r="T22" s="193"/>
    </row>
    <row r="23" spans="1:20">
      <c r="A23" s="3"/>
      <c r="B23" s="3"/>
      <c r="D23" s="193"/>
      <c r="E23" s="193"/>
      <c r="F23" s="193"/>
      <c r="G23" s="193"/>
      <c r="H23" s="193"/>
      <c r="I23" s="193"/>
      <c r="J23" s="193"/>
      <c r="K23" s="193"/>
      <c r="L23" s="193"/>
      <c r="M23" s="193"/>
      <c r="N23" s="193"/>
      <c r="O23" s="193"/>
      <c r="P23" s="193"/>
      <c r="Q23" s="193"/>
      <c r="R23" s="193"/>
      <c r="S23" s="193"/>
      <c r="T23" s="193"/>
    </row>
    <row r="24" spans="1:20">
      <c r="A24" s="3"/>
      <c r="B24" s="3" t="s">
        <v>50</v>
      </c>
      <c r="D24" s="348">
        <v>0.125</v>
      </c>
      <c r="E24" s="193"/>
      <c r="F24" s="193"/>
      <c r="G24" s="193"/>
      <c r="H24" s="193"/>
      <c r="I24" s="193"/>
      <c r="J24" s="193"/>
      <c r="K24" s="193"/>
      <c r="L24" s="193"/>
      <c r="M24" s="193"/>
      <c r="N24" s="193"/>
      <c r="O24" s="193"/>
      <c r="P24" s="193"/>
      <c r="Q24" s="193"/>
      <c r="R24" s="193"/>
      <c r="S24" s="193"/>
      <c r="T24" s="193"/>
    </row>
    <row r="25" spans="1:20">
      <c r="A25" s="3"/>
      <c r="B25" s="3" t="s">
        <v>51</v>
      </c>
      <c r="D25" s="200">
        <v>0.02</v>
      </c>
      <c r="E25" s="193"/>
      <c r="F25" s="193"/>
      <c r="G25" s="193"/>
      <c r="H25" s="193"/>
      <c r="I25" s="193"/>
      <c r="J25" s="193"/>
      <c r="K25" s="193"/>
      <c r="L25" s="193"/>
      <c r="M25" s="193"/>
      <c r="N25" s="193"/>
      <c r="O25" s="193"/>
      <c r="P25" s="193"/>
      <c r="Q25" s="193"/>
      <c r="R25" s="193"/>
      <c r="S25" s="193"/>
      <c r="T25" s="193"/>
    </row>
    <row r="26" spans="1:20">
      <c r="A26" s="3"/>
      <c r="B26" s="3" t="s">
        <v>85</v>
      </c>
      <c r="D26" s="225">
        <v>2018.5</v>
      </c>
      <c r="E26" s="193"/>
      <c r="F26" s="193"/>
      <c r="G26" s="193"/>
      <c r="H26" s="193"/>
      <c r="I26" s="193"/>
      <c r="J26" s="193"/>
      <c r="K26" s="193"/>
      <c r="L26" s="193"/>
      <c r="M26" s="193"/>
      <c r="N26" s="193"/>
      <c r="O26" s="193"/>
      <c r="P26" s="193"/>
      <c r="Q26" s="193"/>
      <c r="R26" s="193"/>
      <c r="S26" s="193"/>
      <c r="T26" s="193"/>
    </row>
    <row r="27" spans="1:20">
      <c r="A27" s="3"/>
      <c r="B27" s="3" t="s">
        <v>86</v>
      </c>
      <c r="D27" s="360">
        <f>IS!AC51</f>
        <v>36.879724233599994</v>
      </c>
      <c r="E27" s="193"/>
      <c r="F27" s="193"/>
      <c r="G27" s="193"/>
      <c r="H27" s="193"/>
      <c r="I27" s="193"/>
      <c r="J27" s="193"/>
      <c r="K27" s="193"/>
      <c r="L27" s="193"/>
      <c r="M27" s="193"/>
      <c r="N27" s="193"/>
      <c r="O27" s="193"/>
      <c r="P27" s="193"/>
      <c r="Q27" s="193"/>
      <c r="R27" s="193"/>
      <c r="S27" s="193"/>
      <c r="T27" s="193"/>
    </row>
    <row r="28" spans="1:20">
      <c r="A28" s="3"/>
      <c r="B28" s="3"/>
      <c r="D28" s="193"/>
      <c r="E28" s="193"/>
      <c r="F28" s="193"/>
      <c r="G28" s="193"/>
      <c r="H28" s="193"/>
      <c r="I28" s="193"/>
      <c r="J28" s="193"/>
      <c r="K28" s="193"/>
      <c r="L28" s="193"/>
      <c r="M28" s="193"/>
      <c r="N28" s="193"/>
      <c r="O28" s="193"/>
      <c r="P28" s="193"/>
      <c r="Q28" s="193"/>
      <c r="R28" s="193"/>
      <c r="S28" s="193"/>
      <c r="T28" s="193"/>
    </row>
    <row r="29" spans="1:20" ht="13.5" thickBot="1">
      <c r="A29" s="3"/>
      <c r="B29" s="10" t="s">
        <v>87</v>
      </c>
      <c r="D29" s="193"/>
      <c r="E29" s="193"/>
      <c r="F29" s="193"/>
      <c r="G29" s="193"/>
      <c r="H29" s="193"/>
      <c r="I29" s="193"/>
      <c r="J29" s="193"/>
      <c r="K29" s="193"/>
      <c r="L29" s="193"/>
      <c r="M29" s="193"/>
      <c r="N29" s="193"/>
      <c r="O29" s="193"/>
      <c r="P29" s="193"/>
      <c r="Q29" s="193"/>
      <c r="R29" s="193"/>
      <c r="S29" s="193"/>
      <c r="T29" s="193"/>
    </row>
    <row r="30" spans="1:20" ht="13.5" thickBot="1">
      <c r="A30" s="14">
        <v>1</v>
      </c>
      <c r="B30" s="15" t="s">
        <v>88</v>
      </c>
      <c r="D30" s="241">
        <v>2</v>
      </c>
      <c r="E30" s="401" t="s">
        <v>89</v>
      </c>
      <c r="F30" s="402"/>
      <c r="G30" s="193"/>
      <c r="H30" s="193"/>
      <c r="I30" s="193"/>
      <c r="J30" s="193"/>
      <c r="K30" s="193"/>
      <c r="L30" s="193"/>
      <c r="M30" s="193"/>
      <c r="N30" s="193"/>
      <c r="O30" s="193"/>
      <c r="P30" s="193"/>
      <c r="Q30" s="193"/>
      <c r="R30" s="193"/>
      <c r="S30" s="193"/>
      <c r="T30" s="193"/>
    </row>
    <row r="31" spans="1:20">
      <c r="A31" s="14">
        <v>2</v>
      </c>
      <c r="B31" s="16"/>
      <c r="D31" s="17"/>
      <c r="E31" s="403" t="s">
        <v>90</v>
      </c>
      <c r="F31" s="404"/>
      <c r="G31" s="193"/>
      <c r="H31" s="193"/>
      <c r="I31" s="193"/>
      <c r="J31" s="193"/>
      <c r="K31" s="193"/>
      <c r="L31" s="193"/>
      <c r="M31" s="193"/>
      <c r="N31" s="193"/>
      <c r="O31" s="193"/>
      <c r="P31" s="193"/>
      <c r="Q31" s="193"/>
      <c r="R31" s="193"/>
      <c r="S31" s="193"/>
      <c r="T31" s="193"/>
    </row>
    <row r="32" spans="1:20" ht="13.5" thickBot="1">
      <c r="A32" s="14">
        <v>3</v>
      </c>
      <c r="B32" s="18"/>
      <c r="D32" s="19"/>
      <c r="E32" s="405" t="s">
        <v>91</v>
      </c>
      <c r="F32" s="406"/>
      <c r="G32" s="193"/>
      <c r="H32" s="193"/>
      <c r="I32" s="193"/>
      <c r="J32" s="193"/>
      <c r="K32" s="193"/>
      <c r="L32" s="193"/>
      <c r="M32" s="193"/>
      <c r="N32" s="193"/>
      <c r="O32" s="193"/>
      <c r="P32" s="193"/>
      <c r="Q32" s="193"/>
      <c r="R32" s="193"/>
      <c r="S32" s="193"/>
      <c r="T32" s="193"/>
    </row>
    <row r="33" spans="1:20">
      <c r="A33" s="14"/>
      <c r="B33" s="17"/>
      <c r="C33" s="17"/>
      <c r="D33" s="346"/>
      <c r="E33" s="346"/>
      <c r="F33" s="193"/>
      <c r="G33" s="193"/>
      <c r="H33" s="193"/>
      <c r="I33" s="193"/>
      <c r="J33" s="193"/>
      <c r="K33" s="193"/>
      <c r="L33" s="193"/>
      <c r="M33" s="193"/>
      <c r="N33" s="193"/>
      <c r="O33" s="193"/>
      <c r="P33" s="193"/>
      <c r="Q33" s="193"/>
      <c r="R33" s="193"/>
      <c r="S33" s="193"/>
      <c r="T33" s="193"/>
    </row>
    <row r="34" spans="1:20">
      <c r="A34" s="14"/>
      <c r="B34" s="17"/>
      <c r="C34" s="17"/>
      <c r="D34" s="346"/>
      <c r="E34" s="346"/>
      <c r="F34" s="193"/>
      <c r="G34" s="193"/>
      <c r="H34" s="193"/>
      <c r="I34" s="193"/>
      <c r="J34" s="193"/>
      <c r="K34" s="193"/>
      <c r="L34" s="193"/>
      <c r="M34" s="193"/>
      <c r="N34" s="193"/>
      <c r="O34" s="193"/>
      <c r="P34" s="193"/>
      <c r="Q34" s="193"/>
      <c r="R34" s="193"/>
      <c r="S34" s="193"/>
      <c r="T34" s="193"/>
    </row>
    <row r="35" spans="1:20">
      <c r="A35" s="14"/>
      <c r="B35" s="17"/>
      <c r="C35" s="17"/>
      <c r="D35" s="346"/>
      <c r="E35" s="346"/>
      <c r="F35" s="193"/>
      <c r="G35" s="193"/>
      <c r="H35" s="193"/>
      <c r="I35" s="193"/>
      <c r="J35" s="193"/>
      <c r="K35" s="193"/>
      <c r="L35" s="193"/>
      <c r="M35" s="193"/>
      <c r="N35" s="193"/>
      <c r="O35" s="193"/>
      <c r="P35" s="193"/>
      <c r="Q35" s="193"/>
      <c r="R35" s="193"/>
      <c r="S35" s="193"/>
      <c r="T35" s="193"/>
    </row>
    <row r="37" spans="1:20">
      <c r="B37" s="31"/>
    </row>
    <row r="38" spans="1:20">
      <c r="B38" s="31"/>
      <c r="M38" s="258"/>
      <c r="N38" s="258"/>
      <c r="O38" s="258"/>
      <c r="P38" s="258"/>
      <c r="Q38" s="258"/>
    </row>
    <row r="39" spans="1:20">
      <c r="B39" s="31"/>
      <c r="M39" s="258"/>
      <c r="N39" s="258"/>
      <c r="O39" s="258"/>
      <c r="P39" s="258"/>
      <c r="Q39" s="258"/>
    </row>
    <row r="40" spans="1:20">
      <c r="B40" s="31"/>
      <c r="M40" s="258"/>
      <c r="N40" s="258"/>
      <c r="O40" s="258"/>
      <c r="P40" s="258"/>
      <c r="Q40" s="258"/>
    </row>
  </sheetData>
  <mergeCells count="1">
    <mergeCell ref="B4:B5"/>
  </mergeCells>
  <dataValidations count="1">
    <dataValidation type="list" allowBlank="1" showInputMessage="1" showErrorMessage="1" sqref="D30 WVL983072 WLP983072 WBT983072 VRX983072 VIB983072 UYF983072 UOJ983072 UEN983072 TUR983072 TKV983072 TAZ983072 SRD983072 SHH983072 RXL983072 RNP983072 RDT983072 QTX983072 QKB983072 QAF983072 PQJ983072 PGN983072 OWR983072 OMV983072 OCZ983072 NTD983072 NJH983072 MZL983072 MPP983072 MFT983072 LVX983072 LMB983072 LCF983072 KSJ983072 KIN983072 JYR983072 JOV983072 JEZ983072 IVD983072 ILH983072 IBL983072 HRP983072 HHT983072 GXX983072 GOB983072 GEF983072 FUJ983072 FKN983072 FAR983072 EQV983072 EGZ983072 DXD983072 DNH983072 DDL983072 CTP983072 CJT983072 BZX983072 BQB983072 BGF983072 AWJ983072 AMN983072 ACR983072 SV983072 IZ983072 C983072 WVL917536 WLP917536 WBT917536 VRX917536 VIB917536 UYF917536 UOJ917536 UEN917536 TUR917536 TKV917536 TAZ917536 SRD917536 SHH917536 RXL917536 RNP917536 RDT917536 QTX917536 QKB917536 QAF917536 PQJ917536 PGN917536 OWR917536 OMV917536 OCZ917536 NTD917536 NJH917536 MZL917536 MPP917536 MFT917536 LVX917536 LMB917536 LCF917536 KSJ917536 KIN917536 JYR917536 JOV917536 JEZ917536 IVD917536 ILH917536 IBL917536 HRP917536 HHT917536 GXX917536 GOB917536 GEF917536 FUJ917536 FKN917536 FAR917536 EQV917536 EGZ917536 DXD917536 DNH917536 DDL917536 CTP917536 CJT917536 BZX917536 BQB917536 BGF917536 AWJ917536 AMN917536 ACR917536 SV917536 IZ917536 C917536 WVL852000 WLP852000 WBT852000 VRX852000 VIB852000 UYF852000 UOJ852000 UEN852000 TUR852000 TKV852000 TAZ852000 SRD852000 SHH852000 RXL852000 RNP852000 RDT852000 QTX852000 QKB852000 QAF852000 PQJ852000 PGN852000 OWR852000 OMV852000 OCZ852000 NTD852000 NJH852000 MZL852000 MPP852000 MFT852000 LVX852000 LMB852000 LCF852000 KSJ852000 KIN852000 JYR852000 JOV852000 JEZ852000 IVD852000 ILH852000 IBL852000 HRP852000 HHT852000 GXX852000 GOB852000 GEF852000 FUJ852000 FKN852000 FAR852000 EQV852000 EGZ852000 DXD852000 DNH852000 DDL852000 CTP852000 CJT852000 BZX852000 BQB852000 BGF852000 AWJ852000 AMN852000 ACR852000 SV852000 IZ852000 C852000 WVL786464 WLP786464 WBT786464 VRX786464 VIB786464 UYF786464 UOJ786464 UEN786464 TUR786464 TKV786464 TAZ786464 SRD786464 SHH786464 RXL786464 RNP786464 RDT786464 QTX786464 QKB786464 QAF786464 PQJ786464 PGN786464 OWR786464 OMV786464 OCZ786464 NTD786464 NJH786464 MZL786464 MPP786464 MFT786464 LVX786464 LMB786464 LCF786464 KSJ786464 KIN786464 JYR786464 JOV786464 JEZ786464 IVD786464 ILH786464 IBL786464 HRP786464 HHT786464 GXX786464 GOB786464 GEF786464 FUJ786464 FKN786464 FAR786464 EQV786464 EGZ786464 DXD786464 DNH786464 DDL786464 CTP786464 CJT786464 BZX786464 BQB786464 BGF786464 AWJ786464 AMN786464 ACR786464 SV786464 IZ786464 C786464 WVL720928 WLP720928 WBT720928 VRX720928 VIB720928 UYF720928 UOJ720928 UEN720928 TUR720928 TKV720928 TAZ720928 SRD720928 SHH720928 RXL720928 RNP720928 RDT720928 QTX720928 QKB720928 QAF720928 PQJ720928 PGN720928 OWR720928 OMV720928 OCZ720928 NTD720928 NJH720928 MZL720928 MPP720928 MFT720928 LVX720928 LMB720928 LCF720928 KSJ720928 KIN720928 JYR720928 JOV720928 JEZ720928 IVD720928 ILH720928 IBL720928 HRP720928 HHT720928 GXX720928 GOB720928 GEF720928 FUJ720928 FKN720928 FAR720928 EQV720928 EGZ720928 DXD720928 DNH720928 DDL720928 CTP720928 CJT720928 BZX720928 BQB720928 BGF720928 AWJ720928 AMN720928 ACR720928 SV720928 IZ720928 C720928 WVL655392 WLP655392 WBT655392 VRX655392 VIB655392 UYF655392 UOJ655392 UEN655392 TUR655392 TKV655392 TAZ655392 SRD655392 SHH655392 RXL655392 RNP655392 RDT655392 QTX655392 QKB655392 QAF655392 PQJ655392 PGN655392 OWR655392 OMV655392 OCZ655392 NTD655392 NJH655392 MZL655392 MPP655392 MFT655392 LVX655392 LMB655392 LCF655392 KSJ655392 KIN655392 JYR655392 JOV655392 JEZ655392 IVD655392 ILH655392 IBL655392 HRP655392 HHT655392 GXX655392 GOB655392 GEF655392 FUJ655392 FKN655392 FAR655392 EQV655392 EGZ655392 DXD655392 DNH655392 DDL655392 CTP655392 CJT655392 BZX655392 BQB655392 BGF655392 AWJ655392 AMN655392 ACR655392 SV655392 IZ655392 C655392 WVL589856 WLP589856 WBT589856 VRX589856 VIB589856 UYF589856 UOJ589856 UEN589856 TUR589856 TKV589856 TAZ589856 SRD589856 SHH589856 RXL589856 RNP589856 RDT589856 QTX589856 QKB589856 QAF589856 PQJ589856 PGN589856 OWR589856 OMV589856 OCZ589856 NTD589856 NJH589856 MZL589856 MPP589856 MFT589856 LVX589856 LMB589856 LCF589856 KSJ589856 KIN589856 JYR589856 JOV589856 JEZ589856 IVD589856 ILH589856 IBL589856 HRP589856 HHT589856 GXX589856 GOB589856 GEF589856 FUJ589856 FKN589856 FAR589856 EQV589856 EGZ589856 DXD589856 DNH589856 DDL589856 CTP589856 CJT589856 BZX589856 BQB589856 BGF589856 AWJ589856 AMN589856 ACR589856 SV589856 IZ589856 C589856 WVL524320 WLP524320 WBT524320 VRX524320 VIB524320 UYF524320 UOJ524320 UEN524320 TUR524320 TKV524320 TAZ524320 SRD524320 SHH524320 RXL524320 RNP524320 RDT524320 QTX524320 QKB524320 QAF524320 PQJ524320 PGN524320 OWR524320 OMV524320 OCZ524320 NTD524320 NJH524320 MZL524320 MPP524320 MFT524320 LVX524320 LMB524320 LCF524320 KSJ524320 KIN524320 JYR524320 JOV524320 JEZ524320 IVD524320 ILH524320 IBL524320 HRP524320 HHT524320 GXX524320 GOB524320 GEF524320 FUJ524320 FKN524320 FAR524320 EQV524320 EGZ524320 DXD524320 DNH524320 DDL524320 CTP524320 CJT524320 BZX524320 BQB524320 BGF524320 AWJ524320 AMN524320 ACR524320 SV524320 IZ524320 C524320 WVL458784 WLP458784 WBT458784 VRX458784 VIB458784 UYF458784 UOJ458784 UEN458784 TUR458784 TKV458784 TAZ458784 SRD458784 SHH458784 RXL458784 RNP458784 RDT458784 QTX458784 QKB458784 QAF458784 PQJ458784 PGN458784 OWR458784 OMV458784 OCZ458784 NTD458784 NJH458784 MZL458784 MPP458784 MFT458784 LVX458784 LMB458784 LCF458784 KSJ458784 KIN458784 JYR458784 JOV458784 JEZ458784 IVD458784 ILH458784 IBL458784 HRP458784 HHT458784 GXX458784 GOB458784 GEF458784 FUJ458784 FKN458784 FAR458784 EQV458784 EGZ458784 DXD458784 DNH458784 DDL458784 CTP458784 CJT458784 BZX458784 BQB458784 BGF458784 AWJ458784 AMN458784 ACR458784 SV458784 IZ458784 C458784 WVL393248 WLP393248 WBT393248 VRX393248 VIB393248 UYF393248 UOJ393248 UEN393248 TUR393248 TKV393248 TAZ393248 SRD393248 SHH393248 RXL393248 RNP393248 RDT393248 QTX393248 QKB393248 QAF393248 PQJ393248 PGN393248 OWR393248 OMV393248 OCZ393248 NTD393248 NJH393248 MZL393248 MPP393248 MFT393248 LVX393248 LMB393248 LCF393248 KSJ393248 KIN393248 JYR393248 JOV393248 JEZ393248 IVD393248 ILH393248 IBL393248 HRP393248 HHT393248 GXX393248 GOB393248 GEF393248 FUJ393248 FKN393248 FAR393248 EQV393248 EGZ393248 DXD393248 DNH393248 DDL393248 CTP393248 CJT393248 BZX393248 BQB393248 BGF393248 AWJ393248 AMN393248 ACR393248 SV393248 IZ393248 C393248 WVL327712 WLP327712 WBT327712 VRX327712 VIB327712 UYF327712 UOJ327712 UEN327712 TUR327712 TKV327712 TAZ327712 SRD327712 SHH327712 RXL327712 RNP327712 RDT327712 QTX327712 QKB327712 QAF327712 PQJ327712 PGN327712 OWR327712 OMV327712 OCZ327712 NTD327712 NJH327712 MZL327712 MPP327712 MFT327712 LVX327712 LMB327712 LCF327712 KSJ327712 KIN327712 JYR327712 JOV327712 JEZ327712 IVD327712 ILH327712 IBL327712 HRP327712 HHT327712 GXX327712 GOB327712 GEF327712 FUJ327712 FKN327712 FAR327712 EQV327712 EGZ327712 DXD327712 DNH327712 DDL327712 CTP327712 CJT327712 BZX327712 BQB327712 BGF327712 AWJ327712 AMN327712 ACR327712 SV327712 IZ327712 C327712 WVL262176 WLP262176 WBT262176 VRX262176 VIB262176 UYF262176 UOJ262176 UEN262176 TUR262176 TKV262176 TAZ262176 SRD262176 SHH262176 RXL262176 RNP262176 RDT262176 QTX262176 QKB262176 QAF262176 PQJ262176 PGN262176 OWR262176 OMV262176 OCZ262176 NTD262176 NJH262176 MZL262176 MPP262176 MFT262176 LVX262176 LMB262176 LCF262176 KSJ262176 KIN262176 JYR262176 JOV262176 JEZ262176 IVD262176 ILH262176 IBL262176 HRP262176 HHT262176 GXX262176 GOB262176 GEF262176 FUJ262176 FKN262176 FAR262176 EQV262176 EGZ262176 DXD262176 DNH262176 DDL262176 CTP262176 CJT262176 BZX262176 BQB262176 BGF262176 AWJ262176 AMN262176 ACR262176 SV262176 IZ262176 C262176 WVL196640 WLP196640 WBT196640 VRX196640 VIB196640 UYF196640 UOJ196640 UEN196640 TUR196640 TKV196640 TAZ196640 SRD196640 SHH196640 RXL196640 RNP196640 RDT196640 QTX196640 QKB196640 QAF196640 PQJ196640 PGN196640 OWR196640 OMV196640 OCZ196640 NTD196640 NJH196640 MZL196640 MPP196640 MFT196640 LVX196640 LMB196640 LCF196640 KSJ196640 KIN196640 JYR196640 JOV196640 JEZ196640 IVD196640 ILH196640 IBL196640 HRP196640 HHT196640 GXX196640 GOB196640 GEF196640 FUJ196640 FKN196640 FAR196640 EQV196640 EGZ196640 DXD196640 DNH196640 DDL196640 CTP196640 CJT196640 BZX196640 BQB196640 BGF196640 AWJ196640 AMN196640 ACR196640 SV196640 IZ196640 C196640 WVL131104 WLP131104 WBT131104 VRX131104 VIB131104 UYF131104 UOJ131104 UEN131104 TUR131104 TKV131104 TAZ131104 SRD131104 SHH131104 RXL131104 RNP131104 RDT131104 QTX131104 QKB131104 QAF131104 PQJ131104 PGN131104 OWR131104 OMV131104 OCZ131104 NTD131104 NJH131104 MZL131104 MPP131104 MFT131104 LVX131104 LMB131104 LCF131104 KSJ131104 KIN131104 JYR131104 JOV131104 JEZ131104 IVD131104 ILH131104 IBL131104 HRP131104 HHT131104 GXX131104 GOB131104 GEF131104 FUJ131104 FKN131104 FAR131104 EQV131104 EGZ131104 DXD131104 DNH131104 DDL131104 CTP131104 CJT131104 BZX131104 BQB131104 BGF131104 AWJ131104 AMN131104 ACR131104 SV131104 IZ131104 C131104 WVL65568 WLP65568 WBT65568 VRX65568 VIB65568 UYF65568 UOJ65568 UEN65568 TUR65568 TKV65568 TAZ65568 SRD65568 SHH65568 RXL65568 RNP65568 RDT65568 QTX65568 QKB65568 QAF65568 PQJ65568 PGN65568 OWR65568 OMV65568 OCZ65568 NTD65568 NJH65568 MZL65568 MPP65568 MFT65568 LVX65568 LMB65568 LCF65568 KSJ65568 KIN65568 JYR65568 JOV65568 JEZ65568 IVD65568 ILH65568 IBL65568 HRP65568 HHT65568 GXX65568 GOB65568 GEF65568 FUJ65568 FKN65568 FAR65568 EQV65568 EGZ65568 DXD65568 DNH65568 DDL65568 CTP65568 CJT65568 BZX65568 BQB65568 BGF65568 AWJ65568 AMN65568 ACR65568 SV65568 IZ65568 C65568 WVL30 WLP30 WBT30 VRX30 VIB30 UYF30 UOJ30 UEN30 TUR30 TKV30 TAZ30 SRD30 SHH30 RXL30 RNP30 RDT30 QTX30 QKB30 QAF30 PQJ30 PGN30 OWR30 OMV30 OCZ30 NTD30 NJH30 MZL30 MPP30 MFT30 LVX30 LMB30 LCF30 KSJ30 KIN30 JYR30 JOV30 JEZ30 IVD30 ILH30 IBL30 HRP30 HHT30 GXX30 GOB30 GEF30 FUJ30 FKN30 FAR30 EQV30 EGZ30 DXD30 DNH30 DDL30 CTP30 CJT30 BZX30 BQB30 BGF30 AWJ30 AMN30 ACR30 SV30 IZ30">
      <formula1>$A$30:$A$32</formula1>
    </dataValidation>
  </dataValidations>
  <pageMargins left="0" right="0" top="0" bottom="0" header="0" footer="0"/>
  <pageSetup paperSize="5" scale="72"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CW117"/>
  <sheetViews>
    <sheetView showGridLines="0" topLeftCell="A2" zoomScale="85" zoomScaleNormal="85" workbookViewId="0">
      <pane xSplit="2" ySplit="3" topLeftCell="C5" activePane="bottomRight" state="frozen"/>
      <selection activeCell="A2" sqref="A2"/>
      <selection pane="topRight" activeCell="C2" sqref="C2"/>
      <selection pane="bottomLeft" activeCell="A5" sqref="A5"/>
      <selection pane="bottomRight" activeCell="B11" sqref="B11"/>
    </sheetView>
  </sheetViews>
  <sheetFormatPr defaultRowHeight="14.25" customHeight="1" outlineLevelRow="1" outlineLevelCol="1"/>
  <cols>
    <col min="1" max="1" width="1.85546875" hidden="1" customWidth="1"/>
    <col min="2" max="2" width="51.140625" style="421" customWidth="1"/>
    <col min="3" max="6" width="9.7109375" hidden="1" customWidth="1" outlineLevel="1"/>
    <col min="7" max="7" width="9.7109375" hidden="1" customWidth="1" collapsed="1"/>
    <col min="8" max="11" width="9.7109375" hidden="1" customWidth="1" outlineLevel="1"/>
    <col min="12" max="12" width="9.7109375" hidden="1" customWidth="1" collapsed="1"/>
    <col min="13" max="16" width="9.7109375" hidden="1" customWidth="1" outlineLevel="1"/>
    <col min="17" max="17" width="9.7109375" hidden="1" customWidth="1" collapsed="1"/>
    <col min="18" max="21" width="9.7109375" hidden="1" customWidth="1" outlineLevel="1"/>
    <col min="22" max="22" width="9.7109375" customWidth="1" collapsed="1"/>
    <col min="23" max="26" width="9.7109375" customWidth="1" outlineLevel="1"/>
    <col min="27" max="27" width="9.7109375" customWidth="1"/>
    <col min="28" max="31" width="9.7109375" customWidth="1" outlineLevel="1"/>
    <col min="32" max="32" width="9.7109375" customWidth="1"/>
    <col min="33" max="36" width="9.7109375" hidden="1" customWidth="1" outlineLevel="1"/>
    <col min="37" max="37" width="9.7109375" customWidth="1" collapsed="1"/>
    <col min="38" max="41" width="9.7109375" hidden="1" customWidth="1" outlineLevel="1"/>
    <col min="42" max="42" width="9.7109375" customWidth="1" collapsed="1"/>
    <col min="43" max="46" width="9.7109375" hidden="1" customWidth="1" outlineLevel="1"/>
    <col min="47" max="47" width="9.7109375" customWidth="1" collapsed="1"/>
    <col min="48" max="51" width="9.7109375" hidden="1" customWidth="1" outlineLevel="1"/>
    <col min="52" max="52" width="9.7109375" customWidth="1" collapsed="1"/>
    <col min="53" max="56" width="9.7109375" hidden="1" customWidth="1" outlineLevel="1"/>
    <col min="57" max="57" width="9.7109375" customWidth="1" collapsed="1"/>
    <col min="58" max="61" width="9.7109375" hidden="1" customWidth="1" outlineLevel="1"/>
    <col min="62" max="62" width="9.7109375" customWidth="1" collapsed="1"/>
    <col min="63" max="66" width="9.7109375" hidden="1" customWidth="1" outlineLevel="1"/>
    <col min="67" max="67" width="9.7109375" customWidth="1" collapsed="1"/>
    <col min="68" max="71" width="9.7109375" hidden="1" customWidth="1" outlineLevel="1"/>
    <col min="72" max="72" width="9.7109375" customWidth="1" collapsed="1"/>
    <col min="73" max="76" width="9.7109375" hidden="1" customWidth="1" outlineLevel="1"/>
    <col min="77" max="77" width="9.7109375" customWidth="1" collapsed="1"/>
    <col min="78" max="81" width="9.7109375" hidden="1" customWidth="1" outlineLevel="1"/>
    <col min="82" max="82" width="9.7109375" customWidth="1" collapsed="1"/>
    <col min="83" max="86" width="9.7109375" hidden="1" customWidth="1" outlineLevel="1"/>
    <col min="87" max="87" width="9.7109375" customWidth="1" collapsed="1"/>
    <col min="88" max="91" width="9.7109375" hidden="1" customWidth="1" outlineLevel="1"/>
    <col min="92" max="92" width="9.7109375" customWidth="1" collapsed="1"/>
    <col min="93" max="95" width="9.140625" customWidth="1"/>
    <col min="96" max="96" width="32.140625" hidden="1" customWidth="1"/>
    <col min="97" max="97" width="12.7109375" hidden="1" customWidth="1"/>
    <col min="98" max="98" width="12.5703125" hidden="1" customWidth="1"/>
    <col min="99" max="100" width="0" hidden="1" customWidth="1"/>
  </cols>
  <sheetData>
    <row r="1" spans="1:95" ht="14.25" customHeight="1">
      <c r="A1" s="20"/>
      <c r="B1" s="27" t="s">
        <v>54</v>
      </c>
      <c r="C1" s="27"/>
      <c r="D1" s="27"/>
      <c r="E1" s="27"/>
      <c r="F1" s="27"/>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c r="CL1" s="20"/>
      <c r="CM1" s="20"/>
      <c r="CN1" s="20"/>
    </row>
    <row r="2" spans="1:95" ht="14.25" customHeight="1">
      <c r="A2" s="20"/>
      <c r="B2" s="29"/>
      <c r="C2" s="29"/>
      <c r="D2" s="29"/>
      <c r="E2" s="29"/>
      <c r="F2" s="29"/>
      <c r="G2" s="178"/>
      <c r="H2" s="28"/>
      <c r="I2" s="28"/>
      <c r="J2" s="28"/>
      <c r="K2" s="28"/>
      <c r="L2" s="178"/>
      <c r="M2" s="28"/>
      <c r="N2" s="28"/>
      <c r="O2" s="28"/>
      <c r="P2" s="28"/>
      <c r="Q2" s="178"/>
      <c r="R2" s="28"/>
      <c r="S2" s="28"/>
      <c r="T2" s="28"/>
      <c r="U2" s="28"/>
      <c r="V2" s="178"/>
      <c r="W2" s="28"/>
      <c r="X2" s="28"/>
      <c r="Y2" s="28"/>
      <c r="Z2" s="28"/>
      <c r="AA2" s="178"/>
      <c r="AB2" s="28"/>
      <c r="AC2" s="28"/>
      <c r="AD2" s="28"/>
      <c r="AE2" s="28"/>
      <c r="AF2" s="178"/>
      <c r="AG2" s="28"/>
      <c r="AH2" s="28"/>
      <c r="AI2" s="28"/>
      <c r="AJ2" s="28"/>
      <c r="AK2" s="178"/>
      <c r="AL2" s="28"/>
      <c r="AM2" s="28"/>
      <c r="AN2" s="28"/>
      <c r="AO2" s="28"/>
      <c r="AP2" s="178"/>
      <c r="AQ2" s="28"/>
      <c r="AR2" s="28"/>
      <c r="AS2" s="28"/>
      <c r="AT2" s="28"/>
      <c r="AU2" s="178"/>
      <c r="AV2" s="28"/>
      <c r="AW2" s="28"/>
      <c r="AX2" s="28"/>
      <c r="AY2" s="28"/>
      <c r="AZ2" s="178"/>
      <c r="BA2" s="28"/>
      <c r="BB2" s="28"/>
      <c r="BC2" s="28"/>
      <c r="BD2" s="28"/>
      <c r="BE2" s="178"/>
      <c r="BF2" s="28"/>
      <c r="BG2" s="28"/>
      <c r="BH2" s="28"/>
      <c r="BI2" s="28"/>
      <c r="BJ2" s="178"/>
      <c r="BK2" s="28"/>
      <c r="BL2" s="28"/>
      <c r="BM2" s="28"/>
      <c r="BN2" s="28"/>
      <c r="BO2" s="178"/>
      <c r="BP2" s="28"/>
      <c r="BQ2" s="28"/>
      <c r="BR2" s="28"/>
      <c r="BS2" s="28"/>
      <c r="BT2" s="178"/>
      <c r="BU2" s="28"/>
      <c r="BV2" s="28"/>
      <c r="BW2" s="28"/>
      <c r="BX2" s="28"/>
      <c r="BY2" s="178"/>
      <c r="BZ2" s="28"/>
      <c r="CA2" s="28"/>
      <c r="CB2" s="28"/>
      <c r="CC2" s="28"/>
      <c r="CD2" s="178"/>
      <c r="CE2" s="28"/>
      <c r="CF2" s="28"/>
      <c r="CG2" s="28"/>
      <c r="CH2" s="28"/>
      <c r="CI2" s="178"/>
      <c r="CJ2" s="28"/>
      <c r="CK2" s="28"/>
      <c r="CL2" s="28"/>
      <c r="CM2" s="28"/>
      <c r="CN2" s="178"/>
      <c r="CQ2" s="31"/>
    </row>
    <row r="3" spans="1:95" ht="14.25" hidden="1" customHeight="1" outlineLevel="1">
      <c r="A3" s="206"/>
      <c r="B3" s="407"/>
      <c r="C3" s="205"/>
      <c r="D3" s="205"/>
      <c r="E3" s="205"/>
      <c r="F3" s="205"/>
      <c r="G3" s="206"/>
      <c r="H3" s="205"/>
      <c r="I3" s="205"/>
      <c r="J3" s="205"/>
      <c r="K3" s="205"/>
      <c r="L3" s="206"/>
      <c r="M3" s="205"/>
      <c r="N3" s="205"/>
      <c r="O3" s="205"/>
      <c r="P3" s="205"/>
      <c r="Q3" s="206"/>
      <c r="R3" s="205"/>
      <c r="S3" s="205"/>
      <c r="T3" s="205"/>
      <c r="U3" s="205"/>
      <c r="V3" s="206"/>
      <c r="W3" s="205"/>
      <c r="X3" s="205"/>
      <c r="Y3" s="205"/>
      <c r="Z3" s="205"/>
      <c r="AA3" s="206"/>
      <c r="AB3" s="205"/>
      <c r="AC3" s="205"/>
      <c r="AD3" s="205"/>
      <c r="AE3" s="205"/>
      <c r="AF3" s="206"/>
      <c r="AG3" s="205"/>
      <c r="AH3" s="205"/>
      <c r="AI3" s="205"/>
      <c r="AJ3" s="205"/>
      <c r="AK3" s="206"/>
      <c r="AL3" s="205"/>
      <c r="AM3" s="205"/>
      <c r="AN3" s="205"/>
      <c r="AO3" s="205"/>
      <c r="AP3" s="206"/>
      <c r="AQ3" s="205"/>
      <c r="AR3" s="205"/>
      <c r="AS3" s="205"/>
      <c r="AT3" s="205"/>
      <c r="AU3" s="206"/>
      <c r="AV3" s="205"/>
      <c r="AW3" s="205"/>
      <c r="AX3" s="205"/>
      <c r="AY3" s="205"/>
      <c r="AZ3" s="206"/>
      <c r="BA3" s="205"/>
      <c r="BB3" s="205"/>
      <c r="BC3" s="205"/>
      <c r="BD3" s="205"/>
      <c r="BE3" s="206"/>
      <c r="BF3" s="205"/>
      <c r="BG3" s="205"/>
      <c r="BH3" s="205"/>
      <c r="BI3" s="205"/>
      <c r="BJ3" s="206"/>
      <c r="BK3" s="205"/>
      <c r="BL3" s="205"/>
      <c r="BM3" s="205"/>
      <c r="BN3" s="205"/>
      <c r="BO3" s="206"/>
      <c r="BP3" s="205"/>
      <c r="BQ3" s="205"/>
      <c r="BR3" s="205"/>
      <c r="BS3" s="205"/>
      <c r="BT3" s="206"/>
      <c r="BU3" s="205"/>
      <c r="BV3" s="205"/>
      <c r="BW3" s="205"/>
      <c r="BX3" s="205"/>
      <c r="BY3" s="206"/>
      <c r="BZ3" s="205"/>
      <c r="CA3" s="205"/>
      <c r="CB3" s="205"/>
      <c r="CC3" s="205"/>
      <c r="CD3" s="206"/>
      <c r="CE3" s="205"/>
      <c r="CF3" s="205"/>
      <c r="CG3" s="205"/>
      <c r="CH3" s="205"/>
      <c r="CI3" s="206"/>
      <c r="CJ3" s="205"/>
      <c r="CK3" s="205"/>
      <c r="CL3" s="205"/>
      <c r="CM3" s="205"/>
      <c r="CN3" s="206"/>
      <c r="CQ3" s="31"/>
    </row>
    <row r="4" spans="1:95" ht="14.25" customHeight="1" collapsed="1">
      <c r="A4" s="20"/>
      <c r="B4" s="366" t="s">
        <v>233</v>
      </c>
      <c r="C4" s="222" t="s">
        <v>70</v>
      </c>
      <c r="D4" s="222" t="s">
        <v>66</v>
      </c>
      <c r="E4" s="222" t="s">
        <v>68</v>
      </c>
      <c r="F4" s="222" t="s">
        <v>69</v>
      </c>
      <c r="G4" s="223">
        <v>2013</v>
      </c>
      <c r="H4" s="224" t="s">
        <v>71</v>
      </c>
      <c r="I4" s="224" t="s">
        <v>92</v>
      </c>
      <c r="J4" s="224" t="s">
        <v>93</v>
      </c>
      <c r="K4" s="224" t="s">
        <v>94</v>
      </c>
      <c r="L4" s="223">
        <v>2014</v>
      </c>
      <c r="M4" s="224" t="s">
        <v>95</v>
      </c>
      <c r="N4" s="224" t="s">
        <v>96</v>
      </c>
      <c r="O4" s="224" t="s">
        <v>206</v>
      </c>
      <c r="P4" s="224" t="s">
        <v>223</v>
      </c>
      <c r="Q4" s="223">
        <v>2015</v>
      </c>
      <c r="R4" s="224" t="s">
        <v>219</v>
      </c>
      <c r="S4" s="224" t="s">
        <v>231</v>
      </c>
      <c r="T4" s="224" t="s">
        <v>230</v>
      </c>
      <c r="U4" s="224" t="s">
        <v>229</v>
      </c>
      <c r="V4" s="223">
        <v>2016</v>
      </c>
      <c r="W4" s="224" t="s">
        <v>394</v>
      </c>
      <c r="X4" s="224" t="s">
        <v>411</v>
      </c>
      <c r="Y4" s="224" t="s">
        <v>419</v>
      </c>
      <c r="Z4" s="224" t="s">
        <v>422</v>
      </c>
      <c r="AA4" s="223">
        <v>2017</v>
      </c>
      <c r="AB4" s="224" t="s">
        <v>97</v>
      </c>
      <c r="AC4" s="224" t="s">
        <v>98</v>
      </c>
      <c r="AD4" s="224" t="s">
        <v>99</v>
      </c>
      <c r="AE4" s="224" t="s">
        <v>100</v>
      </c>
      <c r="AF4" s="223" t="s">
        <v>0</v>
      </c>
      <c r="AG4" s="224" t="s">
        <v>101</v>
      </c>
      <c r="AH4" s="224" t="s">
        <v>102</v>
      </c>
      <c r="AI4" s="224" t="s">
        <v>103</v>
      </c>
      <c r="AJ4" s="224" t="s">
        <v>104</v>
      </c>
      <c r="AK4" s="223" t="s">
        <v>1</v>
      </c>
      <c r="AL4" s="224" t="s">
        <v>105</v>
      </c>
      <c r="AM4" s="224" t="s">
        <v>106</v>
      </c>
      <c r="AN4" s="224" t="s">
        <v>107</v>
      </c>
      <c r="AO4" s="224" t="s">
        <v>108</v>
      </c>
      <c r="AP4" s="223" t="s">
        <v>2</v>
      </c>
      <c r="AQ4" s="224" t="s">
        <v>120</v>
      </c>
      <c r="AR4" s="224" t="s">
        <v>121</v>
      </c>
      <c r="AS4" s="224" t="s">
        <v>122</v>
      </c>
      <c r="AT4" s="224" t="s">
        <v>123</v>
      </c>
      <c r="AU4" s="223" t="s">
        <v>49</v>
      </c>
      <c r="AV4" s="224" t="s">
        <v>195</v>
      </c>
      <c r="AW4" s="224" t="s">
        <v>196</v>
      </c>
      <c r="AX4" s="224" t="s">
        <v>197</v>
      </c>
      <c r="AY4" s="224" t="s">
        <v>198</v>
      </c>
      <c r="AZ4" s="223" t="s">
        <v>199</v>
      </c>
      <c r="BA4" s="224" t="s">
        <v>278</v>
      </c>
      <c r="BB4" s="224" t="s">
        <v>279</v>
      </c>
      <c r="BC4" s="224" t="s">
        <v>280</v>
      </c>
      <c r="BD4" s="224" t="s">
        <v>281</v>
      </c>
      <c r="BE4" s="223" t="s">
        <v>200</v>
      </c>
      <c r="BF4" s="224" t="s">
        <v>282</v>
      </c>
      <c r="BG4" s="224" t="s">
        <v>283</v>
      </c>
      <c r="BH4" s="224" t="s">
        <v>284</v>
      </c>
      <c r="BI4" s="224" t="s">
        <v>285</v>
      </c>
      <c r="BJ4" s="223" t="s">
        <v>286</v>
      </c>
      <c r="BK4" s="224" t="s">
        <v>287</v>
      </c>
      <c r="BL4" s="224" t="s">
        <v>288</v>
      </c>
      <c r="BM4" s="224" t="s">
        <v>289</v>
      </c>
      <c r="BN4" s="224" t="s">
        <v>290</v>
      </c>
      <c r="BO4" s="223" t="s">
        <v>291</v>
      </c>
      <c r="BP4" s="224" t="s">
        <v>292</v>
      </c>
      <c r="BQ4" s="224" t="s">
        <v>293</v>
      </c>
      <c r="BR4" s="224" t="s">
        <v>294</v>
      </c>
      <c r="BS4" s="224" t="s">
        <v>295</v>
      </c>
      <c r="BT4" s="223" t="s">
        <v>296</v>
      </c>
      <c r="BU4" s="224" t="s">
        <v>297</v>
      </c>
      <c r="BV4" s="224" t="s">
        <v>298</v>
      </c>
      <c r="BW4" s="224" t="s">
        <v>299</v>
      </c>
      <c r="BX4" s="224" t="s">
        <v>300</v>
      </c>
      <c r="BY4" s="223" t="s">
        <v>301</v>
      </c>
      <c r="BZ4" s="224" t="s">
        <v>302</v>
      </c>
      <c r="CA4" s="224" t="s">
        <v>303</v>
      </c>
      <c r="CB4" s="224" t="s">
        <v>304</v>
      </c>
      <c r="CC4" s="224" t="s">
        <v>305</v>
      </c>
      <c r="CD4" s="223" t="s">
        <v>306</v>
      </c>
      <c r="CE4" s="224" t="s">
        <v>307</v>
      </c>
      <c r="CF4" s="224" t="s">
        <v>308</v>
      </c>
      <c r="CG4" s="224" t="s">
        <v>309</v>
      </c>
      <c r="CH4" s="224" t="s">
        <v>310</v>
      </c>
      <c r="CI4" s="223" t="s">
        <v>311</v>
      </c>
      <c r="CJ4" s="224" t="s">
        <v>312</v>
      </c>
      <c r="CK4" s="224" t="s">
        <v>313</v>
      </c>
      <c r="CL4" s="224" t="s">
        <v>314</v>
      </c>
      <c r="CM4" s="224" t="s">
        <v>315</v>
      </c>
      <c r="CN4" s="223" t="s">
        <v>316</v>
      </c>
      <c r="CQ4" s="31"/>
    </row>
    <row r="5" spans="1:95" ht="14.25" customHeight="1">
      <c r="A5" s="20"/>
      <c r="B5" s="367"/>
      <c r="C5" s="137"/>
      <c r="D5" s="137"/>
      <c r="E5" s="137"/>
      <c r="F5" s="137"/>
      <c r="G5" s="179"/>
      <c r="H5" s="220"/>
      <c r="I5" s="220"/>
      <c r="J5" s="220"/>
      <c r="K5" s="220"/>
      <c r="L5" s="179"/>
      <c r="M5" s="220"/>
      <c r="N5" s="220"/>
      <c r="O5" s="220"/>
      <c r="P5" s="220"/>
      <c r="Q5" s="179"/>
      <c r="R5" s="220"/>
      <c r="S5" s="220"/>
      <c r="T5" s="220"/>
      <c r="U5" s="220"/>
      <c r="V5" s="179"/>
      <c r="W5" s="220"/>
      <c r="X5" s="220"/>
      <c r="Y5" s="220"/>
      <c r="Z5" s="220"/>
      <c r="AA5" s="179"/>
      <c r="AB5" s="220"/>
      <c r="AC5" s="220"/>
      <c r="AD5" s="220"/>
      <c r="AE5" s="220"/>
      <c r="AF5" s="179"/>
      <c r="AG5" s="220"/>
      <c r="AH5" s="220"/>
      <c r="AI5" s="220"/>
      <c r="AJ5" s="220"/>
      <c r="AK5" s="179"/>
      <c r="AL5" s="220"/>
      <c r="AM5" s="220"/>
      <c r="AN5" s="220"/>
      <c r="AO5" s="220"/>
      <c r="AP5" s="179"/>
      <c r="AQ5" s="220"/>
      <c r="AR5" s="220"/>
      <c r="AS5" s="220"/>
      <c r="AT5" s="220"/>
      <c r="AU5" s="179"/>
      <c r="AV5" s="220"/>
      <c r="AW5" s="220"/>
      <c r="AX5" s="220"/>
      <c r="AY5" s="220"/>
      <c r="AZ5" s="179"/>
      <c r="BA5" s="220"/>
      <c r="BB5" s="220"/>
      <c r="BC5" s="220"/>
      <c r="BD5" s="220"/>
      <c r="BE5" s="179"/>
      <c r="BF5" s="220"/>
      <c r="BG5" s="220"/>
      <c r="BH5" s="220"/>
      <c r="BI5" s="220"/>
      <c r="BJ5" s="179"/>
      <c r="BK5" s="220"/>
      <c r="BL5" s="220"/>
      <c r="BM5" s="220"/>
      <c r="BN5" s="220"/>
      <c r="BO5" s="179"/>
      <c r="BP5" s="220"/>
      <c r="BQ5" s="220"/>
      <c r="BR5" s="220"/>
      <c r="BS5" s="220"/>
      <c r="BT5" s="179"/>
      <c r="BU5" s="220"/>
      <c r="BV5" s="220"/>
      <c r="BW5" s="220"/>
      <c r="BX5" s="220"/>
      <c r="BY5" s="179"/>
      <c r="BZ5" s="220"/>
      <c r="CA5" s="220"/>
      <c r="CB5" s="220"/>
      <c r="CC5" s="220"/>
      <c r="CD5" s="179"/>
      <c r="CE5" s="220"/>
      <c r="CF5" s="220"/>
      <c r="CG5" s="220"/>
      <c r="CH5" s="220"/>
      <c r="CI5" s="179"/>
      <c r="CJ5" s="220"/>
      <c r="CK5" s="220"/>
      <c r="CL5" s="220"/>
      <c r="CM5" s="220"/>
      <c r="CN5" s="179"/>
      <c r="CQ5" s="31"/>
    </row>
    <row r="6" spans="1:95" ht="15" customHeight="1">
      <c r="A6" s="20"/>
      <c r="B6" s="368" t="s">
        <v>3</v>
      </c>
      <c r="C6" s="21"/>
      <c r="D6" s="21"/>
      <c r="E6" s="21"/>
      <c r="F6" s="21"/>
      <c r="G6" s="180"/>
      <c r="H6" s="221"/>
      <c r="I6" s="221"/>
      <c r="J6" s="221"/>
      <c r="K6" s="221"/>
      <c r="L6" s="180"/>
      <c r="M6" s="221"/>
      <c r="N6" s="221"/>
      <c r="O6" s="221"/>
      <c r="P6" s="221"/>
      <c r="Q6" s="180"/>
      <c r="R6" s="221"/>
      <c r="S6" s="221"/>
      <c r="T6" s="221"/>
      <c r="U6" s="221"/>
      <c r="V6" s="180"/>
      <c r="W6" s="221"/>
      <c r="X6" s="221"/>
      <c r="Y6" s="221"/>
      <c r="Z6" s="221"/>
      <c r="AA6" s="180"/>
      <c r="AB6" s="221"/>
      <c r="AC6" s="221"/>
      <c r="AD6" s="221"/>
      <c r="AE6" s="221"/>
      <c r="AF6" s="180"/>
      <c r="AG6" s="221"/>
      <c r="AH6" s="221"/>
      <c r="AI6" s="221"/>
      <c r="AJ6" s="221"/>
      <c r="AK6" s="180"/>
      <c r="AL6" s="221"/>
      <c r="AM6" s="221"/>
      <c r="AN6" s="221"/>
      <c r="AO6" s="221"/>
      <c r="AP6" s="180"/>
      <c r="AQ6" s="221"/>
      <c r="AR6" s="221"/>
      <c r="AS6" s="221"/>
      <c r="AT6" s="221"/>
      <c r="AU6" s="180"/>
      <c r="AV6" s="221"/>
      <c r="AW6" s="221"/>
      <c r="AX6" s="221"/>
      <c r="AY6" s="221"/>
      <c r="AZ6" s="180"/>
      <c r="BA6" s="221"/>
      <c r="BB6" s="221"/>
      <c r="BC6" s="221"/>
      <c r="BD6" s="221"/>
      <c r="BE6" s="180"/>
      <c r="BF6" s="221"/>
      <c r="BG6" s="221"/>
      <c r="BH6" s="221"/>
      <c r="BI6" s="221"/>
      <c r="BJ6" s="180"/>
      <c r="BK6" s="221"/>
      <c r="BL6" s="221"/>
      <c r="BM6" s="221"/>
      <c r="BN6" s="221"/>
      <c r="BO6" s="180"/>
      <c r="BP6" s="221"/>
      <c r="BQ6" s="221"/>
      <c r="BR6" s="221"/>
      <c r="BS6" s="221"/>
      <c r="BT6" s="180"/>
      <c r="BU6" s="221"/>
      <c r="BV6" s="221"/>
      <c r="BW6" s="221"/>
      <c r="BX6" s="221"/>
      <c r="BY6" s="180"/>
      <c r="BZ6" s="221"/>
      <c r="CA6" s="221"/>
      <c r="CB6" s="221"/>
      <c r="CC6" s="221"/>
      <c r="CD6" s="180"/>
      <c r="CE6" s="221"/>
      <c r="CF6" s="221"/>
      <c r="CG6" s="221"/>
      <c r="CH6" s="221"/>
      <c r="CI6" s="180"/>
      <c r="CJ6" s="221"/>
      <c r="CK6" s="221"/>
      <c r="CL6" s="221"/>
      <c r="CM6" s="221"/>
      <c r="CN6" s="180"/>
      <c r="CQ6" s="31"/>
    </row>
    <row r="7" spans="1:95" ht="15" customHeight="1">
      <c r="A7" s="20"/>
      <c r="B7" s="369" t="s">
        <v>392</v>
      </c>
      <c r="C7" s="40"/>
      <c r="D7" s="40"/>
      <c r="E7" s="40"/>
      <c r="F7" s="40"/>
      <c r="G7" s="46"/>
      <c r="H7" s="40"/>
      <c r="I7" s="40"/>
      <c r="J7" s="40"/>
      <c r="K7" s="40"/>
      <c r="L7" s="46">
        <f>SUM(H7:K7)</f>
        <v>0</v>
      </c>
      <c r="M7" s="40">
        <v>0</v>
      </c>
      <c r="N7" s="40">
        <v>0</v>
      </c>
      <c r="O7" s="40">
        <v>0</v>
      </c>
      <c r="P7" s="40">
        <v>0</v>
      </c>
      <c r="Q7" s="46">
        <f>SUM(M7:P7)</f>
        <v>0</v>
      </c>
      <c r="R7" s="40">
        <v>0</v>
      </c>
      <c r="S7" s="40">
        <v>0</v>
      </c>
      <c r="T7" s="40">
        <v>0</v>
      </c>
      <c r="U7" s="40">
        <v>0</v>
      </c>
      <c r="V7" s="46">
        <f>SUM(R7:U7)</f>
        <v>0</v>
      </c>
      <c r="W7" s="40"/>
      <c r="X7" s="40"/>
      <c r="Y7" s="40"/>
      <c r="Z7" s="40"/>
      <c r="AA7" s="46">
        <f>'SMA Mkt Model'!BW298</f>
        <v>0</v>
      </c>
      <c r="AB7" s="40"/>
      <c r="AC7" s="40"/>
      <c r="AD7" s="40"/>
      <c r="AE7" s="40"/>
      <c r="AF7" s="46">
        <f>'SMA Mkt Model'!BX298</f>
        <v>0</v>
      </c>
      <c r="AG7" s="40"/>
      <c r="AH7" s="40"/>
      <c r="AI7" s="40"/>
      <c r="AJ7" s="40"/>
      <c r="AK7" s="46">
        <f>'SMA Mkt Model'!BY298</f>
        <v>80.378403085454806</v>
      </c>
      <c r="AL7" s="40"/>
      <c r="AM7" s="40"/>
      <c r="AN7" s="40"/>
      <c r="AO7" s="40"/>
      <c r="AP7" s="46">
        <f>'SMA Mkt Model'!BZ298</f>
        <v>294.26958786986694</v>
      </c>
      <c r="AQ7" s="40"/>
      <c r="AR7" s="40"/>
      <c r="AS7" s="40"/>
      <c r="AT7" s="40"/>
      <c r="AU7" s="46">
        <f>'SMA Mkt Model'!CA298</f>
        <v>902.91132722688747</v>
      </c>
      <c r="AV7" s="40"/>
      <c r="AW7" s="40"/>
      <c r="AX7" s="40"/>
      <c r="AY7" s="40"/>
      <c r="AZ7" s="46">
        <f>'SMA Mkt Model'!CB298</f>
        <v>1697.6247146441083</v>
      </c>
      <c r="BA7" s="40"/>
      <c r="BB7" s="40"/>
      <c r="BC7" s="40"/>
      <c r="BD7" s="40"/>
      <c r="BE7" s="46">
        <f>'SMA Mkt Model'!CC298</f>
        <v>1911.3276906408682</v>
      </c>
      <c r="BF7" s="40"/>
      <c r="BG7" s="40"/>
      <c r="BH7" s="40"/>
      <c r="BI7" s="40"/>
      <c r="BJ7" s="46">
        <f>'SMA Mkt Model'!CD298</f>
        <v>1642.9311904255426</v>
      </c>
      <c r="BK7" s="40"/>
      <c r="BL7" s="40"/>
      <c r="BM7" s="40"/>
      <c r="BN7" s="40"/>
      <c r="BO7" s="46">
        <f>'SMA Mkt Model'!CE298</f>
        <v>1535.753667870556</v>
      </c>
      <c r="BP7" s="40"/>
      <c r="BQ7" s="40"/>
      <c r="BR7" s="40"/>
      <c r="BS7" s="40"/>
      <c r="BT7" s="46">
        <f>'SMA Mkt Model'!CF298</f>
        <v>1376.7714234093719</v>
      </c>
      <c r="BU7" s="40"/>
      <c r="BV7" s="40"/>
      <c r="BW7" s="40"/>
      <c r="BX7" s="40"/>
      <c r="BY7" s="46">
        <f>'SMA Mkt Model'!CG298</f>
        <v>1290.3648895212277</v>
      </c>
      <c r="BZ7" s="40"/>
      <c r="CA7" s="40"/>
      <c r="CB7" s="40"/>
      <c r="CC7" s="40"/>
      <c r="CD7" s="46">
        <f>'SMA Mkt Model'!CH298</f>
        <v>1328.1112797694775</v>
      </c>
      <c r="CE7" s="40"/>
      <c r="CF7" s="40"/>
      <c r="CG7" s="40"/>
      <c r="CH7" s="40"/>
      <c r="CI7" s="46">
        <f>'SMA Mkt Model'!CI298</f>
        <v>1366.7610559099326</v>
      </c>
      <c r="CJ7" s="40"/>
      <c r="CK7" s="40"/>
      <c r="CL7" s="40"/>
      <c r="CM7" s="40"/>
      <c r="CN7" s="46">
        <f>'SMA Mkt Model'!CJ298</f>
        <v>1406.3353704498386</v>
      </c>
      <c r="CQ7" s="31"/>
    </row>
    <row r="8" spans="1:95" ht="15" customHeight="1">
      <c r="A8" s="20"/>
      <c r="B8" s="369" t="s">
        <v>393</v>
      </c>
      <c r="C8" s="40"/>
      <c r="D8" s="40"/>
      <c r="E8" s="40"/>
      <c r="F8" s="40"/>
      <c r="G8" s="46">
        <v>0</v>
      </c>
      <c r="H8" s="40">
        <v>0</v>
      </c>
      <c r="I8" s="40">
        <v>0</v>
      </c>
      <c r="J8" s="40">
        <v>0</v>
      </c>
      <c r="K8" s="40">
        <v>0</v>
      </c>
      <c r="L8" s="46">
        <f>SUM(H8:K8)</f>
        <v>0</v>
      </c>
      <c r="M8" s="40">
        <v>0</v>
      </c>
      <c r="N8" s="40">
        <v>0</v>
      </c>
      <c r="O8" s="40">
        <v>0</v>
      </c>
      <c r="P8" s="40">
        <v>0</v>
      </c>
      <c r="Q8" s="46">
        <f>SUM(M8:P8)</f>
        <v>0</v>
      </c>
      <c r="R8" s="40">
        <v>0</v>
      </c>
      <c r="S8" s="40">
        <v>0</v>
      </c>
      <c r="T8" s="40">
        <v>0</v>
      </c>
      <c r="U8" s="40">
        <v>0</v>
      </c>
      <c r="V8" s="46">
        <f>SUM(R8:U8)</f>
        <v>0</v>
      </c>
      <c r="W8" s="40"/>
      <c r="X8" s="40"/>
      <c r="Y8" s="40"/>
      <c r="Z8" s="40"/>
      <c r="AA8" s="46">
        <f>'SMA Mkt Model'!BW302</f>
        <v>0</v>
      </c>
      <c r="AB8" s="40"/>
      <c r="AC8" s="40"/>
      <c r="AD8" s="40"/>
      <c r="AE8" s="40"/>
      <c r="AF8" s="46">
        <f>'SMA Mkt Model'!BX302</f>
        <v>0</v>
      </c>
      <c r="AG8" s="40"/>
      <c r="AH8" s="40"/>
      <c r="AI8" s="40"/>
      <c r="AJ8" s="40"/>
      <c r="AK8" s="46">
        <f>'SMA Mkt Model'!BY302</f>
        <v>73.144346807763881</v>
      </c>
      <c r="AL8" s="40"/>
      <c r="AM8" s="40"/>
      <c r="AN8" s="40"/>
      <c r="AO8" s="40"/>
      <c r="AP8" s="46">
        <f>'SMA Mkt Model'!BZ302</f>
        <v>267.78532496157891</v>
      </c>
      <c r="AQ8" s="40"/>
      <c r="AR8" s="40"/>
      <c r="AS8" s="40"/>
      <c r="AT8" s="40"/>
      <c r="AU8" s="46">
        <f>'SMA Mkt Model'!CA302</f>
        <v>821.64930777646759</v>
      </c>
      <c r="AV8" s="40"/>
      <c r="AW8" s="40"/>
      <c r="AX8" s="40"/>
      <c r="AY8" s="40"/>
      <c r="AZ8" s="46">
        <f>'SMA Mkt Model'!CB302</f>
        <v>1544.8384903261385</v>
      </c>
      <c r="BA8" s="40"/>
      <c r="BB8" s="40"/>
      <c r="BC8" s="40"/>
      <c r="BD8" s="40"/>
      <c r="BE8" s="46">
        <f>'SMA Mkt Model'!CC302</f>
        <v>1739.3081984831902</v>
      </c>
      <c r="BF8" s="40"/>
      <c r="BG8" s="40"/>
      <c r="BH8" s="40"/>
      <c r="BI8" s="40"/>
      <c r="BJ8" s="46">
        <f>'SMA Mkt Model'!CD302</f>
        <v>1495.0673832872437</v>
      </c>
      <c r="BK8" s="40"/>
      <c r="BL8" s="40"/>
      <c r="BM8" s="40"/>
      <c r="BN8" s="40"/>
      <c r="BO8" s="46">
        <f>'SMA Mkt Model'!CE302</f>
        <v>1397.535837762206</v>
      </c>
      <c r="BP8" s="40"/>
      <c r="BQ8" s="40"/>
      <c r="BR8" s="40"/>
      <c r="BS8" s="40"/>
      <c r="BT8" s="46">
        <f>'SMA Mkt Model'!CF302</f>
        <v>1252.8619953025284</v>
      </c>
      <c r="BU8" s="40"/>
      <c r="BV8" s="40"/>
      <c r="BW8" s="40"/>
      <c r="BX8" s="40"/>
      <c r="BY8" s="46">
        <f>'SMA Mkt Model'!CG302</f>
        <v>1174.2320494643172</v>
      </c>
      <c r="BZ8" s="40"/>
      <c r="CA8" s="40"/>
      <c r="CB8" s="40"/>
      <c r="CC8" s="40"/>
      <c r="CD8" s="46">
        <f>'SMA Mkt Model'!CH302</f>
        <v>1208.5812645902245</v>
      </c>
      <c r="CE8" s="40"/>
      <c r="CF8" s="40"/>
      <c r="CG8" s="40"/>
      <c r="CH8" s="40"/>
      <c r="CI8" s="46">
        <f>'SMA Mkt Model'!CI302</f>
        <v>1243.7525608780386</v>
      </c>
      <c r="CJ8" s="40"/>
      <c r="CK8" s="40"/>
      <c r="CL8" s="40"/>
      <c r="CM8" s="40"/>
      <c r="CN8" s="46">
        <f>'SMA Mkt Model'!CJ302</f>
        <v>1279.7651871093531</v>
      </c>
    </row>
    <row r="9" spans="1:95" ht="15" customHeight="1">
      <c r="A9" s="20"/>
      <c r="B9" s="369"/>
      <c r="C9" s="40"/>
      <c r="D9" s="40"/>
      <c r="E9" s="40"/>
      <c r="F9" s="40"/>
      <c r="G9" s="46"/>
      <c r="H9" s="40"/>
      <c r="I9" s="40"/>
      <c r="J9" s="40"/>
      <c r="K9" s="40"/>
      <c r="L9" s="46"/>
      <c r="M9" s="40"/>
      <c r="N9" s="40"/>
      <c r="O9" s="40"/>
      <c r="P9" s="40"/>
      <c r="Q9" s="46"/>
      <c r="R9" s="40"/>
      <c r="S9" s="40"/>
      <c r="T9" s="40"/>
      <c r="U9" s="40"/>
      <c r="V9" s="46"/>
      <c r="W9" s="40"/>
      <c r="X9" s="40"/>
      <c r="Y9" s="40"/>
      <c r="Z9" s="40"/>
      <c r="AA9" s="46"/>
      <c r="AB9" s="40"/>
      <c r="AC9" s="40"/>
      <c r="AD9" s="40"/>
      <c r="AE9" s="40"/>
      <c r="AF9" s="46"/>
      <c r="AG9" s="40"/>
      <c r="AH9" s="40"/>
      <c r="AI9" s="40"/>
      <c r="AJ9" s="40"/>
      <c r="AK9" s="46"/>
      <c r="AL9" s="40"/>
      <c r="AM9" s="40"/>
      <c r="AN9" s="40"/>
      <c r="AO9" s="40"/>
      <c r="AP9" s="46"/>
      <c r="AQ9" s="40"/>
      <c r="AR9" s="40"/>
      <c r="AS9" s="40"/>
      <c r="AT9" s="40"/>
      <c r="AU9" s="46"/>
      <c r="AV9" s="40"/>
      <c r="AW9" s="40"/>
      <c r="AX9" s="40"/>
      <c r="AY9" s="40"/>
      <c r="AZ9" s="46"/>
      <c r="BA9" s="40"/>
      <c r="BB9" s="40"/>
      <c r="BC9" s="40"/>
      <c r="BD9" s="40"/>
      <c r="BE9" s="46"/>
      <c r="BF9" s="40"/>
      <c r="BG9" s="40"/>
      <c r="BH9" s="40"/>
      <c r="BI9" s="40"/>
      <c r="BJ9" s="46"/>
      <c r="BK9" s="40"/>
      <c r="BL9" s="40"/>
      <c r="BM9" s="40"/>
      <c r="BN9" s="40"/>
      <c r="BO9" s="46"/>
      <c r="BP9" s="40"/>
      <c r="BQ9" s="40"/>
      <c r="BR9" s="40"/>
      <c r="BS9" s="40"/>
      <c r="BT9" s="46"/>
      <c r="BU9" s="40"/>
      <c r="BV9" s="40"/>
      <c r="BW9" s="40"/>
      <c r="BX9" s="40"/>
      <c r="BY9" s="46"/>
      <c r="BZ9" s="40"/>
      <c r="CA9" s="40"/>
      <c r="CB9" s="40"/>
      <c r="CC9" s="40"/>
      <c r="CD9" s="46"/>
      <c r="CE9" s="40"/>
      <c r="CF9" s="40"/>
      <c r="CG9" s="40"/>
      <c r="CH9" s="40"/>
      <c r="CI9" s="46"/>
      <c r="CJ9" s="40"/>
      <c r="CK9" s="40"/>
      <c r="CL9" s="40"/>
      <c r="CM9" s="40"/>
      <c r="CN9" s="46"/>
    </row>
    <row r="10" spans="1:95" ht="15" customHeight="1">
      <c r="A10" s="20"/>
      <c r="B10" s="370" t="s">
        <v>204</v>
      </c>
      <c r="C10" s="40"/>
      <c r="D10" s="40"/>
      <c r="E10" s="40"/>
      <c r="F10" s="40"/>
      <c r="G10" s="46"/>
      <c r="H10" s="177"/>
      <c r="I10" s="177"/>
      <c r="J10" s="177"/>
      <c r="K10" s="177"/>
      <c r="L10" s="46">
        <f>SUM(H10:K10)</f>
        <v>0</v>
      </c>
      <c r="M10" s="177"/>
      <c r="N10" s="177"/>
      <c r="O10" s="177"/>
      <c r="P10" s="177"/>
      <c r="Q10" s="46">
        <f>SUM(M10:P10)</f>
        <v>0</v>
      </c>
      <c r="R10" s="177"/>
      <c r="S10" s="177"/>
      <c r="T10" s="177"/>
      <c r="U10" s="177"/>
      <c r="V10" s="46">
        <f>SUM(R10:U10)</f>
        <v>0</v>
      </c>
      <c r="W10" s="177"/>
      <c r="X10" s="177"/>
      <c r="Y10" s="177"/>
      <c r="Z10" s="177"/>
      <c r="AA10" s="46">
        <f>Z10+Y10+X10+W10</f>
        <v>0</v>
      </c>
      <c r="AB10" s="86"/>
      <c r="AC10" s="86"/>
      <c r="AD10" s="86"/>
      <c r="AE10" s="86"/>
      <c r="AF10" s="239">
        <v>0</v>
      </c>
      <c r="AG10" s="86"/>
      <c r="AH10" s="86"/>
      <c r="AI10" s="86"/>
      <c r="AJ10" s="86"/>
      <c r="AK10" s="239">
        <v>0</v>
      </c>
      <c r="AL10" s="86"/>
      <c r="AM10" s="86"/>
      <c r="AN10" s="86"/>
      <c r="AO10" s="86"/>
      <c r="AP10" s="239">
        <v>0</v>
      </c>
      <c r="AQ10" s="86"/>
      <c r="AR10" s="86"/>
      <c r="AS10" s="86"/>
      <c r="AT10" s="86"/>
      <c r="AU10" s="239">
        <v>0</v>
      </c>
      <c r="AV10" s="86"/>
      <c r="AW10" s="86"/>
      <c r="AX10" s="86"/>
      <c r="AY10" s="86"/>
      <c r="AZ10" s="239">
        <v>0</v>
      </c>
      <c r="BA10" s="86"/>
      <c r="BB10" s="86"/>
      <c r="BC10" s="86"/>
      <c r="BD10" s="86"/>
      <c r="BE10" s="239">
        <v>0</v>
      </c>
      <c r="BF10" s="86"/>
      <c r="BG10" s="86"/>
      <c r="BH10" s="86"/>
      <c r="BI10" s="86"/>
      <c r="BJ10" s="239">
        <v>0</v>
      </c>
      <c r="BK10" s="86"/>
      <c r="BL10" s="86"/>
      <c r="BM10" s="86"/>
      <c r="BN10" s="86"/>
      <c r="BO10" s="239">
        <v>0</v>
      </c>
      <c r="BP10" s="86"/>
      <c r="BQ10" s="86"/>
      <c r="BR10" s="86"/>
      <c r="BS10" s="86"/>
      <c r="BT10" s="239">
        <v>0</v>
      </c>
      <c r="BU10" s="86"/>
      <c r="BV10" s="86"/>
      <c r="BW10" s="86"/>
      <c r="BX10" s="86"/>
      <c r="BY10" s="239">
        <v>0</v>
      </c>
      <c r="BZ10" s="86"/>
      <c r="CA10" s="86"/>
      <c r="CB10" s="86"/>
      <c r="CC10" s="86"/>
      <c r="CD10" s="239">
        <v>0</v>
      </c>
      <c r="CE10" s="86"/>
      <c r="CF10" s="86"/>
      <c r="CG10" s="86"/>
      <c r="CH10" s="86"/>
      <c r="CI10" s="239">
        <v>0</v>
      </c>
      <c r="CJ10" s="86"/>
      <c r="CK10" s="86"/>
      <c r="CL10" s="86"/>
      <c r="CM10" s="86"/>
      <c r="CN10" s="239">
        <v>0</v>
      </c>
    </row>
    <row r="11" spans="1:95" ht="15" customHeight="1">
      <c r="A11" s="20"/>
      <c r="B11" s="370" t="s">
        <v>205</v>
      </c>
      <c r="C11" s="40"/>
      <c r="D11" s="40"/>
      <c r="E11" s="40"/>
      <c r="F11" s="40"/>
      <c r="G11" s="46"/>
      <c r="H11" s="226"/>
      <c r="I11" s="226"/>
      <c r="J11" s="226"/>
      <c r="K11" s="226"/>
      <c r="L11" s="46">
        <f>SUM(H11:K11)</f>
        <v>0</v>
      </c>
      <c r="M11" s="226"/>
      <c r="N11" s="226"/>
      <c r="O11" s="226"/>
      <c r="P11" s="226"/>
      <c r="Q11" s="46">
        <f>SUM(M11:P11)</f>
        <v>0</v>
      </c>
      <c r="R11" s="226"/>
      <c r="S11" s="226"/>
      <c r="T11" s="226"/>
      <c r="U11" s="226"/>
      <c r="V11" s="46">
        <f>SUM(R11:U11)</f>
        <v>0</v>
      </c>
      <c r="W11" s="226"/>
      <c r="X11" s="226"/>
      <c r="Y11" s="226"/>
      <c r="Z11" s="226"/>
      <c r="AA11" s="46">
        <f>Z11+Y11+X11+W11</f>
        <v>0</v>
      </c>
      <c r="AB11" s="217"/>
      <c r="AC11" s="217"/>
      <c r="AD11" s="217"/>
      <c r="AE11" s="217"/>
      <c r="AF11" s="239">
        <v>0</v>
      </c>
      <c r="AG11" s="217"/>
      <c r="AH11" s="217"/>
      <c r="AI11" s="217"/>
      <c r="AJ11" s="217"/>
      <c r="AK11" s="239">
        <v>0</v>
      </c>
      <c r="AL11" s="217"/>
      <c r="AM11" s="217"/>
      <c r="AN11" s="217"/>
      <c r="AO11" s="217"/>
      <c r="AP11" s="239">
        <v>0</v>
      </c>
      <c r="AQ11" s="217"/>
      <c r="AR11" s="217"/>
      <c r="AS11" s="217"/>
      <c r="AT11" s="217"/>
      <c r="AU11" s="239">
        <v>0</v>
      </c>
      <c r="AV11" s="217"/>
      <c r="AW11" s="217"/>
      <c r="AX11" s="217"/>
      <c r="AY11" s="217"/>
      <c r="AZ11" s="239">
        <v>0</v>
      </c>
      <c r="BA11" s="217"/>
      <c r="BB11" s="217"/>
      <c r="BC11" s="217"/>
      <c r="BD11" s="217"/>
      <c r="BE11" s="239">
        <v>0</v>
      </c>
      <c r="BF11" s="217"/>
      <c r="BG11" s="217"/>
      <c r="BH11" s="217"/>
      <c r="BI11" s="217"/>
      <c r="BJ11" s="239">
        <v>0</v>
      </c>
      <c r="BK11" s="217"/>
      <c r="BL11" s="217"/>
      <c r="BM11" s="217"/>
      <c r="BN11" s="217"/>
      <c r="BO11" s="239">
        <v>0</v>
      </c>
      <c r="BP11" s="217"/>
      <c r="BQ11" s="217"/>
      <c r="BR11" s="217"/>
      <c r="BS11" s="217"/>
      <c r="BT11" s="239">
        <v>0</v>
      </c>
      <c r="BU11" s="217"/>
      <c r="BV11" s="217"/>
      <c r="BW11" s="217"/>
      <c r="BX11" s="217"/>
      <c r="BY11" s="239">
        <v>0</v>
      </c>
      <c r="BZ11" s="217"/>
      <c r="CA11" s="217"/>
      <c r="CB11" s="217"/>
      <c r="CC11" s="217"/>
      <c r="CD11" s="239">
        <v>0</v>
      </c>
      <c r="CE11" s="217"/>
      <c r="CF11" s="217"/>
      <c r="CG11" s="217"/>
      <c r="CH11" s="217"/>
      <c r="CI11" s="239">
        <v>0</v>
      </c>
      <c r="CJ11" s="217"/>
      <c r="CK11" s="217"/>
      <c r="CL11" s="217"/>
      <c r="CM11" s="217"/>
      <c r="CN11" s="239">
        <v>0</v>
      </c>
    </row>
    <row r="12" spans="1:95" ht="15" customHeight="1">
      <c r="A12" s="22"/>
      <c r="B12" s="408" t="s">
        <v>4</v>
      </c>
      <c r="C12" s="227">
        <f t="shared" ref="C12" si="0">C8+C11+C10</f>
        <v>0</v>
      </c>
      <c r="D12" s="227">
        <f t="shared" ref="D12" si="1">D8+D11+D10</f>
        <v>0</v>
      </c>
      <c r="E12" s="227">
        <f t="shared" ref="E12" si="2">E8+E11+E10</f>
        <v>0</v>
      </c>
      <c r="F12" s="227">
        <f t="shared" ref="F12" si="3">F8+F11+F10</f>
        <v>0</v>
      </c>
      <c r="G12" s="44">
        <f>G8+G11+G10</f>
        <v>0</v>
      </c>
      <c r="H12" s="227">
        <f t="shared" ref="H12" si="4">H8+H11+H10</f>
        <v>0</v>
      </c>
      <c r="I12" s="227">
        <f t="shared" ref="I12" si="5">I8+I11+I10</f>
        <v>0</v>
      </c>
      <c r="J12" s="227">
        <f t="shared" ref="J12" si="6">J8+J11+J10</f>
        <v>0</v>
      </c>
      <c r="K12" s="227">
        <f t="shared" ref="K12" si="7">K8+K11+K10</f>
        <v>0</v>
      </c>
      <c r="L12" s="44">
        <f>L8+L11+L10</f>
        <v>0</v>
      </c>
      <c r="M12" s="227">
        <f t="shared" ref="M12:AE12" si="8">M8+M11+M10</f>
        <v>0</v>
      </c>
      <c r="N12" s="227">
        <f t="shared" si="8"/>
        <v>0</v>
      </c>
      <c r="O12" s="227">
        <f t="shared" si="8"/>
        <v>0</v>
      </c>
      <c r="P12" s="227">
        <f t="shared" si="8"/>
        <v>0</v>
      </c>
      <c r="Q12" s="44">
        <f t="shared" si="8"/>
        <v>0</v>
      </c>
      <c r="R12" s="227">
        <f t="shared" si="8"/>
        <v>0</v>
      </c>
      <c r="S12" s="227">
        <f t="shared" si="8"/>
        <v>0</v>
      </c>
      <c r="T12" s="227">
        <f t="shared" si="8"/>
        <v>0</v>
      </c>
      <c r="U12" s="227">
        <f t="shared" si="8"/>
        <v>0</v>
      </c>
      <c r="V12" s="44">
        <f t="shared" si="8"/>
        <v>0</v>
      </c>
      <c r="W12" s="227">
        <f t="shared" si="8"/>
        <v>0</v>
      </c>
      <c r="X12" s="227">
        <f t="shared" si="8"/>
        <v>0</v>
      </c>
      <c r="Y12" s="227">
        <f t="shared" si="8"/>
        <v>0</v>
      </c>
      <c r="Z12" s="227">
        <f t="shared" si="8"/>
        <v>0</v>
      </c>
      <c r="AA12" s="44">
        <f t="shared" si="8"/>
        <v>0</v>
      </c>
      <c r="AB12" s="227">
        <f t="shared" si="8"/>
        <v>0</v>
      </c>
      <c r="AC12" s="227">
        <f t="shared" si="8"/>
        <v>0</v>
      </c>
      <c r="AD12" s="227">
        <f t="shared" si="8"/>
        <v>0</v>
      </c>
      <c r="AE12" s="227">
        <f t="shared" si="8"/>
        <v>0</v>
      </c>
      <c r="AF12" s="44">
        <f t="shared" ref="AF12" si="9">AF8+AF11+AF10</f>
        <v>0</v>
      </c>
      <c r="AG12" s="35" t="e">
        <f>#REF!+AG11+AG10</f>
        <v>#REF!</v>
      </c>
      <c r="AH12" s="35" t="e">
        <f>#REF!+AH11+AH10</f>
        <v>#REF!</v>
      </c>
      <c r="AI12" s="35" t="e">
        <f>#REF!+AI11+AI10</f>
        <v>#REF!</v>
      </c>
      <c r="AJ12" s="35" t="e">
        <f>#REF!+AJ11+AJ10</f>
        <v>#REF!</v>
      </c>
      <c r="AK12" s="44">
        <f t="shared" ref="AK12" si="10">AK8+AK11+AK10</f>
        <v>73.144346807763881</v>
      </c>
      <c r="AL12" s="35" t="e">
        <f>#REF!+AL11+AL10</f>
        <v>#REF!</v>
      </c>
      <c r="AM12" s="35" t="e">
        <f>#REF!+AM11+AM10</f>
        <v>#REF!</v>
      </c>
      <c r="AN12" s="35" t="e">
        <f>#REF!+AN11+AN10</f>
        <v>#REF!</v>
      </c>
      <c r="AO12" s="35" t="e">
        <f>#REF!+AO11+AO10</f>
        <v>#REF!</v>
      </c>
      <c r="AP12" s="44">
        <f t="shared" ref="AP12" si="11">AP8+AP11+AP10</f>
        <v>267.78532496157891</v>
      </c>
      <c r="AQ12" s="35" t="e">
        <f>#REF!+AQ11+AQ10</f>
        <v>#REF!</v>
      </c>
      <c r="AR12" s="35" t="e">
        <f>#REF!+AR11+AR10</f>
        <v>#REF!</v>
      </c>
      <c r="AS12" s="35" t="e">
        <f>#REF!+AS11+AS10</f>
        <v>#REF!</v>
      </c>
      <c r="AT12" s="35" t="e">
        <f>#REF!+AT11+AT10</f>
        <v>#REF!</v>
      </c>
      <c r="AU12" s="44">
        <f t="shared" ref="AU12" si="12">AU8+AU11+AU10</f>
        <v>821.64930777646759</v>
      </c>
      <c r="AV12" s="35" t="e">
        <f>#REF!+AV11+AV10</f>
        <v>#REF!</v>
      </c>
      <c r="AW12" s="35" t="e">
        <f>#REF!+AW11+AW10</f>
        <v>#REF!</v>
      </c>
      <c r="AX12" s="35" t="e">
        <f>#REF!+AX11+AX10</f>
        <v>#REF!</v>
      </c>
      <c r="AY12" s="35" t="e">
        <f>#REF!+AY11+AY10</f>
        <v>#REF!</v>
      </c>
      <c r="AZ12" s="44">
        <f t="shared" ref="AZ12" si="13">AZ8+AZ11+AZ10</f>
        <v>1544.8384903261385</v>
      </c>
      <c r="BA12" s="35" t="e">
        <f>#REF!+BA11+BA10</f>
        <v>#REF!</v>
      </c>
      <c r="BB12" s="35" t="e">
        <f>#REF!+BB11+BB10</f>
        <v>#REF!</v>
      </c>
      <c r="BC12" s="35" t="e">
        <f>#REF!+BC11+BC10</f>
        <v>#REF!</v>
      </c>
      <c r="BD12" s="35" t="e">
        <f>#REF!+BD11+BD10</f>
        <v>#REF!</v>
      </c>
      <c r="BE12" s="44">
        <f t="shared" ref="BE12" si="14">BE8+BE11+BE10</f>
        <v>1739.3081984831902</v>
      </c>
      <c r="BF12" s="35" t="e">
        <f>#REF!+BF11+BF10</f>
        <v>#REF!</v>
      </c>
      <c r="BG12" s="35" t="e">
        <f>#REF!+BG11+BG10</f>
        <v>#REF!</v>
      </c>
      <c r="BH12" s="35" t="e">
        <f>#REF!+BH11+BH10</f>
        <v>#REF!</v>
      </c>
      <c r="BI12" s="35" t="e">
        <f>#REF!+BI11+BI10</f>
        <v>#REF!</v>
      </c>
      <c r="BJ12" s="44">
        <f t="shared" ref="BJ12" si="15">BJ8+BJ11+BJ10</f>
        <v>1495.0673832872437</v>
      </c>
      <c r="BK12" s="35" t="e">
        <f>#REF!+BK11+BK10</f>
        <v>#REF!</v>
      </c>
      <c r="BL12" s="35" t="e">
        <f>#REF!+BL11+BL10</f>
        <v>#REF!</v>
      </c>
      <c r="BM12" s="35" t="e">
        <f>#REF!+BM11+BM10</f>
        <v>#REF!</v>
      </c>
      <c r="BN12" s="35" t="e">
        <f>#REF!+BN11+BN10</f>
        <v>#REF!</v>
      </c>
      <c r="BO12" s="44">
        <f t="shared" ref="BO12" si="16">BO8+BO11+BO10</f>
        <v>1397.535837762206</v>
      </c>
      <c r="BP12" s="35" t="e">
        <f>#REF!+BP11+BP10</f>
        <v>#REF!</v>
      </c>
      <c r="BQ12" s="35" t="e">
        <f>#REF!+BQ11+BQ10</f>
        <v>#REF!</v>
      </c>
      <c r="BR12" s="35" t="e">
        <f>#REF!+BR11+BR10</f>
        <v>#REF!</v>
      </c>
      <c r="BS12" s="35" t="e">
        <f>#REF!+BS11+BS10</f>
        <v>#REF!</v>
      </c>
      <c r="BT12" s="44">
        <f t="shared" ref="BT12" si="17">BT8+BT11+BT10</f>
        <v>1252.8619953025284</v>
      </c>
      <c r="BU12" s="35" t="e">
        <f>#REF!+BU11+BU10</f>
        <v>#REF!</v>
      </c>
      <c r="BV12" s="35" t="e">
        <f>#REF!+BV11+BV10</f>
        <v>#REF!</v>
      </c>
      <c r="BW12" s="35" t="e">
        <f>#REF!+BW11+BW10</f>
        <v>#REF!</v>
      </c>
      <c r="BX12" s="35" t="e">
        <f>#REF!+BX11+BX10</f>
        <v>#REF!</v>
      </c>
      <c r="BY12" s="44">
        <f t="shared" ref="BY12" si="18">BY8+BY11+BY10</f>
        <v>1174.2320494643172</v>
      </c>
      <c r="BZ12" s="35" t="e">
        <f>#REF!+BZ11+BZ10</f>
        <v>#REF!</v>
      </c>
      <c r="CA12" s="35" t="e">
        <f>#REF!+CA11+CA10</f>
        <v>#REF!</v>
      </c>
      <c r="CB12" s="35" t="e">
        <f>#REF!+CB11+CB10</f>
        <v>#REF!</v>
      </c>
      <c r="CC12" s="35" t="e">
        <f>#REF!+CC11+CC10</f>
        <v>#REF!</v>
      </c>
      <c r="CD12" s="44">
        <f t="shared" ref="CD12" si="19">CD8+CD11+CD10</f>
        <v>1208.5812645902245</v>
      </c>
      <c r="CE12" s="35" t="e">
        <f>#REF!+CE11+CE10</f>
        <v>#REF!</v>
      </c>
      <c r="CF12" s="35" t="e">
        <f>#REF!+CF11+CF10</f>
        <v>#REF!</v>
      </c>
      <c r="CG12" s="35" t="e">
        <f>#REF!+CG11+CG10</f>
        <v>#REF!</v>
      </c>
      <c r="CH12" s="35" t="e">
        <f>#REF!+CH11+CH10</f>
        <v>#REF!</v>
      </c>
      <c r="CI12" s="44">
        <f t="shared" ref="CI12" si="20">CI8+CI11+CI10</f>
        <v>1243.7525608780386</v>
      </c>
      <c r="CJ12" s="35" t="e">
        <f>#REF!+CJ11+CJ10</f>
        <v>#REF!</v>
      </c>
      <c r="CK12" s="35" t="e">
        <f>#REF!+CK11+CK10</f>
        <v>#REF!</v>
      </c>
      <c r="CL12" s="35" t="e">
        <f>#REF!+CL11+CL10</f>
        <v>#REF!</v>
      </c>
      <c r="CM12" s="35" t="e">
        <f>#REF!+CM11+CM10</f>
        <v>#REF!</v>
      </c>
      <c r="CN12" s="44">
        <f t="shared" ref="CN12" si="21">CN8+CN11+CN10</f>
        <v>1279.7651871093531</v>
      </c>
    </row>
    <row r="13" spans="1:95" ht="15" customHeight="1">
      <c r="A13" s="22"/>
      <c r="B13" s="371"/>
      <c r="C13" s="39"/>
      <c r="D13" s="39"/>
      <c r="E13" s="39"/>
      <c r="F13" s="39"/>
      <c r="G13" s="45"/>
      <c r="H13" s="228"/>
      <c r="I13" s="228"/>
      <c r="J13" s="228"/>
      <c r="K13" s="228"/>
      <c r="L13" s="45"/>
      <c r="M13" s="228"/>
      <c r="N13" s="228"/>
      <c r="O13" s="228"/>
      <c r="P13" s="228"/>
      <c r="Q13" s="45"/>
      <c r="R13" s="228"/>
      <c r="S13" s="228"/>
      <c r="T13" s="228"/>
      <c r="U13" s="228"/>
      <c r="V13" s="45"/>
      <c r="W13" s="228"/>
      <c r="X13" s="228"/>
      <c r="Y13" s="228"/>
      <c r="Z13" s="228"/>
      <c r="AA13" s="45"/>
      <c r="AB13" s="88"/>
      <c r="AC13" s="88"/>
      <c r="AD13" s="88"/>
      <c r="AE13" s="88"/>
      <c r="AF13" s="45"/>
      <c r="AG13" s="88"/>
      <c r="AH13" s="88"/>
      <c r="AI13" s="88"/>
      <c r="AJ13" s="88"/>
      <c r="AK13" s="45"/>
      <c r="AL13" s="88"/>
      <c r="AM13" s="88"/>
      <c r="AN13" s="88"/>
      <c r="AO13" s="88"/>
      <c r="AP13" s="45"/>
      <c r="AQ13" s="88"/>
      <c r="AR13" s="88"/>
      <c r="AS13" s="88"/>
      <c r="AT13" s="88"/>
      <c r="AU13" s="45"/>
      <c r="AV13" s="88"/>
      <c r="AW13" s="88"/>
      <c r="AX13" s="88"/>
      <c r="AY13" s="88"/>
      <c r="AZ13" s="45"/>
      <c r="BA13" s="88"/>
      <c r="BB13" s="88"/>
      <c r="BC13" s="88"/>
      <c r="BD13" s="88"/>
      <c r="BE13" s="45"/>
      <c r="BF13" s="88"/>
      <c r="BG13" s="88"/>
      <c r="BH13" s="88"/>
      <c r="BI13" s="88"/>
      <c r="BJ13" s="45"/>
      <c r="BK13" s="88"/>
      <c r="BL13" s="88"/>
      <c r="BM13" s="88"/>
      <c r="BN13" s="88"/>
      <c r="BO13" s="45"/>
      <c r="BP13" s="88"/>
      <c r="BQ13" s="88"/>
      <c r="BR13" s="88"/>
      <c r="BS13" s="88"/>
      <c r="BT13" s="45"/>
      <c r="BU13" s="88"/>
      <c r="BV13" s="88"/>
      <c r="BW13" s="88"/>
      <c r="BX13" s="88"/>
      <c r="BY13" s="45"/>
      <c r="BZ13" s="88"/>
      <c r="CA13" s="88"/>
      <c r="CB13" s="88"/>
      <c r="CC13" s="88"/>
      <c r="CD13" s="45"/>
      <c r="CE13" s="88"/>
      <c r="CF13" s="88"/>
      <c r="CG13" s="88"/>
      <c r="CH13" s="88"/>
      <c r="CI13" s="45"/>
      <c r="CJ13" s="88"/>
      <c r="CK13" s="88"/>
      <c r="CL13" s="88"/>
      <c r="CM13" s="88"/>
      <c r="CN13" s="45"/>
    </row>
    <row r="14" spans="1:95" ht="15" customHeight="1">
      <c r="A14" s="20"/>
      <c r="B14" s="372" t="s">
        <v>109</v>
      </c>
      <c r="C14" s="40"/>
      <c r="D14" s="40"/>
      <c r="E14" s="40"/>
      <c r="F14" s="40"/>
      <c r="G14" s="46"/>
      <c r="H14" s="177"/>
      <c r="I14" s="177"/>
      <c r="J14" s="177"/>
      <c r="K14" s="177"/>
      <c r="L14" s="46"/>
      <c r="M14" s="177"/>
      <c r="N14" s="177"/>
      <c r="O14" s="177"/>
      <c r="P14" s="177"/>
      <c r="Q14" s="46"/>
      <c r="R14" s="177"/>
      <c r="S14" s="177"/>
      <c r="T14" s="177"/>
      <c r="U14" s="177"/>
      <c r="V14" s="46"/>
      <c r="W14" s="177"/>
      <c r="X14" s="177"/>
      <c r="Y14" s="177"/>
      <c r="Z14" s="177"/>
      <c r="AA14" s="46"/>
      <c r="AB14" s="40"/>
      <c r="AC14" s="40"/>
      <c r="AD14" s="40"/>
      <c r="AE14" s="40"/>
      <c r="AF14" s="46"/>
      <c r="AG14" s="40"/>
      <c r="AH14" s="40"/>
      <c r="AI14" s="40"/>
      <c r="AJ14" s="40"/>
      <c r="AK14" s="46"/>
      <c r="AL14" s="40"/>
      <c r="AM14" s="40"/>
      <c r="AN14" s="40"/>
      <c r="AO14" s="40"/>
      <c r="AP14" s="46"/>
      <c r="AQ14" s="40"/>
      <c r="AR14" s="40"/>
      <c r="AS14" s="40"/>
      <c r="AT14" s="40"/>
      <c r="AU14" s="46"/>
      <c r="AV14" s="40"/>
      <c r="AW14" s="40"/>
      <c r="AX14" s="40"/>
      <c r="AY14" s="40"/>
      <c r="AZ14" s="46"/>
      <c r="BA14" s="40"/>
      <c r="BB14" s="40"/>
      <c r="BC14" s="40"/>
      <c r="BD14" s="40"/>
      <c r="BE14" s="46"/>
      <c r="BF14" s="40"/>
      <c r="BG14" s="40"/>
      <c r="BH14" s="40"/>
      <c r="BI14" s="40"/>
      <c r="BJ14" s="46"/>
      <c r="BK14" s="40"/>
      <c r="BL14" s="40"/>
      <c r="BM14" s="40"/>
      <c r="BN14" s="40"/>
      <c r="BO14" s="46"/>
      <c r="BP14" s="40"/>
      <c r="BQ14" s="40"/>
      <c r="BR14" s="40"/>
      <c r="BS14" s="40"/>
      <c r="BT14" s="46"/>
      <c r="BU14" s="40"/>
      <c r="BV14" s="40"/>
      <c r="BW14" s="40"/>
      <c r="BX14" s="40"/>
      <c r="BY14" s="46"/>
      <c r="BZ14" s="40"/>
      <c r="CA14" s="40"/>
      <c r="CB14" s="40"/>
      <c r="CC14" s="40"/>
      <c r="CD14" s="46"/>
      <c r="CE14" s="40"/>
      <c r="CF14" s="40"/>
      <c r="CG14" s="40"/>
      <c r="CH14" s="40"/>
      <c r="CI14" s="46"/>
      <c r="CJ14" s="40"/>
      <c r="CK14" s="40"/>
      <c r="CL14" s="40"/>
      <c r="CM14" s="40"/>
      <c r="CN14" s="46"/>
    </row>
    <row r="15" spans="1:95" ht="15" customHeight="1">
      <c r="A15" s="20"/>
      <c r="B15" s="370" t="s">
        <v>110</v>
      </c>
      <c r="C15" s="40">
        <v>0</v>
      </c>
      <c r="D15" s="40">
        <v>0</v>
      </c>
      <c r="E15" s="40">
        <v>0</v>
      </c>
      <c r="F15" s="40">
        <v>0</v>
      </c>
      <c r="G15" s="46">
        <v>0</v>
      </c>
      <c r="H15" s="177">
        <v>0</v>
      </c>
      <c r="I15" s="177">
        <v>0</v>
      </c>
      <c r="J15" s="177">
        <v>0</v>
      </c>
      <c r="K15" s="177">
        <v>0</v>
      </c>
      <c r="L15" s="46">
        <f t="shared" ref="L15" si="22">SUM(H15:K15)</f>
        <v>0</v>
      </c>
      <c r="M15" s="177">
        <v>0</v>
      </c>
      <c r="N15" s="177">
        <v>0</v>
      </c>
      <c r="O15" s="177">
        <v>0</v>
      </c>
      <c r="P15" s="177">
        <v>0</v>
      </c>
      <c r="Q15" s="46">
        <f t="shared" ref="Q15" si="23">SUM(M15:P15)</f>
        <v>0</v>
      </c>
      <c r="R15" s="177">
        <v>0</v>
      </c>
      <c r="S15" s="177">
        <v>0</v>
      </c>
      <c r="T15" s="177">
        <v>0</v>
      </c>
      <c r="U15" s="177">
        <v>0</v>
      </c>
      <c r="V15" s="46">
        <f t="shared" ref="V15" si="24">SUM(R15:U15)</f>
        <v>0</v>
      </c>
      <c r="W15" s="177">
        <v>0</v>
      </c>
      <c r="X15" s="177">
        <v>0</v>
      </c>
      <c r="Y15" s="177">
        <v>0</v>
      </c>
      <c r="Z15" s="177">
        <v>0</v>
      </c>
      <c r="AA15" s="46">
        <f>Z15+Y15+X15+W15</f>
        <v>0</v>
      </c>
      <c r="AB15" s="177">
        <v>0</v>
      </c>
      <c r="AC15" s="177">
        <v>0</v>
      </c>
      <c r="AD15" s="177">
        <v>0</v>
      </c>
      <c r="AE15" s="177">
        <v>0</v>
      </c>
      <c r="AF15" s="46">
        <f>AE15+AD15+AC15+AB15</f>
        <v>0</v>
      </c>
      <c r="AG15" s="86"/>
      <c r="AH15" s="86"/>
      <c r="AI15" s="86"/>
      <c r="AJ15" s="86"/>
      <c r="AK15" s="239">
        <f>AK16*AK7</f>
        <v>13.664328524527319</v>
      </c>
      <c r="AL15" s="86"/>
      <c r="AM15" s="86"/>
      <c r="AN15" s="86"/>
      <c r="AO15" s="86"/>
      <c r="AP15" s="239">
        <f>AP16*AP7</f>
        <v>47.083134059178711</v>
      </c>
      <c r="AQ15" s="86"/>
      <c r="AR15" s="86"/>
      <c r="AS15" s="86"/>
      <c r="AT15" s="86"/>
      <c r="AU15" s="239">
        <f>AU16*AU7</f>
        <v>135.43669908403311</v>
      </c>
      <c r="AV15" s="86"/>
      <c r="AW15" s="86"/>
      <c r="AX15" s="86"/>
      <c r="AY15" s="86"/>
      <c r="AZ15" s="239">
        <f>AZ16*AZ7</f>
        <v>237.66746005017512</v>
      </c>
      <c r="BA15" s="86"/>
      <c r="BB15" s="86"/>
      <c r="BC15" s="86"/>
      <c r="BD15" s="86"/>
      <c r="BE15" s="239">
        <f>BE16*BE7</f>
        <v>248.47259978331283</v>
      </c>
      <c r="BF15" s="86"/>
      <c r="BG15" s="86"/>
      <c r="BH15" s="86"/>
      <c r="BI15" s="86"/>
      <c r="BJ15" s="239">
        <f>BJ16*BJ7</f>
        <v>197.15174285106508</v>
      </c>
      <c r="BK15" s="86"/>
      <c r="BL15" s="86"/>
      <c r="BM15" s="86"/>
      <c r="BN15" s="86"/>
      <c r="BO15" s="239">
        <f>BO16*BO7</f>
        <v>168.93290346576114</v>
      </c>
      <c r="BP15" s="86"/>
      <c r="BQ15" s="86"/>
      <c r="BR15" s="86"/>
      <c r="BS15" s="86"/>
      <c r="BT15" s="239">
        <f>BT16*BT7</f>
        <v>137.67714234093717</v>
      </c>
      <c r="BU15" s="86"/>
      <c r="BV15" s="86"/>
      <c r="BW15" s="86"/>
      <c r="BX15" s="86"/>
      <c r="BY15" s="239">
        <f>BY16*BY7</f>
        <v>116.1328400569105</v>
      </c>
      <c r="BZ15" s="86"/>
      <c r="CA15" s="86"/>
      <c r="CB15" s="86"/>
      <c r="CC15" s="86"/>
      <c r="CD15" s="239">
        <f>CD16*CD7</f>
        <v>106.2489023815582</v>
      </c>
      <c r="CE15" s="86"/>
      <c r="CF15" s="86"/>
      <c r="CG15" s="86"/>
      <c r="CH15" s="86"/>
      <c r="CI15" s="239">
        <f>CI16*CI7</f>
        <v>95.673273913695283</v>
      </c>
      <c r="CJ15" s="86"/>
      <c r="CK15" s="86"/>
      <c r="CL15" s="86"/>
      <c r="CM15" s="86"/>
      <c r="CN15" s="239">
        <f>CN16*CN7</f>
        <v>84.380122226990323</v>
      </c>
    </row>
    <row r="16" spans="1:95" ht="15" hidden="1" customHeight="1" outlineLevel="1">
      <c r="A16" s="20"/>
      <c r="B16" s="373" t="s">
        <v>193</v>
      </c>
      <c r="C16" s="145"/>
      <c r="D16" s="145"/>
      <c r="E16" s="145"/>
      <c r="F16" s="145"/>
      <c r="G16" s="144"/>
      <c r="H16" s="229"/>
      <c r="I16" s="229"/>
      <c r="J16" s="229"/>
      <c r="K16" s="229"/>
      <c r="L16" s="144"/>
      <c r="M16" s="229"/>
      <c r="N16" s="229"/>
      <c r="O16" s="229"/>
      <c r="P16" s="229"/>
      <c r="Q16" s="144"/>
      <c r="R16" s="229"/>
      <c r="S16" s="229"/>
      <c r="T16" s="229"/>
      <c r="U16" s="229"/>
      <c r="V16" s="144"/>
      <c r="W16" s="229"/>
      <c r="X16" s="229"/>
      <c r="Y16" s="229"/>
      <c r="Z16" s="229"/>
      <c r="AA16" s="144"/>
      <c r="AB16" s="146"/>
      <c r="AC16" s="146"/>
      <c r="AD16" s="146"/>
      <c r="AE16" s="146"/>
      <c r="AF16" s="144"/>
      <c r="AG16" s="146"/>
      <c r="AH16" s="146"/>
      <c r="AI16" s="146"/>
      <c r="AJ16" s="146"/>
      <c r="AK16" s="144">
        <v>0.17</v>
      </c>
      <c r="AL16" s="146"/>
      <c r="AM16" s="146"/>
      <c r="AN16" s="146"/>
      <c r="AO16" s="146"/>
      <c r="AP16" s="144">
        <f>AK16-0.01</f>
        <v>0.16</v>
      </c>
      <c r="AQ16" s="146"/>
      <c r="AR16" s="146"/>
      <c r="AS16" s="146"/>
      <c r="AT16" s="146"/>
      <c r="AU16" s="144">
        <f>AP16-0.01</f>
        <v>0.15</v>
      </c>
      <c r="AV16" s="146"/>
      <c r="AW16" s="146"/>
      <c r="AX16" s="146"/>
      <c r="AY16" s="146"/>
      <c r="AZ16" s="144">
        <f>AU16-0.01</f>
        <v>0.13999999999999999</v>
      </c>
      <c r="BA16" s="146"/>
      <c r="BB16" s="146"/>
      <c r="BC16" s="146"/>
      <c r="BD16" s="146"/>
      <c r="BE16" s="144">
        <f>AZ16-0.01</f>
        <v>0.12999999999999998</v>
      </c>
      <c r="BF16" s="146"/>
      <c r="BG16" s="146"/>
      <c r="BH16" s="146"/>
      <c r="BI16" s="146"/>
      <c r="BJ16" s="144">
        <f>BE16-0.01</f>
        <v>0.11999999999999998</v>
      </c>
      <c r="BK16" s="146"/>
      <c r="BL16" s="146"/>
      <c r="BM16" s="146"/>
      <c r="BN16" s="146"/>
      <c r="BO16" s="144">
        <f>BJ16-0.01</f>
        <v>0.10999999999999999</v>
      </c>
      <c r="BP16" s="146"/>
      <c r="BQ16" s="146"/>
      <c r="BR16" s="146"/>
      <c r="BS16" s="146"/>
      <c r="BT16" s="144">
        <f>BO16-0.01</f>
        <v>9.9999999999999992E-2</v>
      </c>
      <c r="BU16" s="146"/>
      <c r="BV16" s="146"/>
      <c r="BW16" s="146"/>
      <c r="BX16" s="146"/>
      <c r="BY16" s="144">
        <f>BT16-0.01</f>
        <v>0.09</v>
      </c>
      <c r="BZ16" s="146"/>
      <c r="CA16" s="146"/>
      <c r="CB16" s="146"/>
      <c r="CC16" s="146"/>
      <c r="CD16" s="144">
        <f>BY16-0.01</f>
        <v>0.08</v>
      </c>
      <c r="CE16" s="146"/>
      <c r="CF16" s="146"/>
      <c r="CG16" s="146"/>
      <c r="CH16" s="146"/>
      <c r="CI16" s="144">
        <f>CD16-0.01</f>
        <v>7.0000000000000007E-2</v>
      </c>
      <c r="CJ16" s="146"/>
      <c r="CK16" s="146"/>
      <c r="CL16" s="146"/>
      <c r="CM16" s="146"/>
      <c r="CN16" s="144">
        <f>CI16-0.01</f>
        <v>6.0000000000000005E-2</v>
      </c>
    </row>
    <row r="17" spans="1:92" ht="15" customHeight="1" collapsed="1">
      <c r="A17" s="20"/>
      <c r="B17" s="373"/>
      <c r="C17" s="139"/>
      <c r="D17" s="139"/>
      <c r="E17" s="139"/>
      <c r="F17" s="139"/>
      <c r="G17" s="138"/>
      <c r="H17" s="230"/>
      <c r="I17" s="230"/>
      <c r="J17" s="230"/>
      <c r="K17" s="230"/>
      <c r="L17" s="138"/>
      <c r="M17" s="230"/>
      <c r="N17" s="230"/>
      <c r="O17" s="230"/>
      <c r="P17" s="230"/>
      <c r="Q17" s="138"/>
      <c r="R17" s="230"/>
      <c r="S17" s="230"/>
      <c r="T17" s="230"/>
      <c r="U17" s="230"/>
      <c r="V17" s="138"/>
      <c r="W17" s="230"/>
      <c r="X17" s="230"/>
      <c r="Y17" s="230"/>
      <c r="Z17" s="230"/>
      <c r="AA17" s="138"/>
      <c r="AB17" s="140"/>
      <c r="AC17" s="140"/>
      <c r="AD17" s="140"/>
      <c r="AE17" s="140"/>
      <c r="AF17" s="138"/>
      <c r="AG17" s="140"/>
      <c r="AH17" s="140"/>
      <c r="AI17" s="140"/>
      <c r="AJ17" s="140"/>
      <c r="AK17" s="138"/>
      <c r="AL17" s="140"/>
      <c r="AM17" s="140"/>
      <c r="AN17" s="140"/>
      <c r="AO17" s="140"/>
      <c r="AP17" s="138"/>
      <c r="AQ17" s="140"/>
      <c r="AR17" s="140"/>
      <c r="AS17" s="140"/>
      <c r="AT17" s="140"/>
      <c r="AU17" s="138"/>
      <c r="AV17" s="140"/>
      <c r="AW17" s="140"/>
      <c r="AX17" s="140"/>
      <c r="AY17" s="140"/>
      <c r="AZ17" s="138"/>
      <c r="BA17" s="140"/>
      <c r="BB17" s="140"/>
      <c r="BC17" s="140"/>
      <c r="BD17" s="140"/>
      <c r="BE17" s="138"/>
      <c r="BF17" s="140"/>
      <c r="BG17" s="140"/>
      <c r="BH17" s="140"/>
      <c r="BI17" s="140"/>
      <c r="BJ17" s="138"/>
      <c r="BK17" s="140"/>
      <c r="BL17" s="140"/>
      <c r="BM17" s="140"/>
      <c r="BN17" s="140"/>
      <c r="BO17" s="138"/>
      <c r="BP17" s="140"/>
      <c r="BQ17" s="140"/>
      <c r="BR17" s="140"/>
      <c r="BS17" s="140"/>
      <c r="BT17" s="138"/>
      <c r="BU17" s="140"/>
      <c r="BV17" s="140"/>
      <c r="BW17" s="140"/>
      <c r="BX17" s="140"/>
      <c r="BY17" s="138"/>
      <c r="BZ17" s="140"/>
      <c r="CA17" s="140"/>
      <c r="CB17" s="140"/>
      <c r="CC17" s="140"/>
      <c r="CD17" s="138"/>
      <c r="CE17" s="140"/>
      <c r="CF17" s="140"/>
      <c r="CG17" s="140"/>
      <c r="CH17" s="140"/>
      <c r="CI17" s="138"/>
      <c r="CJ17" s="140"/>
      <c r="CK17" s="140"/>
      <c r="CL17" s="140"/>
      <c r="CM17" s="140"/>
      <c r="CN17" s="138"/>
    </row>
    <row r="18" spans="1:92" ht="15" hidden="1" customHeight="1" outlineLevel="1">
      <c r="A18" s="20"/>
      <c r="B18" s="369" t="s">
        <v>58</v>
      </c>
      <c r="C18" s="40"/>
      <c r="D18" s="40"/>
      <c r="E18" s="40"/>
      <c r="F18" s="40"/>
      <c r="G18" s="46"/>
      <c r="H18" s="177"/>
      <c r="I18" s="177"/>
      <c r="J18" s="177"/>
      <c r="K18" s="177"/>
      <c r="L18" s="46">
        <f t="shared" ref="L18:L26" si="25">SUM(H18:K18)</f>
        <v>0</v>
      </c>
      <c r="M18" s="177">
        <f>M21</f>
        <v>4.8120250000000002</v>
      </c>
      <c r="N18" s="177">
        <f t="shared" ref="N18:P18" si="26">N21</f>
        <v>7.6548389999999999</v>
      </c>
      <c r="O18" s="177">
        <f t="shared" si="26"/>
        <v>6.2893499999999998</v>
      </c>
      <c r="P18" s="177">
        <f t="shared" si="26"/>
        <v>8.7372460000000007</v>
      </c>
      <c r="Q18" s="46">
        <f t="shared" ref="Q18:Q26" si="27">SUM(M18:P18)</f>
        <v>27.493459999999999</v>
      </c>
      <c r="R18" s="177">
        <f>R21</f>
        <v>16.065089</v>
      </c>
      <c r="S18" s="177">
        <f t="shared" ref="S18:U18" si="28">S21</f>
        <v>10.379521</v>
      </c>
      <c r="T18" s="177">
        <f t="shared" si="28"/>
        <v>14.097713000000001</v>
      </c>
      <c r="U18" s="177">
        <f t="shared" si="28"/>
        <v>18.349343999999999</v>
      </c>
      <c r="V18" s="46">
        <f t="shared" ref="V18:V26" si="29">SUM(R18:U18)</f>
        <v>58.891666999999998</v>
      </c>
      <c r="W18" s="177">
        <f t="shared" ref="W18:X20" si="30">W19</f>
        <v>20.327000000000002</v>
      </c>
      <c r="X18" s="177">
        <f t="shared" si="30"/>
        <v>45.206000000000003</v>
      </c>
      <c r="Y18" s="177">
        <f t="shared" ref="Y18:Z20" si="31">Y19</f>
        <v>33.424999999999997</v>
      </c>
      <c r="Z18" s="177">
        <f t="shared" si="31"/>
        <v>51.445</v>
      </c>
      <c r="AA18" s="46">
        <f t="shared" ref="AA18:AA26" si="32">Z18+Y18+X18+W18</f>
        <v>150.40300000000002</v>
      </c>
      <c r="AB18" s="177">
        <f t="shared" ref="AB18:AE20" si="33">AB74</f>
        <v>34.555900000000001</v>
      </c>
      <c r="AC18" s="177">
        <f t="shared" si="33"/>
        <v>35.486710000000002</v>
      </c>
      <c r="AD18" s="177">
        <f t="shared" si="33"/>
        <v>36.600374999999993</v>
      </c>
      <c r="AE18" s="177">
        <f t="shared" si="33"/>
        <v>48.872749999999996</v>
      </c>
      <c r="AF18" s="46">
        <f t="shared" ref="AF18:AF26" si="34">AE18+AD18+AC18+AB18</f>
        <v>155.51573499999998</v>
      </c>
      <c r="AG18" s="40"/>
      <c r="AH18" s="40"/>
      <c r="AI18" s="40"/>
      <c r="AJ18" s="40"/>
      <c r="AK18" s="239">
        <f>AK74</f>
        <v>158.62604969999998</v>
      </c>
      <c r="AL18" s="40"/>
      <c r="AM18" s="40"/>
      <c r="AN18" s="40"/>
      <c r="AO18" s="40"/>
      <c r="AP18" s="239">
        <f>AP74</f>
        <v>160.21231019699999</v>
      </c>
      <c r="AQ18" s="40"/>
      <c r="AR18" s="40"/>
      <c r="AS18" s="40"/>
      <c r="AT18" s="40"/>
      <c r="AU18" s="239">
        <f>AU74</f>
        <v>160.21231019699999</v>
      </c>
      <c r="AV18" s="40"/>
      <c r="AW18" s="40"/>
      <c r="AX18" s="40"/>
      <c r="AY18" s="40"/>
      <c r="AZ18" s="239">
        <f>AZ74</f>
        <v>160.21231019699999</v>
      </c>
      <c r="BA18" s="40"/>
      <c r="BB18" s="40"/>
      <c r="BC18" s="40"/>
      <c r="BD18" s="40"/>
      <c r="BE18" s="239">
        <f>BE74</f>
        <v>160.21231019699999</v>
      </c>
      <c r="BF18" s="40"/>
      <c r="BG18" s="40"/>
      <c r="BH18" s="40"/>
      <c r="BI18" s="40"/>
      <c r="BJ18" s="239">
        <f>BJ74</f>
        <v>160.21231019699999</v>
      </c>
      <c r="BK18" s="40"/>
      <c r="BL18" s="40"/>
      <c r="BM18" s="40"/>
      <c r="BN18" s="40"/>
      <c r="BO18" s="239">
        <f>BO74</f>
        <v>160.21231019699999</v>
      </c>
      <c r="BP18" s="40"/>
      <c r="BQ18" s="40"/>
      <c r="BR18" s="40"/>
      <c r="BS18" s="40"/>
      <c r="BT18" s="239">
        <f>BT74</f>
        <v>160.21231019699999</v>
      </c>
      <c r="BU18" s="40"/>
      <c r="BV18" s="40"/>
      <c r="BW18" s="40"/>
      <c r="BX18" s="40"/>
      <c r="BY18" s="239">
        <f>BY74</f>
        <v>160.21231019699999</v>
      </c>
      <c r="BZ18" s="40"/>
      <c r="CA18" s="40"/>
      <c r="CB18" s="40"/>
      <c r="CC18" s="40"/>
      <c r="CD18" s="239">
        <f>CD74</f>
        <v>160.21231019699999</v>
      </c>
      <c r="CE18" s="40"/>
      <c r="CF18" s="40"/>
      <c r="CG18" s="40"/>
      <c r="CH18" s="40"/>
      <c r="CI18" s="239">
        <f>CI74</f>
        <v>160.21231019699999</v>
      </c>
      <c r="CJ18" s="40"/>
      <c r="CK18" s="40"/>
      <c r="CL18" s="40"/>
      <c r="CM18" s="40"/>
      <c r="CN18" s="239">
        <f>CN74</f>
        <v>160.21231019699999</v>
      </c>
    </row>
    <row r="19" spans="1:92" ht="15" hidden="1" customHeight="1" outlineLevel="1">
      <c r="A19" s="20"/>
      <c r="B19" s="369" t="s">
        <v>59</v>
      </c>
      <c r="C19" s="40"/>
      <c r="D19" s="40"/>
      <c r="E19" s="40"/>
      <c r="F19" s="40"/>
      <c r="G19" s="46"/>
      <c r="H19" s="177"/>
      <c r="I19" s="177"/>
      <c r="J19" s="177"/>
      <c r="K19" s="177"/>
      <c r="L19" s="46">
        <f t="shared" si="25"/>
        <v>0</v>
      </c>
      <c r="M19" s="177">
        <f>M21</f>
        <v>4.8120250000000002</v>
      </c>
      <c r="N19" s="177">
        <f t="shared" ref="N19:P19" si="35">N21</f>
        <v>7.6548389999999999</v>
      </c>
      <c r="O19" s="177">
        <f t="shared" si="35"/>
        <v>6.2893499999999998</v>
      </c>
      <c r="P19" s="177">
        <f t="shared" si="35"/>
        <v>8.7372460000000007</v>
      </c>
      <c r="Q19" s="46">
        <f t="shared" si="27"/>
        <v>27.493459999999999</v>
      </c>
      <c r="R19" s="177">
        <f>R21</f>
        <v>16.065089</v>
      </c>
      <c r="S19" s="177">
        <f t="shared" ref="S19:U19" si="36">S21</f>
        <v>10.379521</v>
      </c>
      <c r="T19" s="177">
        <f t="shared" si="36"/>
        <v>14.097713000000001</v>
      </c>
      <c r="U19" s="177">
        <f t="shared" si="36"/>
        <v>18.349343999999999</v>
      </c>
      <c r="V19" s="46">
        <f t="shared" si="29"/>
        <v>58.891666999999998</v>
      </c>
      <c r="W19" s="177">
        <f t="shared" si="30"/>
        <v>20.327000000000002</v>
      </c>
      <c r="X19" s="177">
        <f t="shared" si="30"/>
        <v>45.206000000000003</v>
      </c>
      <c r="Y19" s="177">
        <f t="shared" si="31"/>
        <v>33.424999999999997</v>
      </c>
      <c r="Z19" s="177">
        <f t="shared" si="31"/>
        <v>51.445</v>
      </c>
      <c r="AA19" s="46">
        <f t="shared" si="32"/>
        <v>150.40300000000002</v>
      </c>
      <c r="AB19" s="177">
        <f t="shared" si="33"/>
        <v>33.539549999999998</v>
      </c>
      <c r="AC19" s="177">
        <f t="shared" si="33"/>
        <v>34.492178000000003</v>
      </c>
      <c r="AD19" s="177">
        <f t="shared" si="33"/>
        <v>35.931874999999998</v>
      </c>
      <c r="AE19" s="177">
        <f t="shared" si="33"/>
        <v>48.872749999999996</v>
      </c>
      <c r="AF19" s="46">
        <f t="shared" si="34"/>
        <v>152.83635299999997</v>
      </c>
      <c r="AG19" s="40"/>
      <c r="AH19" s="40"/>
      <c r="AI19" s="40"/>
      <c r="AJ19" s="40"/>
      <c r="AK19" s="239">
        <f t="shared" ref="AK19:AK20" si="37">AK75</f>
        <v>155.89308005999999</v>
      </c>
      <c r="AL19" s="40"/>
      <c r="AM19" s="40"/>
      <c r="AN19" s="40"/>
      <c r="AO19" s="40"/>
      <c r="AP19" s="239">
        <f t="shared" ref="AP19:AP20" si="38">AP75</f>
        <v>157.45201086059998</v>
      </c>
      <c r="AQ19" s="40"/>
      <c r="AR19" s="40"/>
      <c r="AS19" s="40"/>
      <c r="AT19" s="40"/>
      <c r="AU19" s="239">
        <f t="shared" ref="AU19:AU20" si="39">AU75</f>
        <v>157.45201086059998</v>
      </c>
      <c r="AV19" s="40"/>
      <c r="AW19" s="40"/>
      <c r="AX19" s="40"/>
      <c r="AY19" s="40"/>
      <c r="AZ19" s="239">
        <f t="shared" ref="AZ19:AZ20" si="40">AZ75</f>
        <v>157.45201086059998</v>
      </c>
      <c r="BA19" s="40"/>
      <c r="BB19" s="40"/>
      <c r="BC19" s="40"/>
      <c r="BD19" s="40"/>
      <c r="BE19" s="239">
        <f t="shared" ref="BE19:BE20" si="41">BE75</f>
        <v>157.45201086059998</v>
      </c>
      <c r="BF19" s="40"/>
      <c r="BG19" s="40"/>
      <c r="BH19" s="40"/>
      <c r="BI19" s="40"/>
      <c r="BJ19" s="239">
        <f t="shared" ref="BJ19:BJ20" si="42">BJ75</f>
        <v>156.66475080629698</v>
      </c>
      <c r="BK19" s="40"/>
      <c r="BL19" s="40"/>
      <c r="BM19" s="40"/>
      <c r="BN19" s="40"/>
      <c r="BO19" s="239">
        <f t="shared" ref="BO19:BO20" si="43">BO75</f>
        <v>155.09810329823401</v>
      </c>
      <c r="BP19" s="40"/>
      <c r="BQ19" s="40"/>
      <c r="BR19" s="40"/>
      <c r="BS19" s="40"/>
      <c r="BT19" s="239">
        <f t="shared" ref="BT19:BT20" si="44">BT75</f>
        <v>153.54712226525166</v>
      </c>
      <c r="BU19" s="40"/>
      <c r="BV19" s="40"/>
      <c r="BW19" s="40"/>
      <c r="BX19" s="40"/>
      <c r="BY19" s="239">
        <f t="shared" ref="BY19:BY20" si="45">BY75</f>
        <v>152.01165104259914</v>
      </c>
      <c r="BZ19" s="40"/>
      <c r="CA19" s="40"/>
      <c r="CB19" s="40"/>
      <c r="CC19" s="40"/>
      <c r="CD19" s="239">
        <f t="shared" ref="CD19:CD20" si="46">CD75</f>
        <v>150.49153453217315</v>
      </c>
      <c r="CE19" s="40"/>
      <c r="CF19" s="40"/>
      <c r="CG19" s="40"/>
      <c r="CH19" s="40"/>
      <c r="CI19" s="239">
        <f t="shared" ref="CI19:CI20" si="47">CI75</f>
        <v>148.98661918685141</v>
      </c>
      <c r="CJ19" s="40"/>
      <c r="CK19" s="40"/>
      <c r="CL19" s="40"/>
      <c r="CM19" s="40"/>
      <c r="CN19" s="239">
        <f t="shared" ref="CN19:CN20" si="48">CN75</f>
        <v>147.4967529949829</v>
      </c>
    </row>
    <row r="20" spans="1:92" ht="15" hidden="1" customHeight="1" outlineLevel="1">
      <c r="A20" s="20"/>
      <c r="B20" s="369" t="s">
        <v>60</v>
      </c>
      <c r="C20" s="40"/>
      <c r="D20" s="40"/>
      <c r="E20" s="40"/>
      <c r="F20" s="40"/>
      <c r="G20" s="46"/>
      <c r="H20" s="177"/>
      <c r="I20" s="177"/>
      <c r="J20" s="177"/>
      <c r="K20" s="177"/>
      <c r="L20" s="46">
        <f t="shared" si="25"/>
        <v>0</v>
      </c>
      <c r="M20" s="177">
        <f>M21</f>
        <v>4.8120250000000002</v>
      </c>
      <c r="N20" s="177">
        <f t="shared" ref="N20" si="49">N21</f>
        <v>7.6548389999999999</v>
      </c>
      <c r="O20" s="177">
        <f t="shared" ref="O20" si="50">O21</f>
        <v>6.2893499999999998</v>
      </c>
      <c r="P20" s="177">
        <f t="shared" ref="P20" si="51">P21</f>
        <v>8.7372460000000007</v>
      </c>
      <c r="Q20" s="46">
        <f t="shared" si="27"/>
        <v>27.493459999999999</v>
      </c>
      <c r="R20" s="177">
        <f>R21</f>
        <v>16.065089</v>
      </c>
      <c r="S20" s="177">
        <f t="shared" ref="S20:U20" si="52">S21</f>
        <v>10.379521</v>
      </c>
      <c r="T20" s="177">
        <f t="shared" si="52"/>
        <v>14.097713000000001</v>
      </c>
      <c r="U20" s="177">
        <f t="shared" si="52"/>
        <v>18.349343999999999</v>
      </c>
      <c r="V20" s="46">
        <f t="shared" si="29"/>
        <v>58.891666999999998</v>
      </c>
      <c r="W20" s="177">
        <f t="shared" si="30"/>
        <v>20.327000000000002</v>
      </c>
      <c r="X20" s="177">
        <f t="shared" si="30"/>
        <v>45.206000000000003</v>
      </c>
      <c r="Y20" s="177">
        <f t="shared" si="31"/>
        <v>33.424999999999997</v>
      </c>
      <c r="Z20" s="177">
        <f t="shared" si="31"/>
        <v>51.445</v>
      </c>
      <c r="AA20" s="46">
        <f t="shared" si="32"/>
        <v>150.40300000000002</v>
      </c>
      <c r="AB20" s="177">
        <f t="shared" si="33"/>
        <v>32.523200000000003</v>
      </c>
      <c r="AC20" s="177">
        <f t="shared" si="33"/>
        <v>33.00038</v>
      </c>
      <c r="AD20" s="177">
        <f t="shared" si="33"/>
        <v>33.424999999999997</v>
      </c>
      <c r="AE20" s="177">
        <f t="shared" si="33"/>
        <v>48.872749999999996</v>
      </c>
      <c r="AF20" s="46">
        <f t="shared" si="34"/>
        <v>147.82132999999999</v>
      </c>
      <c r="AG20" s="40"/>
      <c r="AH20" s="40"/>
      <c r="AI20" s="40"/>
      <c r="AJ20" s="40"/>
      <c r="AK20" s="239">
        <f t="shared" si="37"/>
        <v>73.910664999999995</v>
      </c>
      <c r="AL20" s="40"/>
      <c r="AM20" s="40"/>
      <c r="AN20" s="40"/>
      <c r="AO20" s="40"/>
      <c r="AP20" s="239">
        <f t="shared" si="38"/>
        <v>55.432998749999996</v>
      </c>
      <c r="AQ20" s="40"/>
      <c r="AR20" s="40"/>
      <c r="AS20" s="40"/>
      <c r="AT20" s="40"/>
      <c r="AU20" s="239">
        <f t="shared" si="39"/>
        <v>41.574749062499997</v>
      </c>
      <c r="AV20" s="40"/>
      <c r="AW20" s="40"/>
      <c r="AX20" s="40"/>
      <c r="AY20" s="40"/>
      <c r="AZ20" s="239">
        <f t="shared" si="40"/>
        <v>31.181061796874999</v>
      </c>
      <c r="BA20" s="40"/>
      <c r="BB20" s="40"/>
      <c r="BC20" s="40"/>
      <c r="BD20" s="40"/>
      <c r="BE20" s="239">
        <f t="shared" si="41"/>
        <v>23.38579634765625</v>
      </c>
      <c r="BF20" s="40"/>
      <c r="BG20" s="40"/>
      <c r="BH20" s="40"/>
      <c r="BI20" s="40"/>
      <c r="BJ20" s="239">
        <f t="shared" si="42"/>
        <v>17.539347260742186</v>
      </c>
      <c r="BK20" s="40"/>
      <c r="BL20" s="40"/>
      <c r="BM20" s="40"/>
      <c r="BN20" s="40"/>
      <c r="BO20" s="239">
        <f t="shared" si="43"/>
        <v>13.154510445556639</v>
      </c>
      <c r="BP20" s="40"/>
      <c r="BQ20" s="40"/>
      <c r="BR20" s="40"/>
      <c r="BS20" s="40"/>
      <c r="BT20" s="239">
        <f t="shared" si="44"/>
        <v>9.8658828341674791</v>
      </c>
      <c r="BU20" s="40"/>
      <c r="BV20" s="40"/>
      <c r="BW20" s="40"/>
      <c r="BX20" s="40"/>
      <c r="BY20" s="239">
        <f t="shared" si="45"/>
        <v>7.3994121256256093</v>
      </c>
      <c r="BZ20" s="40"/>
      <c r="CA20" s="40"/>
      <c r="CB20" s="40"/>
      <c r="CC20" s="40"/>
      <c r="CD20" s="239">
        <f t="shared" si="46"/>
        <v>5.549559094219207</v>
      </c>
      <c r="CE20" s="40"/>
      <c r="CF20" s="40"/>
      <c r="CG20" s="40"/>
      <c r="CH20" s="40"/>
      <c r="CI20" s="239">
        <f t="shared" si="47"/>
        <v>4.1621693206644057</v>
      </c>
      <c r="CJ20" s="40"/>
      <c r="CK20" s="40"/>
      <c r="CL20" s="40"/>
      <c r="CM20" s="40"/>
      <c r="CN20" s="239">
        <f t="shared" si="48"/>
        <v>3.1216269904983043</v>
      </c>
    </row>
    <row r="21" spans="1:92" ht="15" customHeight="1" collapsed="1">
      <c r="A21" s="20"/>
      <c r="B21" s="370" t="s">
        <v>6</v>
      </c>
      <c r="C21" s="40"/>
      <c r="D21" s="40"/>
      <c r="E21" s="40"/>
      <c r="F21" s="40"/>
      <c r="G21" s="46">
        <v>0.36260900000000001</v>
      </c>
      <c r="H21" s="177">
        <f>8.17576/2</f>
        <v>4.0878800000000002</v>
      </c>
      <c r="I21" s="177">
        <f>8.17576-H21</f>
        <v>4.0878800000000002</v>
      </c>
      <c r="J21" s="177">
        <f>10.167011-SUM(H21:I21)</f>
        <v>1.9912510000000001</v>
      </c>
      <c r="K21" s="177">
        <v>3.3834110000000002</v>
      </c>
      <c r="L21" s="46">
        <f t="shared" si="25"/>
        <v>13.550422000000001</v>
      </c>
      <c r="M21" s="177">
        <v>4.8120250000000002</v>
      </c>
      <c r="N21" s="177">
        <v>7.6548389999999999</v>
      </c>
      <c r="O21" s="177">
        <v>6.2893499999999998</v>
      </c>
      <c r="P21" s="177">
        <v>8.7372460000000007</v>
      </c>
      <c r="Q21" s="46">
        <f t="shared" si="27"/>
        <v>27.493459999999999</v>
      </c>
      <c r="R21" s="177">
        <v>16.065089</v>
      </c>
      <c r="S21" s="177">
        <v>10.379521</v>
      </c>
      <c r="T21" s="177">
        <v>14.097713000000001</v>
      </c>
      <c r="U21" s="177">
        <v>18.349343999999999</v>
      </c>
      <c r="V21" s="46">
        <f t="shared" si="29"/>
        <v>58.891666999999998</v>
      </c>
      <c r="W21" s="177">
        <v>20.327000000000002</v>
      </c>
      <c r="X21" s="177">
        <v>45.206000000000003</v>
      </c>
      <c r="Y21" s="177">
        <v>33.424999999999997</v>
      </c>
      <c r="Z21" s="177">
        <v>51.445</v>
      </c>
      <c r="AA21" s="46">
        <f t="shared" si="32"/>
        <v>150.40300000000002</v>
      </c>
      <c r="AB21" s="177">
        <f t="shared" ref="AB21:AE21" si="53">CHOOSE($B$71,AB18,AB19,AB20)</f>
        <v>33.539549999999998</v>
      </c>
      <c r="AC21" s="177">
        <f t="shared" si="53"/>
        <v>34.492178000000003</v>
      </c>
      <c r="AD21" s="177">
        <f t="shared" si="53"/>
        <v>35.931874999999998</v>
      </c>
      <c r="AE21" s="177">
        <f t="shared" si="53"/>
        <v>48.872749999999996</v>
      </c>
      <c r="AF21" s="46">
        <f t="shared" si="34"/>
        <v>152.83635299999997</v>
      </c>
      <c r="AG21" s="40"/>
      <c r="AH21" s="40"/>
      <c r="AI21" s="40"/>
      <c r="AJ21" s="40"/>
      <c r="AK21" s="239">
        <f>CHOOSE($B$71,AK18,AK19,AK20)</f>
        <v>155.89308005999999</v>
      </c>
      <c r="AL21" s="40"/>
      <c r="AM21" s="40"/>
      <c r="AN21" s="40"/>
      <c r="AO21" s="40"/>
      <c r="AP21" s="239">
        <f>CHOOSE($B$71,AP18,AP19,AP20)</f>
        <v>157.45201086059998</v>
      </c>
      <c r="AQ21" s="40"/>
      <c r="AR21" s="40"/>
      <c r="AS21" s="40"/>
      <c r="AT21" s="40"/>
      <c r="AU21" s="239">
        <f>CHOOSE($B$71,AU18,AU19,AU20)</f>
        <v>157.45201086059998</v>
      </c>
      <c r="AV21" s="40"/>
      <c r="AW21" s="40"/>
      <c r="AX21" s="40"/>
      <c r="AY21" s="40"/>
      <c r="AZ21" s="239">
        <f>CHOOSE($B$71,AZ18,AZ19,AZ20)</f>
        <v>157.45201086059998</v>
      </c>
      <c r="BA21" s="40"/>
      <c r="BB21" s="40"/>
      <c r="BC21" s="40"/>
      <c r="BD21" s="40"/>
      <c r="BE21" s="239">
        <f>CHOOSE($B$71,BE18,BE19,BE20)</f>
        <v>157.45201086059998</v>
      </c>
      <c r="BF21" s="40"/>
      <c r="BG21" s="40"/>
      <c r="BH21" s="40"/>
      <c r="BI21" s="40"/>
      <c r="BJ21" s="239">
        <f>CHOOSE($B$71,BJ18,BJ19,BJ20)</f>
        <v>156.66475080629698</v>
      </c>
      <c r="BK21" s="40"/>
      <c r="BL21" s="40"/>
      <c r="BM21" s="40"/>
      <c r="BN21" s="40"/>
      <c r="BO21" s="239">
        <f>CHOOSE($B$71,BO18,BO19,BO20)</f>
        <v>155.09810329823401</v>
      </c>
      <c r="BP21" s="40"/>
      <c r="BQ21" s="40"/>
      <c r="BR21" s="40"/>
      <c r="BS21" s="40"/>
      <c r="BT21" s="239">
        <f>CHOOSE($B$71,BT18,BT19,BT20)</f>
        <v>153.54712226525166</v>
      </c>
      <c r="BU21" s="40"/>
      <c r="BV21" s="40"/>
      <c r="BW21" s="40"/>
      <c r="BX21" s="40"/>
      <c r="BY21" s="239">
        <f>CHOOSE($B$71,BY18,BY19,BY20)</f>
        <v>152.01165104259914</v>
      </c>
      <c r="BZ21" s="40"/>
      <c r="CA21" s="40"/>
      <c r="CB21" s="40"/>
      <c r="CC21" s="40"/>
      <c r="CD21" s="239">
        <f>CHOOSE($B$71,CD18,CD19,CD20)</f>
        <v>150.49153453217315</v>
      </c>
      <c r="CE21" s="40"/>
      <c r="CF21" s="40"/>
      <c r="CG21" s="40"/>
      <c r="CH21" s="40"/>
      <c r="CI21" s="239">
        <f>CHOOSE($B$71,CI18,CI19,CI20)</f>
        <v>148.98661918685141</v>
      </c>
      <c r="CJ21" s="40"/>
      <c r="CK21" s="40"/>
      <c r="CL21" s="40"/>
      <c r="CM21" s="40"/>
      <c r="CN21" s="239">
        <f>CHOOSE($B$71,CN18,CN19,CN20)</f>
        <v>147.4967529949829</v>
      </c>
    </row>
    <row r="22" spans="1:92" ht="15" hidden="1" customHeight="1" outlineLevel="1">
      <c r="A22" s="20"/>
      <c r="B22" s="369" t="s">
        <v>58</v>
      </c>
      <c r="C22" s="40"/>
      <c r="D22" s="40"/>
      <c r="E22" s="40"/>
      <c r="F22" s="40"/>
      <c r="G22" s="46"/>
      <c r="H22" s="177"/>
      <c r="I22" s="177"/>
      <c r="J22" s="177"/>
      <c r="K22" s="177"/>
      <c r="L22" s="46">
        <f t="shared" si="25"/>
        <v>0</v>
      </c>
      <c r="M22" s="177">
        <f>M25</f>
        <v>0.64263400000000004</v>
      </c>
      <c r="N22" s="177">
        <f t="shared" ref="N22:P22" si="54">N25</f>
        <v>2.2685209999999998</v>
      </c>
      <c r="O22" s="177">
        <f t="shared" si="54"/>
        <v>3.7400769999999999</v>
      </c>
      <c r="P22" s="177">
        <f t="shared" si="54"/>
        <v>4.4282789999999999</v>
      </c>
      <c r="Q22" s="46">
        <f t="shared" si="27"/>
        <v>11.079511</v>
      </c>
      <c r="R22" s="177">
        <f>R25</f>
        <v>4.8239130000000001</v>
      </c>
      <c r="S22" s="177">
        <f t="shared" ref="S22:U22" si="55">S25</f>
        <v>5.418266</v>
      </c>
      <c r="T22" s="177">
        <f t="shared" si="55"/>
        <v>7.0826830000000003</v>
      </c>
      <c r="U22" s="177">
        <f t="shared" si="55"/>
        <v>7.1980389999999996</v>
      </c>
      <c r="V22" s="46">
        <f t="shared" si="29"/>
        <v>24.522900999999997</v>
      </c>
      <c r="W22" s="177">
        <f t="shared" ref="W22:X24" si="56">W23</f>
        <v>9.6378070000000005</v>
      </c>
      <c r="X22" s="177">
        <f t="shared" si="56"/>
        <v>13.154</v>
      </c>
      <c r="Y22" s="177">
        <f t="shared" ref="Y22:Z24" si="57">Y23</f>
        <v>16.094999999999999</v>
      </c>
      <c r="Z22" s="177">
        <f t="shared" si="57"/>
        <v>31.077999999999999</v>
      </c>
      <c r="AA22" s="46">
        <f t="shared" si="32"/>
        <v>69.964806999999993</v>
      </c>
      <c r="AB22" s="40">
        <f t="shared" ref="AB22:AE24" si="58">AB82</f>
        <v>13.492929800000001</v>
      </c>
      <c r="AC22" s="40">
        <f t="shared" si="58"/>
        <v>14.4694</v>
      </c>
      <c r="AD22" s="40">
        <f t="shared" si="58"/>
        <v>15.129299999999999</v>
      </c>
      <c r="AE22" s="40">
        <f t="shared" si="58"/>
        <v>20.200700000000001</v>
      </c>
      <c r="AF22" s="46">
        <f t="shared" si="34"/>
        <v>63.292329799999997</v>
      </c>
      <c r="AG22" s="40"/>
      <c r="AH22" s="40"/>
      <c r="AI22" s="40"/>
      <c r="AJ22" s="40"/>
      <c r="AK22" s="239">
        <f t="shared" ref="AK22:AK24" si="59">AK82</f>
        <v>64.558176395999993</v>
      </c>
      <c r="AL22" s="40"/>
      <c r="AM22" s="40"/>
      <c r="AN22" s="40"/>
      <c r="AO22" s="40"/>
      <c r="AP22" s="239">
        <f t="shared" ref="AP22:AP24" si="60">AP82</f>
        <v>65.203758159959989</v>
      </c>
      <c r="AQ22" s="40"/>
      <c r="AR22" s="40"/>
      <c r="AS22" s="40"/>
      <c r="AT22" s="40"/>
      <c r="AU22" s="239">
        <f t="shared" ref="AU22:AU24" si="61">AU82</f>
        <v>65.203758159959989</v>
      </c>
      <c r="AV22" s="40"/>
      <c r="AW22" s="40"/>
      <c r="AX22" s="40"/>
      <c r="AY22" s="40"/>
      <c r="AZ22" s="239">
        <f t="shared" ref="AZ22:AZ24" si="62">AZ82</f>
        <v>65.203758159959989</v>
      </c>
      <c r="BA22" s="40"/>
      <c r="BB22" s="40"/>
      <c r="BC22" s="40"/>
      <c r="BD22" s="40"/>
      <c r="BE22" s="239">
        <f t="shared" ref="BE22:BE24" si="63">BE82</f>
        <v>65.203758159959989</v>
      </c>
      <c r="BF22" s="40"/>
      <c r="BG22" s="40"/>
      <c r="BH22" s="40"/>
      <c r="BI22" s="40"/>
      <c r="BJ22" s="239">
        <f t="shared" ref="BJ22:BJ24" si="64">BJ82</f>
        <v>65.203758159959989</v>
      </c>
      <c r="BK22" s="40"/>
      <c r="BL22" s="40"/>
      <c r="BM22" s="40"/>
      <c r="BN22" s="40"/>
      <c r="BO22" s="239">
        <f t="shared" ref="BO22:BO24" si="65">BO82</f>
        <v>65.203758159959989</v>
      </c>
      <c r="BP22" s="40"/>
      <c r="BQ22" s="40"/>
      <c r="BR22" s="40"/>
      <c r="BS22" s="40"/>
      <c r="BT22" s="239">
        <f t="shared" ref="BT22:BT24" si="66">BT82</f>
        <v>65.203758159959989</v>
      </c>
      <c r="BU22" s="40"/>
      <c r="BV22" s="40"/>
      <c r="BW22" s="40"/>
      <c r="BX22" s="40"/>
      <c r="BY22" s="239">
        <f t="shared" ref="BY22:BY24" si="67">BY82</f>
        <v>65.203758159959989</v>
      </c>
      <c r="BZ22" s="40"/>
      <c r="CA22" s="40"/>
      <c r="CB22" s="40"/>
      <c r="CC22" s="40"/>
      <c r="CD22" s="239">
        <f t="shared" ref="CD22:CD24" si="68">CD82</f>
        <v>65.203758159959989</v>
      </c>
      <c r="CE22" s="40"/>
      <c r="CF22" s="40"/>
      <c r="CG22" s="40"/>
      <c r="CH22" s="40"/>
      <c r="CI22" s="239">
        <f t="shared" ref="CI22:CI24" si="69">CI82</f>
        <v>65.203758159959989</v>
      </c>
      <c r="CJ22" s="40"/>
      <c r="CK22" s="40"/>
      <c r="CL22" s="40"/>
      <c r="CM22" s="40"/>
      <c r="CN22" s="239">
        <f t="shared" ref="CN22:CN24" si="70">CN82</f>
        <v>65.203758159959989</v>
      </c>
    </row>
    <row r="23" spans="1:92" ht="15" hidden="1" customHeight="1" outlineLevel="1">
      <c r="A23" s="20"/>
      <c r="B23" s="369" t="s">
        <v>59</v>
      </c>
      <c r="C23" s="40"/>
      <c r="D23" s="40"/>
      <c r="E23" s="40"/>
      <c r="F23" s="40"/>
      <c r="G23" s="46"/>
      <c r="H23" s="177"/>
      <c r="I23" s="177"/>
      <c r="J23" s="177"/>
      <c r="K23" s="177"/>
      <c r="L23" s="46">
        <f t="shared" si="25"/>
        <v>0</v>
      </c>
      <c r="M23" s="177">
        <f>M25</f>
        <v>0.64263400000000004</v>
      </c>
      <c r="N23" s="177">
        <f t="shared" ref="N23:P23" si="71">N25</f>
        <v>2.2685209999999998</v>
      </c>
      <c r="O23" s="177">
        <f t="shared" si="71"/>
        <v>3.7400769999999999</v>
      </c>
      <c r="P23" s="177">
        <f t="shared" si="71"/>
        <v>4.4282789999999999</v>
      </c>
      <c r="Q23" s="46">
        <f t="shared" si="27"/>
        <v>11.079511</v>
      </c>
      <c r="R23" s="177">
        <f>R25</f>
        <v>4.8239130000000001</v>
      </c>
      <c r="S23" s="177">
        <f t="shared" ref="S23:U23" si="72">S25</f>
        <v>5.418266</v>
      </c>
      <c r="T23" s="177">
        <f t="shared" si="72"/>
        <v>7.0826830000000003</v>
      </c>
      <c r="U23" s="177">
        <f t="shared" si="72"/>
        <v>7.1980389999999996</v>
      </c>
      <c r="V23" s="46">
        <f t="shared" si="29"/>
        <v>24.522900999999997</v>
      </c>
      <c r="W23" s="177">
        <f t="shared" si="56"/>
        <v>9.6378070000000005</v>
      </c>
      <c r="X23" s="177">
        <f t="shared" si="56"/>
        <v>13.154</v>
      </c>
      <c r="Y23" s="177">
        <f t="shared" si="57"/>
        <v>16.094999999999999</v>
      </c>
      <c r="Z23" s="177">
        <f t="shared" si="57"/>
        <v>31.077999999999999</v>
      </c>
      <c r="AA23" s="46">
        <f t="shared" si="32"/>
        <v>69.964806999999993</v>
      </c>
      <c r="AB23" s="40">
        <f t="shared" si="58"/>
        <v>13.011039450000002</v>
      </c>
      <c r="AC23" s="40">
        <f t="shared" si="58"/>
        <v>13.943240000000001</v>
      </c>
      <c r="AD23" s="40">
        <f t="shared" si="58"/>
        <v>14.726925</v>
      </c>
      <c r="AE23" s="40">
        <f t="shared" si="58"/>
        <v>20.200700000000001</v>
      </c>
      <c r="AF23" s="46">
        <f t="shared" si="34"/>
        <v>61.881904450000008</v>
      </c>
      <c r="AG23" s="40"/>
      <c r="AH23" s="40"/>
      <c r="AI23" s="40"/>
      <c r="AJ23" s="40"/>
      <c r="AK23" s="239">
        <f t="shared" si="59"/>
        <v>63.119542539000008</v>
      </c>
      <c r="AL23" s="40"/>
      <c r="AM23" s="40"/>
      <c r="AN23" s="40"/>
      <c r="AO23" s="40"/>
      <c r="AP23" s="239">
        <f t="shared" si="60"/>
        <v>64.066335677085007</v>
      </c>
      <c r="AQ23" s="40"/>
      <c r="AR23" s="40"/>
      <c r="AS23" s="40"/>
      <c r="AT23" s="40"/>
      <c r="AU23" s="239">
        <f t="shared" si="61"/>
        <v>64.706999033855851</v>
      </c>
      <c r="AV23" s="40"/>
      <c r="AW23" s="40"/>
      <c r="AX23" s="40"/>
      <c r="AY23" s="40"/>
      <c r="AZ23" s="239">
        <f t="shared" si="62"/>
        <v>65.030534029025119</v>
      </c>
      <c r="BA23" s="40"/>
      <c r="BB23" s="40"/>
      <c r="BC23" s="40"/>
      <c r="BD23" s="40"/>
      <c r="BE23" s="239">
        <f t="shared" si="63"/>
        <v>65.030534029025119</v>
      </c>
      <c r="BF23" s="40"/>
      <c r="BG23" s="40"/>
      <c r="BH23" s="40"/>
      <c r="BI23" s="40"/>
      <c r="BJ23" s="239">
        <f t="shared" si="64"/>
        <v>64.70538135887999</v>
      </c>
      <c r="BK23" s="40"/>
      <c r="BL23" s="40"/>
      <c r="BM23" s="40"/>
      <c r="BN23" s="40"/>
      <c r="BO23" s="239">
        <f t="shared" si="65"/>
        <v>64.058327545291192</v>
      </c>
      <c r="BP23" s="40"/>
      <c r="BQ23" s="40"/>
      <c r="BR23" s="40"/>
      <c r="BS23" s="40"/>
      <c r="BT23" s="239">
        <f t="shared" si="66"/>
        <v>63.097452632111825</v>
      </c>
      <c r="BU23" s="40"/>
      <c r="BV23" s="40"/>
      <c r="BW23" s="40"/>
      <c r="BX23" s="40"/>
      <c r="BY23" s="239">
        <f t="shared" si="67"/>
        <v>61.835503579469588</v>
      </c>
      <c r="BZ23" s="40"/>
      <c r="CA23" s="40"/>
      <c r="CB23" s="40"/>
      <c r="CC23" s="40"/>
      <c r="CD23" s="239">
        <f t="shared" si="68"/>
        <v>60.289615989982849</v>
      </c>
      <c r="CE23" s="40"/>
      <c r="CF23" s="40"/>
      <c r="CG23" s="40"/>
      <c r="CH23" s="40"/>
      <c r="CI23" s="239">
        <f t="shared" si="69"/>
        <v>58.480927510283365</v>
      </c>
      <c r="CJ23" s="40"/>
      <c r="CK23" s="40"/>
      <c r="CL23" s="40"/>
      <c r="CM23" s="40"/>
      <c r="CN23" s="239">
        <f t="shared" si="70"/>
        <v>56.434095047423448</v>
      </c>
    </row>
    <row r="24" spans="1:92" ht="15" hidden="1" customHeight="1" outlineLevel="1">
      <c r="A24" s="20"/>
      <c r="B24" s="369" t="s">
        <v>60</v>
      </c>
      <c r="C24" s="40"/>
      <c r="D24" s="40"/>
      <c r="E24" s="40"/>
      <c r="F24" s="40"/>
      <c r="G24" s="46"/>
      <c r="H24" s="177"/>
      <c r="I24" s="177"/>
      <c r="J24" s="177"/>
      <c r="K24" s="177"/>
      <c r="L24" s="46">
        <f t="shared" si="25"/>
        <v>0</v>
      </c>
      <c r="M24" s="177">
        <f>M25</f>
        <v>0.64263400000000004</v>
      </c>
      <c r="N24" s="177">
        <f t="shared" ref="N24" si="73">N25</f>
        <v>2.2685209999999998</v>
      </c>
      <c r="O24" s="177">
        <f t="shared" ref="O24" si="74">O25</f>
        <v>3.7400769999999999</v>
      </c>
      <c r="P24" s="177">
        <f t="shared" ref="P24" si="75">P25</f>
        <v>4.4282789999999999</v>
      </c>
      <c r="Q24" s="46">
        <f t="shared" si="27"/>
        <v>11.079511</v>
      </c>
      <c r="R24" s="177">
        <f>R25</f>
        <v>4.8239130000000001</v>
      </c>
      <c r="S24" s="177">
        <f t="shared" ref="S24" si="76">S25</f>
        <v>5.418266</v>
      </c>
      <c r="T24" s="177">
        <f t="shared" ref="T24" si="77">T25</f>
        <v>7.0826830000000003</v>
      </c>
      <c r="U24" s="177">
        <f t="shared" ref="U24" si="78">U25</f>
        <v>7.1980389999999996</v>
      </c>
      <c r="V24" s="46">
        <f t="shared" si="29"/>
        <v>24.522900999999997</v>
      </c>
      <c r="W24" s="177">
        <f t="shared" si="56"/>
        <v>9.6378070000000005</v>
      </c>
      <c r="X24" s="177">
        <f t="shared" si="56"/>
        <v>13.154</v>
      </c>
      <c r="Y24" s="177">
        <f t="shared" si="57"/>
        <v>16.094999999999999</v>
      </c>
      <c r="Z24" s="177">
        <f t="shared" si="57"/>
        <v>31.077999999999999</v>
      </c>
      <c r="AA24" s="46">
        <f t="shared" si="32"/>
        <v>69.964806999999993</v>
      </c>
      <c r="AB24" s="40">
        <f t="shared" si="58"/>
        <v>12.529149100000001</v>
      </c>
      <c r="AC24" s="40">
        <f t="shared" si="58"/>
        <v>13.8117</v>
      </c>
      <c r="AD24" s="40">
        <f t="shared" si="58"/>
        <v>14.163599999999999</v>
      </c>
      <c r="AE24" s="40">
        <f t="shared" si="58"/>
        <v>27.970199999999998</v>
      </c>
      <c r="AF24" s="46">
        <f t="shared" si="34"/>
        <v>68.474649099999993</v>
      </c>
      <c r="AG24" s="40"/>
      <c r="AH24" s="40"/>
      <c r="AI24" s="40"/>
      <c r="AJ24" s="40"/>
      <c r="AK24" s="239">
        <f t="shared" si="59"/>
        <v>34.237324549999997</v>
      </c>
      <c r="AL24" s="40"/>
      <c r="AM24" s="40"/>
      <c r="AN24" s="40"/>
      <c r="AO24" s="40"/>
      <c r="AP24" s="239">
        <f t="shared" si="60"/>
        <v>25.677993412499998</v>
      </c>
      <c r="AQ24" s="40"/>
      <c r="AR24" s="40"/>
      <c r="AS24" s="40"/>
      <c r="AT24" s="40"/>
      <c r="AU24" s="239">
        <f t="shared" si="61"/>
        <v>19.258495059374997</v>
      </c>
      <c r="AV24" s="40"/>
      <c r="AW24" s="40"/>
      <c r="AX24" s="40"/>
      <c r="AY24" s="40"/>
      <c r="AZ24" s="239">
        <f t="shared" si="62"/>
        <v>14.443871294531249</v>
      </c>
      <c r="BA24" s="40"/>
      <c r="BB24" s="40"/>
      <c r="BC24" s="40"/>
      <c r="BD24" s="40"/>
      <c r="BE24" s="239">
        <f t="shared" si="63"/>
        <v>10.832903470898437</v>
      </c>
      <c r="BF24" s="40"/>
      <c r="BG24" s="40"/>
      <c r="BH24" s="40"/>
      <c r="BI24" s="40"/>
      <c r="BJ24" s="239">
        <f t="shared" si="64"/>
        <v>8.1246776031738275</v>
      </c>
      <c r="BK24" s="40"/>
      <c r="BL24" s="40"/>
      <c r="BM24" s="40"/>
      <c r="BN24" s="40"/>
      <c r="BO24" s="239">
        <f t="shared" si="65"/>
        <v>6.0935082023803702</v>
      </c>
      <c r="BP24" s="40"/>
      <c r="BQ24" s="40"/>
      <c r="BR24" s="40"/>
      <c r="BS24" s="40"/>
      <c r="BT24" s="239">
        <f t="shared" si="66"/>
        <v>4.5701311517852776</v>
      </c>
      <c r="BU24" s="40"/>
      <c r="BV24" s="40"/>
      <c r="BW24" s="40"/>
      <c r="BX24" s="40"/>
      <c r="BY24" s="239">
        <f t="shared" si="67"/>
        <v>3.4275983638389582</v>
      </c>
      <c r="BZ24" s="40"/>
      <c r="CA24" s="40"/>
      <c r="CB24" s="40"/>
      <c r="CC24" s="40"/>
      <c r="CD24" s="239">
        <f t="shared" si="68"/>
        <v>2.5706987728792186</v>
      </c>
      <c r="CE24" s="40"/>
      <c r="CF24" s="40"/>
      <c r="CG24" s="40"/>
      <c r="CH24" s="40"/>
      <c r="CI24" s="239">
        <f t="shared" si="69"/>
        <v>1.9280240796594139</v>
      </c>
      <c r="CJ24" s="40"/>
      <c r="CK24" s="40"/>
      <c r="CL24" s="40"/>
      <c r="CM24" s="40"/>
      <c r="CN24" s="239">
        <f t="shared" si="70"/>
        <v>1.4460180597445604</v>
      </c>
    </row>
    <row r="25" spans="1:92" ht="15" customHeight="1" collapsed="1">
      <c r="A25" s="20"/>
      <c r="B25" s="370" t="s">
        <v>8</v>
      </c>
      <c r="C25" s="40"/>
      <c r="D25" s="40"/>
      <c r="E25" s="40"/>
      <c r="F25" s="40"/>
      <c r="G25" s="46">
        <v>1.834368</v>
      </c>
      <c r="H25" s="177">
        <f>8.397621-H21</f>
        <v>4.3097409999999989</v>
      </c>
      <c r="I25" s="177">
        <f>9.541687-H25-SUM(H21:I21)</f>
        <v>-2.9438139999999997</v>
      </c>
      <c r="J25" s="177">
        <f>1.601301-SUM(H25:I25)</f>
        <v>0.23537400000000086</v>
      </c>
      <c r="K25" s="177">
        <v>0.268598</v>
      </c>
      <c r="L25" s="46">
        <f t="shared" si="25"/>
        <v>1.8698990000000002</v>
      </c>
      <c r="M25" s="177">
        <v>0.64263400000000004</v>
      </c>
      <c r="N25" s="177">
        <v>2.2685209999999998</v>
      </c>
      <c r="O25" s="177">
        <v>3.7400769999999999</v>
      </c>
      <c r="P25" s="177">
        <v>4.4282789999999999</v>
      </c>
      <c r="Q25" s="46">
        <f t="shared" si="27"/>
        <v>11.079511</v>
      </c>
      <c r="R25" s="177">
        <v>4.8239130000000001</v>
      </c>
      <c r="S25" s="177">
        <v>5.418266</v>
      </c>
      <c r="T25" s="177">
        <v>7.0826830000000003</v>
      </c>
      <c r="U25" s="177">
        <v>7.1980389999999996</v>
      </c>
      <c r="V25" s="46">
        <f t="shared" si="29"/>
        <v>24.522900999999997</v>
      </c>
      <c r="W25" s="177">
        <v>9.6378070000000005</v>
      </c>
      <c r="X25" s="177">
        <v>13.154</v>
      </c>
      <c r="Y25" s="177">
        <v>16.094999999999999</v>
      </c>
      <c r="Z25" s="177">
        <v>31.077999999999999</v>
      </c>
      <c r="AA25" s="46">
        <f t="shared" si="32"/>
        <v>69.964806999999993</v>
      </c>
      <c r="AB25" s="177">
        <f t="shared" ref="AB25:AE25" si="79">CHOOSE($B$71,AB22,AB23,AB24)</f>
        <v>13.011039450000002</v>
      </c>
      <c r="AC25" s="177">
        <f t="shared" si="79"/>
        <v>13.943240000000001</v>
      </c>
      <c r="AD25" s="177">
        <f t="shared" si="79"/>
        <v>14.726925</v>
      </c>
      <c r="AE25" s="177">
        <f t="shared" si="79"/>
        <v>20.200700000000001</v>
      </c>
      <c r="AF25" s="46">
        <f t="shared" si="34"/>
        <v>61.881904450000008</v>
      </c>
      <c r="AG25" s="40"/>
      <c r="AH25" s="40"/>
      <c r="AI25" s="40"/>
      <c r="AJ25" s="40"/>
      <c r="AK25" s="239">
        <f>CHOOSE($B$71,AK22,AK23,AK24)</f>
        <v>63.119542539000008</v>
      </c>
      <c r="AL25" s="40"/>
      <c r="AM25" s="40"/>
      <c r="AN25" s="40"/>
      <c r="AO25" s="40"/>
      <c r="AP25" s="239">
        <f>CHOOSE($B$71,AP22,AP23,AP24)</f>
        <v>64.066335677085007</v>
      </c>
      <c r="AQ25" s="40"/>
      <c r="AR25" s="40"/>
      <c r="AS25" s="40"/>
      <c r="AT25" s="40"/>
      <c r="AU25" s="239">
        <f>CHOOSE($B$71,AU22,AU23,AU24)</f>
        <v>64.706999033855851</v>
      </c>
      <c r="AV25" s="40"/>
      <c r="AW25" s="40"/>
      <c r="AX25" s="40"/>
      <c r="AY25" s="40"/>
      <c r="AZ25" s="239">
        <f>CHOOSE($B$71,AZ22,AZ23,AZ24)</f>
        <v>65.030534029025119</v>
      </c>
      <c r="BA25" s="40"/>
      <c r="BB25" s="40"/>
      <c r="BC25" s="40"/>
      <c r="BD25" s="40"/>
      <c r="BE25" s="239">
        <f>CHOOSE($B$71,BE22,BE23,BE24)</f>
        <v>65.030534029025119</v>
      </c>
      <c r="BF25" s="40"/>
      <c r="BG25" s="40"/>
      <c r="BH25" s="40"/>
      <c r="BI25" s="40"/>
      <c r="BJ25" s="239">
        <f>CHOOSE($B$71,BJ22,BJ23,BJ24)</f>
        <v>64.70538135887999</v>
      </c>
      <c r="BK25" s="40"/>
      <c r="BL25" s="40"/>
      <c r="BM25" s="40"/>
      <c r="BN25" s="40"/>
      <c r="BO25" s="239">
        <f>CHOOSE($B$71,BO22,BO23,BO24)</f>
        <v>64.058327545291192</v>
      </c>
      <c r="BP25" s="40"/>
      <c r="BQ25" s="40"/>
      <c r="BR25" s="40"/>
      <c r="BS25" s="40"/>
      <c r="BT25" s="239">
        <f>CHOOSE($B$71,BT22,BT23,BT24)</f>
        <v>63.097452632111825</v>
      </c>
      <c r="BU25" s="40"/>
      <c r="BV25" s="40"/>
      <c r="BW25" s="40"/>
      <c r="BX25" s="40"/>
      <c r="BY25" s="239">
        <f>CHOOSE($B$71,BY22,BY23,BY24)</f>
        <v>61.835503579469588</v>
      </c>
      <c r="BZ25" s="40"/>
      <c r="CA25" s="40"/>
      <c r="CB25" s="40"/>
      <c r="CC25" s="40"/>
      <c r="CD25" s="239">
        <f>CHOOSE($B$71,CD22,CD23,CD24)</f>
        <v>60.289615989982849</v>
      </c>
      <c r="CE25" s="40"/>
      <c r="CF25" s="40"/>
      <c r="CG25" s="40"/>
      <c r="CH25" s="40"/>
      <c r="CI25" s="239">
        <f>CHOOSE($B$71,CI22,CI23,CI24)</f>
        <v>58.480927510283365</v>
      </c>
      <c r="CJ25" s="40"/>
      <c r="CK25" s="40"/>
      <c r="CL25" s="40"/>
      <c r="CM25" s="40"/>
      <c r="CN25" s="239">
        <f>CHOOSE($B$71,CN22,CN23,CN24)</f>
        <v>56.434095047423448</v>
      </c>
    </row>
    <row r="26" spans="1:92" ht="15" customHeight="1">
      <c r="A26" s="20"/>
      <c r="B26" s="370" t="s">
        <v>114</v>
      </c>
      <c r="C26" s="40"/>
      <c r="D26" s="40"/>
      <c r="E26" s="40"/>
      <c r="F26" s="40"/>
      <c r="G26" s="46">
        <v>0</v>
      </c>
      <c r="H26" s="177"/>
      <c r="I26" s="177"/>
      <c r="J26" s="177"/>
      <c r="K26" s="177"/>
      <c r="L26" s="46">
        <f t="shared" si="25"/>
        <v>0</v>
      </c>
      <c r="M26" s="177"/>
      <c r="N26" s="177"/>
      <c r="O26" s="177"/>
      <c r="P26" s="177"/>
      <c r="Q26" s="46">
        <f t="shared" si="27"/>
        <v>0</v>
      </c>
      <c r="R26" s="177"/>
      <c r="S26" s="177"/>
      <c r="T26" s="177"/>
      <c r="U26" s="177"/>
      <c r="V26" s="46">
        <f t="shared" si="29"/>
        <v>0</v>
      </c>
      <c r="W26" s="177">
        <v>0</v>
      </c>
      <c r="X26" s="177">
        <v>0</v>
      </c>
      <c r="Y26" s="177">
        <v>0</v>
      </c>
      <c r="Z26" s="177">
        <v>0</v>
      </c>
      <c r="AA26" s="46">
        <f t="shared" si="32"/>
        <v>0</v>
      </c>
      <c r="AB26" s="177">
        <v>0</v>
      </c>
      <c r="AC26" s="177">
        <v>0</v>
      </c>
      <c r="AD26" s="177">
        <v>0</v>
      </c>
      <c r="AE26" s="177">
        <v>0</v>
      </c>
      <c r="AF26" s="46">
        <f t="shared" si="34"/>
        <v>0</v>
      </c>
      <c r="AG26" s="86"/>
      <c r="AH26" s="86"/>
      <c r="AI26" s="86"/>
      <c r="AJ26" s="86"/>
      <c r="AK26" s="239">
        <v>0</v>
      </c>
      <c r="AL26" s="86"/>
      <c r="AM26" s="86"/>
      <c r="AN26" s="86"/>
      <c r="AO26" s="86"/>
      <c r="AP26" s="239">
        <v>0</v>
      </c>
      <c r="AQ26" s="86"/>
      <c r="AR26" s="86"/>
      <c r="AS26" s="86"/>
      <c r="AT26" s="86"/>
      <c r="AU26" s="239">
        <v>0</v>
      </c>
      <c r="AV26" s="86"/>
      <c r="AW26" s="86"/>
      <c r="AX26" s="86"/>
      <c r="AY26" s="86"/>
      <c r="AZ26" s="239">
        <v>0</v>
      </c>
      <c r="BA26" s="86"/>
      <c r="BB26" s="86"/>
      <c r="BC26" s="86"/>
      <c r="BD26" s="86"/>
      <c r="BE26" s="239">
        <v>0</v>
      </c>
      <c r="BF26" s="86"/>
      <c r="BG26" s="86"/>
      <c r="BH26" s="86"/>
      <c r="BI26" s="86"/>
      <c r="BJ26" s="239">
        <v>0</v>
      </c>
      <c r="BK26" s="86"/>
      <c r="BL26" s="86"/>
      <c r="BM26" s="86"/>
      <c r="BN26" s="86"/>
      <c r="BO26" s="239">
        <v>0</v>
      </c>
      <c r="BP26" s="86"/>
      <c r="BQ26" s="86"/>
      <c r="BR26" s="86"/>
      <c r="BS26" s="86"/>
      <c r="BT26" s="239">
        <v>0</v>
      </c>
      <c r="BU26" s="86"/>
      <c r="BV26" s="86"/>
      <c r="BW26" s="86"/>
      <c r="BX26" s="86"/>
      <c r="BY26" s="239">
        <v>0</v>
      </c>
      <c r="BZ26" s="86"/>
      <c r="CA26" s="86"/>
      <c r="CB26" s="86"/>
      <c r="CC26" s="86"/>
      <c r="CD26" s="239">
        <v>0</v>
      </c>
      <c r="CE26" s="86"/>
      <c r="CF26" s="86"/>
      <c r="CG26" s="86"/>
      <c r="CH26" s="86"/>
      <c r="CI26" s="239">
        <v>0</v>
      </c>
      <c r="CJ26" s="86"/>
      <c r="CK26" s="86"/>
      <c r="CL26" s="86"/>
      <c r="CM26" s="86"/>
      <c r="CN26" s="239">
        <v>0</v>
      </c>
    </row>
    <row r="27" spans="1:92" ht="15" customHeight="1">
      <c r="A27" s="20"/>
      <c r="B27" s="370"/>
      <c r="C27" s="41"/>
      <c r="D27" s="41"/>
      <c r="E27" s="41"/>
      <c r="F27" s="41"/>
      <c r="G27" s="47"/>
      <c r="H27" s="231"/>
      <c r="I27" s="231"/>
      <c r="J27" s="231"/>
      <c r="K27" s="231"/>
      <c r="L27" s="47"/>
      <c r="M27" s="231"/>
      <c r="N27" s="231"/>
      <c r="O27" s="231"/>
      <c r="P27" s="231"/>
      <c r="Q27" s="47"/>
      <c r="R27" s="231"/>
      <c r="S27" s="231"/>
      <c r="T27" s="231"/>
      <c r="U27" s="231"/>
      <c r="V27" s="47"/>
      <c r="W27" s="231"/>
      <c r="X27" s="231"/>
      <c r="Y27" s="231"/>
      <c r="Z27" s="231"/>
      <c r="AA27" s="47"/>
      <c r="AB27" s="211"/>
      <c r="AC27" s="211"/>
      <c r="AD27" s="211"/>
      <c r="AE27" s="211"/>
      <c r="AF27" s="47"/>
      <c r="AG27" s="211"/>
      <c r="AH27" s="211"/>
      <c r="AI27" s="211"/>
      <c r="AJ27" s="211"/>
      <c r="AK27" s="47"/>
      <c r="AL27" s="211"/>
      <c r="AM27" s="211"/>
      <c r="AN27" s="211"/>
      <c r="AO27" s="211"/>
      <c r="AP27" s="47"/>
      <c r="AQ27" s="211"/>
      <c r="AR27" s="211"/>
      <c r="AS27" s="211"/>
      <c r="AT27" s="211"/>
      <c r="AU27" s="47"/>
      <c r="AV27" s="211"/>
      <c r="AW27" s="211"/>
      <c r="AX27" s="211"/>
      <c r="AY27" s="211"/>
      <c r="AZ27" s="47"/>
      <c r="BA27" s="211"/>
      <c r="BB27" s="211"/>
      <c r="BC27" s="211"/>
      <c r="BD27" s="211"/>
      <c r="BE27" s="47"/>
      <c r="BF27" s="211"/>
      <c r="BG27" s="211"/>
      <c r="BH27" s="211"/>
      <c r="BI27" s="211"/>
      <c r="BJ27" s="47"/>
      <c r="BK27" s="211"/>
      <c r="BL27" s="211"/>
      <c r="BM27" s="211"/>
      <c r="BN27" s="211"/>
      <c r="BO27" s="47"/>
      <c r="BP27" s="211"/>
      <c r="BQ27" s="211"/>
      <c r="BR27" s="211"/>
      <c r="BS27" s="211"/>
      <c r="BT27" s="47"/>
      <c r="BU27" s="211"/>
      <c r="BV27" s="211"/>
      <c r="BW27" s="211"/>
      <c r="BX27" s="211"/>
      <c r="BY27" s="47"/>
      <c r="BZ27" s="211"/>
      <c r="CA27" s="211"/>
      <c r="CB27" s="211"/>
      <c r="CC27" s="211"/>
      <c r="CD27" s="47"/>
      <c r="CE27" s="211"/>
      <c r="CF27" s="211"/>
      <c r="CG27" s="211"/>
      <c r="CH27" s="211"/>
      <c r="CI27" s="47"/>
      <c r="CJ27" s="211"/>
      <c r="CK27" s="211"/>
      <c r="CL27" s="211"/>
      <c r="CM27" s="211"/>
      <c r="CN27" s="47"/>
    </row>
    <row r="28" spans="1:92" ht="15" customHeight="1">
      <c r="A28" s="22"/>
      <c r="B28" s="408" t="s">
        <v>112</v>
      </c>
      <c r="C28" s="35">
        <f t="shared" ref="C28:Y28" si="80">C12-C15-C21-C25-C26</f>
        <v>0</v>
      </c>
      <c r="D28" s="35">
        <f t="shared" si="80"/>
        <v>0</v>
      </c>
      <c r="E28" s="35">
        <f t="shared" si="80"/>
        <v>0</v>
      </c>
      <c r="F28" s="35">
        <f t="shared" si="80"/>
        <v>0</v>
      </c>
      <c r="G28" s="44">
        <f t="shared" si="80"/>
        <v>-2.196977</v>
      </c>
      <c r="H28" s="227">
        <f t="shared" si="80"/>
        <v>-8.3976209999999991</v>
      </c>
      <c r="I28" s="227">
        <f t="shared" si="80"/>
        <v>-1.1440660000000005</v>
      </c>
      <c r="J28" s="227">
        <f t="shared" si="80"/>
        <v>-2.2266250000000012</v>
      </c>
      <c r="K28" s="227">
        <f t="shared" si="80"/>
        <v>-3.6520090000000001</v>
      </c>
      <c r="L28" s="44">
        <f>SUM(H28:K28)</f>
        <v>-15.420321000000001</v>
      </c>
      <c r="M28" s="227">
        <f t="shared" ref="M28:P28" si="81">M12-M15-M21-M25-M26</f>
        <v>-5.4546590000000004</v>
      </c>
      <c r="N28" s="227">
        <f t="shared" si="81"/>
        <v>-9.9233599999999988</v>
      </c>
      <c r="O28" s="227">
        <f t="shared" si="81"/>
        <v>-10.029427</v>
      </c>
      <c r="P28" s="227">
        <f t="shared" si="81"/>
        <v>-13.165525000000001</v>
      </c>
      <c r="Q28" s="44">
        <f>SUM(M28:P28)</f>
        <v>-38.572971000000003</v>
      </c>
      <c r="R28" s="227">
        <f t="shared" si="80"/>
        <v>-20.889002000000001</v>
      </c>
      <c r="S28" s="227">
        <f t="shared" si="80"/>
        <v>-15.797787</v>
      </c>
      <c r="T28" s="227">
        <f t="shared" si="80"/>
        <v>-21.180396000000002</v>
      </c>
      <c r="U28" s="227">
        <f t="shared" si="80"/>
        <v>-25.547382999999996</v>
      </c>
      <c r="V28" s="44">
        <f>SUM(R28:U28)</f>
        <v>-83.414568000000003</v>
      </c>
      <c r="W28" s="227">
        <f t="shared" si="80"/>
        <v>-29.964807</v>
      </c>
      <c r="X28" s="227">
        <f t="shared" si="80"/>
        <v>-58.36</v>
      </c>
      <c r="Y28" s="227">
        <f t="shared" si="80"/>
        <v>-49.519999999999996</v>
      </c>
      <c r="Z28" s="227">
        <f>Z12-Z15-Z21-Z25-Z26</f>
        <v>-82.522999999999996</v>
      </c>
      <c r="AA28" s="44">
        <f>Z28+Y28+X28+W28</f>
        <v>-220.36780700000003</v>
      </c>
      <c r="AB28" s="227">
        <f>AB12-AB15-AB21-AB25-AB26</f>
        <v>-46.550589450000004</v>
      </c>
      <c r="AC28" s="227">
        <f>AC12-AC15-AC21-AC25-AC26</f>
        <v>-48.435418000000006</v>
      </c>
      <c r="AD28" s="227">
        <f>AD12-AD15-AD21-AD25-AD26</f>
        <v>-50.658799999999999</v>
      </c>
      <c r="AE28" s="227">
        <f>AE12-AE15-AE21-AE25-AE26</f>
        <v>-69.073449999999994</v>
      </c>
      <c r="AF28" s="44">
        <f>AE28+AD28+AC28+AB28</f>
        <v>-214.71825745000001</v>
      </c>
      <c r="AG28" s="35"/>
      <c r="AH28" s="35"/>
      <c r="AI28" s="35"/>
      <c r="AJ28" s="35"/>
      <c r="AK28" s="44">
        <f>AK12-AK15-AK21-AK25-AK26</f>
        <v>-159.53260431576342</v>
      </c>
      <c r="AL28" s="35"/>
      <c r="AM28" s="35"/>
      <c r="AN28" s="35"/>
      <c r="AO28" s="35"/>
      <c r="AP28" s="44">
        <f>AP12-AP15-AP21-AP25-AP26</f>
        <v>-0.81615563528480095</v>
      </c>
      <c r="AQ28" s="35"/>
      <c r="AR28" s="35"/>
      <c r="AS28" s="35"/>
      <c r="AT28" s="35"/>
      <c r="AU28" s="44">
        <f>AU12-AU15-AU21-AU25-AU26</f>
        <v>464.05359879797868</v>
      </c>
      <c r="AV28" s="35"/>
      <c r="AW28" s="35"/>
      <c r="AX28" s="35"/>
      <c r="AY28" s="35"/>
      <c r="AZ28" s="44">
        <f>AZ12-AZ15-AZ21-AZ25-AZ26</f>
        <v>1084.6884853863382</v>
      </c>
      <c r="BA28" s="35"/>
      <c r="BB28" s="35"/>
      <c r="BC28" s="35"/>
      <c r="BD28" s="35"/>
      <c r="BE28" s="44">
        <f>BE12-BE15-BE21-BE25-BE26</f>
        <v>1268.353053810252</v>
      </c>
      <c r="BF28" s="35"/>
      <c r="BG28" s="35"/>
      <c r="BH28" s="35"/>
      <c r="BI28" s="35"/>
      <c r="BJ28" s="44">
        <f>BJ12-BJ15-BJ21-BJ25-BJ26</f>
        <v>1076.5455082710016</v>
      </c>
      <c r="BK28" s="35"/>
      <c r="BL28" s="35"/>
      <c r="BM28" s="35"/>
      <c r="BN28" s="35"/>
      <c r="BO28" s="44">
        <f>BO12-BO15-BO21-BO25-BO26</f>
        <v>1009.4465034529196</v>
      </c>
      <c r="BP28" s="35"/>
      <c r="BQ28" s="35"/>
      <c r="BR28" s="35"/>
      <c r="BS28" s="35"/>
      <c r="BT28" s="44">
        <f>BT12-BT15-BT21-BT25-BT26</f>
        <v>898.54027806422778</v>
      </c>
      <c r="BU28" s="35"/>
      <c r="BV28" s="35"/>
      <c r="BW28" s="35"/>
      <c r="BX28" s="35"/>
      <c r="BY28" s="44">
        <f>BY12-BY15-BY21-BY25-BY26</f>
        <v>844.25205478533803</v>
      </c>
      <c r="BZ28" s="35"/>
      <c r="CA28" s="35"/>
      <c r="CB28" s="35"/>
      <c r="CC28" s="35"/>
      <c r="CD28" s="44">
        <f>CD12-CD15-CD21-CD25-CD26</f>
        <v>891.55121168651044</v>
      </c>
      <c r="CE28" s="35"/>
      <c r="CF28" s="35"/>
      <c r="CG28" s="35"/>
      <c r="CH28" s="35"/>
      <c r="CI28" s="44">
        <f>CI12-CI15-CI21-CI25-CI26</f>
        <v>940.61174026720857</v>
      </c>
      <c r="CJ28" s="35"/>
      <c r="CK28" s="35"/>
      <c r="CL28" s="35"/>
      <c r="CM28" s="35"/>
      <c r="CN28" s="44">
        <f>CN12-CN15-CN21-CN25-CN26</f>
        <v>991.45421683995642</v>
      </c>
    </row>
    <row r="29" spans="1:92" ht="7.5" customHeight="1">
      <c r="A29" s="22"/>
      <c r="B29" s="371"/>
      <c r="C29" s="36"/>
      <c r="D29" s="36"/>
      <c r="E29" s="36"/>
      <c r="F29" s="36"/>
      <c r="G29" s="48"/>
      <c r="H29" s="232"/>
      <c r="I29" s="232"/>
      <c r="J29" s="232"/>
      <c r="K29" s="232"/>
      <c r="L29" s="48"/>
      <c r="M29" s="232"/>
      <c r="N29" s="232"/>
      <c r="O29" s="232"/>
      <c r="P29" s="232"/>
      <c r="Q29" s="48"/>
      <c r="R29" s="232"/>
      <c r="S29" s="232"/>
      <c r="T29" s="232"/>
      <c r="U29" s="232"/>
      <c r="V29" s="48"/>
      <c r="W29" s="232"/>
      <c r="X29" s="232"/>
      <c r="Y29" s="232"/>
      <c r="Z29" s="232"/>
      <c r="AA29" s="48"/>
      <c r="AB29" s="36"/>
      <c r="AC29" s="36"/>
      <c r="AD29" s="36"/>
      <c r="AE29" s="36"/>
      <c r="AF29" s="48"/>
      <c r="AG29" s="36"/>
      <c r="AH29" s="36"/>
      <c r="AI29" s="36"/>
      <c r="AJ29" s="36"/>
      <c r="AK29" s="48"/>
      <c r="AL29" s="36"/>
      <c r="AM29" s="36"/>
      <c r="AN29" s="36"/>
      <c r="AO29" s="36"/>
      <c r="AP29" s="48"/>
      <c r="AQ29" s="36"/>
      <c r="AR29" s="36"/>
      <c r="AS29" s="36"/>
      <c r="AT29" s="36"/>
      <c r="AU29" s="48"/>
      <c r="AV29" s="36"/>
      <c r="AW29" s="36"/>
      <c r="AX29" s="36"/>
      <c r="AY29" s="36"/>
      <c r="AZ29" s="48"/>
      <c r="BA29" s="36"/>
      <c r="BB29" s="36"/>
      <c r="BC29" s="36"/>
      <c r="BD29" s="36"/>
      <c r="BE29" s="48"/>
      <c r="BF29" s="36"/>
      <c r="BG29" s="36"/>
      <c r="BH29" s="36"/>
      <c r="BI29" s="36"/>
      <c r="BJ29" s="48"/>
      <c r="BK29" s="36"/>
      <c r="BL29" s="36"/>
      <c r="BM29" s="36"/>
      <c r="BN29" s="36"/>
      <c r="BO29" s="48"/>
      <c r="BP29" s="36"/>
      <c r="BQ29" s="36"/>
      <c r="BR29" s="36"/>
      <c r="BS29" s="36"/>
      <c r="BT29" s="48"/>
      <c r="BU29" s="36"/>
      <c r="BV29" s="36"/>
      <c r="BW29" s="36"/>
      <c r="BX29" s="36"/>
      <c r="BY29" s="48"/>
      <c r="BZ29" s="36"/>
      <c r="CA29" s="36"/>
      <c r="CB29" s="36"/>
      <c r="CC29" s="36"/>
      <c r="CD29" s="48"/>
      <c r="CE29" s="36"/>
      <c r="CF29" s="36"/>
      <c r="CG29" s="36"/>
      <c r="CH29" s="36"/>
      <c r="CI29" s="48"/>
      <c r="CJ29" s="36"/>
      <c r="CK29" s="36"/>
      <c r="CL29" s="36"/>
      <c r="CM29" s="36"/>
      <c r="CN29" s="48"/>
    </row>
    <row r="30" spans="1:92" ht="15" customHeight="1">
      <c r="A30" s="22"/>
      <c r="B30" s="371" t="s">
        <v>9</v>
      </c>
      <c r="C30" s="36"/>
      <c r="D30" s="36"/>
      <c r="E30" s="36"/>
      <c r="F30" s="36"/>
      <c r="G30" s="48"/>
      <c r="H30" s="232"/>
      <c r="I30" s="232"/>
      <c r="J30" s="232"/>
      <c r="K30" s="232"/>
      <c r="L30" s="48"/>
      <c r="M30" s="232"/>
      <c r="N30" s="232"/>
      <c r="O30" s="232"/>
      <c r="P30" s="232"/>
      <c r="Q30" s="48"/>
      <c r="R30" s="232"/>
      <c r="S30" s="232"/>
      <c r="T30" s="232"/>
      <c r="U30" s="232"/>
      <c r="V30" s="48"/>
      <c r="W30" s="232"/>
      <c r="X30" s="232"/>
      <c r="Y30" s="232"/>
      <c r="Z30" s="232"/>
      <c r="AA30" s="48"/>
      <c r="AB30" s="36"/>
      <c r="AC30" s="36"/>
      <c r="AD30" s="36"/>
      <c r="AE30" s="36"/>
      <c r="AF30" s="48"/>
      <c r="AG30" s="36"/>
      <c r="AH30" s="36"/>
      <c r="AI30" s="36"/>
      <c r="AJ30" s="36"/>
      <c r="AK30" s="48"/>
      <c r="AL30" s="36"/>
      <c r="AM30" s="36"/>
      <c r="AN30" s="36"/>
      <c r="AO30" s="36"/>
      <c r="AP30" s="48"/>
      <c r="AQ30" s="36"/>
      <c r="AR30" s="36"/>
      <c r="AS30" s="36"/>
      <c r="AT30" s="36"/>
      <c r="AU30" s="48"/>
      <c r="AV30" s="36"/>
      <c r="AW30" s="36"/>
      <c r="AX30" s="36"/>
      <c r="AY30" s="36"/>
      <c r="AZ30" s="48"/>
      <c r="BA30" s="36"/>
      <c r="BB30" s="36"/>
      <c r="BC30" s="36"/>
      <c r="BD30" s="36"/>
      <c r="BE30" s="48"/>
      <c r="BF30" s="36"/>
      <c r="BG30" s="36"/>
      <c r="BH30" s="36"/>
      <c r="BI30" s="36"/>
      <c r="BJ30" s="48"/>
      <c r="BK30" s="36"/>
      <c r="BL30" s="36"/>
      <c r="BM30" s="36"/>
      <c r="BN30" s="36"/>
      <c r="BO30" s="48"/>
      <c r="BP30" s="36"/>
      <c r="BQ30" s="36"/>
      <c r="BR30" s="36"/>
      <c r="BS30" s="36"/>
      <c r="BT30" s="48"/>
      <c r="BU30" s="36"/>
      <c r="BV30" s="36"/>
      <c r="BW30" s="36"/>
      <c r="BX30" s="36"/>
      <c r="BY30" s="48"/>
      <c r="BZ30" s="36"/>
      <c r="CA30" s="36"/>
      <c r="CB30" s="36"/>
      <c r="CC30" s="36"/>
      <c r="CD30" s="48"/>
      <c r="CE30" s="36"/>
      <c r="CF30" s="36"/>
      <c r="CG30" s="36"/>
      <c r="CH30" s="36"/>
      <c r="CI30" s="48"/>
      <c r="CJ30" s="36"/>
      <c r="CK30" s="36"/>
      <c r="CL30" s="36"/>
      <c r="CM30" s="36"/>
      <c r="CN30" s="48"/>
    </row>
    <row r="31" spans="1:92" ht="15" customHeight="1">
      <c r="A31" s="20"/>
      <c r="B31" s="23" t="s">
        <v>111</v>
      </c>
      <c r="C31" s="40"/>
      <c r="D31" s="40"/>
      <c r="E31" s="40"/>
      <c r="F31" s="40"/>
      <c r="G31" s="46">
        <v>-1.6906999999999998E-2</v>
      </c>
      <c r="H31" s="40">
        <f>-0.121753</f>
        <v>-0.121753</v>
      </c>
      <c r="I31" s="40">
        <f>-0.128082-H31</f>
        <v>-6.3290000000000013E-3</v>
      </c>
      <c r="J31" s="40">
        <f>-0.13267-SUM(H31:I31)</f>
        <v>-4.5880000000000087E-3</v>
      </c>
      <c r="K31" s="40">
        <v>1.1429999999999999E-3</v>
      </c>
      <c r="L31" s="46">
        <f t="shared" ref="L31" si="82">SUM(H31:K31)</f>
        <v>-0.13152700000000001</v>
      </c>
      <c r="M31" s="40">
        <v>1.4549999999999999E-3</v>
      </c>
      <c r="N31" s="40">
        <v>4.1850000000000004E-3</v>
      </c>
      <c r="O31" s="40">
        <v>8.8769000000000001E-2</v>
      </c>
      <c r="P31" s="40">
        <v>4.718E-3</v>
      </c>
      <c r="Q31" s="46">
        <f t="shared" ref="Q31" si="83">SUM(M31:P31)</f>
        <v>9.9127000000000007E-2</v>
      </c>
      <c r="R31" s="40">
        <v>5.2894999999999998E-2</v>
      </c>
      <c r="S31" s="40">
        <v>7.8828999999999996E-2</v>
      </c>
      <c r="T31" s="40">
        <v>9.8587999999999995E-2</v>
      </c>
      <c r="U31" s="40">
        <v>0.17245199999999999</v>
      </c>
      <c r="V31" s="46">
        <f t="shared" ref="V31" si="84">SUM(R31:U31)</f>
        <v>0.40276400000000001</v>
      </c>
      <c r="W31" s="40">
        <v>0.24593999999999999</v>
      </c>
      <c r="X31" s="40">
        <v>0.33100000000000002</v>
      </c>
      <c r="Y31" s="40">
        <v>0.88100000000000001</v>
      </c>
      <c r="Z31" s="40">
        <v>0.85799999999999998</v>
      </c>
      <c r="AA31" s="46">
        <f>AA92</f>
        <v>1.5555596840800581</v>
      </c>
      <c r="AB31" s="40">
        <f>$AF$31*0.25</f>
        <v>0.52425204398711944</v>
      </c>
      <c r="AC31" s="40">
        <f>$AF$31*0.25</f>
        <v>0.52425204398711944</v>
      </c>
      <c r="AD31" s="40">
        <f>$AF$31*0.25</f>
        <v>0.52425204398711944</v>
      </c>
      <c r="AE31" s="40">
        <f>$AF$31*0.25</f>
        <v>0.52425204398711944</v>
      </c>
      <c r="AF31" s="46">
        <f>AF92</f>
        <v>2.0970081759484778</v>
      </c>
      <c r="AG31" s="40"/>
      <c r="AH31" s="40"/>
      <c r="AI31" s="40"/>
      <c r="AJ31" s="40"/>
      <c r="AK31" s="46">
        <f>AK92</f>
        <v>3.5361319507583127</v>
      </c>
      <c r="AL31" s="40"/>
      <c r="AM31" s="40"/>
      <c r="AN31" s="40"/>
      <c r="AO31" s="40"/>
      <c r="AP31" s="46">
        <f>AP92</f>
        <v>2.6123753278619599</v>
      </c>
      <c r="AQ31" s="40"/>
      <c r="AR31" s="40"/>
      <c r="AS31" s="40"/>
      <c r="AT31" s="40"/>
      <c r="AU31" s="46">
        <f>AU92</f>
        <v>2.6029936361155368</v>
      </c>
      <c r="AV31" s="40"/>
      <c r="AW31" s="40"/>
      <c r="AX31" s="40"/>
      <c r="AY31" s="40"/>
      <c r="AZ31" s="46">
        <f>AZ92</f>
        <v>5.2855306360503906</v>
      </c>
      <c r="BA31" s="40"/>
      <c r="BB31" s="40"/>
      <c r="BC31" s="40"/>
      <c r="BD31" s="40"/>
      <c r="BE31" s="46">
        <f>BE92</f>
        <v>10.127516692811783</v>
      </c>
      <c r="BF31" s="40"/>
      <c r="BG31" s="40"/>
      <c r="BH31" s="40"/>
      <c r="BI31" s="40"/>
      <c r="BJ31" s="46">
        <f>BJ92</f>
        <v>15.652849129771051</v>
      </c>
      <c r="BK31" s="40"/>
      <c r="BL31" s="40"/>
      <c r="BM31" s="40"/>
      <c r="BN31" s="40"/>
      <c r="BO31" s="46">
        <f>BO92</f>
        <v>20.518252248872315</v>
      </c>
      <c r="BP31" s="40"/>
      <c r="BQ31" s="40"/>
      <c r="BR31" s="40"/>
      <c r="BS31" s="40"/>
      <c r="BT31" s="46">
        <f>BT92</f>
        <v>25.045421339604442</v>
      </c>
      <c r="BU31" s="40"/>
      <c r="BV31" s="40"/>
      <c r="BW31" s="40"/>
      <c r="BX31" s="40"/>
      <c r="BY31" s="46">
        <f>BY92</f>
        <v>29.127269698497628</v>
      </c>
      <c r="BZ31" s="40"/>
      <c r="CA31" s="40"/>
      <c r="CB31" s="40"/>
      <c r="CC31" s="40"/>
      <c r="CD31" s="46">
        <f>CD92</f>
        <v>32.962849858722926</v>
      </c>
      <c r="CE31" s="40"/>
      <c r="CF31" s="40"/>
      <c r="CG31" s="40"/>
      <c r="CH31" s="40"/>
      <c r="CI31" s="46">
        <f>CI92</f>
        <v>36.966426849895242</v>
      </c>
      <c r="CJ31" s="40"/>
      <c r="CK31" s="40"/>
      <c r="CL31" s="40"/>
      <c r="CM31" s="40"/>
      <c r="CN31" s="46">
        <f>CN92</f>
        <v>41.171892281953603</v>
      </c>
    </row>
    <row r="32" spans="1:92" ht="15" customHeight="1">
      <c r="A32" s="20"/>
      <c r="B32" s="373" t="s">
        <v>57</v>
      </c>
      <c r="C32" s="40"/>
      <c r="D32" s="40"/>
      <c r="E32" s="40"/>
      <c r="F32" s="40"/>
      <c r="G32" s="46"/>
      <c r="H32" s="40"/>
      <c r="I32" s="40"/>
      <c r="J32" s="40"/>
      <c r="K32" s="40"/>
      <c r="L32" s="46"/>
      <c r="M32" s="40"/>
      <c r="N32" s="40"/>
      <c r="O32" s="40"/>
      <c r="P32" s="40"/>
      <c r="Q32" s="46"/>
      <c r="R32" s="40"/>
      <c r="S32" s="40"/>
      <c r="T32" s="40"/>
      <c r="U32" s="40"/>
      <c r="V32" s="46"/>
      <c r="W32" s="40"/>
      <c r="X32" s="40"/>
      <c r="Y32" s="40"/>
      <c r="Z32" s="40"/>
      <c r="AA32" s="46">
        <f t="shared" ref="AA32:AA36" si="85">Z32+Y32+X32+W32</f>
        <v>0</v>
      </c>
      <c r="AB32" s="40">
        <v>0</v>
      </c>
      <c r="AC32" s="40">
        <v>0</v>
      </c>
      <c r="AD32" s="40">
        <v>0</v>
      </c>
      <c r="AE32" s="40">
        <v>0</v>
      </c>
      <c r="AF32" s="46">
        <f t="shared" ref="AF32:AF34" si="86">AE32+AD32+AC32+AB32</f>
        <v>0</v>
      </c>
      <c r="AG32" s="40"/>
      <c r="AH32" s="40"/>
      <c r="AI32" s="40"/>
      <c r="AJ32" s="40"/>
      <c r="AK32" s="46">
        <f>AF32</f>
        <v>0</v>
      </c>
      <c r="AL32" s="40"/>
      <c r="AM32" s="40"/>
      <c r="AN32" s="40"/>
      <c r="AO32" s="40"/>
      <c r="AP32" s="46">
        <f>AK32</f>
        <v>0</v>
      </c>
      <c r="AQ32" s="40"/>
      <c r="AR32" s="40"/>
      <c r="AS32" s="40"/>
      <c r="AT32" s="40"/>
      <c r="AU32" s="46">
        <f>AP32</f>
        <v>0</v>
      </c>
      <c r="AV32" s="40"/>
      <c r="AW32" s="40"/>
      <c r="AX32" s="40"/>
      <c r="AY32" s="40"/>
      <c r="AZ32" s="46">
        <f>AU32</f>
        <v>0</v>
      </c>
      <c r="BA32" s="40"/>
      <c r="BB32" s="40"/>
      <c r="BC32" s="40"/>
      <c r="BD32" s="40"/>
      <c r="BE32" s="46">
        <f>AZ32</f>
        <v>0</v>
      </c>
      <c r="BF32" s="40"/>
      <c r="BG32" s="40"/>
      <c r="BH32" s="40"/>
      <c r="BI32" s="40"/>
      <c r="BJ32" s="46">
        <f>BE32</f>
        <v>0</v>
      </c>
      <c r="BK32" s="40"/>
      <c r="BL32" s="40"/>
      <c r="BM32" s="40"/>
      <c r="BN32" s="40"/>
      <c r="BO32" s="46">
        <f>BJ32</f>
        <v>0</v>
      </c>
      <c r="BP32" s="40"/>
      <c r="BQ32" s="40"/>
      <c r="BR32" s="40"/>
      <c r="BS32" s="40"/>
      <c r="BT32" s="46">
        <f>BO32</f>
        <v>0</v>
      </c>
      <c r="BU32" s="40"/>
      <c r="BV32" s="40"/>
      <c r="BW32" s="40"/>
      <c r="BX32" s="40"/>
      <c r="BY32" s="46">
        <f>BT32</f>
        <v>0</v>
      </c>
      <c r="BZ32" s="40"/>
      <c r="CA32" s="40"/>
      <c r="CB32" s="40"/>
      <c r="CC32" s="40"/>
      <c r="CD32" s="46">
        <f>BY32</f>
        <v>0</v>
      </c>
      <c r="CE32" s="40"/>
      <c r="CF32" s="40"/>
      <c r="CG32" s="40"/>
      <c r="CH32" s="40"/>
      <c r="CI32" s="46">
        <f>CD32</f>
        <v>0</v>
      </c>
      <c r="CJ32" s="40"/>
      <c r="CK32" s="40"/>
      <c r="CL32" s="40"/>
      <c r="CM32" s="40"/>
      <c r="CN32" s="46">
        <f>CI32</f>
        <v>0</v>
      </c>
    </row>
    <row r="33" spans="1:101" ht="15" customHeight="1">
      <c r="A33" s="22"/>
      <c r="B33" s="408" t="s">
        <v>277</v>
      </c>
      <c r="C33" s="35">
        <f>C28+C31+C32</f>
        <v>0</v>
      </c>
      <c r="D33" s="35">
        <f>D28+D31+D32</f>
        <v>0</v>
      </c>
      <c r="E33" s="35">
        <f t="shared" ref="E33:G33" si="87">E28+E31+E32</f>
        <v>0</v>
      </c>
      <c r="F33" s="35">
        <f t="shared" si="87"/>
        <v>0</v>
      </c>
      <c r="G33" s="44">
        <f t="shared" si="87"/>
        <v>-2.2138839999999997</v>
      </c>
      <c r="H33" s="227">
        <f>H28+H31+H32</f>
        <v>-8.5193739999999991</v>
      </c>
      <c r="I33" s="227">
        <f>I28+I31+I32</f>
        <v>-1.1503950000000005</v>
      </c>
      <c r="J33" s="227">
        <f t="shared" ref="J33:Q33" si="88">J28+J31+J32</f>
        <v>-2.2312130000000012</v>
      </c>
      <c r="K33" s="227">
        <f t="shared" ref="K33:L33" si="89">K28+K31+K32</f>
        <v>-3.6508660000000002</v>
      </c>
      <c r="L33" s="44">
        <f t="shared" si="89"/>
        <v>-15.551848000000001</v>
      </c>
      <c r="M33" s="227">
        <f t="shared" si="88"/>
        <v>-5.4532040000000004</v>
      </c>
      <c r="N33" s="227">
        <f t="shared" si="88"/>
        <v>-9.9191749999999992</v>
      </c>
      <c r="O33" s="227">
        <f t="shared" si="88"/>
        <v>-9.9406580000000009</v>
      </c>
      <c r="P33" s="227">
        <f t="shared" si="88"/>
        <v>-13.160807</v>
      </c>
      <c r="Q33" s="44">
        <f t="shared" si="88"/>
        <v>-38.473844</v>
      </c>
      <c r="R33" s="227">
        <f t="shared" ref="R33:Y33" si="90">R28+R31+R32</f>
        <v>-20.836107000000002</v>
      </c>
      <c r="S33" s="227">
        <f t="shared" si="90"/>
        <v>-15.718957999999999</v>
      </c>
      <c r="T33" s="227">
        <f t="shared" si="90"/>
        <v>-21.081808000000002</v>
      </c>
      <c r="U33" s="227">
        <f t="shared" si="90"/>
        <v>-25.374930999999997</v>
      </c>
      <c r="V33" s="44">
        <f t="shared" si="90"/>
        <v>-83.011803999999998</v>
      </c>
      <c r="W33" s="227">
        <f t="shared" si="90"/>
        <v>-29.718866999999999</v>
      </c>
      <c r="X33" s="227">
        <f t="shared" si="90"/>
        <v>-58.028999999999996</v>
      </c>
      <c r="Y33" s="227">
        <f t="shared" si="90"/>
        <v>-48.638999999999996</v>
      </c>
      <c r="Z33" s="227">
        <f>Z28+Z31+Z32</f>
        <v>-81.664999999999992</v>
      </c>
      <c r="AA33" s="44">
        <f t="shared" si="85"/>
        <v>-218.05186699999996</v>
      </c>
      <c r="AB33" s="227">
        <f t="shared" ref="AB33:AE33" si="91">AB28+AB31+AB32</f>
        <v>-46.026337406012885</v>
      </c>
      <c r="AC33" s="227">
        <f t="shared" si="91"/>
        <v>-47.911165956012887</v>
      </c>
      <c r="AD33" s="227">
        <f t="shared" si="91"/>
        <v>-50.134547956012881</v>
      </c>
      <c r="AE33" s="227">
        <f t="shared" si="91"/>
        <v>-68.549197956012875</v>
      </c>
      <c r="AF33" s="44">
        <f>AE33+AD33+AC33+AB33</f>
        <v>-212.62124927405154</v>
      </c>
      <c r="AG33" s="35"/>
      <c r="AH33" s="35"/>
      <c r="AI33" s="35"/>
      <c r="AJ33" s="35"/>
      <c r="AK33" s="44">
        <f t="shared" ref="AK33" si="92">AK28+AK31+AK32</f>
        <v>-155.9964723650051</v>
      </c>
      <c r="AL33" s="35"/>
      <c r="AM33" s="35"/>
      <c r="AN33" s="35"/>
      <c r="AO33" s="35"/>
      <c r="AP33" s="44">
        <f t="shared" ref="AP33" si="93">AP28+AP31+AP32</f>
        <v>1.796219692577159</v>
      </c>
      <c r="AQ33" s="35"/>
      <c r="AR33" s="35"/>
      <c r="AS33" s="35"/>
      <c r="AT33" s="35"/>
      <c r="AU33" s="44">
        <f t="shared" ref="AU33" si="94">AU28+AU31+AU32</f>
        <v>466.65659243409419</v>
      </c>
      <c r="AV33" s="35"/>
      <c r="AW33" s="35"/>
      <c r="AX33" s="35"/>
      <c r="AY33" s="35"/>
      <c r="AZ33" s="44">
        <f t="shared" ref="AZ33" si="95">AZ28+AZ31+AZ32</f>
        <v>1089.9740160223887</v>
      </c>
      <c r="BA33" s="35"/>
      <c r="BB33" s="35"/>
      <c r="BC33" s="35"/>
      <c r="BD33" s="35"/>
      <c r="BE33" s="44">
        <f t="shared" ref="BE33" si="96">BE28+BE31+BE32</f>
        <v>1278.4805705030637</v>
      </c>
      <c r="BF33" s="35"/>
      <c r="BG33" s="35"/>
      <c r="BH33" s="35"/>
      <c r="BI33" s="35"/>
      <c r="BJ33" s="44">
        <f t="shared" ref="BJ33" si="97">BJ28+BJ31+BJ32</f>
        <v>1092.1983574007727</v>
      </c>
      <c r="BK33" s="35"/>
      <c r="BL33" s="35"/>
      <c r="BM33" s="35"/>
      <c r="BN33" s="35"/>
      <c r="BO33" s="44">
        <f t="shared" ref="BO33" si="98">BO28+BO31+BO32</f>
        <v>1029.964755701792</v>
      </c>
      <c r="BP33" s="35"/>
      <c r="BQ33" s="35"/>
      <c r="BR33" s="35"/>
      <c r="BS33" s="35"/>
      <c r="BT33" s="44">
        <f t="shared" ref="BT33" si="99">BT28+BT31+BT32</f>
        <v>923.58569940383222</v>
      </c>
      <c r="BU33" s="35"/>
      <c r="BV33" s="35"/>
      <c r="BW33" s="35"/>
      <c r="BX33" s="35"/>
      <c r="BY33" s="44">
        <f t="shared" ref="BY33" si="100">BY28+BY31+BY32</f>
        <v>873.37932448383572</v>
      </c>
      <c r="BZ33" s="35"/>
      <c r="CA33" s="35"/>
      <c r="CB33" s="35"/>
      <c r="CC33" s="35"/>
      <c r="CD33" s="44">
        <f t="shared" ref="CD33" si="101">CD28+CD31+CD32</f>
        <v>924.5140615452334</v>
      </c>
      <c r="CE33" s="35"/>
      <c r="CF33" s="35"/>
      <c r="CG33" s="35"/>
      <c r="CH33" s="35"/>
      <c r="CI33" s="44">
        <f t="shared" ref="CI33" si="102">CI28+CI31+CI32</f>
        <v>977.57816711710382</v>
      </c>
      <c r="CJ33" s="35"/>
      <c r="CK33" s="35"/>
      <c r="CL33" s="35"/>
      <c r="CM33" s="35"/>
      <c r="CN33" s="44">
        <f t="shared" ref="CN33" si="103">CN28+CN31+CN32</f>
        <v>1032.6261091219101</v>
      </c>
    </row>
    <row r="34" spans="1:101" ht="15" customHeight="1">
      <c r="A34" s="22"/>
      <c r="B34" s="23" t="s">
        <v>75</v>
      </c>
      <c r="C34" s="37"/>
      <c r="D34" s="37"/>
      <c r="E34" s="37"/>
      <c r="F34" s="37"/>
      <c r="G34" s="49">
        <v>0</v>
      </c>
      <c r="H34" s="37">
        <v>0</v>
      </c>
      <c r="I34" s="37">
        <v>0</v>
      </c>
      <c r="J34" s="37">
        <v>0</v>
      </c>
      <c r="K34" s="37">
        <f>0.866569-SUM(H34:J34)</f>
        <v>0.86656900000000003</v>
      </c>
      <c r="L34" s="49">
        <f t="shared" ref="L34" si="104">SUM(H34:K34)</f>
        <v>0.86656900000000003</v>
      </c>
      <c r="M34" s="37">
        <v>0</v>
      </c>
      <c r="N34" s="37">
        <v>0</v>
      </c>
      <c r="O34" s="37">
        <v>0</v>
      </c>
      <c r="P34" s="37">
        <f>0-SUM(M34:O34)</f>
        <v>0</v>
      </c>
      <c r="Q34" s="49">
        <f t="shared" ref="Q34" si="105">SUM(M34:P34)</f>
        <v>0</v>
      </c>
      <c r="R34" s="37">
        <v>0</v>
      </c>
      <c r="S34" s="37">
        <v>0</v>
      </c>
      <c r="T34" s="37">
        <v>0</v>
      </c>
      <c r="U34" s="37">
        <f>0-SUM(R34:T34)</f>
        <v>0</v>
      </c>
      <c r="V34" s="49">
        <f t="shared" ref="V34" si="106">SUM(R34:U34)</f>
        <v>0</v>
      </c>
      <c r="W34" s="37">
        <v>0</v>
      </c>
      <c r="X34" s="37">
        <v>0</v>
      </c>
      <c r="Y34" s="37">
        <v>0</v>
      </c>
      <c r="Z34" s="37">
        <v>0</v>
      </c>
      <c r="AA34" s="49">
        <f t="shared" si="85"/>
        <v>0</v>
      </c>
      <c r="AB34" s="37">
        <v>0</v>
      </c>
      <c r="AC34" s="37">
        <v>0</v>
      </c>
      <c r="AD34" s="37">
        <v>0</v>
      </c>
      <c r="AE34" s="37">
        <v>0</v>
      </c>
      <c r="AF34" s="49">
        <f t="shared" si="86"/>
        <v>0</v>
      </c>
      <c r="AG34" s="37"/>
      <c r="AH34" s="37"/>
      <c r="AI34" s="37"/>
      <c r="AJ34" s="37"/>
      <c r="AK34" s="49">
        <f>AK102</f>
        <v>0</v>
      </c>
      <c r="AL34" s="37"/>
      <c r="AM34" s="37"/>
      <c r="AN34" s="37"/>
      <c r="AO34" s="37"/>
      <c r="AP34" s="49">
        <f>AP102</f>
        <v>0</v>
      </c>
      <c r="AQ34" s="37"/>
      <c r="AR34" s="37"/>
      <c r="AS34" s="37"/>
      <c r="AT34" s="37"/>
      <c r="AU34" s="49">
        <f>AU102</f>
        <v>0</v>
      </c>
      <c r="AV34" s="37"/>
      <c r="AW34" s="37"/>
      <c r="AX34" s="37"/>
      <c r="AY34" s="37"/>
      <c r="AZ34" s="49">
        <f>AZ102</f>
        <v>344.68725217850124</v>
      </c>
      <c r="BA34" s="37"/>
      <c r="BB34" s="37"/>
      <c r="BC34" s="37"/>
      <c r="BD34" s="37"/>
      <c r="BE34" s="49">
        <f>BE102</f>
        <v>447.46819967607229</v>
      </c>
      <c r="BF34" s="37"/>
      <c r="BG34" s="37"/>
      <c r="BH34" s="37"/>
      <c r="BI34" s="37"/>
      <c r="BJ34" s="49">
        <f>BJ102</f>
        <v>382.26942509027043</v>
      </c>
      <c r="BK34" s="37"/>
      <c r="BL34" s="37"/>
      <c r="BM34" s="37"/>
      <c r="BN34" s="37"/>
      <c r="BO34" s="49">
        <f>BO102</f>
        <v>360.4876644956272</v>
      </c>
      <c r="BP34" s="37"/>
      <c r="BQ34" s="37"/>
      <c r="BR34" s="37"/>
      <c r="BS34" s="37"/>
      <c r="BT34" s="49">
        <f>BT102</f>
        <v>323.25499479134123</v>
      </c>
      <c r="BU34" s="37"/>
      <c r="BV34" s="37"/>
      <c r="BW34" s="37"/>
      <c r="BX34" s="37"/>
      <c r="BY34" s="49">
        <f>BY102</f>
        <v>305.68276356934246</v>
      </c>
      <c r="BZ34" s="37"/>
      <c r="CA34" s="37"/>
      <c r="CB34" s="37"/>
      <c r="CC34" s="37"/>
      <c r="CD34" s="49">
        <f>CD102</f>
        <v>323.57992154083166</v>
      </c>
      <c r="CE34" s="37"/>
      <c r="CF34" s="37"/>
      <c r="CG34" s="37"/>
      <c r="CH34" s="37"/>
      <c r="CI34" s="49">
        <f>CI102</f>
        <v>342.15235849098633</v>
      </c>
      <c r="CJ34" s="37"/>
      <c r="CK34" s="37"/>
      <c r="CL34" s="37"/>
      <c r="CM34" s="37"/>
      <c r="CN34" s="49">
        <f>CN102</f>
        <v>361.41913819266853</v>
      </c>
    </row>
    <row r="35" spans="1:101" s="400" customFormat="1" ht="15" customHeight="1">
      <c r="A35" s="399"/>
      <c r="B35" s="374" t="s">
        <v>417</v>
      </c>
      <c r="C35" s="53"/>
      <c r="D35" s="53"/>
      <c r="E35" s="53"/>
      <c r="F35" s="53"/>
      <c r="G35" s="89"/>
      <c r="H35" s="233"/>
      <c r="I35" s="233"/>
      <c r="J35" s="233"/>
      <c r="K35" s="233"/>
      <c r="L35" s="89"/>
      <c r="M35" s="233"/>
      <c r="N35" s="233"/>
      <c r="O35" s="233"/>
      <c r="P35" s="233"/>
      <c r="Q35" s="89"/>
      <c r="R35" s="233"/>
      <c r="S35" s="233"/>
      <c r="T35" s="233"/>
      <c r="U35" s="233"/>
      <c r="V35" s="89"/>
      <c r="W35" s="233" t="s">
        <v>228</v>
      </c>
      <c r="X35" s="233" t="s">
        <v>228</v>
      </c>
      <c r="Y35" s="233" t="s">
        <v>228</v>
      </c>
      <c r="Z35" s="233" t="s">
        <v>228</v>
      </c>
      <c r="AA35" s="89" t="str">
        <f>IF(AA33&lt;0,"NM",AA34/AA33)</f>
        <v>NM</v>
      </c>
      <c r="AB35" s="233" t="s">
        <v>228</v>
      </c>
      <c r="AC35" s="233" t="s">
        <v>228</v>
      </c>
      <c r="AD35" s="233" t="s">
        <v>228</v>
      </c>
      <c r="AE35" s="233" t="s">
        <v>228</v>
      </c>
      <c r="AF35" s="89" t="str">
        <f>IF(AF33&lt;0,"NM",AF34/AF33)</f>
        <v>NM</v>
      </c>
      <c r="AG35" s="90"/>
      <c r="AH35" s="90"/>
      <c r="AI35" s="90"/>
      <c r="AJ35" s="90"/>
      <c r="AK35" s="89" t="str">
        <f>IF(AK33&lt;0,"NM",AK34/AK33)</f>
        <v>NM</v>
      </c>
      <c r="AL35" s="90"/>
      <c r="AM35" s="90"/>
      <c r="AN35" s="90"/>
      <c r="AO35" s="90"/>
      <c r="AP35" s="89">
        <f>IF(AP33&lt;0,"NM",AP34/AP33)</f>
        <v>0</v>
      </c>
      <c r="AQ35" s="90"/>
      <c r="AR35" s="90"/>
      <c r="AS35" s="90"/>
      <c r="AT35" s="90"/>
      <c r="AU35" s="89">
        <f>IF(AU33&lt;0,"NM",AU34/AU33)</f>
        <v>0</v>
      </c>
      <c r="AV35" s="90"/>
      <c r="AW35" s="90"/>
      <c r="AX35" s="90"/>
      <c r="AY35" s="90"/>
      <c r="AZ35" s="89">
        <f>IF(AZ33&lt;0,"NM",AZ34/AZ33)</f>
        <v>0.31623437541782756</v>
      </c>
      <c r="BA35" s="90"/>
      <c r="BB35" s="90"/>
      <c r="BC35" s="90"/>
      <c r="BD35" s="90"/>
      <c r="BE35" s="89">
        <f>IF(BE33&lt;0,"NM",BE34/BE33)</f>
        <v>0.35</v>
      </c>
      <c r="BF35" s="90"/>
      <c r="BG35" s="90"/>
      <c r="BH35" s="90"/>
      <c r="BI35" s="90"/>
      <c r="BJ35" s="89">
        <f>IF(BJ33&lt;0,"NM",BJ34/BJ33)</f>
        <v>0.35</v>
      </c>
      <c r="BK35" s="90"/>
      <c r="BL35" s="90"/>
      <c r="BM35" s="90"/>
      <c r="BN35" s="90"/>
      <c r="BO35" s="89">
        <f>IF(BO33&lt;0,"NM",BO34/BO33)</f>
        <v>0.35</v>
      </c>
      <c r="BP35" s="90"/>
      <c r="BQ35" s="90"/>
      <c r="BR35" s="90"/>
      <c r="BS35" s="90"/>
      <c r="BT35" s="89">
        <f>IF(BT33&lt;0,"NM",BT34/BT33)</f>
        <v>0.35</v>
      </c>
      <c r="BU35" s="90"/>
      <c r="BV35" s="90"/>
      <c r="BW35" s="90"/>
      <c r="BX35" s="90"/>
      <c r="BY35" s="89">
        <f>IF(BY33&lt;0,"NM",BY34/BY33)</f>
        <v>0.34999999999999992</v>
      </c>
      <c r="BZ35" s="90"/>
      <c r="CA35" s="90"/>
      <c r="CB35" s="90"/>
      <c r="CC35" s="90"/>
      <c r="CD35" s="89">
        <f>IF(CD33&lt;0,"NM",CD34/CD33)</f>
        <v>0.35</v>
      </c>
      <c r="CE35" s="90"/>
      <c r="CF35" s="90"/>
      <c r="CG35" s="90"/>
      <c r="CH35" s="90"/>
      <c r="CI35" s="89">
        <f>IF(CI33&lt;0,"NM",CI34/CI33)</f>
        <v>0.35</v>
      </c>
      <c r="CJ35" s="90"/>
      <c r="CK35" s="90"/>
      <c r="CL35" s="90"/>
      <c r="CM35" s="90"/>
      <c r="CN35" s="89">
        <f>IF(CN33&lt;0,"NM",CN34/CN33)</f>
        <v>0.35</v>
      </c>
      <c r="CR35"/>
      <c r="CS35"/>
      <c r="CT35"/>
      <c r="CU35"/>
      <c r="CV35"/>
      <c r="CW35"/>
    </row>
    <row r="36" spans="1:101" ht="15" customHeight="1">
      <c r="A36" s="22"/>
      <c r="B36" s="408" t="s">
        <v>222</v>
      </c>
      <c r="C36" s="35">
        <f>C33-C34</f>
        <v>0</v>
      </c>
      <c r="D36" s="35">
        <f>D33-D34</f>
        <v>0</v>
      </c>
      <c r="E36" s="35">
        <f t="shared" ref="E36:G36" si="107">E33-E34</f>
        <v>0</v>
      </c>
      <c r="F36" s="35">
        <f t="shared" si="107"/>
        <v>0</v>
      </c>
      <c r="G36" s="44">
        <f t="shared" si="107"/>
        <v>-2.2138839999999997</v>
      </c>
      <c r="H36" s="227">
        <f>H33-H34</f>
        <v>-8.5193739999999991</v>
      </c>
      <c r="I36" s="227">
        <f>I33-I34</f>
        <v>-1.1503950000000005</v>
      </c>
      <c r="J36" s="227">
        <f t="shared" ref="J36:Q36" si="108">J33-J34</f>
        <v>-2.2312130000000012</v>
      </c>
      <c r="K36" s="227">
        <f t="shared" ref="K36:L36" si="109">K33-K34</f>
        <v>-4.5174349999999999</v>
      </c>
      <c r="L36" s="44">
        <f t="shared" si="109"/>
        <v>-16.418417000000002</v>
      </c>
      <c r="M36" s="227">
        <f t="shared" si="108"/>
        <v>-5.4532040000000004</v>
      </c>
      <c r="N36" s="227">
        <f t="shared" si="108"/>
        <v>-9.9191749999999992</v>
      </c>
      <c r="O36" s="227">
        <f t="shared" si="108"/>
        <v>-9.9406580000000009</v>
      </c>
      <c r="P36" s="227">
        <f t="shared" si="108"/>
        <v>-13.160807</v>
      </c>
      <c r="Q36" s="44">
        <f t="shared" si="108"/>
        <v>-38.473844</v>
      </c>
      <c r="R36" s="227">
        <f t="shared" ref="R36:Z36" si="110">R33-R34</f>
        <v>-20.836107000000002</v>
      </c>
      <c r="S36" s="227">
        <f t="shared" si="110"/>
        <v>-15.718957999999999</v>
      </c>
      <c r="T36" s="227">
        <f t="shared" si="110"/>
        <v>-21.081808000000002</v>
      </c>
      <c r="U36" s="227">
        <f t="shared" si="110"/>
        <v>-25.374930999999997</v>
      </c>
      <c r="V36" s="44">
        <f t="shared" si="110"/>
        <v>-83.011803999999998</v>
      </c>
      <c r="W36" s="227">
        <f t="shared" si="110"/>
        <v>-29.718866999999999</v>
      </c>
      <c r="X36" s="227">
        <f t="shared" si="110"/>
        <v>-58.028999999999996</v>
      </c>
      <c r="Y36" s="227">
        <f t="shared" si="110"/>
        <v>-48.638999999999996</v>
      </c>
      <c r="Z36" s="227">
        <f t="shared" si="110"/>
        <v>-81.664999999999992</v>
      </c>
      <c r="AA36" s="44">
        <f t="shared" si="85"/>
        <v>-218.05186699999996</v>
      </c>
      <c r="AB36" s="227">
        <f t="shared" ref="AB36:AE36" si="111">AB33-AB34</f>
        <v>-46.026337406012885</v>
      </c>
      <c r="AC36" s="227">
        <f t="shared" si="111"/>
        <v>-47.911165956012887</v>
      </c>
      <c r="AD36" s="227">
        <f t="shared" si="111"/>
        <v>-50.134547956012881</v>
      </c>
      <c r="AE36" s="227">
        <f t="shared" si="111"/>
        <v>-68.549197956012875</v>
      </c>
      <c r="AF36" s="44">
        <f t="shared" ref="AF36" si="112">AF33-AF34</f>
        <v>-212.62124927405154</v>
      </c>
      <c r="AG36" s="35"/>
      <c r="AH36" s="35"/>
      <c r="AI36" s="35"/>
      <c r="AJ36" s="35"/>
      <c r="AK36" s="44">
        <f t="shared" ref="AK36" si="113">AK33-AK34</f>
        <v>-155.9964723650051</v>
      </c>
      <c r="AL36" s="35"/>
      <c r="AM36" s="35"/>
      <c r="AN36" s="35"/>
      <c r="AO36" s="35"/>
      <c r="AP36" s="44">
        <f t="shared" ref="AP36" si="114">AP33-AP34</f>
        <v>1.796219692577159</v>
      </c>
      <c r="AQ36" s="35"/>
      <c r="AR36" s="35"/>
      <c r="AS36" s="35"/>
      <c r="AT36" s="35"/>
      <c r="AU36" s="44">
        <f t="shared" ref="AU36" si="115">AU33-AU34</f>
        <v>466.65659243409419</v>
      </c>
      <c r="AV36" s="35"/>
      <c r="AW36" s="35"/>
      <c r="AX36" s="35"/>
      <c r="AY36" s="35"/>
      <c r="AZ36" s="44">
        <f t="shared" ref="AZ36" si="116">AZ33-AZ34</f>
        <v>745.28676384388746</v>
      </c>
      <c r="BA36" s="35"/>
      <c r="BB36" s="35"/>
      <c r="BC36" s="35"/>
      <c r="BD36" s="35"/>
      <c r="BE36" s="44">
        <f t="shared" ref="BE36" si="117">BE33-BE34</f>
        <v>831.0123708269914</v>
      </c>
      <c r="BF36" s="35"/>
      <c r="BG36" s="35"/>
      <c r="BH36" s="35"/>
      <c r="BI36" s="35"/>
      <c r="BJ36" s="44">
        <f t="shared" ref="BJ36" si="118">BJ33-BJ34</f>
        <v>709.9289323105022</v>
      </c>
      <c r="BK36" s="35"/>
      <c r="BL36" s="35"/>
      <c r="BM36" s="35"/>
      <c r="BN36" s="35"/>
      <c r="BO36" s="44">
        <f t="shared" ref="BO36" si="119">BO33-BO34</f>
        <v>669.4770912061648</v>
      </c>
      <c r="BP36" s="35"/>
      <c r="BQ36" s="35"/>
      <c r="BR36" s="35"/>
      <c r="BS36" s="35"/>
      <c r="BT36" s="44">
        <f t="shared" ref="BT36" si="120">BT33-BT34</f>
        <v>600.33070461249099</v>
      </c>
      <c r="BU36" s="35"/>
      <c r="BV36" s="35"/>
      <c r="BW36" s="35"/>
      <c r="BX36" s="35"/>
      <c r="BY36" s="44">
        <f t="shared" ref="BY36" si="121">BY33-BY34</f>
        <v>567.69656091449326</v>
      </c>
      <c r="BZ36" s="35"/>
      <c r="CA36" s="35"/>
      <c r="CB36" s="35"/>
      <c r="CC36" s="35"/>
      <c r="CD36" s="44">
        <f t="shared" ref="CD36" si="122">CD33-CD34</f>
        <v>600.9341400044018</v>
      </c>
      <c r="CE36" s="35"/>
      <c r="CF36" s="35"/>
      <c r="CG36" s="35"/>
      <c r="CH36" s="35"/>
      <c r="CI36" s="44">
        <f t="shared" ref="CI36" si="123">CI33-CI34</f>
        <v>635.42580862611749</v>
      </c>
      <c r="CJ36" s="35"/>
      <c r="CK36" s="35"/>
      <c r="CL36" s="35"/>
      <c r="CM36" s="35"/>
      <c r="CN36" s="44">
        <f t="shared" ref="CN36" si="124">CN33-CN34</f>
        <v>671.20697092924161</v>
      </c>
    </row>
    <row r="37" spans="1:101" ht="15" customHeight="1">
      <c r="A37" s="22"/>
      <c r="B37" s="372"/>
      <c r="C37" s="263"/>
      <c r="D37" s="263"/>
      <c r="E37" s="263"/>
      <c r="F37" s="263"/>
      <c r="G37" s="264"/>
      <c r="H37" s="265"/>
      <c r="I37" s="265"/>
      <c r="J37" s="265"/>
      <c r="K37" s="265"/>
      <c r="L37" s="264"/>
      <c r="M37" s="265"/>
      <c r="N37" s="265"/>
      <c r="O37" s="265"/>
      <c r="P37" s="265"/>
      <c r="Q37" s="264"/>
      <c r="R37" s="265"/>
      <c r="S37" s="265"/>
      <c r="T37" s="265"/>
      <c r="U37" s="265"/>
      <c r="V37" s="264"/>
      <c r="W37" s="265"/>
      <c r="X37" s="265"/>
      <c r="Y37" s="265"/>
      <c r="Z37" s="265"/>
      <c r="AA37" s="264"/>
      <c r="AB37" s="263"/>
      <c r="AC37" s="263"/>
      <c r="AD37" s="263"/>
      <c r="AE37" s="263"/>
      <c r="AF37" s="264"/>
      <c r="AG37" s="263"/>
      <c r="AH37" s="263"/>
      <c r="AI37" s="263"/>
      <c r="AJ37" s="263"/>
      <c r="AK37" s="264"/>
      <c r="AL37" s="263"/>
      <c r="AM37" s="263"/>
      <c r="AN37" s="263"/>
      <c r="AO37" s="263"/>
      <c r="AP37" s="264"/>
      <c r="AQ37" s="263"/>
      <c r="AR37" s="263"/>
      <c r="AS37" s="263"/>
      <c r="AT37" s="263"/>
      <c r="AU37" s="264"/>
      <c r="AV37" s="263"/>
      <c r="AW37" s="263"/>
      <c r="AX37" s="263"/>
      <c r="AY37" s="263"/>
      <c r="AZ37" s="264"/>
      <c r="BA37" s="263"/>
      <c r="BB37" s="263"/>
      <c r="BC37" s="263"/>
      <c r="BD37" s="263"/>
      <c r="BE37" s="264"/>
      <c r="BF37" s="263"/>
      <c r="BG37" s="263"/>
      <c r="BH37" s="263"/>
      <c r="BI37" s="263"/>
      <c r="BJ37" s="264"/>
      <c r="BK37" s="263"/>
      <c r="BL37" s="263"/>
      <c r="BM37" s="263"/>
      <c r="BN37" s="263"/>
      <c r="BO37" s="264"/>
      <c r="BP37" s="263"/>
      <c r="BQ37" s="263"/>
      <c r="BR37" s="263"/>
      <c r="BS37" s="263"/>
      <c r="BT37" s="264"/>
      <c r="BU37" s="263"/>
      <c r="BV37" s="263"/>
      <c r="BW37" s="263"/>
      <c r="BX37" s="263"/>
      <c r="BY37" s="264"/>
      <c r="BZ37" s="263"/>
      <c r="CA37" s="263"/>
      <c r="CB37" s="263"/>
      <c r="CC37" s="263"/>
      <c r="CD37" s="264"/>
      <c r="CE37" s="263"/>
      <c r="CF37" s="263"/>
      <c r="CG37" s="263"/>
      <c r="CH37" s="263"/>
      <c r="CI37" s="264"/>
      <c r="CJ37" s="263"/>
      <c r="CK37" s="263"/>
      <c r="CL37" s="263"/>
      <c r="CM37" s="263"/>
      <c r="CN37" s="264"/>
    </row>
    <row r="38" spans="1:101" ht="15" customHeight="1">
      <c r="A38" s="22"/>
      <c r="B38" s="375" t="s">
        <v>274</v>
      </c>
      <c r="C38" s="263"/>
      <c r="D38" s="263"/>
      <c r="E38" s="263"/>
      <c r="F38" s="263"/>
      <c r="G38" s="46">
        <v>0.47553000000000001</v>
      </c>
      <c r="H38" s="40">
        <f>0.008729</f>
        <v>8.7290000000000006E-3</v>
      </c>
      <c r="I38" s="40">
        <f>0.008729-H38</f>
        <v>0</v>
      </c>
      <c r="J38" s="40">
        <f>0.008729-SUM(H38:I38)</f>
        <v>0</v>
      </c>
      <c r="K38" s="40">
        <v>0</v>
      </c>
      <c r="L38" s="46">
        <f t="shared" ref="L38:L39" si="125">SUM(H38:K38)</f>
        <v>8.7290000000000006E-3</v>
      </c>
      <c r="M38" s="40">
        <v>0</v>
      </c>
      <c r="N38" s="40">
        <v>0</v>
      </c>
      <c r="O38" s="40">
        <v>0</v>
      </c>
      <c r="P38" s="40">
        <v>0</v>
      </c>
      <c r="Q38" s="46">
        <f t="shared" ref="Q38:Q39" si="126">SUM(M38:P38)</f>
        <v>0</v>
      </c>
      <c r="R38" s="40">
        <v>0</v>
      </c>
      <c r="S38" s="40">
        <v>0</v>
      </c>
      <c r="T38" s="40">
        <v>0</v>
      </c>
      <c r="U38" s="40">
        <v>0</v>
      </c>
      <c r="V38" s="46">
        <f t="shared" ref="V38:V39" si="127">SUM(R38:U38)</f>
        <v>0</v>
      </c>
      <c r="W38" s="40">
        <v>0</v>
      </c>
      <c r="X38" s="40">
        <v>0</v>
      </c>
      <c r="Y38" s="40">
        <v>0</v>
      </c>
      <c r="Z38" s="40">
        <v>0</v>
      </c>
      <c r="AA38" s="46">
        <f t="shared" ref="AA38:AA39" si="128">SUM(W38:Z38)</f>
        <v>0</v>
      </c>
      <c r="AB38" s="40">
        <v>0</v>
      </c>
      <c r="AC38" s="40">
        <v>0</v>
      </c>
      <c r="AD38" s="40">
        <v>0</v>
      </c>
      <c r="AE38" s="40">
        <v>0</v>
      </c>
      <c r="AF38" s="46">
        <f t="shared" ref="AF38:AF39" si="129">AE38+AD38+AC38+AB38</f>
        <v>0</v>
      </c>
      <c r="AG38" s="263"/>
      <c r="AH38" s="263"/>
      <c r="AI38" s="263"/>
      <c r="AJ38" s="263"/>
      <c r="AK38" s="46">
        <v>0</v>
      </c>
      <c r="AL38" s="263"/>
      <c r="AM38" s="263"/>
      <c r="AN38" s="263"/>
      <c r="AO38" s="263"/>
      <c r="AP38" s="46">
        <v>0</v>
      </c>
      <c r="AQ38" s="263"/>
      <c r="AR38" s="263"/>
      <c r="AS38" s="263"/>
      <c r="AT38" s="263"/>
      <c r="AU38" s="46">
        <v>0</v>
      </c>
      <c r="AV38" s="263"/>
      <c r="AW38" s="263"/>
      <c r="AX38" s="263"/>
      <c r="AY38" s="263"/>
      <c r="AZ38" s="46">
        <v>0</v>
      </c>
      <c r="BA38" s="263"/>
      <c r="BB38" s="263"/>
      <c r="BC38" s="263"/>
      <c r="BD38" s="263"/>
      <c r="BE38" s="46">
        <v>0</v>
      </c>
      <c r="BF38" s="263"/>
      <c r="BG38" s="263"/>
      <c r="BH38" s="263"/>
      <c r="BI38" s="263"/>
      <c r="BJ38" s="46">
        <v>0</v>
      </c>
      <c r="BK38" s="263"/>
      <c r="BL38" s="263"/>
      <c r="BM38" s="263"/>
      <c r="BN38" s="263"/>
      <c r="BO38" s="46">
        <v>0</v>
      </c>
      <c r="BP38" s="263"/>
      <c r="BQ38" s="263"/>
      <c r="BR38" s="263"/>
      <c r="BS38" s="263"/>
      <c r="BT38" s="46">
        <v>0</v>
      </c>
      <c r="BU38" s="263"/>
      <c r="BV38" s="263"/>
      <c r="BW38" s="263"/>
      <c r="BX38" s="263"/>
      <c r="BY38" s="46">
        <v>0</v>
      </c>
      <c r="BZ38" s="263"/>
      <c r="CA38" s="263"/>
      <c r="CB38" s="263"/>
      <c r="CC38" s="263"/>
      <c r="CD38" s="46">
        <v>0</v>
      </c>
      <c r="CE38" s="263"/>
      <c r="CF38" s="263"/>
      <c r="CG38" s="263"/>
      <c r="CH38" s="263"/>
      <c r="CI38" s="46">
        <v>0</v>
      </c>
      <c r="CJ38" s="263"/>
      <c r="CK38" s="263"/>
      <c r="CL38" s="263"/>
      <c r="CM38" s="263"/>
      <c r="CN38" s="46">
        <v>0</v>
      </c>
    </row>
    <row r="39" spans="1:101" ht="15" customHeight="1">
      <c r="A39" s="22"/>
      <c r="B39" s="375" t="s">
        <v>275</v>
      </c>
      <c r="C39" s="263"/>
      <c r="D39" s="263"/>
      <c r="E39" s="263"/>
      <c r="F39" s="263"/>
      <c r="G39" s="46">
        <v>0</v>
      </c>
      <c r="H39" s="40">
        <f>0.145199</f>
        <v>0.14519899999999999</v>
      </c>
      <c r="I39" s="40">
        <f>0.145199-H39</f>
        <v>0</v>
      </c>
      <c r="J39" s="40">
        <f>0.145199-SUM(H39:I39)</f>
        <v>0</v>
      </c>
      <c r="K39" s="40">
        <v>0</v>
      </c>
      <c r="L39" s="46">
        <f t="shared" si="125"/>
        <v>0.14519899999999999</v>
      </c>
      <c r="M39" s="40">
        <v>0</v>
      </c>
      <c r="N39" s="40">
        <v>0</v>
      </c>
      <c r="O39" s="40">
        <v>0</v>
      </c>
      <c r="P39" s="40">
        <v>0</v>
      </c>
      <c r="Q39" s="46">
        <f t="shared" si="126"/>
        <v>0</v>
      </c>
      <c r="R39" s="40">
        <v>0</v>
      </c>
      <c r="S39" s="40">
        <v>0</v>
      </c>
      <c r="T39" s="40">
        <v>0</v>
      </c>
      <c r="U39" s="40">
        <v>0</v>
      </c>
      <c r="V39" s="46">
        <f t="shared" si="127"/>
        <v>0</v>
      </c>
      <c r="W39" s="40">
        <v>0</v>
      </c>
      <c r="X39" s="40">
        <v>0</v>
      </c>
      <c r="Y39" s="40">
        <v>0</v>
      </c>
      <c r="Z39" s="40">
        <v>0</v>
      </c>
      <c r="AA39" s="46">
        <f t="shared" si="128"/>
        <v>0</v>
      </c>
      <c r="AB39" s="40">
        <v>0</v>
      </c>
      <c r="AC39" s="40">
        <v>0</v>
      </c>
      <c r="AD39" s="40">
        <v>0</v>
      </c>
      <c r="AE39" s="40">
        <v>0</v>
      </c>
      <c r="AF39" s="46">
        <f t="shared" si="129"/>
        <v>0</v>
      </c>
      <c r="AG39" s="263"/>
      <c r="AH39" s="263"/>
      <c r="AI39" s="263"/>
      <c r="AJ39" s="263"/>
      <c r="AK39" s="46">
        <v>0</v>
      </c>
      <c r="AL39" s="263"/>
      <c r="AM39" s="263"/>
      <c r="AN39" s="263"/>
      <c r="AO39" s="263"/>
      <c r="AP39" s="46">
        <v>0</v>
      </c>
      <c r="AQ39" s="263"/>
      <c r="AR39" s="263"/>
      <c r="AS39" s="263"/>
      <c r="AT39" s="263"/>
      <c r="AU39" s="46">
        <v>0</v>
      </c>
      <c r="AV39" s="263"/>
      <c r="AW39" s="263"/>
      <c r="AX39" s="263"/>
      <c r="AY39" s="263"/>
      <c r="AZ39" s="46">
        <v>0</v>
      </c>
      <c r="BA39" s="263"/>
      <c r="BB39" s="263"/>
      <c r="BC39" s="263"/>
      <c r="BD39" s="263"/>
      <c r="BE39" s="46">
        <v>0</v>
      </c>
      <c r="BF39" s="263"/>
      <c r="BG39" s="263"/>
      <c r="BH39" s="263"/>
      <c r="BI39" s="263"/>
      <c r="BJ39" s="46">
        <v>0</v>
      </c>
      <c r="BK39" s="263"/>
      <c r="BL39" s="263"/>
      <c r="BM39" s="263"/>
      <c r="BN39" s="263"/>
      <c r="BO39" s="46">
        <v>0</v>
      </c>
      <c r="BP39" s="263"/>
      <c r="BQ39" s="263"/>
      <c r="BR39" s="263"/>
      <c r="BS39" s="263"/>
      <c r="BT39" s="46">
        <v>0</v>
      </c>
      <c r="BU39" s="263"/>
      <c r="BV39" s="263"/>
      <c r="BW39" s="263"/>
      <c r="BX39" s="263"/>
      <c r="BY39" s="46">
        <v>0</v>
      </c>
      <c r="BZ39" s="263"/>
      <c r="CA39" s="263"/>
      <c r="CB39" s="263"/>
      <c r="CC39" s="263"/>
      <c r="CD39" s="46">
        <v>0</v>
      </c>
      <c r="CE39" s="263"/>
      <c r="CF39" s="263"/>
      <c r="CG39" s="263"/>
      <c r="CH39" s="263"/>
      <c r="CI39" s="46">
        <v>0</v>
      </c>
      <c r="CJ39" s="263"/>
      <c r="CK39" s="263"/>
      <c r="CL39" s="263"/>
      <c r="CM39" s="263"/>
      <c r="CN39" s="46">
        <v>0</v>
      </c>
    </row>
    <row r="40" spans="1:101" ht="15" customHeight="1">
      <c r="A40" s="22"/>
      <c r="B40" s="376" t="s">
        <v>276</v>
      </c>
      <c r="C40" s="263"/>
      <c r="D40" s="263"/>
      <c r="E40" s="263"/>
      <c r="F40" s="263"/>
      <c r="G40" s="264">
        <f t="shared" ref="G40:L40" si="130">+G36-SUM(G38:G39)</f>
        <v>-2.6894139999999997</v>
      </c>
      <c r="H40" s="263">
        <f t="shared" si="130"/>
        <v>-8.6733019999999996</v>
      </c>
      <c r="I40" s="263">
        <f t="shared" si="130"/>
        <v>-1.1503950000000005</v>
      </c>
      <c r="J40" s="263">
        <f t="shared" si="130"/>
        <v>-2.2312130000000012</v>
      </c>
      <c r="K40" s="263">
        <f t="shared" si="130"/>
        <v>-4.5174349999999999</v>
      </c>
      <c r="L40" s="264">
        <f t="shared" si="130"/>
        <v>-16.572345000000002</v>
      </c>
      <c r="M40" s="263">
        <f t="shared" ref="M40:P40" si="131">+M36-SUM(M38:M39)</f>
        <v>-5.4532040000000004</v>
      </c>
      <c r="N40" s="263">
        <f t="shared" si="131"/>
        <v>-9.9191749999999992</v>
      </c>
      <c r="O40" s="263">
        <f t="shared" si="131"/>
        <v>-9.9406580000000009</v>
      </c>
      <c r="P40" s="263">
        <f t="shared" si="131"/>
        <v>-13.160807</v>
      </c>
      <c r="Q40" s="264">
        <f>+Q36-SUM(Q38:Q39)</f>
        <v>-38.473844</v>
      </c>
      <c r="R40" s="263">
        <f t="shared" ref="R40:AE40" si="132">+R36-SUM(R38:R39)</f>
        <v>-20.836107000000002</v>
      </c>
      <c r="S40" s="263">
        <f t="shared" si="132"/>
        <v>-15.718957999999999</v>
      </c>
      <c r="T40" s="263">
        <f t="shared" si="132"/>
        <v>-21.081808000000002</v>
      </c>
      <c r="U40" s="263">
        <f t="shared" si="132"/>
        <v>-25.374930999999997</v>
      </c>
      <c r="V40" s="264">
        <f>+V36-SUM(V38:V39)</f>
        <v>-83.011803999999998</v>
      </c>
      <c r="W40" s="263">
        <f t="shared" si="132"/>
        <v>-29.718866999999999</v>
      </c>
      <c r="X40" s="263">
        <f t="shared" si="132"/>
        <v>-58.028999999999996</v>
      </c>
      <c r="Y40" s="263">
        <f t="shared" si="132"/>
        <v>-48.638999999999996</v>
      </c>
      <c r="Z40" s="263">
        <f t="shared" si="132"/>
        <v>-81.664999999999992</v>
      </c>
      <c r="AA40" s="264">
        <f>+AA36-SUM(AA38:AA39)</f>
        <v>-218.05186699999996</v>
      </c>
      <c r="AB40" s="263">
        <f t="shared" si="132"/>
        <v>-46.026337406012885</v>
      </c>
      <c r="AC40" s="263">
        <f t="shared" si="132"/>
        <v>-47.911165956012887</v>
      </c>
      <c r="AD40" s="263">
        <f t="shared" si="132"/>
        <v>-50.134547956012881</v>
      </c>
      <c r="AE40" s="263">
        <f t="shared" si="132"/>
        <v>-68.549197956012875</v>
      </c>
      <c r="AF40" s="264">
        <f>AE40+AD40+AC40+AB40</f>
        <v>-212.62124927405154</v>
      </c>
      <c r="AG40" s="263"/>
      <c r="AH40" s="263"/>
      <c r="AI40" s="263"/>
      <c r="AJ40" s="263"/>
      <c r="AK40" s="264">
        <f>+AK36-SUM(AK38:AK39)</f>
        <v>-155.9964723650051</v>
      </c>
      <c r="AL40" s="263"/>
      <c r="AM40" s="263"/>
      <c r="AN40" s="263"/>
      <c r="AO40" s="263"/>
      <c r="AP40" s="264">
        <f>+AP36-SUM(AP38:AP39)</f>
        <v>1.796219692577159</v>
      </c>
      <c r="AQ40" s="263"/>
      <c r="AR40" s="263"/>
      <c r="AS40" s="263"/>
      <c r="AT40" s="263"/>
      <c r="AU40" s="264">
        <f>+AU36-SUM(AU38:AU39)</f>
        <v>466.65659243409419</v>
      </c>
      <c r="AV40" s="263"/>
      <c r="AW40" s="263"/>
      <c r="AX40" s="263"/>
      <c r="AY40" s="263"/>
      <c r="AZ40" s="264">
        <f>+AZ36-SUM(AZ38:AZ39)</f>
        <v>745.28676384388746</v>
      </c>
      <c r="BA40" s="263"/>
      <c r="BB40" s="263"/>
      <c r="BC40" s="263"/>
      <c r="BD40" s="263"/>
      <c r="BE40" s="264">
        <f>+BE36-SUM(BE38:BE39)</f>
        <v>831.0123708269914</v>
      </c>
      <c r="BF40" s="263"/>
      <c r="BG40" s="263"/>
      <c r="BH40" s="263"/>
      <c r="BI40" s="263"/>
      <c r="BJ40" s="264">
        <f>+BJ36-SUM(BJ38:BJ39)</f>
        <v>709.9289323105022</v>
      </c>
      <c r="BK40" s="263"/>
      <c r="BL40" s="263"/>
      <c r="BM40" s="263"/>
      <c r="BN40" s="263"/>
      <c r="BO40" s="264">
        <f>+BO36-SUM(BO38:BO39)</f>
        <v>669.4770912061648</v>
      </c>
      <c r="BP40" s="263"/>
      <c r="BQ40" s="263"/>
      <c r="BR40" s="263"/>
      <c r="BS40" s="263"/>
      <c r="BT40" s="264">
        <f>+BT36-SUM(BT38:BT39)</f>
        <v>600.33070461249099</v>
      </c>
      <c r="BU40" s="263"/>
      <c r="BV40" s="263"/>
      <c r="BW40" s="263"/>
      <c r="BX40" s="263"/>
      <c r="BY40" s="264">
        <f>+BY36-SUM(BY38:BY39)</f>
        <v>567.69656091449326</v>
      </c>
      <c r="BZ40" s="263"/>
      <c r="CA40" s="263"/>
      <c r="CB40" s="263"/>
      <c r="CC40" s="263"/>
      <c r="CD40" s="264">
        <f>+CD36-SUM(CD38:CD39)</f>
        <v>600.9341400044018</v>
      </c>
      <c r="CE40" s="263"/>
      <c r="CF40" s="263"/>
      <c r="CG40" s="263"/>
      <c r="CH40" s="263"/>
      <c r="CI40" s="264">
        <f>+CI36-SUM(CI38:CI39)</f>
        <v>635.42580862611749</v>
      </c>
      <c r="CJ40" s="263"/>
      <c r="CK40" s="263"/>
      <c r="CL40" s="263"/>
      <c r="CM40" s="263"/>
      <c r="CN40" s="264">
        <f>+CN36-SUM(CN38:CN39)</f>
        <v>671.20697092924161</v>
      </c>
    </row>
    <row r="41" spans="1:101" ht="15" customHeight="1">
      <c r="A41" s="20"/>
      <c r="B41" s="370"/>
      <c r="C41" s="51"/>
      <c r="D41" s="51"/>
      <c r="E41" s="51"/>
      <c r="F41" s="51"/>
      <c r="G41" s="46"/>
      <c r="H41" s="234"/>
      <c r="I41" s="234"/>
      <c r="J41" s="234"/>
      <c r="K41" s="234"/>
      <c r="L41" s="46"/>
      <c r="M41" s="234"/>
      <c r="N41" s="234"/>
      <c r="O41" s="234"/>
      <c r="P41" s="234"/>
      <c r="Q41" s="46"/>
      <c r="R41" s="234"/>
      <c r="S41" s="234"/>
      <c r="T41" s="234"/>
      <c r="U41" s="234"/>
      <c r="V41" s="46"/>
      <c r="W41" s="234"/>
      <c r="X41" s="234"/>
      <c r="Y41" s="234"/>
      <c r="Z41" s="234"/>
      <c r="AA41" s="46"/>
      <c r="AB41" s="40"/>
      <c r="AC41" s="40"/>
      <c r="AD41" s="40"/>
      <c r="AE41" s="40"/>
      <c r="AF41" s="46"/>
      <c r="AG41" s="40"/>
      <c r="AH41" s="40"/>
      <c r="AI41" s="40"/>
      <c r="AJ41" s="40"/>
      <c r="AK41" s="46"/>
      <c r="AL41" s="40"/>
      <c r="AM41" s="40"/>
      <c r="AN41" s="40"/>
      <c r="AO41" s="40"/>
      <c r="AP41" s="46"/>
      <c r="AQ41" s="40"/>
      <c r="AR41" s="40"/>
      <c r="AS41" s="40"/>
      <c r="AT41" s="40"/>
      <c r="AU41" s="46"/>
      <c r="AV41" s="40"/>
      <c r="AW41" s="40"/>
      <c r="AX41" s="40"/>
      <c r="AY41" s="40"/>
      <c r="AZ41" s="46"/>
      <c r="BA41" s="40"/>
      <c r="BB41" s="40"/>
      <c r="BC41" s="40"/>
      <c r="BD41" s="40"/>
      <c r="BE41" s="46"/>
      <c r="BF41" s="40"/>
      <c r="BG41" s="40"/>
      <c r="BH41" s="40"/>
      <c r="BI41" s="40"/>
      <c r="BJ41" s="46"/>
      <c r="BK41" s="40"/>
      <c r="BL41" s="40"/>
      <c r="BM41" s="40"/>
      <c r="BN41" s="40"/>
      <c r="BO41" s="46"/>
      <c r="BP41" s="40"/>
      <c r="BQ41" s="40"/>
      <c r="BR41" s="40"/>
      <c r="BS41" s="40"/>
      <c r="BT41" s="46"/>
      <c r="BU41" s="40"/>
      <c r="BV41" s="40"/>
      <c r="BW41" s="40"/>
      <c r="BX41" s="40"/>
      <c r="BY41" s="46"/>
      <c r="BZ41" s="40"/>
      <c r="CA41" s="40"/>
      <c r="CB41" s="40"/>
      <c r="CC41" s="40"/>
      <c r="CD41" s="46"/>
      <c r="CE41" s="40"/>
      <c r="CF41" s="40"/>
      <c r="CG41" s="40"/>
      <c r="CH41" s="40"/>
      <c r="CI41" s="46"/>
      <c r="CJ41" s="40"/>
      <c r="CK41" s="40"/>
      <c r="CL41" s="40"/>
      <c r="CM41" s="40"/>
      <c r="CN41" s="46"/>
    </row>
    <row r="42" spans="1:101" ht="15" customHeight="1">
      <c r="A42" s="22"/>
      <c r="B42" s="409" t="s">
        <v>221</v>
      </c>
      <c r="C42" s="38"/>
      <c r="D42" s="38"/>
      <c r="E42" s="38"/>
      <c r="F42" s="38"/>
      <c r="G42" s="54">
        <f t="shared" ref="G42" si="133">G36/G51</f>
        <v>-0.35542008713546258</v>
      </c>
      <c r="H42" s="235">
        <f t="shared" ref="H42:AA42" si="134">H36/H51</f>
        <v>-1.1921586023292179</v>
      </c>
      <c r="I42" s="235">
        <f t="shared" si="134"/>
        <v>-0.16961326268245785</v>
      </c>
      <c r="J42" s="235">
        <f t="shared" si="134"/>
        <v>-0.32612277620773417</v>
      </c>
      <c r="K42" s="235">
        <f t="shared" si="134"/>
        <v>-0.65566207728055759</v>
      </c>
      <c r="L42" s="218">
        <f t="shared" si="134"/>
        <v>-2.3738371847567032</v>
      </c>
      <c r="M42" s="235">
        <f t="shared" ref="M42:Q42" si="135">M36/M51</f>
        <v>-0.7908713109220421</v>
      </c>
      <c r="N42" s="235">
        <f t="shared" si="135"/>
        <v>-1.4107820877215338</v>
      </c>
      <c r="O42" s="235">
        <f t="shared" si="135"/>
        <v>-1.324688425654718</v>
      </c>
      <c r="P42" s="235">
        <f t="shared" si="135"/>
        <v>-1.8212821482947561</v>
      </c>
      <c r="Q42" s="218">
        <f t="shared" si="135"/>
        <v>-5.4283179482867165</v>
      </c>
      <c r="R42" s="235">
        <f t="shared" si="134"/>
        <v>-1.2421136975298186</v>
      </c>
      <c r="S42" s="235">
        <f t="shared" si="134"/>
        <v>-0.68302201484167913</v>
      </c>
      <c r="T42" s="235">
        <f t="shared" si="134"/>
        <v>-0.87237066217475701</v>
      </c>
      <c r="U42" s="235">
        <f t="shared" si="134"/>
        <v>-0.91677910112265359</v>
      </c>
      <c r="V42" s="218">
        <f t="shared" ref="V42" si="136">V36/V51</f>
        <v>-3.6653714438313347</v>
      </c>
      <c r="W42" s="235">
        <f t="shared" si="134"/>
        <v>-1.0715795558623784</v>
      </c>
      <c r="X42" s="235">
        <f t="shared" si="134"/>
        <v>-2.0745586267393583</v>
      </c>
      <c r="Y42" s="235">
        <f t="shared" si="134"/>
        <v>-1.5227675491688863</v>
      </c>
      <c r="Z42" s="235">
        <f t="shared" si="134"/>
        <v>-2.549640961598501</v>
      </c>
      <c r="AA42" s="218">
        <f t="shared" si="134"/>
        <v>-7.2841779522298307</v>
      </c>
      <c r="AB42" s="235">
        <f t="shared" ref="AB42:AE42" si="137">AB36/AB51</f>
        <v>-1.2803998571703619</v>
      </c>
      <c r="AC42" s="235">
        <f t="shared" si="137"/>
        <v>-1.2991194199972482</v>
      </c>
      <c r="AD42" s="235">
        <f t="shared" si="137"/>
        <v>-1.3526435834583226</v>
      </c>
      <c r="AE42" s="235">
        <f t="shared" si="137"/>
        <v>-1.8402744194818486</v>
      </c>
      <c r="AF42" s="218">
        <f>AF36/AF51</f>
        <v>-5.7801019683211878</v>
      </c>
      <c r="AG42" s="219"/>
      <c r="AH42" s="219"/>
      <c r="AI42" s="219"/>
      <c r="AJ42" s="219"/>
      <c r="AK42" s="218">
        <f>AK36/AK51</f>
        <v>-4.1361850175876382</v>
      </c>
      <c r="AL42" s="219"/>
      <c r="AM42" s="219"/>
      <c r="AN42" s="219"/>
      <c r="AO42" s="219"/>
      <c r="AP42" s="218">
        <f>AP36/AP51</f>
        <v>4.7038081595954628E-2</v>
      </c>
      <c r="AQ42" s="219"/>
      <c r="AR42" s="219"/>
      <c r="AS42" s="219"/>
      <c r="AT42" s="219"/>
      <c r="AU42" s="218">
        <f>AU36/AU51</f>
        <v>12.069590105781041</v>
      </c>
      <c r="AV42" s="219"/>
      <c r="AW42" s="219"/>
      <c r="AX42" s="219"/>
      <c r="AY42" s="219"/>
      <c r="AZ42" s="218">
        <f>AZ36/AZ51</f>
        <v>19.038095116370727</v>
      </c>
      <c r="BA42" s="219"/>
      <c r="BB42" s="219"/>
      <c r="BC42" s="219"/>
      <c r="BD42" s="219"/>
      <c r="BE42" s="218">
        <f>BE36/BE51</f>
        <v>20.965853219875115</v>
      </c>
      <c r="BF42" s="219"/>
      <c r="BG42" s="219"/>
      <c r="BH42" s="219"/>
      <c r="BI42" s="219"/>
      <c r="BJ42" s="218">
        <f>BJ36/BJ51</f>
        <v>17.68988036717268</v>
      </c>
      <c r="BK42" s="219"/>
      <c r="BL42" s="219"/>
      <c r="BM42" s="219"/>
      <c r="BN42" s="219"/>
      <c r="BO42" s="218">
        <f>BO36/BO51</f>
        <v>16.475959237293694</v>
      </c>
      <c r="BP42" s="219"/>
      <c r="BQ42" s="219"/>
      <c r="BR42" s="219"/>
      <c r="BS42" s="219"/>
      <c r="BT42" s="218">
        <f>BT36/BT51</f>
        <v>14.591855249880366</v>
      </c>
      <c r="BU42" s="219"/>
      <c r="BV42" s="219"/>
      <c r="BW42" s="219"/>
      <c r="BX42" s="219"/>
      <c r="BY42" s="218">
        <f>BY36/BY51</f>
        <v>13.628284394244105</v>
      </c>
      <c r="BZ42" s="219"/>
      <c r="CA42" s="219"/>
      <c r="CB42" s="219"/>
      <c r="CC42" s="219"/>
      <c r="CD42" s="218">
        <f>CD36/CD51</f>
        <v>14.248093955221663</v>
      </c>
      <c r="CE42" s="219"/>
      <c r="CF42" s="219"/>
      <c r="CG42" s="219"/>
      <c r="CH42" s="219"/>
      <c r="CI42" s="218">
        <f>CI36/CI51</f>
        <v>14.879889669011034</v>
      </c>
      <c r="CJ42" s="219"/>
      <c r="CK42" s="219"/>
      <c r="CL42" s="219"/>
      <c r="CM42" s="219"/>
      <c r="CN42" s="218">
        <f>CN36/CN51</f>
        <v>15.523737384184848</v>
      </c>
    </row>
    <row r="43" spans="1:101" ht="15" customHeight="1">
      <c r="A43" s="22"/>
      <c r="B43" s="409" t="s">
        <v>220</v>
      </c>
      <c r="C43" s="38"/>
      <c r="D43" s="38"/>
      <c r="E43" s="38"/>
      <c r="F43" s="38"/>
      <c r="G43" s="54">
        <f t="shared" ref="G43" si="138">G36/G52</f>
        <v>-0.35542008713546258</v>
      </c>
      <c r="H43" s="235">
        <f t="shared" ref="H43:AA43" si="139">H36/H52</f>
        <v>-1.1921586023292179</v>
      </c>
      <c r="I43" s="235">
        <f t="shared" si="139"/>
        <v>-0.16961326268245785</v>
      </c>
      <c r="J43" s="235">
        <f t="shared" si="139"/>
        <v>-0.32612277620773417</v>
      </c>
      <c r="K43" s="235">
        <f t="shared" si="139"/>
        <v>-0.65566207728055759</v>
      </c>
      <c r="L43" s="218">
        <f t="shared" si="139"/>
        <v>-2.3738371847567032</v>
      </c>
      <c r="M43" s="235">
        <f t="shared" ref="M43:Q43" si="140">M36/M52</f>
        <v>-0.7908713109220421</v>
      </c>
      <c r="N43" s="235">
        <f t="shared" si="140"/>
        <v>-1.4107820877215338</v>
      </c>
      <c r="O43" s="235">
        <f t="shared" si="140"/>
        <v>-1.324688425654718</v>
      </c>
      <c r="P43" s="235">
        <f t="shared" si="140"/>
        <v>-1.8212821482947561</v>
      </c>
      <c r="Q43" s="218">
        <f t="shared" si="140"/>
        <v>-5.4283179482867165</v>
      </c>
      <c r="R43" s="235">
        <f t="shared" si="139"/>
        <v>-1.2421136975298186</v>
      </c>
      <c r="S43" s="235">
        <f t="shared" si="139"/>
        <v>-0.68302201484167913</v>
      </c>
      <c r="T43" s="235">
        <f t="shared" si="139"/>
        <v>-0.87237066217475701</v>
      </c>
      <c r="U43" s="235">
        <f t="shared" si="139"/>
        <v>-0.91677910112265359</v>
      </c>
      <c r="V43" s="218">
        <f t="shared" ref="V43" si="141">V36/V52</f>
        <v>-3.6653714438313347</v>
      </c>
      <c r="W43" s="235">
        <f t="shared" si="139"/>
        <v>-1.0715795558623784</v>
      </c>
      <c r="X43" s="235">
        <f t="shared" si="139"/>
        <v>-2.0745586267393583</v>
      </c>
      <c r="Y43" s="235">
        <f t="shared" si="139"/>
        <v>-1.5227675491688863</v>
      </c>
      <c r="Z43" s="235">
        <f t="shared" si="139"/>
        <v>-2.549640961598501</v>
      </c>
      <c r="AA43" s="218">
        <f t="shared" si="139"/>
        <v>-7.2841779522298307</v>
      </c>
      <c r="AB43" s="235">
        <f t="shared" ref="AB43:AE43" si="142">AB36/AB52</f>
        <v>-1.2803998571703619</v>
      </c>
      <c r="AC43" s="235">
        <f t="shared" si="142"/>
        <v>-1.2991194199972482</v>
      </c>
      <c r="AD43" s="235">
        <f t="shared" si="142"/>
        <v>-1.3526435834583226</v>
      </c>
      <c r="AE43" s="235">
        <f t="shared" si="142"/>
        <v>-1.8402744194818486</v>
      </c>
      <c r="AF43" s="218">
        <f>AF36/AF52</f>
        <v>-5.7801019683211878</v>
      </c>
      <c r="AG43" s="219"/>
      <c r="AH43" s="219"/>
      <c r="AI43" s="219"/>
      <c r="AJ43" s="219"/>
      <c r="AK43" s="218">
        <f>AK36/AK52</f>
        <v>-4.1361850175876382</v>
      </c>
      <c r="AL43" s="219"/>
      <c r="AM43" s="219"/>
      <c r="AN43" s="219"/>
      <c r="AO43" s="219"/>
      <c r="AP43" s="218">
        <f>AP36/AP52</f>
        <v>4.7038081595954628E-2</v>
      </c>
      <c r="AQ43" s="219"/>
      <c r="AR43" s="219"/>
      <c r="AS43" s="219"/>
      <c r="AT43" s="219"/>
      <c r="AU43" s="218">
        <f>AU36/AU52</f>
        <v>11.951550104746506</v>
      </c>
      <c r="AV43" s="219"/>
      <c r="AW43" s="219"/>
      <c r="AX43" s="219"/>
      <c r="AY43" s="219"/>
      <c r="AZ43" s="218">
        <f>AZ36/AZ52</f>
        <v>18.667532782938338</v>
      </c>
      <c r="BA43" s="219"/>
      <c r="BB43" s="219"/>
      <c r="BC43" s="219"/>
      <c r="BD43" s="219"/>
      <c r="BE43" s="218">
        <f>BE36/BE52</f>
        <v>20.356714540832655</v>
      </c>
      <c r="BF43" s="219"/>
      <c r="BG43" s="219"/>
      <c r="BH43" s="219"/>
      <c r="BI43" s="219"/>
      <c r="BJ43" s="218">
        <f>BJ36/BJ52</f>
        <v>17.007941629777413</v>
      </c>
      <c r="BK43" s="219"/>
      <c r="BL43" s="219"/>
      <c r="BM43" s="219"/>
      <c r="BN43" s="219"/>
      <c r="BO43" s="218">
        <f>BO36/BO52</f>
        <v>15.840816737375718</v>
      </c>
      <c r="BP43" s="219"/>
      <c r="BQ43" s="219"/>
      <c r="BR43" s="219"/>
      <c r="BS43" s="219"/>
      <c r="BT43" s="218">
        <f>BT36/BT52</f>
        <v>14.029344303575513</v>
      </c>
      <c r="BU43" s="219"/>
      <c r="BV43" s="219"/>
      <c r="BW43" s="219"/>
      <c r="BX43" s="219"/>
      <c r="BY43" s="218">
        <f>BY36/BY52</f>
        <v>13.102918769391106</v>
      </c>
      <c r="BZ43" s="219"/>
      <c r="CA43" s="219"/>
      <c r="CB43" s="219"/>
      <c r="CC43" s="219"/>
      <c r="CD43" s="218">
        <f>CD36/CD52</f>
        <v>13.698834887300336</v>
      </c>
      <c r="CE43" s="219"/>
      <c r="CF43" s="219"/>
      <c r="CG43" s="219"/>
      <c r="CH43" s="219"/>
      <c r="CI43" s="218">
        <f>CI36/CI52</f>
        <v>14.30627509599806</v>
      </c>
      <c r="CJ43" s="219"/>
      <c r="CK43" s="219"/>
      <c r="CL43" s="219"/>
      <c r="CM43" s="219"/>
      <c r="CN43" s="218">
        <f>CN36/CN52</f>
        <v>14.925302705617334</v>
      </c>
    </row>
    <row r="44" spans="1:101" ht="15" hidden="1" customHeight="1" outlineLevel="1">
      <c r="A44" s="20"/>
      <c r="B44" s="370"/>
      <c r="C44" s="51"/>
      <c r="D44" s="51"/>
      <c r="E44" s="51"/>
      <c r="F44" s="51"/>
      <c r="G44" s="46"/>
      <c r="H44" s="234"/>
      <c r="I44" s="234"/>
      <c r="J44" s="234"/>
      <c r="K44" s="234"/>
      <c r="L44" s="46"/>
      <c r="M44" s="234"/>
      <c r="N44" s="234"/>
      <c r="O44" s="234"/>
      <c r="P44" s="234"/>
      <c r="Q44" s="46"/>
      <c r="R44" s="234"/>
      <c r="S44" s="234"/>
      <c r="T44" s="234"/>
      <c r="U44" s="234"/>
      <c r="V44" s="46"/>
      <c r="W44" s="234"/>
      <c r="X44" s="234"/>
      <c r="Y44" s="234"/>
      <c r="Z44" s="234"/>
      <c r="AA44" s="46"/>
      <c r="AB44" s="40"/>
      <c r="AC44" s="40"/>
      <c r="AD44" s="40"/>
      <c r="AE44" s="40"/>
      <c r="AF44" s="46"/>
      <c r="AG44" s="40"/>
      <c r="AH44" s="40"/>
      <c r="AI44" s="40"/>
      <c r="AJ44" s="40"/>
      <c r="AK44" s="46"/>
      <c r="AL44" s="40"/>
      <c r="AM44" s="40"/>
      <c r="AN44" s="40"/>
      <c r="AO44" s="40"/>
      <c r="AP44" s="46"/>
      <c r="AQ44" s="40"/>
      <c r="AR44" s="40"/>
      <c r="AS44" s="40"/>
      <c r="AT44" s="40"/>
      <c r="AU44" s="46"/>
      <c r="AV44" s="40"/>
      <c r="AW44" s="40"/>
      <c r="AX44" s="40"/>
      <c r="AY44" s="40"/>
      <c r="AZ44" s="46"/>
      <c r="BA44" s="40"/>
      <c r="BB44" s="40"/>
      <c r="BC44" s="40"/>
      <c r="BD44" s="40"/>
      <c r="BE44" s="46"/>
      <c r="BF44" s="40"/>
      <c r="BG44" s="40"/>
      <c r="BH44" s="40"/>
      <c r="BI44" s="40"/>
      <c r="BJ44" s="46"/>
      <c r="BK44" s="40"/>
      <c r="BL44" s="40"/>
      <c r="BM44" s="40"/>
      <c r="BN44" s="40"/>
      <c r="BO44" s="46"/>
      <c r="BP44" s="40"/>
      <c r="BQ44" s="40"/>
      <c r="BR44" s="40"/>
      <c r="BS44" s="40"/>
      <c r="BT44" s="46"/>
      <c r="BU44" s="40"/>
      <c r="BV44" s="40"/>
      <c r="BW44" s="40"/>
      <c r="BX44" s="40"/>
      <c r="BY44" s="46"/>
      <c r="BZ44" s="40"/>
      <c r="CA44" s="40"/>
      <c r="CB44" s="40"/>
      <c r="CC44" s="40"/>
      <c r="CD44" s="46"/>
      <c r="CE44" s="40"/>
      <c r="CF44" s="40"/>
      <c r="CG44" s="40"/>
      <c r="CH44" s="40"/>
      <c r="CI44" s="46"/>
      <c r="CJ44" s="40"/>
      <c r="CK44" s="40"/>
      <c r="CL44" s="40"/>
      <c r="CM44" s="40"/>
      <c r="CN44" s="46"/>
    </row>
    <row r="45" spans="1:101" ht="15" hidden="1" customHeight="1" outlineLevel="1">
      <c r="A45" s="20"/>
      <c r="B45" s="373" t="s">
        <v>117</v>
      </c>
      <c r="C45" s="40"/>
      <c r="D45" s="40"/>
      <c r="E45" s="40"/>
      <c r="F45" s="40"/>
      <c r="G45" s="46">
        <v>0</v>
      </c>
      <c r="H45" s="40"/>
      <c r="I45" s="40"/>
      <c r="J45" s="40"/>
      <c r="K45" s="40"/>
      <c r="L45" s="46">
        <v>0</v>
      </c>
      <c r="M45" s="40"/>
      <c r="N45" s="40"/>
      <c r="O45" s="40"/>
      <c r="P45" s="40"/>
      <c r="Q45" s="46">
        <f t="shared" ref="Q45:Q46" si="143">SUM(M45:P45)</f>
        <v>0</v>
      </c>
      <c r="R45" s="40"/>
      <c r="S45" s="40"/>
      <c r="T45" s="40"/>
      <c r="U45" s="40"/>
      <c r="V45" s="46">
        <f t="shared" ref="V45:V46" si="144">SUM(R45:U45)</f>
        <v>0</v>
      </c>
      <c r="W45" s="40">
        <v>0</v>
      </c>
      <c r="X45" s="40">
        <v>0</v>
      </c>
      <c r="Y45" s="40">
        <v>0</v>
      </c>
      <c r="Z45" s="40">
        <v>0</v>
      </c>
      <c r="AA45" s="46">
        <f t="shared" ref="AA45:AA46" si="145">Z45+Y45+X45+W45</f>
        <v>0</v>
      </c>
      <c r="AB45" s="40"/>
      <c r="AC45" s="40"/>
      <c r="AD45" s="40"/>
      <c r="AE45" s="40"/>
      <c r="AF45" s="49">
        <v>0</v>
      </c>
      <c r="AG45" s="40"/>
      <c r="AH45" s="40"/>
      <c r="AI45" s="40"/>
      <c r="AJ45" s="40"/>
      <c r="AK45" s="49">
        <v>0</v>
      </c>
      <c r="AL45" s="40"/>
      <c r="AM45" s="40"/>
      <c r="AN45" s="40"/>
      <c r="AO45" s="40"/>
      <c r="AP45" s="49">
        <v>0</v>
      </c>
      <c r="AQ45" s="40"/>
      <c r="AR45" s="40"/>
      <c r="AS45" s="40"/>
      <c r="AT45" s="40"/>
      <c r="AU45" s="49">
        <v>0</v>
      </c>
      <c r="AV45" s="40"/>
      <c r="AW45" s="40"/>
      <c r="AX45" s="40"/>
      <c r="AY45" s="40"/>
      <c r="AZ45" s="49">
        <v>0</v>
      </c>
      <c r="BA45" s="40"/>
      <c r="BB45" s="40"/>
      <c r="BC45" s="40"/>
      <c r="BD45" s="40"/>
      <c r="BE45" s="49">
        <v>0</v>
      </c>
      <c r="BF45" s="40"/>
      <c r="BG45" s="40"/>
      <c r="BH45" s="40"/>
      <c r="BI45" s="40"/>
      <c r="BJ45" s="49">
        <v>0</v>
      </c>
      <c r="BK45" s="40"/>
      <c r="BL45" s="40"/>
      <c r="BM45" s="40"/>
      <c r="BN45" s="40"/>
      <c r="BO45" s="49">
        <v>0</v>
      </c>
      <c r="BP45" s="40"/>
      <c r="BQ45" s="40"/>
      <c r="BR45" s="40"/>
      <c r="BS45" s="40"/>
      <c r="BT45" s="49">
        <v>0</v>
      </c>
      <c r="BU45" s="40"/>
      <c r="BV45" s="40"/>
      <c r="BW45" s="40"/>
      <c r="BX45" s="40"/>
      <c r="BY45" s="49">
        <v>0</v>
      </c>
      <c r="BZ45" s="40"/>
      <c r="CA45" s="40"/>
      <c r="CB45" s="40"/>
      <c r="CC45" s="40"/>
      <c r="CD45" s="49">
        <v>0</v>
      </c>
      <c r="CE45" s="40"/>
      <c r="CF45" s="40"/>
      <c r="CG45" s="40"/>
      <c r="CH45" s="40"/>
      <c r="CI45" s="49">
        <v>0</v>
      </c>
      <c r="CJ45" s="40"/>
      <c r="CK45" s="40"/>
      <c r="CL45" s="40"/>
      <c r="CM45" s="40"/>
      <c r="CN45" s="49">
        <v>0</v>
      </c>
    </row>
    <row r="46" spans="1:101" ht="15" hidden="1" customHeight="1" outlineLevel="1">
      <c r="A46" s="20"/>
      <c r="B46" s="369" t="s">
        <v>225</v>
      </c>
      <c r="C46" s="40"/>
      <c r="D46" s="40"/>
      <c r="E46" s="40"/>
      <c r="F46" s="40"/>
      <c r="G46" s="46">
        <f>SUM(C46:F46)</f>
        <v>0</v>
      </c>
      <c r="H46" s="40"/>
      <c r="I46" s="40"/>
      <c r="J46" s="40"/>
      <c r="K46" s="40"/>
      <c r="L46" s="46">
        <v>0</v>
      </c>
      <c r="M46" s="40"/>
      <c r="N46" s="40"/>
      <c r="O46" s="40"/>
      <c r="P46" s="40"/>
      <c r="Q46" s="46">
        <f t="shared" si="143"/>
        <v>0</v>
      </c>
      <c r="R46" s="40"/>
      <c r="S46" s="40"/>
      <c r="T46" s="40"/>
      <c r="U46" s="40"/>
      <c r="V46" s="46">
        <f t="shared" si="144"/>
        <v>0</v>
      </c>
      <c r="W46" s="40">
        <v>0</v>
      </c>
      <c r="X46" s="40">
        <v>0</v>
      </c>
      <c r="Y46" s="40">
        <v>0</v>
      </c>
      <c r="Z46" s="40">
        <v>0</v>
      </c>
      <c r="AA46" s="46">
        <f t="shared" si="145"/>
        <v>0</v>
      </c>
      <c r="AB46" s="40"/>
      <c r="AC46" s="40"/>
      <c r="AD46" s="40"/>
      <c r="AE46" s="40"/>
      <c r="AF46" s="49"/>
      <c r="AG46" s="40"/>
      <c r="AH46" s="40"/>
      <c r="AI46" s="40"/>
      <c r="AJ46" s="40"/>
      <c r="AK46" s="49"/>
      <c r="AL46" s="40"/>
      <c r="AM46" s="40"/>
      <c r="AN46" s="40"/>
      <c r="AO46" s="40"/>
      <c r="AP46" s="49"/>
      <c r="AQ46" s="40"/>
      <c r="AR46" s="40"/>
      <c r="AS46" s="40"/>
      <c r="AT46" s="40"/>
      <c r="AU46" s="49"/>
      <c r="AV46" s="40"/>
      <c r="AW46" s="40"/>
      <c r="AX46" s="40"/>
      <c r="AY46" s="40"/>
      <c r="AZ46" s="49"/>
      <c r="BA46" s="40"/>
      <c r="BB46" s="40"/>
      <c r="BC46" s="40"/>
      <c r="BD46" s="40"/>
      <c r="BE46" s="49"/>
      <c r="BF46" s="40"/>
      <c r="BG46" s="40"/>
      <c r="BH46" s="40"/>
      <c r="BI46" s="40"/>
      <c r="BJ46" s="49"/>
      <c r="BK46" s="40"/>
      <c r="BL46" s="40"/>
      <c r="BM46" s="40"/>
      <c r="BN46" s="40"/>
      <c r="BO46" s="49"/>
      <c r="BP46" s="40"/>
      <c r="BQ46" s="40"/>
      <c r="BR46" s="40"/>
      <c r="BS46" s="40"/>
      <c r="BT46" s="49"/>
      <c r="BU46" s="40"/>
      <c r="BV46" s="40"/>
      <c r="BW46" s="40"/>
      <c r="BX46" s="40"/>
      <c r="BY46" s="49"/>
      <c r="BZ46" s="40"/>
      <c r="CA46" s="40"/>
      <c r="CB46" s="40"/>
      <c r="CC46" s="40"/>
      <c r="CD46" s="49"/>
      <c r="CE46" s="40"/>
      <c r="CF46" s="40"/>
      <c r="CG46" s="40"/>
      <c r="CH46" s="40"/>
      <c r="CI46" s="49"/>
      <c r="CJ46" s="40"/>
      <c r="CK46" s="40"/>
      <c r="CL46" s="40"/>
      <c r="CM46" s="40"/>
      <c r="CN46" s="49"/>
    </row>
    <row r="47" spans="1:101" ht="15" hidden="1" customHeight="1" outlineLevel="1">
      <c r="A47" s="22"/>
      <c r="B47" s="408" t="s">
        <v>14</v>
      </c>
      <c r="C47" s="35">
        <f>C36-C45</f>
        <v>0</v>
      </c>
      <c r="D47" s="35">
        <f>D36-D45</f>
        <v>0</v>
      </c>
      <c r="E47" s="35">
        <f>E36-E45+E46</f>
        <v>0</v>
      </c>
      <c r="F47" s="35">
        <f t="shared" ref="F47" si="146">F36-F45</f>
        <v>0</v>
      </c>
      <c r="G47" s="44">
        <f>G40-G45-G46</f>
        <v>-2.6894139999999997</v>
      </c>
      <c r="H47" s="227">
        <f>H40-H45-H46</f>
        <v>-8.6733019999999996</v>
      </c>
      <c r="I47" s="227">
        <f>I40-I45-I46</f>
        <v>-1.1503950000000005</v>
      </c>
      <c r="J47" s="227">
        <f t="shared" ref="J47:BE47" si="147">J40-J45-J46</f>
        <v>-2.2312130000000012</v>
      </c>
      <c r="K47" s="227">
        <f t="shared" si="147"/>
        <v>-4.5174349999999999</v>
      </c>
      <c r="L47" s="44">
        <f t="shared" si="147"/>
        <v>-16.572345000000002</v>
      </c>
      <c r="M47" s="227">
        <f t="shared" si="147"/>
        <v>-5.4532040000000004</v>
      </c>
      <c r="N47" s="227">
        <f t="shared" si="147"/>
        <v>-9.9191749999999992</v>
      </c>
      <c r="O47" s="227">
        <f t="shared" si="147"/>
        <v>-9.9406580000000009</v>
      </c>
      <c r="P47" s="227">
        <f t="shared" si="147"/>
        <v>-13.160807</v>
      </c>
      <c r="Q47" s="44">
        <f t="shared" si="147"/>
        <v>-38.473844</v>
      </c>
      <c r="R47" s="227">
        <f t="shared" si="147"/>
        <v>-20.836107000000002</v>
      </c>
      <c r="S47" s="227">
        <f t="shared" si="147"/>
        <v>-15.718957999999999</v>
      </c>
      <c r="T47" s="227">
        <f t="shared" si="147"/>
        <v>-21.081808000000002</v>
      </c>
      <c r="U47" s="227">
        <f t="shared" si="147"/>
        <v>-25.374930999999997</v>
      </c>
      <c r="V47" s="44">
        <f t="shared" si="147"/>
        <v>-83.011803999999998</v>
      </c>
      <c r="W47" s="227">
        <f t="shared" si="147"/>
        <v>-29.718866999999999</v>
      </c>
      <c r="X47" s="227">
        <f t="shared" si="147"/>
        <v>-58.028999999999996</v>
      </c>
      <c r="Y47" s="227">
        <f t="shared" si="147"/>
        <v>-48.638999999999996</v>
      </c>
      <c r="Z47" s="227">
        <f t="shared" si="147"/>
        <v>-81.664999999999992</v>
      </c>
      <c r="AA47" s="44">
        <f>AA40-AA45-AA46</f>
        <v>-218.05186699999996</v>
      </c>
      <c r="AB47" s="35">
        <f t="shared" si="147"/>
        <v>-46.026337406012885</v>
      </c>
      <c r="AC47" s="35">
        <f t="shared" si="147"/>
        <v>-47.911165956012887</v>
      </c>
      <c r="AD47" s="35">
        <f t="shared" si="147"/>
        <v>-50.134547956012881</v>
      </c>
      <c r="AE47" s="35">
        <f t="shared" si="147"/>
        <v>-68.549197956012875</v>
      </c>
      <c r="AF47" s="44">
        <f t="shared" si="147"/>
        <v>-212.62124927405154</v>
      </c>
      <c r="AG47" s="35">
        <f t="shared" si="147"/>
        <v>0</v>
      </c>
      <c r="AH47" s="35">
        <f t="shared" si="147"/>
        <v>0</v>
      </c>
      <c r="AI47" s="35">
        <f t="shared" si="147"/>
        <v>0</v>
      </c>
      <c r="AJ47" s="35">
        <f t="shared" si="147"/>
        <v>0</v>
      </c>
      <c r="AK47" s="44">
        <f t="shared" si="147"/>
        <v>-155.9964723650051</v>
      </c>
      <c r="AL47" s="35">
        <f t="shared" si="147"/>
        <v>0</v>
      </c>
      <c r="AM47" s="35">
        <f t="shared" si="147"/>
        <v>0</v>
      </c>
      <c r="AN47" s="35">
        <f t="shared" si="147"/>
        <v>0</v>
      </c>
      <c r="AO47" s="35">
        <f t="shared" si="147"/>
        <v>0</v>
      </c>
      <c r="AP47" s="44">
        <f t="shared" si="147"/>
        <v>1.796219692577159</v>
      </c>
      <c r="AQ47" s="35">
        <f t="shared" si="147"/>
        <v>0</v>
      </c>
      <c r="AR47" s="35">
        <f t="shared" si="147"/>
        <v>0</v>
      </c>
      <c r="AS47" s="35">
        <f t="shared" si="147"/>
        <v>0</v>
      </c>
      <c r="AT47" s="35">
        <f t="shared" si="147"/>
        <v>0</v>
      </c>
      <c r="AU47" s="44">
        <f t="shared" si="147"/>
        <v>466.65659243409419</v>
      </c>
      <c r="AV47" s="35">
        <f t="shared" si="147"/>
        <v>0</v>
      </c>
      <c r="AW47" s="35">
        <f t="shared" si="147"/>
        <v>0</v>
      </c>
      <c r="AX47" s="35">
        <f t="shared" si="147"/>
        <v>0</v>
      </c>
      <c r="AY47" s="35">
        <f t="shared" si="147"/>
        <v>0</v>
      </c>
      <c r="AZ47" s="44">
        <f t="shared" si="147"/>
        <v>745.28676384388746</v>
      </c>
      <c r="BA47" s="35">
        <f t="shared" si="147"/>
        <v>0</v>
      </c>
      <c r="BB47" s="35">
        <f t="shared" si="147"/>
        <v>0</v>
      </c>
      <c r="BC47" s="35">
        <f t="shared" si="147"/>
        <v>0</v>
      </c>
      <c r="BD47" s="35">
        <f t="shared" si="147"/>
        <v>0</v>
      </c>
      <c r="BE47" s="44">
        <f t="shared" si="147"/>
        <v>831.0123708269914</v>
      </c>
      <c r="BF47" s="35">
        <f t="shared" ref="BF47:BT47" si="148">BF40-BF45-BF46</f>
        <v>0</v>
      </c>
      <c r="BG47" s="35">
        <f t="shared" si="148"/>
        <v>0</v>
      </c>
      <c r="BH47" s="35">
        <f t="shared" si="148"/>
        <v>0</v>
      </c>
      <c r="BI47" s="35">
        <f t="shared" si="148"/>
        <v>0</v>
      </c>
      <c r="BJ47" s="44">
        <f t="shared" si="148"/>
        <v>709.9289323105022</v>
      </c>
      <c r="BK47" s="35">
        <f t="shared" si="148"/>
        <v>0</v>
      </c>
      <c r="BL47" s="35">
        <f t="shared" si="148"/>
        <v>0</v>
      </c>
      <c r="BM47" s="35">
        <f t="shared" si="148"/>
        <v>0</v>
      </c>
      <c r="BN47" s="35">
        <f t="shared" si="148"/>
        <v>0</v>
      </c>
      <c r="BO47" s="44">
        <f t="shared" si="148"/>
        <v>669.4770912061648</v>
      </c>
      <c r="BP47" s="35">
        <f t="shared" si="148"/>
        <v>0</v>
      </c>
      <c r="BQ47" s="35">
        <f t="shared" si="148"/>
        <v>0</v>
      </c>
      <c r="BR47" s="35">
        <f t="shared" si="148"/>
        <v>0</v>
      </c>
      <c r="BS47" s="35">
        <f t="shared" si="148"/>
        <v>0</v>
      </c>
      <c r="BT47" s="44">
        <f t="shared" si="148"/>
        <v>600.33070461249099</v>
      </c>
      <c r="BU47" s="35">
        <f t="shared" ref="BU47:CN47" si="149">BU40-BU45-BU46</f>
        <v>0</v>
      </c>
      <c r="BV47" s="35">
        <f t="shared" si="149"/>
        <v>0</v>
      </c>
      <c r="BW47" s="35">
        <f t="shared" si="149"/>
        <v>0</v>
      </c>
      <c r="BX47" s="35">
        <f t="shared" si="149"/>
        <v>0</v>
      </c>
      <c r="BY47" s="44">
        <f t="shared" si="149"/>
        <v>567.69656091449326</v>
      </c>
      <c r="BZ47" s="35">
        <f t="shared" si="149"/>
        <v>0</v>
      </c>
      <c r="CA47" s="35">
        <f t="shared" si="149"/>
        <v>0</v>
      </c>
      <c r="CB47" s="35">
        <f t="shared" si="149"/>
        <v>0</v>
      </c>
      <c r="CC47" s="35">
        <f t="shared" si="149"/>
        <v>0</v>
      </c>
      <c r="CD47" s="44">
        <f t="shared" si="149"/>
        <v>600.9341400044018</v>
      </c>
      <c r="CE47" s="35">
        <f t="shared" si="149"/>
        <v>0</v>
      </c>
      <c r="CF47" s="35">
        <f t="shared" si="149"/>
        <v>0</v>
      </c>
      <c r="CG47" s="35">
        <f t="shared" si="149"/>
        <v>0</v>
      </c>
      <c r="CH47" s="35">
        <f t="shared" si="149"/>
        <v>0</v>
      </c>
      <c r="CI47" s="44">
        <f t="shared" si="149"/>
        <v>635.42580862611749</v>
      </c>
      <c r="CJ47" s="35">
        <f t="shared" si="149"/>
        <v>0</v>
      </c>
      <c r="CK47" s="35">
        <f t="shared" si="149"/>
        <v>0</v>
      </c>
      <c r="CL47" s="35">
        <f t="shared" si="149"/>
        <v>0</v>
      </c>
      <c r="CM47" s="35">
        <f t="shared" si="149"/>
        <v>0</v>
      </c>
      <c r="CN47" s="44">
        <f t="shared" si="149"/>
        <v>671.20697092924161</v>
      </c>
    </row>
    <row r="48" spans="1:101" ht="15" hidden="1" customHeight="1" outlineLevel="1">
      <c r="A48" s="22"/>
      <c r="B48" s="24"/>
      <c r="C48" s="52"/>
      <c r="D48" s="52"/>
      <c r="E48" s="52"/>
      <c r="F48" s="52"/>
      <c r="G48" s="50"/>
      <c r="H48" s="236"/>
      <c r="I48" s="236"/>
      <c r="J48" s="236"/>
      <c r="K48" s="236"/>
      <c r="L48" s="50"/>
      <c r="M48" s="236"/>
      <c r="N48" s="236"/>
      <c r="O48" s="236"/>
      <c r="P48" s="236"/>
      <c r="Q48" s="50"/>
      <c r="R48" s="236"/>
      <c r="S48" s="236"/>
      <c r="T48" s="236"/>
      <c r="U48" s="236"/>
      <c r="V48" s="50"/>
      <c r="W48" s="236"/>
      <c r="X48" s="236"/>
      <c r="Y48" s="236"/>
      <c r="Z48" s="236"/>
      <c r="AA48" s="50"/>
      <c r="AB48" s="43"/>
      <c r="AC48" s="43"/>
      <c r="AD48" s="43"/>
      <c r="AE48" s="43"/>
      <c r="AF48" s="50"/>
      <c r="AG48" s="43"/>
      <c r="AH48" s="43"/>
      <c r="AI48" s="43"/>
      <c r="AJ48" s="43"/>
      <c r="AK48" s="50"/>
      <c r="AL48" s="43"/>
      <c r="AM48" s="43"/>
      <c r="AN48" s="43"/>
      <c r="AO48" s="43"/>
      <c r="AP48" s="50"/>
      <c r="AQ48" s="43"/>
      <c r="AR48" s="43"/>
      <c r="AS48" s="43"/>
      <c r="AT48" s="43"/>
      <c r="AU48" s="50"/>
      <c r="AV48" s="43"/>
      <c r="AW48" s="43"/>
      <c r="AX48" s="43"/>
      <c r="AY48" s="43"/>
      <c r="AZ48" s="50"/>
      <c r="BA48" s="43"/>
      <c r="BB48" s="43"/>
      <c r="BC48" s="43"/>
      <c r="BD48" s="43"/>
      <c r="BE48" s="50"/>
      <c r="BF48" s="43"/>
      <c r="BG48" s="43"/>
      <c r="BH48" s="43"/>
      <c r="BI48" s="43"/>
      <c r="BJ48" s="50"/>
      <c r="BK48" s="43"/>
      <c r="BL48" s="43"/>
      <c r="BM48" s="43"/>
      <c r="BN48" s="43"/>
      <c r="BO48" s="50"/>
      <c r="BP48" s="43"/>
      <c r="BQ48" s="43"/>
      <c r="BR48" s="43"/>
      <c r="BS48" s="43"/>
      <c r="BT48" s="50"/>
      <c r="BU48" s="43"/>
      <c r="BV48" s="43"/>
      <c r="BW48" s="43"/>
      <c r="BX48" s="43"/>
      <c r="BY48" s="50"/>
      <c r="BZ48" s="43"/>
      <c r="CA48" s="43"/>
      <c r="CB48" s="43"/>
      <c r="CC48" s="43"/>
      <c r="CD48" s="50"/>
      <c r="CE48" s="43"/>
      <c r="CF48" s="43"/>
      <c r="CG48" s="43"/>
      <c r="CH48" s="43"/>
      <c r="CI48" s="50"/>
      <c r="CJ48" s="43"/>
      <c r="CK48" s="43"/>
      <c r="CL48" s="43"/>
      <c r="CM48" s="43"/>
      <c r="CN48" s="50"/>
    </row>
    <row r="49" spans="1:92" ht="15" hidden="1" customHeight="1" outlineLevel="1">
      <c r="A49" s="22"/>
      <c r="B49" s="409" t="s">
        <v>115</v>
      </c>
      <c r="C49" s="38"/>
      <c r="D49" s="38"/>
      <c r="E49" s="38"/>
      <c r="F49" s="38"/>
      <c r="G49" s="54">
        <f t="shared" ref="G49:AA49" si="150">G47/G51</f>
        <v>-0.4317623498897562</v>
      </c>
      <c r="H49" s="235">
        <f t="shared" si="150"/>
        <v>-1.2136985170388352</v>
      </c>
      <c r="I49" s="235">
        <f t="shared" si="150"/>
        <v>-0.16961326268245785</v>
      </c>
      <c r="J49" s="235">
        <f t="shared" si="150"/>
        <v>-0.32612277620773417</v>
      </c>
      <c r="K49" s="235">
        <f t="shared" si="150"/>
        <v>-0.65566207728055759</v>
      </c>
      <c r="L49" s="218">
        <f t="shared" si="150"/>
        <v>-2.3960926805316753</v>
      </c>
      <c r="M49" s="235">
        <f t="shared" ref="M49:Q49" si="151">M47/M51</f>
        <v>-0.7908713109220421</v>
      </c>
      <c r="N49" s="235">
        <f t="shared" si="151"/>
        <v>-1.4107820877215338</v>
      </c>
      <c r="O49" s="235">
        <f t="shared" si="151"/>
        <v>-1.324688425654718</v>
      </c>
      <c r="P49" s="235">
        <f t="shared" si="151"/>
        <v>-1.8212821482947561</v>
      </c>
      <c r="Q49" s="218">
        <f t="shared" si="151"/>
        <v>-5.4283179482867165</v>
      </c>
      <c r="R49" s="235">
        <f t="shared" si="150"/>
        <v>-1.2421136975298186</v>
      </c>
      <c r="S49" s="235">
        <f t="shared" si="150"/>
        <v>-0.68302201484167913</v>
      </c>
      <c r="T49" s="235">
        <f t="shared" si="150"/>
        <v>-0.87237066217475701</v>
      </c>
      <c r="U49" s="235">
        <f t="shared" si="150"/>
        <v>-0.91677910112265359</v>
      </c>
      <c r="V49" s="218">
        <f t="shared" ref="V49" si="152">V47/V51</f>
        <v>-3.6653714438313347</v>
      </c>
      <c r="W49" s="235">
        <f t="shared" si="150"/>
        <v>-1.0715795558623784</v>
      </c>
      <c r="X49" s="235">
        <f t="shared" si="150"/>
        <v>-2.0745586267393583</v>
      </c>
      <c r="Y49" s="235">
        <f t="shared" si="150"/>
        <v>-1.5227675491688863</v>
      </c>
      <c r="Z49" s="235">
        <f t="shared" si="150"/>
        <v>-2.549640961598501</v>
      </c>
      <c r="AA49" s="218">
        <f t="shared" si="150"/>
        <v>-7.2841779522298307</v>
      </c>
      <c r="AB49" s="219"/>
      <c r="AC49" s="219"/>
      <c r="AD49" s="219"/>
      <c r="AE49" s="219"/>
      <c r="AF49" s="218">
        <f>AF47/AF51</f>
        <v>-5.7801019683211878</v>
      </c>
      <c r="AG49" s="219"/>
      <c r="AH49" s="219"/>
      <c r="AI49" s="219"/>
      <c r="AJ49" s="219"/>
      <c r="AK49" s="218">
        <f>AK47/AK51</f>
        <v>-4.1361850175876382</v>
      </c>
      <c r="AL49" s="219"/>
      <c r="AM49" s="219"/>
      <c r="AN49" s="219"/>
      <c r="AO49" s="219"/>
      <c r="AP49" s="218">
        <f>AP47/AP51</f>
        <v>4.7038081595954628E-2</v>
      </c>
      <c r="AQ49" s="219"/>
      <c r="AR49" s="219"/>
      <c r="AS49" s="219"/>
      <c r="AT49" s="219"/>
      <c r="AU49" s="218">
        <f>AU47/AU51</f>
        <v>12.069590105781041</v>
      </c>
      <c r="AV49" s="219"/>
      <c r="AW49" s="219"/>
      <c r="AX49" s="219"/>
      <c r="AY49" s="219"/>
      <c r="AZ49" s="218">
        <f>AZ47/AZ51</f>
        <v>19.038095116370727</v>
      </c>
      <c r="BA49" s="219"/>
      <c r="BB49" s="219"/>
      <c r="BC49" s="219"/>
      <c r="BD49" s="219"/>
      <c r="BE49" s="218">
        <f>BE47/BE51</f>
        <v>20.965853219875115</v>
      </c>
      <c r="BF49" s="219"/>
      <c r="BG49" s="219"/>
      <c r="BH49" s="219"/>
      <c r="BI49" s="219"/>
      <c r="BJ49" s="218">
        <f>BJ47/BJ51</f>
        <v>17.68988036717268</v>
      </c>
      <c r="BK49" s="219"/>
      <c r="BL49" s="219"/>
      <c r="BM49" s="219"/>
      <c r="BN49" s="219"/>
      <c r="BO49" s="218">
        <f>BO47/BO51</f>
        <v>16.475959237293694</v>
      </c>
      <c r="BP49" s="219"/>
      <c r="BQ49" s="219"/>
      <c r="BR49" s="219"/>
      <c r="BS49" s="219"/>
      <c r="BT49" s="218">
        <f>BT47/BT51</f>
        <v>14.591855249880366</v>
      </c>
      <c r="BU49" s="219"/>
      <c r="BV49" s="219"/>
      <c r="BW49" s="219"/>
      <c r="BX49" s="219"/>
      <c r="BY49" s="218">
        <f>BY47/BY51</f>
        <v>13.628284394244105</v>
      </c>
      <c r="BZ49" s="219"/>
      <c r="CA49" s="219"/>
      <c r="CB49" s="219"/>
      <c r="CC49" s="219"/>
      <c r="CD49" s="218">
        <f>CD47/CD51</f>
        <v>14.248093955221663</v>
      </c>
      <c r="CE49" s="219"/>
      <c r="CF49" s="219"/>
      <c r="CG49" s="219"/>
      <c r="CH49" s="219"/>
      <c r="CI49" s="218">
        <f>CI47/CI51</f>
        <v>14.879889669011034</v>
      </c>
      <c r="CJ49" s="219"/>
      <c r="CK49" s="219"/>
      <c r="CL49" s="219"/>
      <c r="CM49" s="219"/>
      <c r="CN49" s="218">
        <f>CN47/CN51</f>
        <v>15.523737384184848</v>
      </c>
    </row>
    <row r="50" spans="1:92" ht="15" hidden="1" customHeight="1" outlineLevel="1">
      <c r="A50" s="22"/>
      <c r="B50" s="409" t="s">
        <v>116</v>
      </c>
      <c r="C50" s="38"/>
      <c r="D50" s="38"/>
      <c r="E50" s="38"/>
      <c r="F50" s="38"/>
      <c r="G50" s="54">
        <f t="shared" ref="G50:AA50" si="153">G47/G52</f>
        <v>-0.4317623498897562</v>
      </c>
      <c r="H50" s="219">
        <f t="shared" si="153"/>
        <v>-1.2136985170388352</v>
      </c>
      <c r="I50" s="219">
        <f t="shared" si="153"/>
        <v>-0.16961326268245785</v>
      </c>
      <c r="J50" s="219">
        <f t="shared" si="153"/>
        <v>-0.32612277620773417</v>
      </c>
      <c r="K50" s="219">
        <f t="shared" si="153"/>
        <v>-0.65566207728055759</v>
      </c>
      <c r="L50" s="218">
        <f t="shared" si="153"/>
        <v>-2.3960926805316753</v>
      </c>
      <c r="M50" s="219">
        <f t="shared" ref="M50:Q50" si="154">M47/M52</f>
        <v>-0.7908713109220421</v>
      </c>
      <c r="N50" s="219">
        <f t="shared" si="154"/>
        <v>-1.4107820877215338</v>
      </c>
      <c r="O50" s="219">
        <f t="shared" si="154"/>
        <v>-1.324688425654718</v>
      </c>
      <c r="P50" s="219">
        <f t="shared" si="154"/>
        <v>-1.8212821482947561</v>
      </c>
      <c r="Q50" s="218">
        <f t="shared" si="154"/>
        <v>-5.4283179482867165</v>
      </c>
      <c r="R50" s="219">
        <f t="shared" si="153"/>
        <v>-1.2421136975298186</v>
      </c>
      <c r="S50" s="219">
        <f t="shared" si="153"/>
        <v>-0.68302201484167913</v>
      </c>
      <c r="T50" s="219">
        <f t="shared" si="153"/>
        <v>-0.87237066217475701</v>
      </c>
      <c r="U50" s="219">
        <f t="shared" si="153"/>
        <v>-0.91677910112265359</v>
      </c>
      <c r="V50" s="218">
        <f t="shared" ref="V50" si="155">V47/V52</f>
        <v>-3.6653714438313347</v>
      </c>
      <c r="W50" s="219">
        <f t="shared" si="153"/>
        <v>-1.0715795558623784</v>
      </c>
      <c r="X50" s="219">
        <f t="shared" si="153"/>
        <v>-2.0745586267393583</v>
      </c>
      <c r="Y50" s="219">
        <f t="shared" si="153"/>
        <v>-1.5227675491688863</v>
      </c>
      <c r="Z50" s="219">
        <f t="shared" si="153"/>
        <v>-2.549640961598501</v>
      </c>
      <c r="AA50" s="218">
        <f t="shared" si="153"/>
        <v>-7.2841779522298307</v>
      </c>
      <c r="AB50" s="219"/>
      <c r="AC50" s="219"/>
      <c r="AD50" s="219"/>
      <c r="AE50" s="219"/>
      <c r="AF50" s="218">
        <f>AF47/AF52</f>
        <v>-5.7801019683211878</v>
      </c>
      <c r="AG50" s="219"/>
      <c r="AH50" s="219"/>
      <c r="AI50" s="219"/>
      <c r="AJ50" s="219"/>
      <c r="AK50" s="218">
        <f>AK47/AK52</f>
        <v>-4.1361850175876382</v>
      </c>
      <c r="AL50" s="219"/>
      <c r="AM50" s="219"/>
      <c r="AN50" s="219"/>
      <c r="AO50" s="219"/>
      <c r="AP50" s="218">
        <f>AP47/AP52</f>
        <v>4.7038081595954628E-2</v>
      </c>
      <c r="AQ50" s="219"/>
      <c r="AR50" s="219"/>
      <c r="AS50" s="219"/>
      <c r="AT50" s="219"/>
      <c r="AU50" s="218">
        <f>AU47/AU52</f>
        <v>11.951550104746506</v>
      </c>
      <c r="AV50" s="219"/>
      <c r="AW50" s="219"/>
      <c r="AX50" s="219"/>
      <c r="AY50" s="219"/>
      <c r="AZ50" s="218">
        <f>AZ47/AZ52</f>
        <v>18.667532782938338</v>
      </c>
      <c r="BA50" s="219"/>
      <c r="BB50" s="219"/>
      <c r="BC50" s="219"/>
      <c r="BD50" s="219"/>
      <c r="BE50" s="218">
        <f>BE47/BE52</f>
        <v>20.356714540832655</v>
      </c>
      <c r="BF50" s="219"/>
      <c r="BG50" s="219"/>
      <c r="BH50" s="219"/>
      <c r="BI50" s="219"/>
      <c r="BJ50" s="218">
        <f>BJ47/BJ52</f>
        <v>17.007941629777413</v>
      </c>
      <c r="BK50" s="219"/>
      <c r="BL50" s="219"/>
      <c r="BM50" s="219"/>
      <c r="BN50" s="219"/>
      <c r="BO50" s="218">
        <f>BO47/BO52</f>
        <v>15.840816737375718</v>
      </c>
      <c r="BP50" s="219"/>
      <c r="BQ50" s="219"/>
      <c r="BR50" s="219"/>
      <c r="BS50" s="219"/>
      <c r="BT50" s="218">
        <f>BT47/BT52</f>
        <v>14.029344303575513</v>
      </c>
      <c r="BU50" s="219"/>
      <c r="BV50" s="219"/>
      <c r="BW50" s="219"/>
      <c r="BX50" s="219"/>
      <c r="BY50" s="218">
        <f>BY47/BY52</f>
        <v>13.102918769391106</v>
      </c>
      <c r="BZ50" s="219"/>
      <c r="CA50" s="219"/>
      <c r="CB50" s="219"/>
      <c r="CC50" s="219"/>
      <c r="CD50" s="218">
        <f>CD47/CD52</f>
        <v>13.698834887300336</v>
      </c>
      <c r="CE50" s="219"/>
      <c r="CF50" s="219"/>
      <c r="CG50" s="219"/>
      <c r="CH50" s="219"/>
      <c r="CI50" s="218">
        <f>CI47/CI52</f>
        <v>14.30627509599806</v>
      </c>
      <c r="CJ50" s="219"/>
      <c r="CK50" s="219"/>
      <c r="CL50" s="219"/>
      <c r="CM50" s="219"/>
      <c r="CN50" s="218">
        <f>CN47/CN52</f>
        <v>14.925302705617334</v>
      </c>
    </row>
    <row r="51" spans="1:92" ht="15" customHeight="1" collapsed="1">
      <c r="A51" s="22"/>
      <c r="B51" s="26" t="s">
        <v>12</v>
      </c>
      <c r="C51" s="37"/>
      <c r="D51" s="37"/>
      <c r="E51" s="37"/>
      <c r="F51" s="37"/>
      <c r="G51" s="49">
        <v>6.2289219999999998</v>
      </c>
      <c r="H51" s="37">
        <v>7.1461750000000004</v>
      </c>
      <c r="I51" s="37">
        <v>6.7824590000000002</v>
      </c>
      <c r="J51" s="37">
        <v>6.8416350000000001</v>
      </c>
      <c r="K51" s="37">
        <v>6.8898830000000002</v>
      </c>
      <c r="L51" s="49">
        <v>6.916404</v>
      </c>
      <c r="M51" s="37">
        <v>6.8951849999999997</v>
      </c>
      <c r="N51" s="37">
        <v>7.0309759999999999</v>
      </c>
      <c r="O51" s="37">
        <v>7.5041479999999998</v>
      </c>
      <c r="P51" s="37">
        <v>7.2261220000000002</v>
      </c>
      <c r="Q51" s="49">
        <v>7.087618</v>
      </c>
      <c r="R51" s="37">
        <v>16.774718</v>
      </c>
      <c r="S51" s="37">
        <v>23.013838</v>
      </c>
      <c r="T51" s="37">
        <v>24.166112999999999</v>
      </c>
      <c r="U51" s="37">
        <v>27.678348</v>
      </c>
      <c r="V51" s="49">
        <v>22.647583000000001</v>
      </c>
      <c r="W51" s="37">
        <v>27.733701</v>
      </c>
      <c r="X51" s="37">
        <v>27.971733</v>
      </c>
      <c r="Y51" s="37">
        <v>31.941185000000001</v>
      </c>
      <c r="Z51" s="37">
        <v>32.03</v>
      </c>
      <c r="AA51" s="49">
        <v>29.934999999999999</v>
      </c>
      <c r="AB51" s="37">
        <f>(Z51*1.005)+(0.833*CF!H70)</f>
        <v>35.946846719999996</v>
      </c>
      <c r="AC51" s="37">
        <f>AB51*1.005+(0.167*CF!H70)</f>
        <v>36.879724233599994</v>
      </c>
      <c r="AD51" s="37">
        <f>AC51*1.005</f>
        <v>37.064122854767987</v>
      </c>
      <c r="AE51" s="37">
        <f>AD51*1.005</f>
        <v>37.249443469041822</v>
      </c>
      <c r="AF51" s="49">
        <f t="shared" ref="AF51:AF52" si="156">AVERAGE(AB51:AE51)</f>
        <v>36.785034319352448</v>
      </c>
      <c r="AG51" s="37"/>
      <c r="AH51" s="37"/>
      <c r="AI51" s="37"/>
      <c r="AJ51" s="37"/>
      <c r="AK51" s="49">
        <f>AE51*1.0125+(CF!I70/1000)</f>
        <v>37.715061512404844</v>
      </c>
      <c r="AL51" s="37"/>
      <c r="AM51" s="37"/>
      <c r="AN51" s="37"/>
      <c r="AO51" s="37"/>
      <c r="AP51" s="49">
        <f>AK51*1.0125+(CF!J$70/1000)</f>
        <v>38.186499781309905</v>
      </c>
      <c r="AQ51" s="37"/>
      <c r="AR51" s="37"/>
      <c r="AS51" s="37"/>
      <c r="AT51" s="37"/>
      <c r="AU51" s="49">
        <f>AP51*1.0125+(CF!K$70/1000)</f>
        <v>38.663831028576276</v>
      </c>
      <c r="AV51" s="37"/>
      <c r="AW51" s="37"/>
      <c r="AX51" s="37"/>
      <c r="AY51" s="37"/>
      <c r="AZ51" s="49">
        <f>AU51*1.0125+(CF!L$70/1000)</f>
        <v>39.147128916433481</v>
      </c>
      <c r="BA51" s="37"/>
      <c r="BB51" s="37"/>
      <c r="BC51" s="37"/>
      <c r="BD51" s="37"/>
      <c r="BE51" s="49">
        <f>AZ51*1.0125+(CF!M$70/1000)</f>
        <v>39.636468027888895</v>
      </c>
      <c r="BF51" s="37"/>
      <c r="BG51" s="37"/>
      <c r="BH51" s="37"/>
      <c r="BI51" s="37"/>
      <c r="BJ51" s="49">
        <f>BE51*1.0125+(CF!R$70/1000)</f>
        <v>40.131923878237508</v>
      </c>
      <c r="BK51" s="37"/>
      <c r="BL51" s="37"/>
      <c r="BM51" s="37"/>
      <c r="BN51" s="37"/>
      <c r="BO51" s="49">
        <f>BJ51*1.0125+(CF!W$70/1000)</f>
        <v>40.633572926715473</v>
      </c>
      <c r="BP51" s="37"/>
      <c r="BQ51" s="37"/>
      <c r="BR51" s="37"/>
      <c r="BS51" s="37"/>
      <c r="BT51" s="49">
        <f>BO51*1.0125+(CF!AB$70/1000)</f>
        <v>41.141492588299414</v>
      </c>
      <c r="BU51" s="37"/>
      <c r="BV51" s="37"/>
      <c r="BW51" s="37"/>
      <c r="BX51" s="37"/>
      <c r="BY51" s="49">
        <f>BT51*1.0125+(CF!AG$70/1000)</f>
        <v>41.655761245653153</v>
      </c>
      <c r="BZ51" s="37"/>
      <c r="CA51" s="37"/>
      <c r="CB51" s="37"/>
      <c r="CC51" s="37"/>
      <c r="CD51" s="49">
        <f>BY51*1.0125+(CF!AL$70/1000)</f>
        <v>42.176458261223814</v>
      </c>
      <c r="CE51" s="37"/>
      <c r="CF51" s="37"/>
      <c r="CG51" s="37"/>
      <c r="CH51" s="37"/>
      <c r="CI51" s="49">
        <f>CD51*1.0125+(CF!AQ$70/1000)</f>
        <v>42.703663989489108</v>
      </c>
      <c r="CJ51" s="37"/>
      <c r="CK51" s="37"/>
      <c r="CL51" s="37"/>
      <c r="CM51" s="37"/>
      <c r="CN51" s="49">
        <f>CI51*1.0125+(CF!AV$70/1000)</f>
        <v>43.237459789357722</v>
      </c>
    </row>
    <row r="52" spans="1:92" ht="15" customHeight="1">
      <c r="A52" s="22"/>
      <c r="B52" s="26" t="s">
        <v>13</v>
      </c>
      <c r="C52" s="37"/>
      <c r="D52" s="37"/>
      <c r="E52" s="37"/>
      <c r="F52" s="37"/>
      <c r="G52" s="49">
        <f>+G51</f>
        <v>6.2289219999999998</v>
      </c>
      <c r="H52" s="37">
        <f t="shared" ref="H52:V52" si="157">H51</f>
        <v>7.1461750000000004</v>
      </c>
      <c r="I52" s="37">
        <f t="shared" si="157"/>
        <v>6.7824590000000002</v>
      </c>
      <c r="J52" s="37">
        <f t="shared" si="157"/>
        <v>6.8416350000000001</v>
      </c>
      <c r="K52" s="37">
        <f t="shared" si="157"/>
        <v>6.8898830000000002</v>
      </c>
      <c r="L52" s="49">
        <f t="shared" si="157"/>
        <v>6.916404</v>
      </c>
      <c r="M52" s="37">
        <f t="shared" si="157"/>
        <v>6.8951849999999997</v>
      </c>
      <c r="N52" s="37">
        <f t="shared" si="157"/>
        <v>7.0309759999999999</v>
      </c>
      <c r="O52" s="37">
        <f t="shared" si="157"/>
        <v>7.5041479999999998</v>
      </c>
      <c r="P52" s="37">
        <f t="shared" si="157"/>
        <v>7.2261220000000002</v>
      </c>
      <c r="Q52" s="49">
        <f t="shared" si="157"/>
        <v>7.087618</v>
      </c>
      <c r="R52" s="37">
        <f t="shared" si="157"/>
        <v>16.774718</v>
      </c>
      <c r="S52" s="37">
        <f t="shared" si="157"/>
        <v>23.013838</v>
      </c>
      <c r="T52" s="37">
        <f t="shared" si="157"/>
        <v>24.166112999999999</v>
      </c>
      <c r="U52" s="37">
        <f t="shared" si="157"/>
        <v>27.678348</v>
      </c>
      <c r="V52" s="49">
        <f t="shared" si="157"/>
        <v>22.647583000000001</v>
      </c>
      <c r="W52" s="37">
        <f t="shared" ref="W52:AB52" si="158">W51</f>
        <v>27.733701</v>
      </c>
      <c r="X52" s="37">
        <f t="shared" si="158"/>
        <v>27.971733</v>
      </c>
      <c r="Y52" s="37">
        <f t="shared" si="158"/>
        <v>31.941185000000001</v>
      </c>
      <c r="Z52" s="37">
        <f t="shared" si="158"/>
        <v>32.03</v>
      </c>
      <c r="AA52" s="49">
        <f t="shared" si="158"/>
        <v>29.934999999999999</v>
      </c>
      <c r="AB52" s="37">
        <f t="shared" si="158"/>
        <v>35.946846719999996</v>
      </c>
      <c r="AC52" s="37">
        <f t="shared" ref="AC52:AE52" si="159">AC51</f>
        <v>36.879724233599994</v>
      </c>
      <c r="AD52" s="37">
        <f t="shared" si="159"/>
        <v>37.064122854767987</v>
      </c>
      <c r="AE52" s="37">
        <f t="shared" si="159"/>
        <v>37.249443469041822</v>
      </c>
      <c r="AF52" s="49">
        <f t="shared" si="156"/>
        <v>36.785034319352448</v>
      </c>
      <c r="AG52" s="37"/>
      <c r="AH52" s="37"/>
      <c r="AI52" s="37"/>
      <c r="AJ52" s="37"/>
      <c r="AK52" s="49">
        <f>AK51</f>
        <v>37.715061512404844</v>
      </c>
      <c r="AL52" s="37"/>
      <c r="AM52" s="37"/>
      <c r="AN52" s="37"/>
      <c r="AO52" s="37"/>
      <c r="AP52" s="49">
        <f>AK52*1.0125+(CF!J$70/1000)</f>
        <v>38.186499781309905</v>
      </c>
      <c r="AQ52" s="37"/>
      <c r="AR52" s="37"/>
      <c r="AS52" s="37"/>
      <c r="AT52" s="37"/>
      <c r="AU52" s="49">
        <f>AP52*1.0225+(CF!K$70/1000)</f>
        <v>39.045696026389379</v>
      </c>
      <c r="AV52" s="37"/>
      <c r="AW52" s="37"/>
      <c r="AX52" s="37"/>
      <c r="AY52" s="37"/>
      <c r="AZ52" s="49">
        <f>AU52*1.0225+(CF!L$70/1000)</f>
        <v>39.924224186983139</v>
      </c>
      <c r="BA52" s="37"/>
      <c r="BB52" s="37"/>
      <c r="BC52" s="37"/>
      <c r="BD52" s="37"/>
      <c r="BE52" s="49">
        <f>AZ52*1.0225+(CF!M$70/1000)</f>
        <v>40.822519231190256</v>
      </c>
      <c r="BF52" s="37"/>
      <c r="BG52" s="37"/>
      <c r="BH52" s="37"/>
      <c r="BI52" s="37"/>
      <c r="BJ52" s="49">
        <f>BE52*1.0225+(CF!R$70/1000)</f>
        <v>41.741025913892038</v>
      </c>
      <c r="BK52" s="37"/>
      <c r="BL52" s="37"/>
      <c r="BM52" s="37"/>
      <c r="BN52" s="37"/>
      <c r="BO52" s="49">
        <f>BJ52*1.0125+(CF!W$70/1000)</f>
        <v>42.26278873781569</v>
      </c>
      <c r="BP52" s="37"/>
      <c r="BQ52" s="37"/>
      <c r="BR52" s="37"/>
      <c r="BS52" s="37"/>
      <c r="BT52" s="49">
        <f>BO52*1.0125+(CF!AB$70/1000)</f>
        <v>42.791073597038384</v>
      </c>
      <c r="BU52" s="37"/>
      <c r="BV52" s="37"/>
      <c r="BW52" s="37"/>
      <c r="BX52" s="37"/>
      <c r="BY52" s="49">
        <f>BT52*1.0125+(CF!AG$70/1000)</f>
        <v>43.325962017001359</v>
      </c>
      <c r="BZ52" s="37"/>
      <c r="CA52" s="37"/>
      <c r="CB52" s="37"/>
      <c r="CC52" s="37"/>
      <c r="CD52" s="49">
        <f>BY52*1.0125+(CF!AL$70/1000)</f>
        <v>43.867536542213877</v>
      </c>
      <c r="CE52" s="37"/>
      <c r="CF52" s="37"/>
      <c r="CG52" s="37"/>
      <c r="CH52" s="37"/>
      <c r="CI52" s="49">
        <f>CD52*1.0125+(CF!AQ$70/1000)</f>
        <v>44.415880748991547</v>
      </c>
      <c r="CJ52" s="37"/>
      <c r="CK52" s="37"/>
      <c r="CL52" s="37"/>
      <c r="CM52" s="37"/>
      <c r="CN52" s="49">
        <f>CI52*1.0125+(CF!AV$70/1000)</f>
        <v>44.971079258353939</v>
      </c>
    </row>
    <row r="53" spans="1:92" ht="15" customHeight="1">
      <c r="A53" s="22"/>
      <c r="B53" s="26"/>
      <c r="C53" s="37"/>
      <c r="D53" s="37"/>
      <c r="E53" s="37"/>
      <c r="F53" s="37"/>
      <c r="G53" s="49"/>
      <c r="H53" s="37"/>
      <c r="I53" s="37"/>
      <c r="J53" s="37"/>
      <c r="K53" s="37"/>
      <c r="L53" s="49"/>
      <c r="M53" s="37"/>
      <c r="N53" s="37"/>
      <c r="O53" s="37"/>
      <c r="P53" s="37"/>
      <c r="Q53" s="49"/>
      <c r="R53" s="37"/>
      <c r="S53" s="37"/>
      <c r="T53" s="37"/>
      <c r="U53" s="37"/>
      <c r="V53" s="49"/>
      <c r="W53" s="37"/>
      <c r="X53" s="37"/>
      <c r="Y53" s="37"/>
      <c r="Z53" s="37"/>
      <c r="AA53" s="49"/>
      <c r="AB53" s="37"/>
      <c r="AC53" s="37"/>
      <c r="AD53" s="37"/>
      <c r="AE53" s="37"/>
      <c r="AF53" s="49"/>
      <c r="AG53" s="37"/>
      <c r="AH53" s="37"/>
      <c r="AI53" s="37"/>
      <c r="AJ53" s="37"/>
      <c r="AK53" s="49"/>
      <c r="AL53" s="37"/>
      <c r="AM53" s="37"/>
      <c r="AN53" s="37"/>
      <c r="AO53" s="37"/>
      <c r="AP53" s="49"/>
      <c r="AQ53" s="37"/>
      <c r="AR53" s="37"/>
      <c r="AS53" s="37"/>
      <c r="AT53" s="37"/>
      <c r="AU53" s="49"/>
      <c r="AV53" s="37"/>
      <c r="AW53" s="37"/>
      <c r="AX53" s="37"/>
      <c r="AY53" s="37"/>
      <c r="AZ53" s="49"/>
      <c r="BA53" s="37"/>
      <c r="BB53" s="37"/>
      <c r="BC53" s="37"/>
      <c r="BD53" s="37"/>
      <c r="BE53" s="49"/>
      <c r="BF53" s="37"/>
      <c r="BG53" s="37"/>
      <c r="BH53" s="37"/>
      <c r="BI53" s="37"/>
      <c r="BJ53" s="49"/>
      <c r="BK53" s="37"/>
      <c r="BL53" s="37"/>
      <c r="BM53" s="37"/>
      <c r="BN53" s="37"/>
      <c r="BO53" s="49"/>
      <c r="BP53" s="37"/>
      <c r="BQ53" s="37"/>
      <c r="BR53" s="37"/>
      <c r="BS53" s="37"/>
      <c r="BT53" s="49"/>
      <c r="BU53" s="37"/>
      <c r="BV53" s="37"/>
      <c r="BW53" s="37"/>
      <c r="BX53" s="37"/>
      <c r="BY53" s="49"/>
      <c r="BZ53" s="37"/>
      <c r="CA53" s="37"/>
      <c r="CB53" s="37"/>
      <c r="CC53" s="37"/>
      <c r="CD53" s="49"/>
      <c r="CE53" s="37"/>
      <c r="CF53" s="37"/>
      <c r="CG53" s="37"/>
      <c r="CH53" s="37"/>
      <c r="CI53" s="49"/>
      <c r="CJ53" s="37"/>
      <c r="CK53" s="37"/>
      <c r="CL53" s="37"/>
      <c r="CM53" s="37"/>
      <c r="CN53" s="49"/>
    </row>
    <row r="54" spans="1:92" ht="15" customHeight="1">
      <c r="A54" s="22"/>
      <c r="B54" s="94" t="s">
        <v>187</v>
      </c>
      <c r="C54" s="37"/>
      <c r="D54" s="37"/>
      <c r="E54" s="37"/>
      <c r="F54" s="37"/>
      <c r="G54" s="49"/>
      <c r="H54" s="37"/>
      <c r="I54" s="37"/>
      <c r="J54" s="37"/>
      <c r="K54" s="37"/>
      <c r="L54" s="49"/>
      <c r="M54" s="37"/>
      <c r="N54" s="37"/>
      <c r="O54" s="37"/>
      <c r="P54" s="37"/>
      <c r="Q54" s="49"/>
      <c r="R54" s="37"/>
      <c r="S54" s="37"/>
      <c r="T54" s="37"/>
      <c r="U54" s="37"/>
      <c r="V54" s="49"/>
      <c r="W54" s="37">
        <f>$AA$54*0.25</f>
        <v>7.7212500000000004</v>
      </c>
      <c r="X54" s="37">
        <f t="shared" ref="X54:Z54" si="160">$AA$54*0.25</f>
        <v>7.7212500000000004</v>
      </c>
      <c r="Y54" s="37">
        <f t="shared" si="160"/>
        <v>7.7212500000000004</v>
      </c>
      <c r="Z54" s="37">
        <f t="shared" si="160"/>
        <v>7.7212500000000004</v>
      </c>
      <c r="AA54" s="49">
        <f>AA63</f>
        <v>30.885000000000002</v>
      </c>
      <c r="AB54" s="37">
        <f t="shared" ref="AB54:AE54" si="161">AB63</f>
        <v>7.2467411889374995</v>
      </c>
      <c r="AC54" s="37">
        <f t="shared" si="161"/>
        <v>7.2467411889374995</v>
      </c>
      <c r="AD54" s="37">
        <f t="shared" si="161"/>
        <v>7.2467411889374995</v>
      </c>
      <c r="AE54" s="37">
        <f t="shared" si="161"/>
        <v>7.2467411889374995</v>
      </c>
      <c r="AF54" s="49">
        <f>AE54+AD54+AC54+AB54</f>
        <v>28.986964755749998</v>
      </c>
      <c r="AG54" s="37"/>
      <c r="AH54" s="37"/>
      <c r="AI54" s="37"/>
      <c r="AJ54" s="37"/>
      <c r="AK54" s="49">
        <f>AK63</f>
        <v>30.248003646058553</v>
      </c>
      <c r="AL54" s="37"/>
      <c r="AM54" s="37"/>
      <c r="AN54" s="37"/>
      <c r="AO54" s="37"/>
      <c r="AP54" s="49">
        <f>AP63</f>
        <v>33.575185074607965</v>
      </c>
      <c r="AQ54" s="37"/>
      <c r="AR54" s="37"/>
      <c r="AS54" s="37"/>
      <c r="AT54" s="37"/>
      <c r="AU54" s="49">
        <f>AU63</f>
        <v>42.911485077418668</v>
      </c>
      <c r="AV54" s="37"/>
      <c r="AW54" s="37"/>
      <c r="AX54" s="37"/>
      <c r="AY54" s="37"/>
      <c r="AZ54" s="49">
        <f>AZ63</f>
        <v>52.91725056807703</v>
      </c>
      <c r="BA54" s="37"/>
      <c r="BB54" s="37"/>
      <c r="BC54" s="37"/>
      <c r="BD54" s="37"/>
      <c r="BE54" s="49">
        <f>BE63</f>
        <v>51.805065914023174</v>
      </c>
      <c r="BF54" s="37"/>
      <c r="BG54" s="37"/>
      <c r="BH54" s="37"/>
      <c r="BI54" s="37"/>
      <c r="BJ54" s="49">
        <f>BJ63</f>
        <v>43.944796876705411</v>
      </c>
      <c r="BK54" s="37"/>
      <c r="BL54" s="37"/>
      <c r="BM54" s="37"/>
      <c r="BN54" s="37"/>
      <c r="BO54" s="49">
        <f>BO63</f>
        <v>38.808933430928626</v>
      </c>
      <c r="BP54" s="37"/>
      <c r="BQ54" s="37"/>
      <c r="BR54" s="37"/>
      <c r="BS54" s="37"/>
      <c r="BT54" s="49">
        <f>BT63</f>
        <v>33.660563137638555</v>
      </c>
      <c r="BU54" s="37"/>
      <c r="BV54" s="37"/>
      <c r="BW54" s="37"/>
      <c r="BX54" s="37"/>
      <c r="BY54" s="49">
        <f>BY63</f>
        <v>29.698199521108119</v>
      </c>
      <c r="BZ54" s="37"/>
      <c r="CA54" s="37"/>
      <c r="CB54" s="37"/>
      <c r="CC54" s="37"/>
      <c r="CD54" s="49">
        <f>CD63</f>
        <v>26.947554496815695</v>
      </c>
      <c r="CE54" s="37"/>
      <c r="CF54" s="37"/>
      <c r="CG54" s="37"/>
      <c r="CH54" s="37"/>
      <c r="CI54" s="49">
        <f>CI63</f>
        <v>24.251265648866394</v>
      </c>
      <c r="CJ54" s="37"/>
      <c r="CK54" s="37"/>
      <c r="CL54" s="37"/>
      <c r="CM54" s="37"/>
      <c r="CN54" s="49">
        <f>CN63</f>
        <v>21.623322770204737</v>
      </c>
    </row>
    <row r="55" spans="1:92" ht="15" customHeight="1">
      <c r="A55" s="22"/>
      <c r="B55" s="410" t="s">
        <v>188</v>
      </c>
      <c r="C55" s="43"/>
      <c r="D55" s="43"/>
      <c r="E55" s="43"/>
      <c r="F55" s="43"/>
      <c r="G55" s="50">
        <f t="shared" ref="G55:AE55" si="162">G54/(G25+G21+G15)</f>
        <v>0</v>
      </c>
      <c r="H55" s="43">
        <f t="shared" si="162"/>
        <v>0</v>
      </c>
      <c r="I55" s="43">
        <f t="shared" si="162"/>
        <v>0</v>
      </c>
      <c r="J55" s="43">
        <f t="shared" si="162"/>
        <v>0</v>
      </c>
      <c r="K55" s="43">
        <f t="shared" si="162"/>
        <v>0</v>
      </c>
      <c r="L55" s="50">
        <f t="shared" si="162"/>
        <v>0</v>
      </c>
      <c r="M55" s="43">
        <f t="shared" si="162"/>
        <v>0</v>
      </c>
      <c r="N55" s="43">
        <f t="shared" si="162"/>
        <v>0</v>
      </c>
      <c r="O55" s="43">
        <f t="shared" si="162"/>
        <v>0</v>
      </c>
      <c r="P55" s="43">
        <f t="shared" si="162"/>
        <v>0</v>
      </c>
      <c r="Q55" s="50">
        <f t="shared" si="162"/>
        <v>0</v>
      </c>
      <c r="R55" s="43">
        <f t="shared" si="162"/>
        <v>0</v>
      </c>
      <c r="S55" s="43">
        <f t="shared" si="162"/>
        <v>0</v>
      </c>
      <c r="T55" s="43">
        <f t="shared" si="162"/>
        <v>0</v>
      </c>
      <c r="U55" s="43">
        <f t="shared" si="162"/>
        <v>0</v>
      </c>
      <c r="V55" s="50">
        <f t="shared" si="162"/>
        <v>0</v>
      </c>
      <c r="W55" s="43">
        <f t="shared" si="162"/>
        <v>0.25767728121859756</v>
      </c>
      <c r="X55" s="43">
        <f t="shared" si="162"/>
        <v>0.13230380397532557</v>
      </c>
      <c r="Y55" s="43">
        <f t="shared" si="162"/>
        <v>0.15592184975767368</v>
      </c>
      <c r="Z55" s="43">
        <f t="shared" si="162"/>
        <v>9.3564824351998852E-2</v>
      </c>
      <c r="AA55" s="50">
        <f t="shared" si="162"/>
        <v>0.1401520504308508</v>
      </c>
      <c r="AB55" s="43">
        <f t="shared" si="162"/>
        <v>0.15567453118335323</v>
      </c>
      <c r="AC55" s="43">
        <f t="shared" si="162"/>
        <v>0.14961657167772349</v>
      </c>
      <c r="AD55" s="43">
        <f t="shared" si="162"/>
        <v>0.1430499970180403</v>
      </c>
      <c r="AE55" s="43">
        <f t="shared" si="162"/>
        <v>0.10491355490333117</v>
      </c>
      <c r="AF55" s="50">
        <f>AF54/(AF25+AF21+AF15)</f>
        <v>0.13500000000000001</v>
      </c>
      <c r="AG55" s="43"/>
      <c r="AH55" s="43"/>
      <c r="AI55" s="43"/>
      <c r="AJ55" s="43"/>
      <c r="AK55" s="50">
        <f>AK54/(AK25+AK21+AK15)</f>
        <v>0.13</v>
      </c>
      <c r="AL55" s="43"/>
      <c r="AM55" s="43"/>
      <c r="AN55" s="43"/>
      <c r="AO55" s="43"/>
      <c r="AP55" s="50">
        <f>AP54/(AP25+AP21+AP15)</f>
        <v>0.12500000000000003</v>
      </c>
      <c r="AQ55" s="43"/>
      <c r="AR55" s="43"/>
      <c r="AS55" s="43"/>
      <c r="AT55" s="43"/>
      <c r="AU55" s="50">
        <f>AU54/(AU25+AU21+AU15)</f>
        <v>0.12</v>
      </c>
      <c r="AV55" s="43"/>
      <c r="AW55" s="43"/>
      <c r="AX55" s="43"/>
      <c r="AY55" s="43"/>
      <c r="AZ55" s="50">
        <f>AZ54/(AZ25+AZ21+AZ15)</f>
        <v>0.115</v>
      </c>
      <c r="BA55" s="43"/>
      <c r="BB55" s="43"/>
      <c r="BC55" s="43"/>
      <c r="BD55" s="43"/>
      <c r="BE55" s="50">
        <f>BE54/(BE25+BE21+BE15)</f>
        <v>0.11</v>
      </c>
      <c r="BF55" s="43"/>
      <c r="BG55" s="43"/>
      <c r="BH55" s="43"/>
      <c r="BI55" s="43"/>
      <c r="BJ55" s="50">
        <f>BJ54/(BJ25+BJ21+BJ15)</f>
        <v>0.10499999999999998</v>
      </c>
      <c r="BK55" s="43"/>
      <c r="BL55" s="43"/>
      <c r="BM55" s="43"/>
      <c r="BN55" s="43"/>
      <c r="BO55" s="50">
        <f>BO54/(BO25+BO21+BO15)</f>
        <v>9.9999999999999992E-2</v>
      </c>
      <c r="BP55" s="43"/>
      <c r="BQ55" s="43"/>
      <c r="BR55" s="43"/>
      <c r="BS55" s="43"/>
      <c r="BT55" s="50">
        <f>BT54/(BT25+BT21+BT15)</f>
        <v>9.4999999999999973E-2</v>
      </c>
      <c r="BU55" s="43"/>
      <c r="BV55" s="43"/>
      <c r="BW55" s="43"/>
      <c r="BX55" s="43"/>
      <c r="BY55" s="50">
        <f>BY54/(BY25+BY21+BY15)</f>
        <v>8.9999999999999969E-2</v>
      </c>
      <c r="BZ55" s="43"/>
      <c r="CA55" s="43"/>
      <c r="CB55" s="43"/>
      <c r="CC55" s="43"/>
      <c r="CD55" s="50">
        <f>CD54/(CD25+CD21+CD15)</f>
        <v>8.4999999999999964E-2</v>
      </c>
      <c r="CE55" s="43"/>
      <c r="CF55" s="43"/>
      <c r="CG55" s="43"/>
      <c r="CH55" s="43"/>
      <c r="CI55" s="50">
        <f>CI54/(CI25+CI21+CI15)</f>
        <v>7.9999999999999974E-2</v>
      </c>
      <c r="CJ55" s="43"/>
      <c r="CK55" s="43"/>
      <c r="CL55" s="43"/>
      <c r="CM55" s="43"/>
      <c r="CN55" s="50">
        <f>CN54/(CN25+CN21+CN15)</f>
        <v>7.4999999999999956E-2</v>
      </c>
    </row>
    <row r="56" spans="1:92" ht="15" customHeight="1">
      <c r="A56" s="22"/>
      <c r="B56" s="94" t="s">
        <v>189</v>
      </c>
      <c r="C56" s="37">
        <v>0</v>
      </c>
      <c r="D56" s="37">
        <v>0</v>
      </c>
      <c r="E56" s="37">
        <v>0</v>
      </c>
      <c r="F56" s="37">
        <v>0</v>
      </c>
      <c r="G56" s="49">
        <v>0</v>
      </c>
      <c r="H56" s="37">
        <v>0</v>
      </c>
      <c r="I56" s="37">
        <v>0</v>
      </c>
      <c r="J56" s="37">
        <v>0</v>
      </c>
      <c r="K56" s="37">
        <v>0</v>
      </c>
      <c r="L56" s="49">
        <f t="shared" ref="L56" si="163">SUM(H56:K56)</f>
        <v>0</v>
      </c>
      <c r="M56" s="37">
        <v>0</v>
      </c>
      <c r="N56" s="37">
        <v>0</v>
      </c>
      <c r="O56" s="37">
        <v>0</v>
      </c>
      <c r="P56" s="37">
        <v>0</v>
      </c>
      <c r="Q56" s="49">
        <f t="shared" ref="Q56" si="164">SUM(M56:P56)</f>
        <v>0</v>
      </c>
      <c r="R56" s="37">
        <v>0</v>
      </c>
      <c r="S56" s="37">
        <v>0</v>
      </c>
      <c r="T56" s="37">
        <v>0</v>
      </c>
      <c r="U56" s="37">
        <v>0</v>
      </c>
      <c r="V56" s="49">
        <f t="shared" ref="V56" si="165">SUM(R56:U56)</f>
        <v>0</v>
      </c>
      <c r="W56" s="37">
        <f t="shared" ref="W56:AE56" si="166">W54*W95</f>
        <v>2.7024374999999998</v>
      </c>
      <c r="X56" s="37">
        <f t="shared" si="166"/>
        <v>2.7024374999999998</v>
      </c>
      <c r="Y56" s="37">
        <f t="shared" si="166"/>
        <v>2.7024374999999998</v>
      </c>
      <c r="Z56" s="37">
        <f t="shared" si="166"/>
        <v>2.7024374999999998</v>
      </c>
      <c r="AA56" s="49">
        <f>AA54*AA95</f>
        <v>10.809749999999999</v>
      </c>
      <c r="AB56" s="37">
        <f t="shared" si="166"/>
        <v>2.5363594161281249</v>
      </c>
      <c r="AC56" s="37">
        <f t="shared" si="166"/>
        <v>2.5363594161281249</v>
      </c>
      <c r="AD56" s="37">
        <f>AD54*AD95</f>
        <v>2.5363594161281249</v>
      </c>
      <c r="AE56" s="37">
        <f t="shared" si="166"/>
        <v>2.5363594161281249</v>
      </c>
      <c r="AF56" s="49">
        <f>AF54*AF95</f>
        <v>10.1454376645125</v>
      </c>
      <c r="AG56" s="37"/>
      <c r="AH56" s="37"/>
      <c r="AI56" s="37"/>
      <c r="AJ56" s="37"/>
      <c r="AK56" s="49">
        <f>AK54*AK95</f>
        <v>10.586801276120493</v>
      </c>
      <c r="AL56" s="37"/>
      <c r="AM56" s="37"/>
      <c r="AN56" s="37"/>
      <c r="AO56" s="37"/>
      <c r="AP56" s="49">
        <f>AP54*AP95</f>
        <v>11.751314776112787</v>
      </c>
      <c r="AQ56" s="37"/>
      <c r="AR56" s="37"/>
      <c r="AS56" s="37"/>
      <c r="AT56" s="37"/>
      <c r="AU56" s="49">
        <f>AU54*AU95</f>
        <v>15.019019777096533</v>
      </c>
      <c r="AV56" s="37"/>
      <c r="AW56" s="37"/>
      <c r="AX56" s="37"/>
      <c r="AY56" s="37"/>
      <c r="AZ56" s="49">
        <f>AZ54*AZ95</f>
        <v>18.521037698826959</v>
      </c>
      <c r="BA56" s="37"/>
      <c r="BB56" s="37"/>
      <c r="BC56" s="37"/>
      <c r="BD56" s="37"/>
      <c r="BE56" s="49">
        <f>BE54*BE95</f>
        <v>18.13177306990811</v>
      </c>
      <c r="BF56" s="37"/>
      <c r="BG56" s="37"/>
      <c r="BH56" s="37"/>
      <c r="BI56" s="37"/>
      <c r="BJ56" s="49">
        <f>BJ54*BJ95</f>
        <v>15.380678906846892</v>
      </c>
      <c r="BK56" s="37"/>
      <c r="BL56" s="37"/>
      <c r="BM56" s="37"/>
      <c r="BN56" s="37"/>
      <c r="BO56" s="49">
        <f>BO54*BO95</f>
        <v>13.583126700825018</v>
      </c>
      <c r="BP56" s="37"/>
      <c r="BQ56" s="37"/>
      <c r="BR56" s="37"/>
      <c r="BS56" s="37"/>
      <c r="BT56" s="49">
        <f>BT54*BT95</f>
        <v>11.781197098173493</v>
      </c>
      <c r="BU56" s="37"/>
      <c r="BV56" s="37"/>
      <c r="BW56" s="37"/>
      <c r="BX56" s="37"/>
      <c r="BY56" s="49">
        <f>BY54*BY95</f>
        <v>10.394369832387842</v>
      </c>
      <c r="BZ56" s="37"/>
      <c r="CA56" s="37"/>
      <c r="CB56" s="37"/>
      <c r="CC56" s="37"/>
      <c r="CD56" s="49">
        <f>CD54*CD95</f>
        <v>9.4316440738854919</v>
      </c>
      <c r="CE56" s="37"/>
      <c r="CF56" s="37"/>
      <c r="CG56" s="37"/>
      <c r="CH56" s="37"/>
      <c r="CI56" s="49">
        <f>CI54*CI95</f>
        <v>8.4879429771032378</v>
      </c>
      <c r="CJ56" s="37"/>
      <c r="CK56" s="37"/>
      <c r="CL56" s="37"/>
      <c r="CM56" s="37"/>
      <c r="CN56" s="49">
        <f>CN54*CN95</f>
        <v>7.5681629695716577</v>
      </c>
    </row>
    <row r="57" spans="1:92" ht="15" customHeight="1">
      <c r="A57" s="22"/>
      <c r="B57" s="375" t="s">
        <v>190</v>
      </c>
      <c r="C57" s="263">
        <f t="shared" ref="C57:AE57" si="167">C36-C54-C56</f>
        <v>0</v>
      </c>
      <c r="D57" s="263">
        <f t="shared" si="167"/>
        <v>0</v>
      </c>
      <c r="E57" s="263">
        <f t="shared" si="167"/>
        <v>0</v>
      </c>
      <c r="F57" s="263">
        <f t="shared" si="167"/>
        <v>0</v>
      </c>
      <c r="G57" s="46">
        <f t="shared" si="167"/>
        <v>-2.2138839999999997</v>
      </c>
      <c r="H57" s="40">
        <f t="shared" si="167"/>
        <v>-8.5193739999999991</v>
      </c>
      <c r="I57" s="40">
        <f t="shared" si="167"/>
        <v>-1.1503950000000005</v>
      </c>
      <c r="J57" s="40">
        <f t="shared" si="167"/>
        <v>-2.2312130000000012</v>
      </c>
      <c r="K57" s="40">
        <f t="shared" si="167"/>
        <v>-4.5174349999999999</v>
      </c>
      <c r="L57" s="46">
        <f t="shared" si="167"/>
        <v>-16.418417000000002</v>
      </c>
      <c r="M57" s="40">
        <f t="shared" si="167"/>
        <v>-5.4532040000000004</v>
      </c>
      <c r="N57" s="40">
        <f t="shared" si="167"/>
        <v>-9.9191749999999992</v>
      </c>
      <c r="O57" s="40">
        <f t="shared" si="167"/>
        <v>-9.9406580000000009</v>
      </c>
      <c r="P57" s="40">
        <f t="shared" si="167"/>
        <v>-13.160807</v>
      </c>
      <c r="Q57" s="46">
        <f t="shared" si="167"/>
        <v>-38.473844</v>
      </c>
      <c r="R57" s="40">
        <f t="shared" si="167"/>
        <v>-20.836107000000002</v>
      </c>
      <c r="S57" s="40">
        <f t="shared" si="167"/>
        <v>-15.718957999999999</v>
      </c>
      <c r="T57" s="40">
        <f t="shared" si="167"/>
        <v>-21.081808000000002</v>
      </c>
      <c r="U57" s="40">
        <f t="shared" si="167"/>
        <v>-25.374930999999997</v>
      </c>
      <c r="V57" s="46">
        <f t="shared" si="167"/>
        <v>-83.011803999999998</v>
      </c>
      <c r="W57" s="40">
        <f t="shared" si="167"/>
        <v>-40.142554500000003</v>
      </c>
      <c r="X57" s="40">
        <f t="shared" si="167"/>
        <v>-68.452687499999996</v>
      </c>
      <c r="Y57" s="40">
        <f t="shared" si="167"/>
        <v>-59.062687499999996</v>
      </c>
      <c r="Z57" s="40">
        <f t="shared" si="167"/>
        <v>-92.088687499999992</v>
      </c>
      <c r="AA57" s="46">
        <f t="shared" si="167"/>
        <v>-259.74661699999996</v>
      </c>
      <c r="AB57" s="40">
        <f t="shared" si="167"/>
        <v>-55.809438011078512</v>
      </c>
      <c r="AC57" s="40">
        <f t="shared" si="167"/>
        <v>-57.694266561078507</v>
      </c>
      <c r="AD57" s="40">
        <f t="shared" si="167"/>
        <v>-59.917648561078508</v>
      </c>
      <c r="AE57" s="40">
        <f t="shared" si="167"/>
        <v>-78.332298561078503</v>
      </c>
      <c r="AF57" s="49">
        <f>AE57+AD57+AC57+AB57</f>
        <v>-251.75365169431404</v>
      </c>
      <c r="AG57" s="263"/>
      <c r="AH57" s="263"/>
      <c r="AI57" s="263"/>
      <c r="AJ57" s="263"/>
      <c r="AK57" s="46">
        <f>AK36-AK54-AK56</f>
        <v>-196.83127728718415</v>
      </c>
      <c r="AL57" s="263"/>
      <c r="AM57" s="263"/>
      <c r="AN57" s="263"/>
      <c r="AO57" s="263"/>
      <c r="AP57" s="46">
        <f>AP36-AP54-AP56</f>
        <v>-43.53028015814359</v>
      </c>
      <c r="AQ57" s="263"/>
      <c r="AR57" s="263"/>
      <c r="AS57" s="263"/>
      <c r="AT57" s="263"/>
      <c r="AU57" s="46">
        <f>AU36-AU54-AU56</f>
        <v>408.72608757957897</v>
      </c>
      <c r="AV57" s="263"/>
      <c r="AW57" s="263"/>
      <c r="AX57" s="263"/>
      <c r="AY57" s="263"/>
      <c r="AZ57" s="46">
        <f>AZ36-AZ54-AZ56</f>
        <v>673.84847557698345</v>
      </c>
      <c r="BA57" s="263"/>
      <c r="BB57" s="263"/>
      <c r="BC57" s="263"/>
      <c r="BD57" s="263"/>
      <c r="BE57" s="46">
        <f>BE36-BE54-BE56</f>
        <v>761.07553184306005</v>
      </c>
      <c r="BF57" s="263"/>
      <c r="BG57" s="263"/>
      <c r="BH57" s="263"/>
      <c r="BI57" s="263"/>
      <c r="BJ57" s="46">
        <f>BJ36-BJ54-BJ56</f>
        <v>650.60345652694991</v>
      </c>
      <c r="BK57" s="263"/>
      <c r="BL57" s="263"/>
      <c r="BM57" s="263"/>
      <c r="BN57" s="263"/>
      <c r="BO57" s="46">
        <f>BO36-BO54-BO56</f>
        <v>617.08503107441118</v>
      </c>
      <c r="BP57" s="263"/>
      <c r="BQ57" s="263"/>
      <c r="BR57" s="263"/>
      <c r="BS57" s="263"/>
      <c r="BT57" s="46">
        <f>BT36-BT54-BT56</f>
        <v>554.88894437667898</v>
      </c>
      <c r="BU57" s="263"/>
      <c r="BV57" s="263"/>
      <c r="BW57" s="263"/>
      <c r="BX57" s="263"/>
      <c r="BY57" s="46">
        <f>BY36-BY54-BY56</f>
        <v>527.60399156099731</v>
      </c>
      <c r="BZ57" s="263"/>
      <c r="CA57" s="263"/>
      <c r="CB57" s="263"/>
      <c r="CC57" s="263"/>
      <c r="CD57" s="46">
        <f>CD36-CD54-CD56</f>
        <v>564.55494143370061</v>
      </c>
      <c r="CE57" s="263"/>
      <c r="CF57" s="263"/>
      <c r="CG57" s="263"/>
      <c r="CH57" s="263"/>
      <c r="CI57" s="46">
        <f>CI36-CI54-CI56</f>
        <v>602.68660000014791</v>
      </c>
      <c r="CJ57" s="263"/>
      <c r="CK57" s="263"/>
      <c r="CL57" s="263"/>
      <c r="CM57" s="263"/>
      <c r="CN57" s="46">
        <f>CN36-CN54-CN56</f>
        <v>642.01548518946527</v>
      </c>
    </row>
    <row r="58" spans="1:92" ht="15" customHeight="1">
      <c r="A58" s="22"/>
      <c r="B58" s="94" t="s">
        <v>191</v>
      </c>
      <c r="C58" s="135"/>
      <c r="D58" s="135"/>
      <c r="E58" s="135"/>
      <c r="F58" s="135"/>
      <c r="G58" s="136">
        <f t="shared" ref="G58:AF58" si="168">+G57/G52</f>
        <v>-0.35542008713546258</v>
      </c>
      <c r="H58" s="135">
        <f t="shared" si="168"/>
        <v>-1.1921586023292179</v>
      </c>
      <c r="I58" s="135">
        <f t="shared" si="168"/>
        <v>-0.16961326268245785</v>
      </c>
      <c r="J58" s="135">
        <f t="shared" si="168"/>
        <v>-0.32612277620773417</v>
      </c>
      <c r="K58" s="135">
        <f t="shared" si="168"/>
        <v>-0.65566207728055759</v>
      </c>
      <c r="L58" s="136">
        <f t="shared" si="168"/>
        <v>-2.3738371847567032</v>
      </c>
      <c r="M58" s="135">
        <f t="shared" si="168"/>
        <v>-0.7908713109220421</v>
      </c>
      <c r="N58" s="135">
        <f t="shared" si="168"/>
        <v>-1.4107820877215338</v>
      </c>
      <c r="O58" s="135">
        <f t="shared" si="168"/>
        <v>-1.324688425654718</v>
      </c>
      <c r="P58" s="135">
        <f t="shared" si="168"/>
        <v>-1.8212821482947561</v>
      </c>
      <c r="Q58" s="136">
        <f t="shared" si="168"/>
        <v>-5.4283179482867165</v>
      </c>
      <c r="R58" s="135">
        <f t="shared" si="168"/>
        <v>-1.2421136975298186</v>
      </c>
      <c r="S58" s="135">
        <f t="shared" si="168"/>
        <v>-0.68302201484167913</v>
      </c>
      <c r="T58" s="135">
        <f t="shared" si="168"/>
        <v>-0.87237066217475701</v>
      </c>
      <c r="U58" s="135">
        <f t="shared" si="168"/>
        <v>-0.91677910112265359</v>
      </c>
      <c r="V58" s="136">
        <f t="shared" si="168"/>
        <v>-3.6653714438313347</v>
      </c>
      <c r="W58" s="135">
        <f t="shared" si="168"/>
        <v>-1.4474286897374427</v>
      </c>
      <c r="X58" s="135">
        <f t="shared" si="168"/>
        <v>-2.4472093845597622</v>
      </c>
      <c r="Y58" s="135">
        <f t="shared" si="168"/>
        <v>-1.8491075863340698</v>
      </c>
      <c r="Z58" s="135">
        <f t="shared" si="168"/>
        <v>-2.8750761005307521</v>
      </c>
      <c r="AA58" s="136">
        <f t="shared" si="168"/>
        <v>-8.6770207783530982</v>
      </c>
      <c r="AB58" s="135">
        <f t="shared" si="168"/>
        <v>-1.5525544826168975</v>
      </c>
      <c r="AC58" s="135">
        <f t="shared" si="168"/>
        <v>-1.5643898581138256</v>
      </c>
      <c r="AD58" s="135">
        <f t="shared" si="168"/>
        <v>-1.6165942681514345</v>
      </c>
      <c r="AE58" s="135">
        <f t="shared" si="168"/>
        <v>-2.102911916688925</v>
      </c>
      <c r="AF58" s="136">
        <f t="shared" si="168"/>
        <v>-6.8439150962506385</v>
      </c>
      <c r="AG58" s="135"/>
      <c r="AH58" s="135"/>
      <c r="AI58" s="135"/>
      <c r="AJ58" s="135"/>
      <c r="AK58" s="136">
        <f>+AK57/AK52</f>
        <v>-5.2189037852276723</v>
      </c>
      <c r="AL58" s="135"/>
      <c r="AM58" s="135"/>
      <c r="AN58" s="135"/>
      <c r="AO58" s="135"/>
      <c r="AP58" s="136">
        <f>+AP57/AP52</f>
        <v>-1.1399389943418998</v>
      </c>
      <c r="AQ58" s="135"/>
      <c r="AR58" s="135"/>
      <c r="AS58" s="135"/>
      <c r="AT58" s="135"/>
      <c r="AU58" s="136">
        <f>+AU57/AU52</f>
        <v>10.467890937411843</v>
      </c>
      <c r="AV58" s="135"/>
      <c r="AW58" s="135"/>
      <c r="AX58" s="135"/>
      <c r="AY58" s="135"/>
      <c r="AZ58" s="136">
        <f>+AZ57/AZ52</f>
        <v>16.878185845792451</v>
      </c>
      <c r="BA58" s="135"/>
      <c r="BB58" s="135"/>
      <c r="BC58" s="135"/>
      <c r="BD58" s="135"/>
      <c r="BE58" s="136">
        <f>+BE57/BE52</f>
        <v>18.64352191330622</v>
      </c>
      <c r="BF58" s="135"/>
      <c r="BG58" s="135"/>
      <c r="BH58" s="135"/>
      <c r="BI58" s="135"/>
      <c r="BJ58" s="136">
        <f>+BJ57/BJ52</f>
        <v>15.586666649475411</v>
      </c>
      <c r="BK58" s="135"/>
      <c r="BL58" s="135"/>
      <c r="BM58" s="135"/>
      <c r="BN58" s="135"/>
      <c r="BO58" s="136">
        <f>+BO57/BO52</f>
        <v>14.601143216142262</v>
      </c>
      <c r="BP58" s="135"/>
      <c r="BQ58" s="135"/>
      <c r="BR58" s="135"/>
      <c r="BS58" s="135"/>
      <c r="BT58" s="136">
        <f>+BT57/BT52</f>
        <v>12.967399453494512</v>
      </c>
      <c r="BU58" s="135"/>
      <c r="BV58" s="135"/>
      <c r="BW58" s="135"/>
      <c r="BX58" s="135"/>
      <c r="BY58" s="136">
        <f>+BY57/BY52</f>
        <v>12.177548218178339</v>
      </c>
      <c r="BZ58" s="135"/>
      <c r="CA58" s="135"/>
      <c r="CB58" s="135"/>
      <c r="CC58" s="135"/>
      <c r="CD58" s="136">
        <f>+CD57/CD52</f>
        <v>12.869538294917188</v>
      </c>
      <c r="CE58" s="135"/>
      <c r="CF58" s="135"/>
      <c r="CG58" s="135"/>
      <c r="CH58" s="135"/>
      <c r="CI58" s="136">
        <f>+CI57/CI52</f>
        <v>13.569169176361132</v>
      </c>
      <c r="CJ58" s="135"/>
      <c r="CK58" s="135"/>
      <c r="CL58" s="135"/>
      <c r="CM58" s="135"/>
      <c r="CN58" s="136">
        <f>+CN57/CN52</f>
        <v>14.276185846044664</v>
      </c>
    </row>
    <row r="59" spans="1:92" ht="8.25" customHeight="1">
      <c r="A59" s="22"/>
      <c r="B59" s="24"/>
      <c r="C59" s="43"/>
      <c r="D59" s="43"/>
      <c r="E59" s="43"/>
      <c r="F59" s="43"/>
      <c r="G59" s="50"/>
      <c r="H59" s="43"/>
      <c r="I59" s="43"/>
      <c r="J59" s="43"/>
      <c r="K59" s="43"/>
      <c r="L59" s="50"/>
      <c r="M59" s="43"/>
      <c r="N59" s="43"/>
      <c r="O59" s="43"/>
      <c r="P59" s="43"/>
      <c r="Q59" s="50"/>
      <c r="R59" s="43"/>
      <c r="S59" s="43"/>
      <c r="T59" s="43"/>
      <c r="U59" s="43"/>
      <c r="V59" s="50"/>
      <c r="W59" s="43"/>
      <c r="X59" s="43"/>
      <c r="Y59" s="43"/>
      <c r="Z59" s="43"/>
      <c r="AA59" s="50"/>
      <c r="AB59" s="43"/>
      <c r="AC59" s="43"/>
      <c r="AD59" s="43"/>
      <c r="AE59" s="43"/>
      <c r="AF59" s="50"/>
      <c r="AG59" s="43"/>
      <c r="AH59" s="43"/>
      <c r="AI59" s="43"/>
      <c r="AJ59" s="43"/>
      <c r="AK59" s="50"/>
      <c r="AL59" s="43"/>
      <c r="AM59" s="43"/>
      <c r="AN59" s="43"/>
      <c r="AO59" s="43"/>
      <c r="AP59" s="50"/>
      <c r="AQ59" s="43"/>
      <c r="AR59" s="43"/>
      <c r="AS59" s="43"/>
      <c r="AT59" s="43"/>
      <c r="AU59" s="50"/>
      <c r="AV59" s="43"/>
      <c r="AW59" s="43"/>
      <c r="AX59" s="43"/>
      <c r="AY59" s="43"/>
      <c r="AZ59" s="50"/>
      <c r="BA59" s="43"/>
      <c r="BB59" s="43"/>
      <c r="BC59" s="43"/>
      <c r="BD59" s="43"/>
      <c r="BE59" s="50"/>
      <c r="BF59" s="43"/>
      <c r="BG59" s="43"/>
      <c r="BH59" s="43"/>
      <c r="BI59" s="43"/>
      <c r="BJ59" s="50"/>
      <c r="BK59" s="43"/>
      <c r="BL59" s="43"/>
      <c r="BM59" s="43"/>
      <c r="BN59" s="43"/>
      <c r="BO59" s="50"/>
      <c r="BP59" s="43"/>
      <c r="BQ59" s="43"/>
      <c r="BR59" s="43"/>
      <c r="BS59" s="43"/>
      <c r="BT59" s="50"/>
      <c r="BU59" s="43"/>
      <c r="BV59" s="43"/>
      <c r="BW59" s="43"/>
      <c r="BX59" s="43"/>
      <c r="BY59" s="50"/>
      <c r="BZ59" s="43"/>
      <c r="CA59" s="43"/>
      <c r="CB59" s="43"/>
      <c r="CC59" s="43"/>
      <c r="CD59" s="50"/>
      <c r="CE59" s="43"/>
      <c r="CF59" s="43"/>
      <c r="CG59" s="43"/>
      <c r="CH59" s="43"/>
      <c r="CI59" s="50"/>
      <c r="CJ59" s="43"/>
      <c r="CK59" s="43"/>
      <c r="CL59" s="43"/>
      <c r="CM59" s="43"/>
      <c r="CN59" s="50"/>
    </row>
    <row r="60" spans="1:92" ht="15" customHeight="1">
      <c r="A60" s="22"/>
      <c r="B60" s="24"/>
      <c r="C60" s="43"/>
      <c r="D60" s="43"/>
      <c r="E60" s="43"/>
      <c r="F60" s="43"/>
      <c r="G60" s="50"/>
      <c r="H60" s="43"/>
      <c r="I60" s="43"/>
      <c r="J60" s="43"/>
      <c r="K60" s="43"/>
      <c r="L60" s="50"/>
      <c r="M60" s="43"/>
      <c r="N60" s="43"/>
      <c r="O60" s="43"/>
      <c r="P60" s="43"/>
      <c r="Q60" s="50"/>
      <c r="R60" s="43"/>
      <c r="S60" s="43"/>
      <c r="T60" s="43"/>
      <c r="U60" s="43"/>
      <c r="V60" s="50"/>
      <c r="W60" s="349"/>
      <c r="X60" s="43"/>
      <c r="Y60" s="43"/>
      <c r="Z60" s="43"/>
      <c r="AA60" s="50"/>
      <c r="AB60" s="43"/>
      <c r="AC60" s="43"/>
      <c r="AD60" s="43"/>
      <c r="AE60" s="43"/>
      <c r="AF60" s="50"/>
      <c r="AG60" s="43"/>
      <c r="AH60" s="43"/>
      <c r="AI60" s="43"/>
      <c r="AJ60" s="43"/>
      <c r="AK60" s="50"/>
      <c r="AL60" s="43"/>
      <c r="AM60" s="43"/>
      <c r="AN60" s="43"/>
      <c r="AO60" s="43"/>
      <c r="AP60" s="50"/>
      <c r="AQ60" s="43"/>
      <c r="AR60" s="43"/>
      <c r="AS60" s="43"/>
      <c r="AT60" s="43"/>
      <c r="AU60" s="50"/>
      <c r="AV60" s="43"/>
      <c r="AW60" s="43"/>
      <c r="AX60" s="43"/>
      <c r="AY60" s="43"/>
      <c r="AZ60" s="50"/>
      <c r="BA60" s="43"/>
      <c r="BB60" s="43"/>
      <c r="BC60" s="43"/>
      <c r="BD60" s="43"/>
      <c r="BE60" s="50"/>
      <c r="BF60" s="43"/>
      <c r="BG60" s="43"/>
      <c r="BH60" s="43"/>
      <c r="BI60" s="43"/>
      <c r="BJ60" s="50"/>
      <c r="BK60" s="43"/>
      <c r="BL60" s="43"/>
      <c r="BM60" s="43"/>
      <c r="BN60" s="43"/>
      <c r="BO60" s="50"/>
      <c r="BP60" s="43"/>
      <c r="BQ60" s="43"/>
      <c r="BR60" s="43"/>
      <c r="BS60" s="43"/>
      <c r="BT60" s="50"/>
      <c r="BU60" s="43"/>
      <c r="BV60" s="43"/>
      <c r="BW60" s="43"/>
      <c r="BX60" s="43"/>
      <c r="BY60" s="50"/>
      <c r="BZ60" s="43"/>
      <c r="CA60" s="43"/>
      <c r="CB60" s="43"/>
      <c r="CC60" s="43"/>
      <c r="CD60" s="50"/>
      <c r="CE60" s="43"/>
      <c r="CF60" s="43"/>
      <c r="CG60" s="43"/>
      <c r="CH60" s="43"/>
      <c r="CI60" s="216"/>
      <c r="CJ60" s="43"/>
      <c r="CK60" s="43"/>
      <c r="CL60" s="43"/>
      <c r="CM60" s="43"/>
      <c r="CN60" s="50"/>
    </row>
    <row r="61" spans="1:92" ht="15" customHeight="1">
      <c r="A61" s="23"/>
      <c r="B61" s="42" t="s">
        <v>6</v>
      </c>
      <c r="C61" s="40"/>
      <c r="D61" s="40"/>
      <c r="E61" s="40"/>
      <c r="F61" s="40"/>
      <c r="G61" s="46">
        <v>6.1732950000000004</v>
      </c>
      <c r="H61" s="40">
        <f>1.61326/2</f>
        <v>0.80662999999999996</v>
      </c>
      <c r="I61" s="40">
        <f>1.61326-H61</f>
        <v>0.80662999999999996</v>
      </c>
      <c r="J61" s="40">
        <f>3.136359-SUM(H61:I61)</f>
        <v>1.5230990000000002</v>
      </c>
      <c r="K61" s="40">
        <f>6.173278-SUM(H61:J61)</f>
        <v>3.0369189999999997</v>
      </c>
      <c r="L61" s="46">
        <f t="shared" ref="L61:L62" si="169">SUM(H61:K61)</f>
        <v>6.1732779999999998</v>
      </c>
      <c r="M61" s="40">
        <v>4.110163</v>
      </c>
      <c r="N61" s="40">
        <v>5.8120849999999997</v>
      </c>
      <c r="O61" s="40">
        <v>5.3123800000000001</v>
      </c>
      <c r="P61" s="40">
        <f>20.974753-SUM(M61:O61)</f>
        <v>5.740124999999999</v>
      </c>
      <c r="Q61" s="46">
        <f t="shared" ref="Q61:Q62" si="170">SUM(M61:P61)</f>
        <v>20.974753</v>
      </c>
      <c r="R61" s="40">
        <v>11.460342000000001</v>
      </c>
      <c r="S61" s="40">
        <v>1.2912729999999999</v>
      </c>
      <c r="T61" s="40">
        <v>2.6524939999999999</v>
      </c>
      <c r="U61" s="40">
        <f>17.051718-SUM(R61:T61)</f>
        <v>1.6476089999999992</v>
      </c>
      <c r="V61" s="46">
        <f t="shared" ref="V61:V62" si="171">SUM(R61:U61)</f>
        <v>17.051718000000001</v>
      </c>
      <c r="W61" s="40">
        <v>1.9778640000000001</v>
      </c>
      <c r="X61" s="40">
        <v>3.7</v>
      </c>
      <c r="Y61" s="40">
        <v>4.8940000000000001</v>
      </c>
      <c r="Z61" s="40">
        <f>15.383-Y61-X61-W61</f>
        <v>4.8111359999999985</v>
      </c>
      <c r="AA61" s="46">
        <f>Z61+Y61+X61+W61</f>
        <v>15.382999999999999</v>
      </c>
      <c r="AB61" s="40">
        <f>$AF$61*0.25</f>
        <v>3.6094097364230384</v>
      </c>
      <c r="AC61" s="40">
        <f t="shared" ref="AC61:AE61" si="172">$AF$61*0.25</f>
        <v>3.6094097364230384</v>
      </c>
      <c r="AD61" s="40">
        <f t="shared" si="172"/>
        <v>3.6094097364230384</v>
      </c>
      <c r="AE61" s="40">
        <f t="shared" si="172"/>
        <v>3.6094097364230384</v>
      </c>
      <c r="AF61" s="46">
        <f>AA61/AA63*AF63</f>
        <v>14.437638945692154</v>
      </c>
      <c r="AG61" s="40"/>
      <c r="AH61" s="40"/>
      <c r="AI61" s="40"/>
      <c r="AJ61" s="40"/>
      <c r="AK61" s="46">
        <f>AF61/AF63*AK63</f>
        <v>15.06572899748482</v>
      </c>
      <c r="AL61" s="40"/>
      <c r="AM61" s="40"/>
      <c r="AN61" s="40"/>
      <c r="AO61" s="40"/>
      <c r="AP61" s="46">
        <f>AK61/AK63*AP63</f>
        <v>16.722909891620343</v>
      </c>
      <c r="AQ61" s="40"/>
      <c r="AR61" s="40"/>
      <c r="AS61" s="40"/>
      <c r="AT61" s="40"/>
      <c r="AU61" s="46">
        <f>AP61/AP63*AU63</f>
        <v>21.373073496711392</v>
      </c>
      <c r="AV61" s="40"/>
      <c r="AW61" s="40"/>
      <c r="AX61" s="40"/>
      <c r="AY61" s="40"/>
      <c r="AZ61" s="46">
        <f>AU61/AU63*AZ63</f>
        <v>26.356680119434319</v>
      </c>
      <c r="BA61" s="40"/>
      <c r="BB61" s="40"/>
      <c r="BC61" s="40"/>
      <c r="BD61" s="40"/>
      <c r="BE61" s="46">
        <f>AZ61/AZ63*BE63</f>
        <v>25.802730417853926</v>
      </c>
      <c r="BF61" s="40"/>
      <c r="BG61" s="40"/>
      <c r="BH61" s="40"/>
      <c r="BI61" s="40"/>
      <c r="BJ61" s="46">
        <f>BE61/BE63*BJ63</f>
        <v>21.887738719584242</v>
      </c>
      <c r="BK61" s="40"/>
      <c r="BL61" s="40"/>
      <c r="BM61" s="40"/>
      <c r="BN61" s="40"/>
      <c r="BO61" s="46">
        <f>BJ61/BJ63*BO63</f>
        <v>19.329701245522909</v>
      </c>
      <c r="BP61" s="40"/>
      <c r="BQ61" s="40"/>
      <c r="BR61" s="40"/>
      <c r="BS61" s="40"/>
      <c r="BT61" s="46">
        <f>BO61/BO63*BT63</f>
        <v>16.765434442165901</v>
      </c>
      <c r="BU61" s="40"/>
      <c r="BV61" s="40"/>
      <c r="BW61" s="40"/>
      <c r="BX61" s="40"/>
      <c r="BY61" s="46">
        <f>BT61/BT63*BY63</f>
        <v>14.791886133501901</v>
      </c>
      <c r="BZ61" s="40"/>
      <c r="CA61" s="40"/>
      <c r="CB61" s="40"/>
      <c r="CC61" s="40"/>
      <c r="CD61" s="46">
        <f>BY61/BY63*CD63</f>
        <v>13.421862743225379</v>
      </c>
      <c r="CE61" s="40"/>
      <c r="CF61" s="40"/>
      <c r="CG61" s="40"/>
      <c r="CH61" s="40"/>
      <c r="CI61" s="46">
        <f>CD61/CD63*CI63</f>
        <v>12.078912723863096</v>
      </c>
      <c r="CJ61" s="40"/>
      <c r="CK61" s="40"/>
      <c r="CL61" s="40"/>
      <c r="CM61" s="40"/>
      <c r="CN61" s="46">
        <f>CI61/CI63*CN63</f>
        <v>10.77000402052969</v>
      </c>
    </row>
    <row r="62" spans="1:92" ht="15" customHeight="1">
      <c r="A62" s="23"/>
      <c r="B62" s="42" t="s">
        <v>113</v>
      </c>
      <c r="C62" s="40"/>
      <c r="D62" s="40"/>
      <c r="E62" s="40"/>
      <c r="F62" s="40"/>
      <c r="G62" s="46">
        <v>1.0246200000000001</v>
      </c>
      <c r="H62" s="40">
        <f>0.975126/2</f>
        <v>0.48756300000000002</v>
      </c>
      <c r="I62" s="40">
        <f>0.975126-H62</f>
        <v>0.48756300000000002</v>
      </c>
      <c r="J62" s="40">
        <f>1.00571-SUM(H62:I62)</f>
        <v>3.0584000000000056E-2</v>
      </c>
      <c r="K62" s="40">
        <f>1.02462-SUM(H62:J62)</f>
        <v>1.8909999999999982E-2</v>
      </c>
      <c r="L62" s="46">
        <f t="shared" si="169"/>
        <v>1.0246200000000001</v>
      </c>
      <c r="M62" s="40">
        <v>5.2288000000000001E-2</v>
      </c>
      <c r="N62" s="40">
        <v>0.76741400000000004</v>
      </c>
      <c r="O62" s="40">
        <v>1.4887429999999999</v>
      </c>
      <c r="P62" s="40">
        <f>3.956376-SUM(M62:O62)</f>
        <v>1.6479310000000003</v>
      </c>
      <c r="Q62" s="46">
        <f t="shared" si="170"/>
        <v>3.9563760000000001</v>
      </c>
      <c r="R62" s="40">
        <v>2.083205</v>
      </c>
      <c r="S62" s="40">
        <v>2.5535130000000001</v>
      </c>
      <c r="T62" s="40">
        <v>2.6729630000000002</v>
      </c>
      <c r="U62" s="40">
        <f>9.734052-SUM(R62:T62)</f>
        <v>2.4243709999999998</v>
      </c>
      <c r="V62" s="46">
        <f t="shared" si="171"/>
        <v>9.7340520000000001</v>
      </c>
      <c r="W62" s="40">
        <v>2.7645569999999999</v>
      </c>
      <c r="X62" s="40">
        <v>4.5</v>
      </c>
      <c r="Y62" s="40">
        <v>5.274</v>
      </c>
      <c r="Z62" s="40">
        <f>15.502-Y62-X62-W62</f>
        <v>2.9634430000000016</v>
      </c>
      <c r="AA62" s="46">
        <f>Z62+Y62+X62+W62</f>
        <v>15.502000000000002</v>
      </c>
      <c r="AB62" s="40">
        <f>$AF$62*0.25</f>
        <v>3.6373314525144611</v>
      </c>
      <c r="AC62" s="40">
        <f>$AF$62*0.25</f>
        <v>3.6373314525144611</v>
      </c>
      <c r="AD62" s="40">
        <f>$AF$62*0.25</f>
        <v>3.6373314525144611</v>
      </c>
      <c r="AE62" s="40">
        <f>$AF$62*0.25</f>
        <v>3.6373314525144611</v>
      </c>
      <c r="AF62" s="46">
        <f>AF63-AF61</f>
        <v>14.549325810057844</v>
      </c>
      <c r="AG62" s="40"/>
      <c r="AH62" s="40"/>
      <c r="AI62" s="40"/>
      <c r="AJ62" s="40"/>
      <c r="AK62" s="46">
        <f>AK63-AK61</f>
        <v>15.182274648573733</v>
      </c>
      <c r="AL62" s="40"/>
      <c r="AM62" s="40"/>
      <c r="AN62" s="40"/>
      <c r="AO62" s="40"/>
      <c r="AP62" s="46">
        <f>AP63-AP61</f>
        <v>16.852275182987622</v>
      </c>
      <c r="AQ62" s="40"/>
      <c r="AR62" s="40"/>
      <c r="AS62" s="40"/>
      <c r="AT62" s="40"/>
      <c r="AU62" s="46">
        <f>AU63-AU61</f>
        <v>21.538411580707276</v>
      </c>
      <c r="AV62" s="40"/>
      <c r="AW62" s="40"/>
      <c r="AX62" s="40"/>
      <c r="AY62" s="40"/>
      <c r="AZ62" s="46">
        <f>AZ63-AZ61</f>
        <v>26.560570448642711</v>
      </c>
      <c r="BA62" s="40"/>
      <c r="BB62" s="40"/>
      <c r="BC62" s="40"/>
      <c r="BD62" s="40"/>
      <c r="BE62" s="46">
        <f>BE63-BE61</f>
        <v>26.002335496169248</v>
      </c>
      <c r="BF62" s="40"/>
      <c r="BG62" s="40"/>
      <c r="BH62" s="40"/>
      <c r="BI62" s="40"/>
      <c r="BJ62" s="46">
        <f>BJ63-BJ61</f>
        <v>22.057058157121169</v>
      </c>
      <c r="BK62" s="40"/>
      <c r="BL62" s="40"/>
      <c r="BM62" s="40"/>
      <c r="BN62" s="40"/>
      <c r="BO62" s="46">
        <f>BO63-BO61</f>
        <v>19.479232185405717</v>
      </c>
      <c r="BP62" s="40"/>
      <c r="BQ62" s="40"/>
      <c r="BR62" s="40"/>
      <c r="BS62" s="40"/>
      <c r="BT62" s="46">
        <f>BT63-BT61</f>
        <v>16.895128695472653</v>
      </c>
      <c r="BU62" s="40"/>
      <c r="BV62" s="40"/>
      <c r="BW62" s="40"/>
      <c r="BX62" s="40"/>
      <c r="BY62" s="46">
        <f>BY63-BY61</f>
        <v>14.906313387606218</v>
      </c>
      <c r="BZ62" s="40"/>
      <c r="CA62" s="40"/>
      <c r="CB62" s="40"/>
      <c r="CC62" s="40"/>
      <c r="CD62" s="46">
        <f>CD63-CD61</f>
        <v>13.525691753590316</v>
      </c>
      <c r="CE62" s="40"/>
      <c r="CF62" s="40"/>
      <c r="CG62" s="40"/>
      <c r="CH62" s="40"/>
      <c r="CI62" s="46">
        <f>CI63-CI61</f>
        <v>12.172352925003297</v>
      </c>
      <c r="CJ62" s="40"/>
      <c r="CK62" s="40"/>
      <c r="CL62" s="40"/>
      <c r="CM62" s="40"/>
      <c r="CN62" s="46">
        <f>CN63-CN61</f>
        <v>10.853318749675047</v>
      </c>
    </row>
    <row r="63" spans="1:92" ht="15" customHeight="1">
      <c r="A63" s="20"/>
      <c r="B63" s="23" t="s">
        <v>10</v>
      </c>
      <c r="C63" s="37"/>
      <c r="D63" s="37"/>
      <c r="E63" s="37"/>
      <c r="F63" s="37"/>
      <c r="G63" s="49">
        <f t="shared" ref="G63:Q63" si="173">SUM(G61:G62)</f>
        <v>7.1979150000000001</v>
      </c>
      <c r="H63" s="37">
        <f t="shared" ref="H63:L63" si="174">SUM(H61:H62)</f>
        <v>1.2941929999999999</v>
      </c>
      <c r="I63" s="37">
        <f t="shared" si="174"/>
        <v>1.2941929999999999</v>
      </c>
      <c r="J63" s="37">
        <f t="shared" si="174"/>
        <v>1.5536830000000004</v>
      </c>
      <c r="K63" s="37">
        <f t="shared" si="174"/>
        <v>3.0558289999999997</v>
      </c>
      <c r="L63" s="49">
        <f t="shared" si="174"/>
        <v>7.1978980000000004</v>
      </c>
      <c r="M63" s="37">
        <f t="shared" si="173"/>
        <v>4.1624509999999999</v>
      </c>
      <c r="N63" s="37">
        <f t="shared" si="173"/>
        <v>6.5794990000000002</v>
      </c>
      <c r="O63" s="37">
        <f t="shared" si="173"/>
        <v>6.8011230000000005</v>
      </c>
      <c r="P63" s="37">
        <f t="shared" si="173"/>
        <v>7.3880559999999988</v>
      </c>
      <c r="Q63" s="49">
        <f t="shared" si="173"/>
        <v>24.931128999999999</v>
      </c>
      <c r="R63" s="37">
        <f t="shared" ref="R63:V63" si="175">SUM(R61:R62)</f>
        <v>13.543547</v>
      </c>
      <c r="S63" s="37">
        <f t="shared" si="175"/>
        <v>3.844786</v>
      </c>
      <c r="T63" s="37">
        <f t="shared" si="175"/>
        <v>5.3254570000000001</v>
      </c>
      <c r="U63" s="37">
        <f t="shared" si="175"/>
        <v>4.071979999999999</v>
      </c>
      <c r="V63" s="49">
        <f t="shared" si="175"/>
        <v>26.785769999999999</v>
      </c>
      <c r="W63" s="37">
        <f>W62+W61</f>
        <v>4.7424210000000002</v>
      </c>
      <c r="X63" s="37">
        <f>X62+X61</f>
        <v>8.1999999999999993</v>
      </c>
      <c r="Y63" s="37">
        <f>Y62+Y61</f>
        <v>10.167999999999999</v>
      </c>
      <c r="Z63" s="37">
        <f>Z62+Z61</f>
        <v>7.7745790000000001</v>
      </c>
      <c r="AA63" s="49">
        <f>AA62+AA61</f>
        <v>30.885000000000002</v>
      </c>
      <c r="AB63" s="37">
        <f t="shared" ref="AB63:AE63" si="176">AB62+AB61</f>
        <v>7.2467411889374995</v>
      </c>
      <c r="AC63" s="37">
        <f t="shared" si="176"/>
        <v>7.2467411889374995</v>
      </c>
      <c r="AD63" s="37">
        <f t="shared" si="176"/>
        <v>7.2467411889374995</v>
      </c>
      <c r="AE63" s="37">
        <f t="shared" si="176"/>
        <v>7.2467411889374995</v>
      </c>
      <c r="AF63" s="49">
        <f>AF64*(AF15+AF21+AF25)</f>
        <v>28.986964755749998</v>
      </c>
      <c r="AG63" s="37"/>
      <c r="AH63" s="37"/>
      <c r="AI63" s="37"/>
      <c r="AJ63" s="37"/>
      <c r="AK63" s="49">
        <f>AK64*(AK15+AK21+AK25)</f>
        <v>30.248003646058553</v>
      </c>
      <c r="AL63" s="37"/>
      <c r="AM63" s="37"/>
      <c r="AN63" s="37"/>
      <c r="AO63" s="37"/>
      <c r="AP63" s="49">
        <f>AP64*(AP15+AP21+AP25)</f>
        <v>33.575185074607965</v>
      </c>
      <c r="AQ63" s="37"/>
      <c r="AR63" s="37"/>
      <c r="AS63" s="37"/>
      <c r="AT63" s="37"/>
      <c r="AU63" s="49">
        <f>AU64*(AU15+AU21+AU25)</f>
        <v>42.911485077418668</v>
      </c>
      <c r="AV63" s="37"/>
      <c r="AW63" s="37"/>
      <c r="AX63" s="37"/>
      <c r="AY63" s="37"/>
      <c r="AZ63" s="49">
        <f>AZ64*(AZ15+AZ21+AZ25)</f>
        <v>52.91725056807703</v>
      </c>
      <c r="BA63" s="37"/>
      <c r="BB63" s="37"/>
      <c r="BC63" s="37"/>
      <c r="BD63" s="37"/>
      <c r="BE63" s="49">
        <f>BE64*(BE15+BE21+BE25)</f>
        <v>51.805065914023174</v>
      </c>
      <c r="BF63" s="37"/>
      <c r="BG63" s="37"/>
      <c r="BH63" s="37"/>
      <c r="BI63" s="37"/>
      <c r="BJ63" s="49">
        <f>BJ64*(BJ15+BJ21+BJ25)</f>
        <v>43.944796876705411</v>
      </c>
      <c r="BK63" s="37"/>
      <c r="BL63" s="37"/>
      <c r="BM63" s="37"/>
      <c r="BN63" s="37"/>
      <c r="BO63" s="49">
        <f>BO64*(BO15+BO21+BO25)</f>
        <v>38.808933430928626</v>
      </c>
      <c r="BP63" s="37"/>
      <c r="BQ63" s="37"/>
      <c r="BR63" s="37"/>
      <c r="BS63" s="37"/>
      <c r="BT63" s="49">
        <f>BT64*(BT15+BT21+BT25)</f>
        <v>33.660563137638555</v>
      </c>
      <c r="BU63" s="37"/>
      <c r="BV63" s="37"/>
      <c r="BW63" s="37"/>
      <c r="BX63" s="37"/>
      <c r="BY63" s="49">
        <f>BY64*(BY15+BY21+BY25)</f>
        <v>29.698199521108119</v>
      </c>
      <c r="BZ63" s="37"/>
      <c r="CA63" s="37"/>
      <c r="CB63" s="37"/>
      <c r="CC63" s="37"/>
      <c r="CD63" s="49">
        <f>CD64*(CD15+CD21+CD25)</f>
        <v>26.947554496815695</v>
      </c>
      <c r="CE63" s="37"/>
      <c r="CF63" s="37"/>
      <c r="CG63" s="37"/>
      <c r="CH63" s="37"/>
      <c r="CI63" s="49">
        <f>CI64*(CI15+CI21+CI25)</f>
        <v>24.251265648866394</v>
      </c>
      <c r="CJ63" s="37"/>
      <c r="CK63" s="37"/>
      <c r="CL63" s="37"/>
      <c r="CM63" s="37"/>
      <c r="CN63" s="49">
        <f>CN64*(CN15+CN21+CN25)</f>
        <v>21.623322770204737</v>
      </c>
    </row>
    <row r="64" spans="1:92" ht="15" customHeight="1">
      <c r="A64" s="22"/>
      <c r="B64" s="24" t="s">
        <v>11</v>
      </c>
      <c r="C64" s="43"/>
      <c r="D64" s="43"/>
      <c r="E64" s="43"/>
      <c r="F64" s="43"/>
      <c r="G64" s="50">
        <f t="shared" ref="G64:V64" si="177">G63/(G15+G25+G21)</f>
        <v>3.2762814540161322</v>
      </c>
      <c r="H64" s="43">
        <f t="shared" si="177"/>
        <v>0.15411424259322967</v>
      </c>
      <c r="I64" s="43">
        <f t="shared" si="177"/>
        <v>1.1312223245861686</v>
      </c>
      <c r="J64" s="43">
        <f t="shared" si="177"/>
        <v>0.69777488351204153</v>
      </c>
      <c r="K64" s="43">
        <f t="shared" si="177"/>
        <v>0.83675286670980265</v>
      </c>
      <c r="L64" s="266">
        <f t="shared" si="177"/>
        <v>0.46678003655047129</v>
      </c>
      <c r="M64" s="43">
        <f t="shared" si="177"/>
        <v>0.76310013146559663</v>
      </c>
      <c r="N64" s="43">
        <f t="shared" si="177"/>
        <v>0.66303137243836774</v>
      </c>
      <c r="O64" s="43">
        <f t="shared" si="177"/>
        <v>0.67811680567593746</v>
      </c>
      <c r="P64" s="43">
        <f t="shared" si="177"/>
        <v>0.56116683535217915</v>
      </c>
      <c r="Q64" s="266">
        <f t="shared" si="177"/>
        <v>0.64633675741492669</v>
      </c>
      <c r="R64" s="43">
        <f t="shared" si="177"/>
        <v>0.64835778176477743</v>
      </c>
      <c r="S64" s="43">
        <f t="shared" si="177"/>
        <v>0.24337497397578536</v>
      </c>
      <c r="T64" s="43">
        <f t="shared" si="177"/>
        <v>0.25143330653496748</v>
      </c>
      <c r="U64" s="43">
        <f t="shared" si="177"/>
        <v>0.15938931983757396</v>
      </c>
      <c r="V64" s="266">
        <f t="shared" si="177"/>
        <v>0.3211162107798724</v>
      </c>
      <c r="W64" s="43">
        <f>W63/(W21+W25)</f>
        <v>0.15826636226957844</v>
      </c>
      <c r="X64" s="43">
        <f>X63/(X21+X25)</f>
        <v>0.14050719671007539</v>
      </c>
      <c r="Y64" s="43">
        <f>Y63/(Y25+Y21+Y15)</f>
        <v>0.20533117932148626</v>
      </c>
      <c r="Z64" s="43">
        <f>Z63/(Z25+Z21+Z15)</f>
        <v>9.4211056311573754E-2</v>
      </c>
      <c r="AA64" s="266">
        <f t="shared" ref="AA64" si="178">AA63/(AA15+AA25+AA21)</f>
        <v>0.1401520504308508</v>
      </c>
      <c r="AB64" s="43">
        <f t="shared" ref="AB64:AE64" si="179">AB63/(AB25+AB21+AB15)</f>
        <v>0.15567453118335323</v>
      </c>
      <c r="AC64" s="43">
        <f t="shared" si="179"/>
        <v>0.14961657167772349</v>
      </c>
      <c r="AD64" s="43">
        <f t="shared" si="179"/>
        <v>0.1430499970180403</v>
      </c>
      <c r="AE64" s="43">
        <f t="shared" si="179"/>
        <v>0.10491355490333117</v>
      </c>
      <c r="AF64" s="187">
        <v>0.13500000000000001</v>
      </c>
      <c r="AG64" s="43"/>
      <c r="AH64" s="43"/>
      <c r="AI64" s="43"/>
      <c r="AJ64" s="43"/>
      <c r="AK64" s="187">
        <f>AF64-0.005</f>
        <v>0.13</v>
      </c>
      <c r="AL64" s="43"/>
      <c r="AM64" s="43"/>
      <c r="AN64" s="43"/>
      <c r="AO64" s="43"/>
      <c r="AP64" s="187">
        <f>AK64-0.005</f>
        <v>0.125</v>
      </c>
      <c r="AQ64" s="43"/>
      <c r="AR64" s="43"/>
      <c r="AS64" s="43"/>
      <c r="AT64" s="43"/>
      <c r="AU64" s="187">
        <f>AP64-0.005</f>
        <v>0.12</v>
      </c>
      <c r="AV64" s="43"/>
      <c r="AW64" s="43"/>
      <c r="AX64" s="43"/>
      <c r="AY64" s="43"/>
      <c r="AZ64" s="187">
        <f>AU64-0.005</f>
        <v>0.11499999999999999</v>
      </c>
      <c r="BA64" s="43"/>
      <c r="BB64" s="43"/>
      <c r="BC64" s="43"/>
      <c r="BD64" s="43"/>
      <c r="BE64" s="187">
        <f>AZ64-0.005</f>
        <v>0.10999999999999999</v>
      </c>
      <c r="BF64" s="43"/>
      <c r="BG64" s="43"/>
      <c r="BH64" s="43"/>
      <c r="BI64" s="43"/>
      <c r="BJ64" s="187">
        <f>BE64-0.005</f>
        <v>0.10499999999999998</v>
      </c>
      <c r="BK64" s="43"/>
      <c r="BL64" s="43"/>
      <c r="BM64" s="43"/>
      <c r="BN64" s="43"/>
      <c r="BO64" s="187">
        <f>BJ64-0.005</f>
        <v>9.9999999999999978E-2</v>
      </c>
      <c r="BP64" s="43"/>
      <c r="BQ64" s="43"/>
      <c r="BR64" s="43"/>
      <c r="BS64" s="43"/>
      <c r="BT64" s="187">
        <f>BO64-0.005</f>
        <v>9.4999999999999973E-2</v>
      </c>
      <c r="BU64" s="43"/>
      <c r="BV64" s="43"/>
      <c r="BW64" s="43"/>
      <c r="BX64" s="43"/>
      <c r="BY64" s="187">
        <f>BT64-0.005</f>
        <v>8.9999999999999969E-2</v>
      </c>
      <c r="BZ64" s="43"/>
      <c r="CA64" s="43"/>
      <c r="CB64" s="43"/>
      <c r="CC64" s="43"/>
      <c r="CD64" s="187">
        <f>BY64-0.005</f>
        <v>8.4999999999999964E-2</v>
      </c>
      <c r="CE64" s="43"/>
      <c r="CF64" s="43"/>
      <c r="CG64" s="43"/>
      <c r="CH64" s="43"/>
      <c r="CI64" s="187">
        <f>CD64-0.005</f>
        <v>7.999999999999996E-2</v>
      </c>
      <c r="CJ64" s="43"/>
      <c r="CK64" s="43"/>
      <c r="CL64" s="43"/>
      <c r="CM64" s="43"/>
      <c r="CN64" s="187">
        <f>CI64-0.005</f>
        <v>7.4999999999999956E-2</v>
      </c>
    </row>
    <row r="65" spans="1:93" ht="15" customHeight="1">
      <c r="A65" s="22"/>
      <c r="B65" s="24"/>
      <c r="C65" s="43"/>
      <c r="D65" s="43"/>
      <c r="E65" s="43"/>
      <c r="F65" s="43"/>
      <c r="G65" s="50"/>
      <c r="H65" s="43"/>
      <c r="I65" s="43"/>
      <c r="J65" s="43"/>
      <c r="K65" s="43"/>
      <c r="L65" s="50"/>
      <c r="M65" s="43"/>
      <c r="N65" s="43"/>
      <c r="O65" s="43"/>
      <c r="P65" s="43"/>
      <c r="Q65" s="50"/>
      <c r="R65" s="43"/>
      <c r="S65" s="43"/>
      <c r="T65" s="43"/>
      <c r="U65" s="43"/>
      <c r="V65" s="50"/>
      <c r="W65" s="43"/>
      <c r="X65" s="43"/>
      <c r="Y65" s="43"/>
      <c r="Z65" s="43"/>
      <c r="AA65" s="50"/>
      <c r="AB65" s="43"/>
      <c r="AC65" s="43"/>
      <c r="AD65" s="43"/>
      <c r="AE65" s="43"/>
      <c r="AF65" s="50"/>
      <c r="AG65" s="43"/>
      <c r="AH65" s="43"/>
      <c r="AI65" s="43"/>
      <c r="AJ65" s="43"/>
      <c r="AK65" s="50"/>
      <c r="AL65" s="43"/>
      <c r="AM65" s="43"/>
      <c r="AN65" s="43"/>
      <c r="AO65" s="43"/>
      <c r="AP65" s="50"/>
      <c r="AQ65" s="43"/>
      <c r="AR65" s="43"/>
      <c r="AS65" s="43"/>
      <c r="AT65" s="43"/>
      <c r="AU65" s="50"/>
      <c r="AV65" s="43"/>
      <c r="AW65" s="43"/>
      <c r="AX65" s="43"/>
      <c r="AY65" s="43"/>
      <c r="AZ65" s="50"/>
      <c r="BA65" s="43"/>
      <c r="BB65" s="43"/>
      <c r="BC65" s="43"/>
      <c r="BD65" s="43"/>
      <c r="BE65" s="50"/>
      <c r="BF65" s="43"/>
      <c r="BG65" s="43"/>
      <c r="BH65" s="43"/>
      <c r="BI65" s="43"/>
      <c r="BJ65" s="50"/>
      <c r="BK65" s="43"/>
      <c r="BL65" s="43"/>
      <c r="BM65" s="43"/>
      <c r="BN65" s="43"/>
      <c r="BO65" s="50"/>
      <c r="BP65" s="43"/>
      <c r="BQ65" s="43"/>
      <c r="BR65" s="43"/>
      <c r="BS65" s="43"/>
      <c r="BT65" s="50"/>
      <c r="BU65" s="43"/>
      <c r="BV65" s="43"/>
      <c r="BW65" s="43"/>
      <c r="BX65" s="43"/>
      <c r="BY65" s="50"/>
      <c r="BZ65" s="43"/>
      <c r="CA65" s="43"/>
      <c r="CB65" s="43"/>
      <c r="CC65" s="43"/>
      <c r="CD65" s="50"/>
      <c r="CE65" s="43"/>
      <c r="CF65" s="43"/>
      <c r="CG65" s="43"/>
      <c r="CH65" s="43"/>
      <c r="CI65" s="50"/>
      <c r="CJ65" s="43"/>
      <c r="CK65" s="43"/>
      <c r="CL65" s="43"/>
      <c r="CM65" s="43"/>
      <c r="CN65" s="50"/>
    </row>
    <row r="66" spans="1:93" ht="15" customHeight="1">
      <c r="A66" s="22"/>
      <c r="B66" s="42" t="s">
        <v>209</v>
      </c>
      <c r="C66" s="40">
        <v>0.25218499999999999</v>
      </c>
      <c r="D66" s="40">
        <f>0.518-C66</f>
        <v>0.26581500000000002</v>
      </c>
      <c r="E66" s="40">
        <f>0.835-D66-C66</f>
        <v>0.31699999999999995</v>
      </c>
      <c r="F66" s="40">
        <f>1.193-E66-D66-C66</f>
        <v>0.3580000000000001</v>
      </c>
      <c r="G66" s="46">
        <v>1.4774000000000001E-2</v>
      </c>
      <c r="H66" s="40">
        <f>0.001082/2</f>
        <v>5.4100000000000003E-4</v>
      </c>
      <c r="I66" s="40">
        <f>0.001082-H66</f>
        <v>5.4100000000000003E-4</v>
      </c>
      <c r="J66" s="40">
        <f>0.002139-SUM(H66:I66)</f>
        <v>1.0569999999999998E-3</v>
      </c>
      <c r="K66" s="40">
        <f>0.00335-SUM(H66:J66)</f>
        <v>1.2110000000000003E-3</v>
      </c>
      <c r="L66" s="46">
        <f t="shared" ref="L66" si="180">SUM(H66:K66)</f>
        <v>3.3500000000000001E-3</v>
      </c>
      <c r="M66" s="40">
        <v>1.3500000000000001E-3</v>
      </c>
      <c r="N66" s="40">
        <v>1.519E-3</v>
      </c>
      <c r="O66" s="40">
        <v>2.9510000000000001E-3</v>
      </c>
      <c r="P66" s="40">
        <f>0.013463-SUM(M66:O66)</f>
        <v>7.6429999999999988E-3</v>
      </c>
      <c r="Q66" s="46">
        <f t="shared" ref="Q66" si="181">SUM(M66:P66)</f>
        <v>1.3462999999999999E-2</v>
      </c>
      <c r="R66" s="40">
        <v>1.1044999999999999E-2</v>
      </c>
      <c r="S66" s="40">
        <v>1.6070999999999998E-2</v>
      </c>
      <c r="T66" s="40">
        <v>5.7109999999999999E-3</v>
      </c>
      <c r="U66" s="40">
        <f>0.06463-SUM(R66:T66)</f>
        <v>3.1803000000000012E-2</v>
      </c>
      <c r="V66" s="46">
        <f t="shared" ref="V66" si="182">SUM(R66:U66)</f>
        <v>6.4630000000000007E-2</v>
      </c>
      <c r="W66" s="40">
        <f>$AA$66*0.25</f>
        <v>0.5675</v>
      </c>
      <c r="X66" s="40">
        <f>$AA$66*0.25</f>
        <v>0.5675</v>
      </c>
      <c r="Y66" s="40">
        <f>$AA$66*0.25</f>
        <v>0.5675</v>
      </c>
      <c r="Z66" s="40">
        <f>$AA$66*0.25</f>
        <v>0.5675</v>
      </c>
      <c r="AA66" s="46">
        <f>CF!G7</f>
        <v>2.27</v>
      </c>
      <c r="AB66" s="40">
        <f>$AF$66*0.25</f>
        <v>1.2414323704500001</v>
      </c>
      <c r="AC66" s="40">
        <f>$AF$66*0.25</f>
        <v>1.2414323704500001</v>
      </c>
      <c r="AD66" s="40">
        <f>$AF$66*0.25</f>
        <v>1.2414323704500001</v>
      </c>
      <c r="AE66" s="40">
        <f>$AF$66*0.25</f>
        <v>1.2414323704500001</v>
      </c>
      <c r="AF66" s="46">
        <f>CF!H7</f>
        <v>4.9657294818000004</v>
      </c>
      <c r="AG66" s="40"/>
      <c r="AH66" s="40"/>
      <c r="AI66" s="40"/>
      <c r="AJ66" s="40"/>
      <c r="AK66" s="46">
        <f>CF!I7</f>
        <v>7.1795615571981042</v>
      </c>
      <c r="AL66" s="40"/>
      <c r="AM66" s="40"/>
      <c r="AN66" s="40"/>
      <c r="AO66" s="40"/>
      <c r="AP66" s="46">
        <f>CF!J7</f>
        <v>9.6181575758624707</v>
      </c>
      <c r="AQ66" s="40"/>
      <c r="AR66" s="40"/>
      <c r="AS66" s="40"/>
      <c r="AT66" s="40"/>
      <c r="AU66" s="46">
        <f>CF!K7</f>
        <v>11.87694332676802</v>
      </c>
      <c r="AV66" s="40"/>
      <c r="AW66" s="40"/>
      <c r="AX66" s="40"/>
      <c r="AY66" s="40"/>
      <c r="AZ66" s="46">
        <f>CF!L7</f>
        <v>13.86944947716797</v>
      </c>
      <c r="BA66" s="40"/>
      <c r="BB66" s="40"/>
      <c r="BC66" s="40"/>
      <c r="BD66" s="40"/>
      <c r="BE66" s="46">
        <f>CF!M7</f>
        <v>15.921969570976776</v>
      </c>
      <c r="BF66" s="40"/>
      <c r="BG66" s="40"/>
      <c r="BH66" s="40"/>
      <c r="BI66" s="40"/>
      <c r="BJ66" s="46">
        <f>CF!R7</f>
        <v>26.935615034958587</v>
      </c>
      <c r="BK66" s="40"/>
      <c r="BL66" s="40"/>
      <c r="BM66" s="40"/>
      <c r="BN66" s="40"/>
      <c r="BO66" s="46">
        <f>CF!W7</f>
        <v>0</v>
      </c>
      <c r="BP66" s="40"/>
      <c r="BQ66" s="40"/>
      <c r="BR66" s="40"/>
      <c r="BS66" s="40"/>
      <c r="BT66" s="46">
        <f>CF!AB7</f>
        <v>0</v>
      </c>
      <c r="BU66" s="40"/>
      <c r="BV66" s="40"/>
      <c r="BW66" s="40"/>
      <c r="BX66" s="40"/>
      <c r="BY66" s="46">
        <f>CF!AG7</f>
        <v>0</v>
      </c>
      <c r="BZ66" s="40"/>
      <c r="CA66" s="40"/>
      <c r="CB66" s="40"/>
      <c r="CC66" s="40"/>
      <c r="CD66" s="46">
        <f>CF!AL7</f>
        <v>0</v>
      </c>
      <c r="CE66" s="40"/>
      <c r="CF66" s="40"/>
      <c r="CG66" s="40"/>
      <c r="CH66" s="40"/>
      <c r="CI66" s="46">
        <f>CF!AQ7</f>
        <v>0</v>
      </c>
      <c r="CJ66" s="40"/>
      <c r="CK66" s="40"/>
      <c r="CL66" s="40"/>
      <c r="CM66" s="40"/>
      <c r="CN66" s="46">
        <f>CF!AV7</f>
        <v>0</v>
      </c>
    </row>
    <row r="67" spans="1:93" ht="15" customHeight="1">
      <c r="A67" s="22"/>
      <c r="B67" s="411" t="s">
        <v>141</v>
      </c>
      <c r="C67" s="40">
        <f t="shared" ref="C67:AA67" si="183">C28+C66</f>
        <v>0.25218499999999999</v>
      </c>
      <c r="D67" s="40">
        <f t="shared" si="183"/>
        <v>0.26581500000000002</v>
      </c>
      <c r="E67" s="40">
        <f t="shared" si="183"/>
        <v>0.31699999999999995</v>
      </c>
      <c r="F67" s="40">
        <f t="shared" si="183"/>
        <v>0.3580000000000001</v>
      </c>
      <c r="G67" s="46">
        <f t="shared" si="183"/>
        <v>-2.1822029999999999</v>
      </c>
      <c r="H67" s="46">
        <f t="shared" si="183"/>
        <v>-8.397079999999999</v>
      </c>
      <c r="I67" s="46">
        <f t="shared" si="183"/>
        <v>-1.1435250000000006</v>
      </c>
      <c r="J67" s="46">
        <f t="shared" si="183"/>
        <v>-2.2255680000000013</v>
      </c>
      <c r="K67" s="46">
        <f t="shared" si="183"/>
        <v>-3.650798</v>
      </c>
      <c r="L67" s="46">
        <f t="shared" si="183"/>
        <v>-15.416971000000002</v>
      </c>
      <c r="M67" s="46">
        <f t="shared" si="183"/>
        <v>-5.453309</v>
      </c>
      <c r="N67" s="46">
        <f t="shared" si="183"/>
        <v>-9.9218409999999988</v>
      </c>
      <c r="O67" s="46">
        <f t="shared" si="183"/>
        <v>-10.026476000000001</v>
      </c>
      <c r="P67" s="46">
        <f t="shared" si="183"/>
        <v>-13.157882000000001</v>
      </c>
      <c r="Q67" s="46">
        <f t="shared" si="183"/>
        <v>-38.559508000000001</v>
      </c>
      <c r="R67" s="46">
        <f t="shared" si="183"/>
        <v>-20.877957000000002</v>
      </c>
      <c r="S67" s="46">
        <f t="shared" si="183"/>
        <v>-15.781715999999999</v>
      </c>
      <c r="T67" s="46">
        <f t="shared" si="183"/>
        <v>-21.174685</v>
      </c>
      <c r="U67" s="46">
        <f t="shared" si="183"/>
        <v>-25.515579999999996</v>
      </c>
      <c r="V67" s="46">
        <f t="shared" si="183"/>
        <v>-83.349938000000009</v>
      </c>
      <c r="W67" s="40">
        <f t="shared" si="183"/>
        <v>-29.397307000000001</v>
      </c>
      <c r="X67" s="40">
        <f t="shared" si="183"/>
        <v>-57.792499999999997</v>
      </c>
      <c r="Y67" s="40">
        <f t="shared" si="183"/>
        <v>-48.952499999999993</v>
      </c>
      <c r="Z67" s="40">
        <f t="shared" si="183"/>
        <v>-81.955500000000001</v>
      </c>
      <c r="AA67" s="46">
        <f t="shared" si="183"/>
        <v>-218.09780700000002</v>
      </c>
      <c r="AB67" s="40">
        <f t="shared" ref="AB67:AE67" si="184">AB28+AB66</f>
        <v>-45.309157079550005</v>
      </c>
      <c r="AC67" s="40">
        <f t="shared" si="184"/>
        <v>-47.193985629550006</v>
      </c>
      <c r="AD67" s="40">
        <f t="shared" si="184"/>
        <v>-49.41736762955</v>
      </c>
      <c r="AE67" s="40">
        <f t="shared" si="184"/>
        <v>-67.832017629549995</v>
      </c>
      <c r="AF67" s="46">
        <f>AE67+AD67+AC67+AB67</f>
        <v>-209.75252796820001</v>
      </c>
      <c r="AG67" s="40"/>
      <c r="AH67" s="40"/>
      <c r="AI67" s="40"/>
      <c r="AJ67" s="40"/>
      <c r="AK67" s="46">
        <f>AK28+AK66</f>
        <v>-152.35304275856532</v>
      </c>
      <c r="AL67" s="40"/>
      <c r="AM67" s="40"/>
      <c r="AN67" s="40"/>
      <c r="AO67" s="40"/>
      <c r="AP67" s="46">
        <f>AP28+AP66</f>
        <v>8.8020019405776697</v>
      </c>
      <c r="AQ67" s="40"/>
      <c r="AR67" s="40"/>
      <c r="AS67" s="40"/>
      <c r="AT67" s="40"/>
      <c r="AU67" s="46">
        <f>AU28+AU66</f>
        <v>475.93054212474669</v>
      </c>
      <c r="AV67" s="40"/>
      <c r="AW67" s="40"/>
      <c r="AX67" s="40"/>
      <c r="AY67" s="40"/>
      <c r="AZ67" s="46">
        <f>AZ28+AZ66</f>
        <v>1098.5579348635063</v>
      </c>
      <c r="BA67" s="40"/>
      <c r="BB67" s="40"/>
      <c r="BC67" s="40"/>
      <c r="BD67" s="40"/>
      <c r="BE67" s="46">
        <f>BE28+BE66</f>
        <v>1284.2750233812287</v>
      </c>
      <c r="BF67" s="40"/>
      <c r="BG67" s="40"/>
      <c r="BH67" s="40"/>
      <c r="BI67" s="40"/>
      <c r="BJ67" s="46">
        <f>BJ28+BJ66</f>
        <v>1103.4811233059602</v>
      </c>
      <c r="BK67" s="40"/>
      <c r="BL67" s="40"/>
      <c r="BM67" s="40"/>
      <c r="BN67" s="40"/>
      <c r="BO67" s="46">
        <f>BO28+BO66</f>
        <v>1009.4465034529196</v>
      </c>
      <c r="BP67" s="40"/>
      <c r="BQ67" s="40"/>
      <c r="BR67" s="40"/>
      <c r="BS67" s="40"/>
      <c r="BT67" s="46">
        <f>BT28+BT66</f>
        <v>898.54027806422778</v>
      </c>
      <c r="BU67" s="40"/>
      <c r="BV67" s="40"/>
      <c r="BW67" s="40"/>
      <c r="BX67" s="40"/>
      <c r="BY67" s="46">
        <f>BY28+BY66</f>
        <v>844.25205478533803</v>
      </c>
      <c r="BZ67" s="40"/>
      <c r="CA67" s="40"/>
      <c r="CB67" s="40"/>
      <c r="CC67" s="40"/>
      <c r="CD67" s="46">
        <f>CD28+CD66</f>
        <v>891.55121168651044</v>
      </c>
      <c r="CE67" s="40"/>
      <c r="CF67" s="40"/>
      <c r="CG67" s="40"/>
      <c r="CH67" s="40"/>
      <c r="CI67" s="46">
        <f>CI28+CI66</f>
        <v>940.61174026720857</v>
      </c>
      <c r="CJ67" s="40"/>
      <c r="CK67" s="40"/>
      <c r="CL67" s="40"/>
      <c r="CM67" s="40"/>
      <c r="CN67" s="46">
        <f>CN28+CN66</f>
        <v>991.45421683995642</v>
      </c>
    </row>
    <row r="68" spans="1:93" ht="15" customHeight="1">
      <c r="A68" s="22"/>
      <c r="B68" s="411" t="s">
        <v>142</v>
      </c>
      <c r="C68" s="40">
        <f t="shared" ref="C68:AA68" si="185">C28-C45+C66</f>
        <v>0.25218499999999999</v>
      </c>
      <c r="D68" s="40">
        <f t="shared" si="185"/>
        <v>0.26581500000000002</v>
      </c>
      <c r="E68" s="40">
        <f t="shared" si="185"/>
        <v>0.31699999999999995</v>
      </c>
      <c r="F68" s="40">
        <f t="shared" si="185"/>
        <v>0.3580000000000001</v>
      </c>
      <c r="G68" s="46">
        <f t="shared" si="185"/>
        <v>-2.1822029999999999</v>
      </c>
      <c r="H68" s="46">
        <f t="shared" si="185"/>
        <v>-8.397079999999999</v>
      </c>
      <c r="I68" s="46">
        <f t="shared" si="185"/>
        <v>-1.1435250000000006</v>
      </c>
      <c r="J68" s="46">
        <f t="shared" si="185"/>
        <v>-2.2255680000000013</v>
      </c>
      <c r="K68" s="46">
        <f t="shared" si="185"/>
        <v>-3.650798</v>
      </c>
      <c r="L68" s="46">
        <f t="shared" si="185"/>
        <v>-15.416971000000002</v>
      </c>
      <c r="M68" s="46">
        <f t="shared" si="185"/>
        <v>-5.453309</v>
      </c>
      <c r="N68" s="46">
        <f t="shared" si="185"/>
        <v>-9.9218409999999988</v>
      </c>
      <c r="O68" s="46">
        <f t="shared" si="185"/>
        <v>-10.026476000000001</v>
      </c>
      <c r="P68" s="46">
        <f t="shared" si="185"/>
        <v>-13.157882000000001</v>
      </c>
      <c r="Q68" s="46">
        <f t="shared" si="185"/>
        <v>-38.559508000000001</v>
      </c>
      <c r="R68" s="46">
        <f t="shared" si="185"/>
        <v>-20.877957000000002</v>
      </c>
      <c r="S68" s="46">
        <f t="shared" si="185"/>
        <v>-15.781715999999999</v>
      </c>
      <c r="T68" s="46">
        <f t="shared" si="185"/>
        <v>-21.174685</v>
      </c>
      <c r="U68" s="46">
        <f t="shared" si="185"/>
        <v>-25.515579999999996</v>
      </c>
      <c r="V68" s="46">
        <f t="shared" si="185"/>
        <v>-83.349938000000009</v>
      </c>
      <c r="W68" s="40">
        <f t="shared" si="185"/>
        <v>-29.397307000000001</v>
      </c>
      <c r="X68" s="40">
        <f t="shared" si="185"/>
        <v>-57.792499999999997</v>
      </c>
      <c r="Y68" s="40">
        <f t="shared" si="185"/>
        <v>-48.952499999999993</v>
      </c>
      <c r="Z68" s="40">
        <f t="shared" si="185"/>
        <v>-81.955500000000001</v>
      </c>
      <c r="AA68" s="46">
        <f t="shared" si="185"/>
        <v>-218.09780700000002</v>
      </c>
      <c r="AB68" s="40">
        <f t="shared" ref="AB68:AE68" si="186">AB28-AB45+AB66</f>
        <v>-45.309157079550005</v>
      </c>
      <c r="AC68" s="40">
        <f t="shared" si="186"/>
        <v>-47.193985629550006</v>
      </c>
      <c r="AD68" s="40">
        <f t="shared" si="186"/>
        <v>-49.41736762955</v>
      </c>
      <c r="AE68" s="40">
        <f t="shared" si="186"/>
        <v>-67.832017629549995</v>
      </c>
      <c r="AF68" s="46">
        <f>AE68+AD68+AC68+AB68</f>
        <v>-209.75252796820001</v>
      </c>
      <c r="AG68" s="40"/>
      <c r="AH68" s="40"/>
      <c r="AI68" s="40"/>
      <c r="AJ68" s="40"/>
      <c r="AK68" s="46">
        <f>AK28-AK45+AK66</f>
        <v>-152.35304275856532</v>
      </c>
      <c r="AL68" s="40"/>
      <c r="AM68" s="40"/>
      <c r="AN68" s="40"/>
      <c r="AO68" s="40"/>
      <c r="AP68" s="46">
        <f>AP28-AP45+AP66</f>
        <v>8.8020019405776697</v>
      </c>
      <c r="AQ68" s="40"/>
      <c r="AR68" s="40"/>
      <c r="AS68" s="40"/>
      <c r="AT68" s="40"/>
      <c r="AU68" s="46">
        <f>AU28-AU45+AU66</f>
        <v>475.93054212474669</v>
      </c>
      <c r="AV68" s="40"/>
      <c r="AW68" s="40"/>
      <c r="AX68" s="40"/>
      <c r="AY68" s="40"/>
      <c r="AZ68" s="46">
        <f>AZ28-AZ45+AZ66</f>
        <v>1098.5579348635063</v>
      </c>
      <c r="BA68" s="40"/>
      <c r="BB68" s="40"/>
      <c r="BC68" s="40"/>
      <c r="BD68" s="40"/>
      <c r="BE68" s="46">
        <f>BE28-BE45+BE66</f>
        <v>1284.2750233812287</v>
      </c>
      <c r="BF68" s="40"/>
      <c r="BG68" s="40"/>
      <c r="BH68" s="40"/>
      <c r="BI68" s="40"/>
      <c r="BJ68" s="46">
        <f>BJ28-BJ45+BJ66</f>
        <v>1103.4811233059602</v>
      </c>
      <c r="BK68" s="40"/>
      <c r="BL68" s="40"/>
      <c r="BM68" s="40"/>
      <c r="BN68" s="40"/>
      <c r="BO68" s="46">
        <f>BO28-BO45+BO66</f>
        <v>1009.4465034529196</v>
      </c>
      <c r="BP68" s="40"/>
      <c r="BQ68" s="40"/>
      <c r="BR68" s="40"/>
      <c r="BS68" s="40"/>
      <c r="BT68" s="46">
        <f>BT28-BT45+BT66</f>
        <v>898.54027806422778</v>
      </c>
      <c r="BU68" s="40"/>
      <c r="BV68" s="40"/>
      <c r="BW68" s="40"/>
      <c r="BX68" s="40"/>
      <c r="BY68" s="46">
        <f>BY28-BY45+BY66</f>
        <v>844.25205478533803</v>
      </c>
      <c r="BZ68" s="40"/>
      <c r="CA68" s="40"/>
      <c r="CB68" s="40"/>
      <c r="CC68" s="40"/>
      <c r="CD68" s="46">
        <f>CD28-CD45+CD66</f>
        <v>891.55121168651044</v>
      </c>
      <c r="CE68" s="40"/>
      <c r="CF68" s="40"/>
      <c r="CG68" s="40"/>
      <c r="CH68" s="40"/>
      <c r="CI68" s="46">
        <f>CI28-CI45+CI66</f>
        <v>940.61174026720857</v>
      </c>
      <c r="CJ68" s="40"/>
      <c r="CK68" s="40"/>
      <c r="CL68" s="40"/>
      <c r="CM68" s="40"/>
      <c r="CN68" s="46">
        <f>CN28-CN45+CN66</f>
        <v>991.45421683995642</v>
      </c>
    </row>
    <row r="69" spans="1:93" ht="15" customHeight="1">
      <c r="A69" s="22"/>
      <c r="B69" s="24"/>
      <c r="C69" s="43"/>
      <c r="D69" s="43"/>
      <c r="E69" s="43"/>
      <c r="F69" s="43"/>
      <c r="G69" s="50"/>
      <c r="H69" s="43"/>
      <c r="I69" s="43"/>
      <c r="J69" s="43"/>
      <c r="K69" s="43"/>
      <c r="L69" s="50"/>
      <c r="M69" s="43"/>
      <c r="N69" s="43"/>
      <c r="O69" s="43"/>
      <c r="P69" s="43"/>
      <c r="Q69" s="50"/>
      <c r="R69" s="43"/>
      <c r="S69" s="43"/>
      <c r="T69" s="43"/>
      <c r="U69" s="43"/>
      <c r="V69" s="50"/>
      <c r="W69" s="43"/>
      <c r="X69" s="43"/>
      <c r="Y69" s="43"/>
      <c r="Z69" s="43"/>
      <c r="AA69" s="50"/>
      <c r="AB69" s="43"/>
      <c r="AC69" s="43"/>
      <c r="AD69" s="43"/>
      <c r="AE69" s="43"/>
      <c r="AF69" s="50"/>
      <c r="AG69" s="43"/>
      <c r="AH69" s="43"/>
      <c r="AI69" s="43"/>
      <c r="AJ69" s="43"/>
      <c r="AK69" s="50"/>
      <c r="AL69" s="43"/>
      <c r="AM69" s="43"/>
      <c r="AN69" s="43"/>
      <c r="AO69" s="43"/>
      <c r="AP69" s="50"/>
      <c r="AQ69" s="43"/>
      <c r="AR69" s="43"/>
      <c r="AS69" s="43"/>
      <c r="AT69" s="43"/>
      <c r="AU69" s="50"/>
      <c r="AV69" s="43"/>
      <c r="AW69" s="43"/>
      <c r="AX69" s="43"/>
      <c r="AY69" s="43"/>
      <c r="AZ69" s="50"/>
      <c r="BA69" s="43"/>
      <c r="BB69" s="43"/>
      <c r="BC69" s="43"/>
      <c r="BD69" s="43"/>
      <c r="BE69" s="50"/>
      <c r="BF69" s="43"/>
      <c r="BG69" s="43"/>
      <c r="BH69" s="43"/>
      <c r="BI69" s="43"/>
      <c r="BJ69" s="50"/>
      <c r="BK69" s="43"/>
      <c r="BL69" s="43"/>
      <c r="BM69" s="43"/>
      <c r="BN69" s="43"/>
      <c r="BO69" s="50"/>
      <c r="BP69" s="43"/>
      <c r="BQ69" s="43"/>
      <c r="BR69" s="43"/>
      <c r="BS69" s="43"/>
      <c r="BT69" s="50"/>
      <c r="BU69" s="43"/>
      <c r="BV69" s="43"/>
      <c r="BW69" s="43"/>
      <c r="BX69" s="43"/>
      <c r="BY69" s="50"/>
      <c r="BZ69" s="43"/>
      <c r="CA69" s="43"/>
      <c r="CB69" s="43"/>
      <c r="CC69" s="43"/>
      <c r="CD69" s="50"/>
      <c r="CE69" s="43"/>
      <c r="CF69" s="43"/>
      <c r="CG69" s="43"/>
      <c r="CH69" s="43"/>
      <c r="CI69" s="50"/>
      <c r="CJ69" s="43"/>
      <c r="CK69" s="43"/>
      <c r="CL69" s="43"/>
      <c r="CM69" s="43"/>
      <c r="CN69" s="50"/>
    </row>
    <row r="70" spans="1:93" ht="15" customHeight="1" thickBot="1">
      <c r="A70" s="22"/>
      <c r="B70" s="412" t="s">
        <v>131</v>
      </c>
      <c r="C70" s="43"/>
      <c r="D70" s="43"/>
      <c r="E70" s="43"/>
      <c r="F70" s="43"/>
      <c r="G70" s="50"/>
      <c r="H70" s="43"/>
      <c r="I70" s="43"/>
      <c r="J70" s="43"/>
      <c r="K70" s="43"/>
      <c r="L70" s="216"/>
      <c r="M70" s="43"/>
      <c r="N70" s="43"/>
      <c r="O70" s="43"/>
      <c r="P70" s="43"/>
      <c r="Q70" s="216"/>
      <c r="R70" s="43"/>
      <c r="S70" s="43"/>
      <c r="T70" s="43"/>
      <c r="U70" s="43"/>
      <c r="V70" s="216"/>
      <c r="W70" s="43"/>
      <c r="X70" s="43"/>
      <c r="Y70" s="43"/>
      <c r="Z70" s="43"/>
      <c r="AA70" s="216"/>
      <c r="AB70" s="43"/>
      <c r="AC70" s="43"/>
      <c r="AD70" s="43"/>
      <c r="AE70" s="43"/>
      <c r="AF70" s="50"/>
      <c r="AG70" s="43"/>
      <c r="AH70" s="43"/>
      <c r="AI70" s="43"/>
      <c r="AJ70" s="43"/>
      <c r="AK70" s="50"/>
      <c r="AL70" s="43"/>
      <c r="AM70" s="43"/>
      <c r="AN70" s="43"/>
      <c r="AO70" s="43"/>
      <c r="AP70" s="50"/>
      <c r="AQ70" s="43"/>
      <c r="AR70" s="43"/>
      <c r="AS70" s="43"/>
      <c r="AT70" s="43"/>
      <c r="AU70" s="50"/>
      <c r="AV70" s="43"/>
      <c r="AW70" s="43"/>
      <c r="AX70" s="43"/>
      <c r="AY70" s="43"/>
      <c r="AZ70" s="50"/>
      <c r="BA70" s="43"/>
      <c r="BB70" s="43"/>
      <c r="BC70" s="43"/>
      <c r="BD70" s="43"/>
      <c r="BE70" s="50"/>
      <c r="BF70" s="43"/>
      <c r="BG70" s="43"/>
      <c r="BH70" s="43"/>
      <c r="BI70" s="43"/>
      <c r="BJ70" s="50"/>
      <c r="BK70" s="43"/>
      <c r="BL70" s="43"/>
      <c r="BM70" s="43"/>
      <c r="BN70" s="43"/>
      <c r="BO70" s="50"/>
      <c r="BP70" s="43"/>
      <c r="BQ70" s="43"/>
      <c r="BR70" s="43"/>
      <c r="BS70" s="43"/>
      <c r="BT70" s="50"/>
      <c r="BU70" s="43"/>
      <c r="BV70" s="43"/>
      <c r="BW70" s="43"/>
      <c r="BX70" s="43"/>
      <c r="BY70" s="50"/>
      <c r="BZ70" s="43"/>
      <c r="CA70" s="43"/>
      <c r="CB70" s="43"/>
      <c r="CC70" s="43"/>
      <c r="CD70" s="50"/>
      <c r="CE70" s="43"/>
      <c r="CF70" s="43"/>
      <c r="CG70" s="43"/>
      <c r="CH70" s="43"/>
      <c r="CI70" s="50"/>
      <c r="CJ70" s="43"/>
      <c r="CK70" s="43"/>
      <c r="CL70" s="43"/>
      <c r="CM70" s="43"/>
      <c r="CN70" s="50"/>
    </row>
    <row r="71" spans="1:93" ht="15" customHeight="1" thickBot="1">
      <c r="A71" s="22"/>
      <c r="B71" s="413">
        <f>DCF!D30</f>
        <v>2</v>
      </c>
      <c r="C71" s="43"/>
      <c r="D71" s="43"/>
      <c r="E71" s="43"/>
      <c r="F71" s="43"/>
      <c r="G71" s="50"/>
      <c r="H71" s="43"/>
      <c r="I71" s="43"/>
      <c r="J71" s="43"/>
      <c r="K71" s="43"/>
      <c r="L71" s="216"/>
      <c r="M71" s="43"/>
      <c r="N71" s="43"/>
      <c r="O71" s="43"/>
      <c r="P71" s="43"/>
      <c r="Q71" s="216"/>
      <c r="R71" s="43"/>
      <c r="S71" s="43"/>
      <c r="T71" s="43"/>
      <c r="U71" s="43"/>
      <c r="V71" s="216"/>
      <c r="W71" s="43"/>
      <c r="X71" s="43"/>
      <c r="Y71" s="43"/>
      <c r="Z71" s="43"/>
      <c r="AA71" s="216"/>
      <c r="AB71" s="43"/>
      <c r="AC71" s="43"/>
      <c r="AD71" s="43"/>
      <c r="AE71" s="43"/>
      <c r="AF71" s="46"/>
      <c r="AG71" s="43"/>
      <c r="AH71" s="43"/>
      <c r="AI71" s="43"/>
      <c r="AJ71" s="43"/>
      <c r="AK71" s="50"/>
      <c r="AL71" s="43"/>
      <c r="AM71" s="43"/>
      <c r="AN71" s="43"/>
      <c r="AO71" s="43"/>
      <c r="AP71" s="50"/>
      <c r="AQ71" s="43"/>
      <c r="AR71" s="43"/>
      <c r="AS71" s="43"/>
      <c r="AT71" s="43"/>
      <c r="AU71" s="50"/>
      <c r="AV71" s="43"/>
      <c r="AW71" s="43"/>
      <c r="AX71" s="43"/>
      <c r="AY71" s="43"/>
      <c r="AZ71" s="50"/>
      <c r="BA71" s="43"/>
      <c r="BB71" s="43"/>
      <c r="BC71" s="43"/>
      <c r="BD71" s="43"/>
      <c r="BE71" s="50"/>
      <c r="BF71" s="43"/>
      <c r="BG71" s="43"/>
      <c r="BH71" s="43"/>
      <c r="BI71" s="43"/>
      <c r="BJ71" s="50"/>
      <c r="BK71" s="43"/>
      <c r="BL71" s="43"/>
      <c r="BM71" s="43"/>
      <c r="BN71" s="43"/>
      <c r="BO71" s="50"/>
      <c r="BP71" s="43"/>
      <c r="BQ71" s="43"/>
      <c r="BR71" s="43"/>
      <c r="BS71" s="43"/>
      <c r="BT71" s="50"/>
      <c r="BU71" s="43"/>
      <c r="BV71" s="43"/>
      <c r="BW71" s="43"/>
      <c r="BX71" s="43"/>
      <c r="BY71" s="50"/>
      <c r="BZ71" s="43"/>
      <c r="CA71" s="43"/>
      <c r="CB71" s="43"/>
      <c r="CC71" s="43"/>
      <c r="CD71" s="50"/>
      <c r="CE71" s="43"/>
      <c r="CF71" s="43"/>
      <c r="CG71" s="43"/>
      <c r="CH71" s="43"/>
      <c r="CI71" s="50"/>
      <c r="CJ71" s="43"/>
      <c r="CK71" s="43"/>
      <c r="CL71" s="43"/>
      <c r="CM71" s="43"/>
      <c r="CN71" s="50"/>
    </row>
    <row r="72" spans="1:93" ht="15" customHeight="1">
      <c r="A72" s="22"/>
      <c r="B72" s="24"/>
      <c r="C72" s="43"/>
      <c r="D72" s="43"/>
      <c r="E72" s="43"/>
      <c r="F72" s="43"/>
      <c r="G72" s="50"/>
      <c r="H72" s="43"/>
      <c r="I72" s="43"/>
      <c r="J72" s="43"/>
      <c r="K72" s="43"/>
      <c r="L72" s="216"/>
      <c r="M72" s="43"/>
      <c r="N72" s="43"/>
      <c r="O72" s="43"/>
      <c r="P72" s="43"/>
      <c r="Q72" s="216"/>
      <c r="R72" s="43"/>
      <c r="S72" s="43"/>
      <c r="T72" s="43"/>
      <c r="U72" s="43"/>
      <c r="V72" s="216"/>
      <c r="W72" s="43"/>
      <c r="X72" s="43"/>
      <c r="Y72" s="43"/>
      <c r="Z72" s="43"/>
      <c r="AA72" s="216"/>
      <c r="AB72" s="43"/>
      <c r="AC72" s="43"/>
      <c r="AD72" s="43"/>
      <c r="AE72" s="43"/>
      <c r="AF72" s="46"/>
      <c r="AG72" s="43"/>
      <c r="AH72" s="43"/>
      <c r="AI72" s="43"/>
      <c r="AJ72" s="43"/>
      <c r="AK72" s="50"/>
      <c r="AL72" s="43"/>
      <c r="AM72" s="43"/>
      <c r="AN72" s="43"/>
      <c r="AO72" s="43"/>
      <c r="AP72" s="50"/>
      <c r="AQ72" s="43"/>
      <c r="AR72" s="43"/>
      <c r="AS72" s="43"/>
      <c r="AT72" s="43"/>
      <c r="AU72" s="50"/>
      <c r="AV72" s="43"/>
      <c r="AW72" s="43"/>
      <c r="AX72" s="43"/>
      <c r="AY72" s="43"/>
      <c r="AZ72" s="50"/>
      <c r="BA72" s="43"/>
      <c r="BB72" s="43"/>
      <c r="BC72" s="43"/>
      <c r="BD72" s="43"/>
      <c r="BE72" s="50"/>
      <c r="BF72" s="43"/>
      <c r="BG72" s="43"/>
      <c r="BH72" s="43"/>
      <c r="BI72" s="43"/>
      <c r="BJ72" s="50"/>
      <c r="BK72" s="43"/>
      <c r="BL72" s="43"/>
      <c r="BM72" s="43"/>
      <c r="BN72" s="43"/>
      <c r="BO72" s="50"/>
      <c r="BP72" s="43"/>
      <c r="BQ72" s="43"/>
      <c r="BR72" s="43"/>
      <c r="BS72" s="43"/>
      <c r="BT72" s="50"/>
      <c r="BU72" s="43"/>
      <c r="BV72" s="43"/>
      <c r="BW72" s="43"/>
      <c r="BX72" s="43"/>
      <c r="BY72" s="50"/>
      <c r="BZ72" s="43"/>
      <c r="CA72" s="43"/>
      <c r="CB72" s="43"/>
      <c r="CC72" s="43"/>
      <c r="CD72" s="50"/>
      <c r="CE72" s="43"/>
      <c r="CF72" s="43"/>
      <c r="CG72" s="43"/>
      <c r="CH72" s="43"/>
      <c r="CI72" s="50"/>
      <c r="CJ72" s="43"/>
      <c r="CK72" s="43"/>
      <c r="CL72" s="43"/>
      <c r="CM72" s="43"/>
      <c r="CN72" s="50"/>
    </row>
    <row r="73" spans="1:93" ht="15" customHeight="1">
      <c r="A73" s="22"/>
      <c r="B73" s="414" t="s">
        <v>6</v>
      </c>
      <c r="C73" s="43"/>
      <c r="D73" s="43"/>
      <c r="E73" s="43"/>
      <c r="F73" s="43"/>
      <c r="G73" s="50"/>
      <c r="H73" s="43"/>
      <c r="I73" s="43"/>
      <c r="J73" s="43"/>
      <c r="K73" s="43"/>
      <c r="L73" s="216"/>
      <c r="M73" s="43"/>
      <c r="N73" s="43"/>
      <c r="O73" s="43"/>
      <c r="P73" s="43"/>
      <c r="Q73" s="216"/>
      <c r="R73" s="43"/>
      <c r="S73" s="43"/>
      <c r="T73" s="43"/>
      <c r="U73" s="43"/>
      <c r="V73" s="216"/>
      <c r="W73" s="43"/>
      <c r="X73" s="43"/>
      <c r="Y73" s="43"/>
      <c r="Z73" s="43"/>
      <c r="AA73" s="216"/>
      <c r="AB73" s="43"/>
      <c r="AC73" s="43"/>
      <c r="AD73" s="43"/>
      <c r="AE73" s="43"/>
      <c r="AF73" s="49"/>
      <c r="AG73" s="43"/>
      <c r="AH73" s="43"/>
      <c r="AI73" s="43"/>
      <c r="AJ73" s="43"/>
      <c r="AK73" s="50"/>
      <c r="AL73" s="43"/>
      <c r="AM73" s="43"/>
      <c r="AN73" s="43"/>
      <c r="AO73" s="43"/>
      <c r="AP73" s="50"/>
      <c r="AQ73" s="43"/>
      <c r="AR73" s="43"/>
      <c r="AS73" s="43"/>
      <c r="AT73" s="43"/>
      <c r="AU73" s="50"/>
      <c r="AV73" s="43"/>
      <c r="AW73" s="43"/>
      <c r="AX73" s="43"/>
      <c r="AY73" s="43"/>
      <c r="AZ73" s="50"/>
      <c r="BA73" s="43"/>
      <c r="BB73" s="43"/>
      <c r="BC73" s="43"/>
      <c r="BD73" s="43"/>
      <c r="BE73" s="50"/>
      <c r="BF73" s="43"/>
      <c r="BG73" s="43"/>
      <c r="BH73" s="43"/>
      <c r="BI73" s="43"/>
      <c r="BJ73" s="50"/>
      <c r="BK73" s="43"/>
      <c r="BL73" s="43"/>
      <c r="BM73" s="43"/>
      <c r="BN73" s="43"/>
      <c r="BO73" s="50"/>
      <c r="BP73" s="43"/>
      <c r="BQ73" s="43"/>
      <c r="BR73" s="43"/>
      <c r="BS73" s="43"/>
      <c r="BT73" s="50"/>
      <c r="BU73" s="43"/>
      <c r="BV73" s="43"/>
      <c r="BW73" s="43"/>
      <c r="BX73" s="43"/>
      <c r="BY73" s="50"/>
      <c r="BZ73" s="43"/>
      <c r="CA73" s="43"/>
      <c r="CB73" s="43"/>
      <c r="CC73" s="43"/>
      <c r="CD73" s="50"/>
      <c r="CE73" s="43"/>
      <c r="CF73" s="43"/>
      <c r="CG73" s="43"/>
      <c r="CH73" s="43"/>
      <c r="CI73" s="50"/>
      <c r="CJ73" s="43"/>
      <c r="CK73" s="43"/>
      <c r="CL73" s="43"/>
      <c r="CM73" s="43"/>
      <c r="CN73" s="50"/>
    </row>
    <row r="74" spans="1:93" ht="15" customHeight="1">
      <c r="A74" s="22"/>
      <c r="B74" s="415" t="s">
        <v>125</v>
      </c>
      <c r="C74" s="88">
        <f>C75</f>
        <v>0</v>
      </c>
      <c r="D74" s="88">
        <f t="shared" ref="D74" si="187">D75</f>
        <v>0</v>
      </c>
      <c r="E74" s="88">
        <f t="shared" ref="E74" si="188">E75</f>
        <v>0</v>
      </c>
      <c r="F74" s="88">
        <f t="shared" ref="F74" si="189">F75</f>
        <v>0</v>
      </c>
      <c r="G74" s="87">
        <f t="shared" ref="G74:P74" si="190">G75</f>
        <v>0.36260900000000001</v>
      </c>
      <c r="H74" s="88">
        <f t="shared" si="190"/>
        <v>4.0878800000000002</v>
      </c>
      <c r="I74" s="88">
        <f t="shared" si="190"/>
        <v>4.0878800000000002</v>
      </c>
      <c r="J74" s="88">
        <f t="shared" si="190"/>
        <v>1.9912510000000001</v>
      </c>
      <c r="K74" s="88">
        <f t="shared" si="190"/>
        <v>3.3834110000000002</v>
      </c>
      <c r="L74" s="87">
        <f t="shared" ref="L74" si="191">SUM(H74:K74)</f>
        <v>13.550422000000001</v>
      </c>
      <c r="M74" s="88">
        <f t="shared" si="190"/>
        <v>4.8120250000000002</v>
      </c>
      <c r="N74" s="88">
        <f t="shared" si="190"/>
        <v>7.6548389999999999</v>
      </c>
      <c r="O74" s="88">
        <f t="shared" si="190"/>
        <v>6.2893499999999998</v>
      </c>
      <c r="P74" s="88">
        <f t="shared" si="190"/>
        <v>8.7372460000000007</v>
      </c>
      <c r="Q74" s="87">
        <f t="shared" ref="Q74" si="192">SUM(M74:P74)</f>
        <v>27.493459999999999</v>
      </c>
      <c r="R74" s="88">
        <f t="shared" ref="R74:Z74" si="193">R75</f>
        <v>16.065089</v>
      </c>
      <c r="S74" s="88">
        <f t="shared" si="193"/>
        <v>10.379521</v>
      </c>
      <c r="T74" s="88">
        <f t="shared" si="193"/>
        <v>14.097713000000001</v>
      </c>
      <c r="U74" s="88">
        <f t="shared" si="193"/>
        <v>18.349343999999999</v>
      </c>
      <c r="V74" s="87">
        <f>SUM(R74:U74)</f>
        <v>58.891666999999998</v>
      </c>
      <c r="W74" s="88">
        <f t="shared" si="193"/>
        <v>20.327000000000002</v>
      </c>
      <c r="X74" s="88">
        <f t="shared" si="193"/>
        <v>45.206000000000003</v>
      </c>
      <c r="Y74" s="88">
        <f t="shared" si="193"/>
        <v>33.424999999999997</v>
      </c>
      <c r="Z74" s="88">
        <f t="shared" si="193"/>
        <v>51.445</v>
      </c>
      <c r="AA74" s="87">
        <f>Z74+Y74+X74+W74</f>
        <v>150.40300000000002</v>
      </c>
      <c r="AB74" s="88">
        <f t="shared" ref="AB74:AB76" si="194">W74*(1+AB77)</f>
        <v>34.555900000000001</v>
      </c>
      <c r="AC74" s="88">
        <f t="shared" ref="AC74:AC76" si="195">X74*(1+AC77)</f>
        <v>35.486710000000002</v>
      </c>
      <c r="AD74" s="88">
        <f t="shared" ref="AD74:AD76" si="196">Y74*(1+AD77)</f>
        <v>36.600374999999993</v>
      </c>
      <c r="AE74" s="88">
        <f t="shared" ref="AE74:AE76" si="197">Z74*(1+AE77)</f>
        <v>48.872749999999996</v>
      </c>
      <c r="AF74" s="87">
        <f>AE74+AD74+AC74+AB74</f>
        <v>155.51573499999998</v>
      </c>
      <c r="AG74" s="88"/>
      <c r="AH74" s="88"/>
      <c r="AI74" s="88"/>
      <c r="AJ74" s="88"/>
      <c r="AK74" s="87">
        <f t="shared" ref="AK74:AK76" si="198">AF74*(1+AK77)</f>
        <v>158.62604969999998</v>
      </c>
      <c r="AL74" s="88"/>
      <c r="AM74" s="88"/>
      <c r="AN74" s="88"/>
      <c r="AO74" s="88"/>
      <c r="AP74" s="87">
        <f t="shared" ref="AP74:AP76" si="199">AK74*(1+AP77)</f>
        <v>160.21231019699999</v>
      </c>
      <c r="AQ74" s="88"/>
      <c r="AR74" s="88"/>
      <c r="AS74" s="88"/>
      <c r="AT74" s="88"/>
      <c r="AU74" s="87">
        <f t="shared" ref="AU74:AU76" si="200">AP74*(1+AU77)</f>
        <v>160.21231019699999</v>
      </c>
      <c r="AV74" s="88"/>
      <c r="AW74" s="88"/>
      <c r="AX74" s="88"/>
      <c r="AY74" s="88"/>
      <c r="AZ74" s="87">
        <f t="shared" ref="AZ74:AZ76" si="201">AU74*(1+AZ77)</f>
        <v>160.21231019699999</v>
      </c>
      <c r="BA74" s="88"/>
      <c r="BB74" s="88"/>
      <c r="BC74" s="88"/>
      <c r="BD74" s="88"/>
      <c r="BE74" s="87">
        <f t="shared" ref="BE74:BE76" si="202">AZ74*(1+BE77)</f>
        <v>160.21231019699999</v>
      </c>
      <c r="BF74" s="88"/>
      <c r="BG74" s="88"/>
      <c r="BH74" s="88"/>
      <c r="BI74" s="88"/>
      <c r="BJ74" s="87">
        <f t="shared" ref="BJ74:BJ76" si="203">BE74*(1+BJ77)</f>
        <v>160.21231019699999</v>
      </c>
      <c r="BK74" s="88"/>
      <c r="BL74" s="88"/>
      <c r="BM74" s="88"/>
      <c r="BN74" s="88"/>
      <c r="BO74" s="87">
        <f t="shared" ref="BO74:BO76" si="204">BJ74*(1+BO77)</f>
        <v>160.21231019699999</v>
      </c>
      <c r="BP74" s="88"/>
      <c r="BQ74" s="88"/>
      <c r="BR74" s="88"/>
      <c r="BS74" s="88"/>
      <c r="BT74" s="87">
        <f t="shared" ref="BT74:BT76" si="205">BO74*(1+BT77)</f>
        <v>160.21231019699999</v>
      </c>
      <c r="BU74" s="88"/>
      <c r="BV74" s="88"/>
      <c r="BW74" s="88"/>
      <c r="BX74" s="88"/>
      <c r="BY74" s="87">
        <f t="shared" ref="BY74:BY76" si="206">BT74*(1+BY77)</f>
        <v>160.21231019699999</v>
      </c>
      <c r="BZ74" s="88"/>
      <c r="CA74" s="88"/>
      <c r="CB74" s="88"/>
      <c r="CC74" s="88"/>
      <c r="CD74" s="87">
        <f t="shared" ref="CD74:CD76" si="207">BY74*(1+CD77)</f>
        <v>160.21231019699999</v>
      </c>
      <c r="CE74" s="88"/>
      <c r="CF74" s="88"/>
      <c r="CG74" s="88"/>
      <c r="CH74" s="88"/>
      <c r="CI74" s="87">
        <f t="shared" ref="CI74:CI76" si="208">CD74*(1+CI77)</f>
        <v>160.21231019699999</v>
      </c>
      <c r="CJ74" s="88"/>
      <c r="CK74" s="88"/>
      <c r="CL74" s="88"/>
      <c r="CM74" s="88"/>
      <c r="CN74" s="279">
        <f t="shared" ref="CN74:CN76" si="209">CI74*(1+CN77)</f>
        <v>160.21231019699999</v>
      </c>
    </row>
    <row r="75" spans="1:93" ht="15" customHeight="1" collapsed="1">
      <c r="A75" s="20"/>
      <c r="B75" s="416" t="s">
        <v>126</v>
      </c>
      <c r="C75" s="40">
        <f t="shared" ref="C75:K75" si="210">C21</f>
        <v>0</v>
      </c>
      <c r="D75" s="40">
        <f t="shared" si="210"/>
        <v>0</v>
      </c>
      <c r="E75" s="40">
        <f t="shared" si="210"/>
        <v>0</v>
      </c>
      <c r="F75" s="40">
        <f t="shared" si="210"/>
        <v>0</v>
      </c>
      <c r="G75" s="49">
        <f t="shared" si="210"/>
        <v>0.36260900000000001</v>
      </c>
      <c r="H75" s="40">
        <f t="shared" si="210"/>
        <v>4.0878800000000002</v>
      </c>
      <c r="I75" s="40">
        <f t="shared" si="210"/>
        <v>4.0878800000000002</v>
      </c>
      <c r="J75" s="40">
        <f t="shared" si="210"/>
        <v>1.9912510000000001</v>
      </c>
      <c r="K75" s="40">
        <f t="shared" si="210"/>
        <v>3.3834110000000002</v>
      </c>
      <c r="L75" s="49">
        <f t="shared" ref="L75:L76" si="211">SUM(H75:K75)</f>
        <v>13.550422000000001</v>
      </c>
      <c r="M75" s="40">
        <f>M21</f>
        <v>4.8120250000000002</v>
      </c>
      <c r="N75" s="40">
        <f>N21</f>
        <v>7.6548389999999999</v>
      </c>
      <c r="O75" s="40">
        <f>O21</f>
        <v>6.2893499999999998</v>
      </c>
      <c r="P75" s="40">
        <f>P21</f>
        <v>8.7372460000000007</v>
      </c>
      <c r="Q75" s="49">
        <f t="shared" ref="Q75:Q76" si="212">SUM(M75:P75)</f>
        <v>27.493459999999999</v>
      </c>
      <c r="R75" s="40">
        <f>R21</f>
        <v>16.065089</v>
      </c>
      <c r="S75" s="40">
        <f>S21</f>
        <v>10.379521</v>
      </c>
      <c r="T75" s="40">
        <f>T21</f>
        <v>14.097713000000001</v>
      </c>
      <c r="U75" s="40">
        <f>U21</f>
        <v>18.349343999999999</v>
      </c>
      <c r="V75" s="49">
        <f t="shared" ref="V75:V76" si="213">SUM(R75:U75)</f>
        <v>58.891666999999998</v>
      </c>
      <c r="W75" s="40">
        <f>W21</f>
        <v>20.327000000000002</v>
      </c>
      <c r="X75" s="40">
        <f>X21</f>
        <v>45.206000000000003</v>
      </c>
      <c r="Y75" s="40">
        <f>Y21</f>
        <v>33.424999999999997</v>
      </c>
      <c r="Z75" s="40">
        <f>Z21</f>
        <v>51.445</v>
      </c>
      <c r="AA75" s="49">
        <f t="shared" ref="AA75:AA76" si="214">Z75+Y75+X75+W75</f>
        <v>150.40300000000002</v>
      </c>
      <c r="AB75" s="40">
        <f t="shared" si="194"/>
        <v>33.539549999999998</v>
      </c>
      <c r="AC75" s="40">
        <f t="shared" si="195"/>
        <v>34.492178000000003</v>
      </c>
      <c r="AD75" s="40">
        <f t="shared" si="196"/>
        <v>35.931874999999998</v>
      </c>
      <c r="AE75" s="40">
        <f t="shared" si="197"/>
        <v>48.872749999999996</v>
      </c>
      <c r="AF75" s="49">
        <f t="shared" ref="AF75:AF76" si="215">AE75+AD75+AC75+AB75</f>
        <v>152.83635299999997</v>
      </c>
      <c r="AG75" s="40"/>
      <c r="AH75" s="40"/>
      <c r="AI75" s="40"/>
      <c r="AJ75" s="40"/>
      <c r="AK75" s="49">
        <f t="shared" si="198"/>
        <v>155.89308005999999</v>
      </c>
      <c r="AL75" s="40"/>
      <c r="AM75" s="40"/>
      <c r="AN75" s="40"/>
      <c r="AO75" s="40"/>
      <c r="AP75" s="49">
        <f t="shared" si="199"/>
        <v>157.45201086059998</v>
      </c>
      <c r="AQ75" s="40"/>
      <c r="AR75" s="40"/>
      <c r="AS75" s="40"/>
      <c r="AT75" s="40"/>
      <c r="AU75" s="49">
        <f t="shared" si="200"/>
        <v>157.45201086059998</v>
      </c>
      <c r="AV75" s="40"/>
      <c r="AW75" s="40"/>
      <c r="AX75" s="40"/>
      <c r="AY75" s="40"/>
      <c r="AZ75" s="49">
        <f t="shared" si="201"/>
        <v>157.45201086059998</v>
      </c>
      <c r="BA75" s="40"/>
      <c r="BB75" s="40"/>
      <c r="BC75" s="40"/>
      <c r="BD75" s="40"/>
      <c r="BE75" s="49">
        <f t="shared" si="202"/>
        <v>157.45201086059998</v>
      </c>
      <c r="BF75" s="40"/>
      <c r="BG75" s="40"/>
      <c r="BH75" s="40"/>
      <c r="BI75" s="40"/>
      <c r="BJ75" s="49">
        <f t="shared" si="203"/>
        <v>156.66475080629698</v>
      </c>
      <c r="BK75" s="40"/>
      <c r="BL75" s="40"/>
      <c r="BM75" s="40"/>
      <c r="BN75" s="40"/>
      <c r="BO75" s="49">
        <f t="shared" si="204"/>
        <v>155.09810329823401</v>
      </c>
      <c r="BP75" s="40"/>
      <c r="BQ75" s="40"/>
      <c r="BR75" s="40"/>
      <c r="BS75" s="40"/>
      <c r="BT75" s="49">
        <f t="shared" si="205"/>
        <v>153.54712226525166</v>
      </c>
      <c r="BU75" s="40"/>
      <c r="BV75" s="40"/>
      <c r="BW75" s="40"/>
      <c r="BX75" s="40"/>
      <c r="BY75" s="49">
        <f t="shared" si="206"/>
        <v>152.01165104259914</v>
      </c>
      <c r="BZ75" s="40"/>
      <c r="CA75" s="40"/>
      <c r="CB75" s="40"/>
      <c r="CC75" s="40"/>
      <c r="CD75" s="49">
        <f t="shared" si="207"/>
        <v>150.49153453217315</v>
      </c>
      <c r="CE75" s="40"/>
      <c r="CF75" s="40"/>
      <c r="CG75" s="40"/>
      <c r="CH75" s="40"/>
      <c r="CI75" s="49">
        <f t="shared" si="208"/>
        <v>148.98661918685141</v>
      </c>
      <c r="CJ75" s="40"/>
      <c r="CK75" s="40"/>
      <c r="CL75" s="40"/>
      <c r="CM75" s="40"/>
      <c r="CN75" s="280">
        <f t="shared" si="209"/>
        <v>147.4967529949829</v>
      </c>
    </row>
    <row r="76" spans="1:93" ht="15" customHeight="1">
      <c r="A76" s="22"/>
      <c r="B76" s="416" t="s">
        <v>127</v>
      </c>
      <c r="C76" s="40">
        <f>C75</f>
        <v>0</v>
      </c>
      <c r="D76" s="40">
        <f t="shared" ref="D76" si="216">D75</f>
        <v>0</v>
      </c>
      <c r="E76" s="40">
        <f t="shared" ref="E76" si="217">E75</f>
        <v>0</v>
      </c>
      <c r="F76" s="40">
        <f t="shared" ref="F76:G76" si="218">F75</f>
        <v>0</v>
      </c>
      <c r="G76" s="49">
        <f t="shared" si="218"/>
        <v>0.36260900000000001</v>
      </c>
      <c r="H76" s="40">
        <f t="shared" ref="H76:P76" si="219">H75</f>
        <v>4.0878800000000002</v>
      </c>
      <c r="I76" s="40">
        <f t="shared" si="219"/>
        <v>4.0878800000000002</v>
      </c>
      <c r="J76" s="40">
        <f t="shared" si="219"/>
        <v>1.9912510000000001</v>
      </c>
      <c r="K76" s="40">
        <f t="shared" si="219"/>
        <v>3.3834110000000002</v>
      </c>
      <c r="L76" s="49">
        <f t="shared" si="211"/>
        <v>13.550422000000001</v>
      </c>
      <c r="M76" s="40">
        <f t="shared" ref="M76:O76" si="220">M75</f>
        <v>4.8120250000000002</v>
      </c>
      <c r="N76" s="40">
        <f t="shared" si="220"/>
        <v>7.6548389999999999</v>
      </c>
      <c r="O76" s="40">
        <f t="shared" si="220"/>
        <v>6.2893499999999998</v>
      </c>
      <c r="P76" s="40">
        <f t="shared" si="219"/>
        <v>8.7372460000000007</v>
      </c>
      <c r="Q76" s="49">
        <f t="shared" si="212"/>
        <v>27.493459999999999</v>
      </c>
      <c r="R76" s="40">
        <f t="shared" ref="R76:T76" si="221">R75</f>
        <v>16.065089</v>
      </c>
      <c r="S76" s="40">
        <f t="shared" si="221"/>
        <v>10.379521</v>
      </c>
      <c r="T76" s="40">
        <f t="shared" si="221"/>
        <v>14.097713000000001</v>
      </c>
      <c r="U76" s="40">
        <f t="shared" ref="U76" si="222">U75</f>
        <v>18.349343999999999</v>
      </c>
      <c r="V76" s="49">
        <f t="shared" si="213"/>
        <v>58.891666999999998</v>
      </c>
      <c r="W76" s="40">
        <f t="shared" ref="W76:X76" si="223">W75</f>
        <v>20.327000000000002</v>
      </c>
      <c r="X76" s="40">
        <f t="shared" si="223"/>
        <v>45.206000000000003</v>
      </c>
      <c r="Y76" s="40">
        <f t="shared" ref="Y76:Z76" si="224">Y75</f>
        <v>33.424999999999997</v>
      </c>
      <c r="Z76" s="40">
        <f t="shared" si="224"/>
        <v>51.445</v>
      </c>
      <c r="AA76" s="49">
        <f t="shared" si="214"/>
        <v>150.40300000000002</v>
      </c>
      <c r="AB76" s="40">
        <f t="shared" si="194"/>
        <v>32.523200000000003</v>
      </c>
      <c r="AC76" s="40">
        <f t="shared" si="195"/>
        <v>33.00038</v>
      </c>
      <c r="AD76" s="40">
        <f t="shared" si="196"/>
        <v>33.424999999999997</v>
      </c>
      <c r="AE76" s="40">
        <f t="shared" si="197"/>
        <v>48.872749999999996</v>
      </c>
      <c r="AF76" s="49">
        <f t="shared" si="215"/>
        <v>147.82132999999999</v>
      </c>
      <c r="AG76" s="40"/>
      <c r="AH76" s="40"/>
      <c r="AI76" s="40"/>
      <c r="AJ76" s="40"/>
      <c r="AK76" s="49">
        <f t="shared" si="198"/>
        <v>73.910664999999995</v>
      </c>
      <c r="AL76" s="40"/>
      <c r="AM76" s="40"/>
      <c r="AN76" s="40"/>
      <c r="AO76" s="40"/>
      <c r="AP76" s="49">
        <f t="shared" si="199"/>
        <v>55.432998749999996</v>
      </c>
      <c r="AQ76" s="40"/>
      <c r="AR76" s="40"/>
      <c r="AS76" s="40"/>
      <c r="AT76" s="40"/>
      <c r="AU76" s="49">
        <f t="shared" si="200"/>
        <v>41.574749062499997</v>
      </c>
      <c r="AV76" s="40"/>
      <c r="AW76" s="40"/>
      <c r="AX76" s="40"/>
      <c r="AY76" s="40"/>
      <c r="AZ76" s="49">
        <f t="shared" si="201"/>
        <v>31.181061796874999</v>
      </c>
      <c r="BA76" s="40"/>
      <c r="BB76" s="40"/>
      <c r="BC76" s="40"/>
      <c r="BD76" s="40"/>
      <c r="BE76" s="49">
        <f t="shared" si="202"/>
        <v>23.38579634765625</v>
      </c>
      <c r="BF76" s="40"/>
      <c r="BG76" s="40"/>
      <c r="BH76" s="40"/>
      <c r="BI76" s="40"/>
      <c r="BJ76" s="49">
        <f t="shared" si="203"/>
        <v>17.539347260742186</v>
      </c>
      <c r="BK76" s="40"/>
      <c r="BL76" s="40"/>
      <c r="BM76" s="40"/>
      <c r="BN76" s="40"/>
      <c r="BO76" s="49">
        <f t="shared" si="204"/>
        <v>13.154510445556639</v>
      </c>
      <c r="BP76" s="40"/>
      <c r="BQ76" s="40"/>
      <c r="BR76" s="40"/>
      <c r="BS76" s="40"/>
      <c r="BT76" s="49">
        <f t="shared" si="205"/>
        <v>9.8658828341674791</v>
      </c>
      <c r="BU76" s="40"/>
      <c r="BV76" s="40"/>
      <c r="BW76" s="40"/>
      <c r="BX76" s="40"/>
      <c r="BY76" s="49">
        <f t="shared" si="206"/>
        <v>7.3994121256256093</v>
      </c>
      <c r="BZ76" s="40"/>
      <c r="CA76" s="40"/>
      <c r="CB76" s="40"/>
      <c r="CC76" s="40"/>
      <c r="CD76" s="49">
        <f t="shared" si="207"/>
        <v>5.549559094219207</v>
      </c>
      <c r="CE76" s="40"/>
      <c r="CF76" s="40"/>
      <c r="CG76" s="40"/>
      <c r="CH76" s="40"/>
      <c r="CI76" s="49">
        <f t="shared" si="208"/>
        <v>4.1621693206644057</v>
      </c>
      <c r="CJ76" s="40"/>
      <c r="CK76" s="40"/>
      <c r="CL76" s="40"/>
      <c r="CM76" s="40"/>
      <c r="CN76" s="280">
        <f t="shared" si="209"/>
        <v>3.1216269904983043</v>
      </c>
    </row>
    <row r="77" spans="1:93" ht="15" customHeight="1">
      <c r="A77" s="22"/>
      <c r="B77" s="416" t="s">
        <v>128</v>
      </c>
      <c r="C77" s="142"/>
      <c r="D77" s="142"/>
      <c r="E77" s="142"/>
      <c r="F77" s="142"/>
      <c r="G77" s="141"/>
      <c r="H77" s="142"/>
      <c r="I77" s="142"/>
      <c r="J77" s="238"/>
      <c r="K77" s="238"/>
      <c r="L77" s="89">
        <f t="shared" ref="L77:L79" si="225">(L74/G74)-1</f>
        <v>36.369237939488542</v>
      </c>
      <c r="M77" s="290">
        <f t="shared" ref="M77:M79" si="226">M74/H74-1</f>
        <v>0.17714438780003317</v>
      </c>
      <c r="N77" s="290">
        <f t="shared" ref="N77:N79" si="227">N74/I74-1</f>
        <v>0.87256940027593766</v>
      </c>
      <c r="O77" s="291">
        <f t="shared" ref="O77:O79" si="228">O74/J74-1</f>
        <v>2.1584918224774272</v>
      </c>
      <c r="P77" s="291">
        <f t="shared" ref="P77:P79" si="229">P74/K74-1</f>
        <v>1.5823779611758666</v>
      </c>
      <c r="Q77" s="89">
        <f t="shared" ref="Q77:Q79" si="230">(Q74/L74)-1</f>
        <v>1.0289744481758571</v>
      </c>
      <c r="R77" s="290">
        <f>R74/M74-1</f>
        <v>2.3385298289181788</v>
      </c>
      <c r="S77" s="290">
        <f t="shared" ref="S77:U79" si="231">S74/N74-1</f>
        <v>0.35594243066379327</v>
      </c>
      <c r="T77" s="291">
        <f t="shared" si="231"/>
        <v>1.2415214608822853</v>
      </c>
      <c r="U77" s="291">
        <f t="shared" si="231"/>
        <v>1.1001290337939436</v>
      </c>
      <c r="V77" s="89">
        <f>(V74/Q74)-1</f>
        <v>1.142024576026444</v>
      </c>
      <c r="W77" s="290">
        <f>W74/R74-1</f>
        <v>0.26529022030316796</v>
      </c>
      <c r="X77" s="290">
        <f>X74/S74-1</f>
        <v>3.3553069549163208</v>
      </c>
      <c r="Y77" s="290">
        <f>Y74/T74-1</f>
        <v>1.3709519409282906</v>
      </c>
      <c r="Z77" s="290">
        <f>Z74/U74-1</f>
        <v>1.8036424626406267</v>
      </c>
      <c r="AA77" s="89">
        <f>(AA74/V74)-1</f>
        <v>1.5538927264531335</v>
      </c>
      <c r="AB77" s="292">
        <v>0.7</v>
      </c>
      <c r="AC77" s="292">
        <v>-0.215</v>
      </c>
      <c r="AD77" s="292">
        <v>9.5000000000000001E-2</v>
      </c>
      <c r="AE77" s="292">
        <v>-0.05</v>
      </c>
      <c r="AF77" s="89">
        <f>(AF74/AA74)-1</f>
        <v>3.3993570606968948E-2</v>
      </c>
      <c r="AG77" s="292"/>
      <c r="AH77" s="292"/>
      <c r="AI77" s="292"/>
      <c r="AJ77" s="292"/>
      <c r="AK77" s="335">
        <v>0.02</v>
      </c>
      <c r="AL77" s="292"/>
      <c r="AM77" s="292"/>
      <c r="AN77" s="292"/>
      <c r="AO77" s="292"/>
      <c r="AP77" s="335">
        <v>0.01</v>
      </c>
      <c r="AQ77" s="292"/>
      <c r="AR77" s="292"/>
      <c r="AS77" s="292"/>
      <c r="AT77" s="292"/>
      <c r="AU77" s="335">
        <v>0</v>
      </c>
      <c r="AV77" s="292"/>
      <c r="AW77" s="292"/>
      <c r="AX77" s="292"/>
      <c r="AY77" s="292"/>
      <c r="AZ77" s="335">
        <v>0</v>
      </c>
      <c r="BA77" s="292"/>
      <c r="BB77" s="292"/>
      <c r="BC77" s="292"/>
      <c r="BD77" s="292"/>
      <c r="BE77" s="335">
        <v>0</v>
      </c>
      <c r="BF77" s="292"/>
      <c r="BG77" s="292"/>
      <c r="BH77" s="292"/>
      <c r="BI77" s="292"/>
      <c r="BJ77" s="335">
        <v>0</v>
      </c>
      <c r="BK77" s="292"/>
      <c r="BL77" s="292"/>
      <c r="BM77" s="292"/>
      <c r="BN77" s="292"/>
      <c r="BO77" s="335">
        <v>0</v>
      </c>
      <c r="BP77" s="292"/>
      <c r="BQ77" s="292"/>
      <c r="BR77" s="292"/>
      <c r="BS77" s="292"/>
      <c r="BT77" s="335">
        <v>0</v>
      </c>
      <c r="BU77" s="292"/>
      <c r="BV77" s="292"/>
      <c r="BW77" s="292"/>
      <c r="BX77" s="292"/>
      <c r="BY77" s="335">
        <v>0</v>
      </c>
      <c r="BZ77" s="292"/>
      <c r="CA77" s="292"/>
      <c r="CB77" s="292"/>
      <c r="CC77" s="292"/>
      <c r="CD77" s="335">
        <v>0</v>
      </c>
      <c r="CE77" s="292"/>
      <c r="CF77" s="292"/>
      <c r="CG77" s="292"/>
      <c r="CH77" s="292"/>
      <c r="CI77" s="335">
        <v>0</v>
      </c>
      <c r="CJ77" s="292"/>
      <c r="CK77" s="292"/>
      <c r="CL77" s="292"/>
      <c r="CM77" s="292"/>
      <c r="CN77" s="336">
        <v>0</v>
      </c>
      <c r="CO77" s="293"/>
    </row>
    <row r="78" spans="1:93" ht="15" customHeight="1">
      <c r="A78" s="22"/>
      <c r="B78" s="416" t="s">
        <v>129</v>
      </c>
      <c r="C78" s="142"/>
      <c r="D78" s="142"/>
      <c r="E78" s="142"/>
      <c r="F78" s="142"/>
      <c r="G78" s="141"/>
      <c r="H78" s="142"/>
      <c r="I78" s="142"/>
      <c r="J78" s="238"/>
      <c r="K78" s="238"/>
      <c r="L78" s="89">
        <f t="shared" si="225"/>
        <v>36.369237939488542</v>
      </c>
      <c r="M78" s="290">
        <f t="shared" si="226"/>
        <v>0.17714438780003317</v>
      </c>
      <c r="N78" s="290">
        <f t="shared" si="227"/>
        <v>0.87256940027593766</v>
      </c>
      <c r="O78" s="291">
        <f t="shared" si="228"/>
        <v>2.1584918224774272</v>
      </c>
      <c r="P78" s="291">
        <f t="shared" si="229"/>
        <v>1.5823779611758666</v>
      </c>
      <c r="Q78" s="89">
        <f t="shared" si="230"/>
        <v>1.0289744481758571</v>
      </c>
      <c r="R78" s="290">
        <f t="shared" ref="R78:R79" si="232">R75/M75-1</f>
        <v>2.3385298289181788</v>
      </c>
      <c r="S78" s="290">
        <f t="shared" si="231"/>
        <v>0.35594243066379327</v>
      </c>
      <c r="T78" s="291">
        <f t="shared" si="231"/>
        <v>1.2415214608822853</v>
      </c>
      <c r="U78" s="291">
        <f t="shared" si="231"/>
        <v>1.1001290337939436</v>
      </c>
      <c r="V78" s="89">
        <f>(V75/Q75)-1</f>
        <v>1.142024576026444</v>
      </c>
      <c r="W78" s="290">
        <f t="shared" ref="W78:Z79" si="233">W75/R75-1</f>
        <v>0.26529022030316796</v>
      </c>
      <c r="X78" s="290">
        <f t="shared" si="233"/>
        <v>3.3553069549163208</v>
      </c>
      <c r="Y78" s="290">
        <f t="shared" si="233"/>
        <v>1.3709519409282906</v>
      </c>
      <c r="Z78" s="290">
        <f t="shared" si="233"/>
        <v>1.8036424626406267</v>
      </c>
      <c r="AA78" s="89">
        <f>(AA75/V75)-1</f>
        <v>1.5538927264531335</v>
      </c>
      <c r="AB78" s="292">
        <v>0.65</v>
      </c>
      <c r="AC78" s="292">
        <v>-0.23699999999999999</v>
      </c>
      <c r="AD78" s="292">
        <v>7.4999999999999997E-2</v>
      </c>
      <c r="AE78" s="292">
        <v>-0.05</v>
      </c>
      <c r="AF78" s="89">
        <f>(AF75/AA75)-1</f>
        <v>1.617888605945339E-2</v>
      </c>
      <c r="AG78" s="292"/>
      <c r="AH78" s="292"/>
      <c r="AI78" s="292"/>
      <c r="AJ78" s="292"/>
      <c r="AK78" s="335">
        <v>0.02</v>
      </c>
      <c r="AL78" s="292"/>
      <c r="AM78" s="292"/>
      <c r="AN78" s="292"/>
      <c r="AO78" s="292"/>
      <c r="AP78" s="335">
        <v>0.01</v>
      </c>
      <c r="AQ78" s="292"/>
      <c r="AR78" s="292"/>
      <c r="AS78" s="292"/>
      <c r="AT78" s="292"/>
      <c r="AU78" s="335">
        <v>0</v>
      </c>
      <c r="AV78" s="292"/>
      <c r="AW78" s="292"/>
      <c r="AX78" s="292"/>
      <c r="AY78" s="292"/>
      <c r="AZ78" s="335">
        <v>0</v>
      </c>
      <c r="BA78" s="292"/>
      <c r="BB78" s="292"/>
      <c r="BC78" s="292"/>
      <c r="BD78" s="292"/>
      <c r="BE78" s="335">
        <v>0</v>
      </c>
      <c r="BF78" s="292"/>
      <c r="BG78" s="292"/>
      <c r="BH78" s="292"/>
      <c r="BI78" s="292"/>
      <c r="BJ78" s="335">
        <f>BE78-0.005</f>
        <v>-5.0000000000000001E-3</v>
      </c>
      <c r="BK78" s="292"/>
      <c r="BL78" s="292"/>
      <c r="BM78" s="292"/>
      <c r="BN78" s="292"/>
      <c r="BO78" s="335">
        <f>BJ78-0.005</f>
        <v>-0.01</v>
      </c>
      <c r="BP78" s="292"/>
      <c r="BQ78" s="292"/>
      <c r="BR78" s="292"/>
      <c r="BS78" s="292"/>
      <c r="BT78" s="335">
        <f>BO78</f>
        <v>-0.01</v>
      </c>
      <c r="BU78" s="292"/>
      <c r="BV78" s="292"/>
      <c r="BW78" s="292"/>
      <c r="BX78" s="292"/>
      <c r="BY78" s="335">
        <f>BT78</f>
        <v>-0.01</v>
      </c>
      <c r="BZ78" s="292"/>
      <c r="CA78" s="292"/>
      <c r="CB78" s="292"/>
      <c r="CC78" s="292"/>
      <c r="CD78" s="335">
        <f>BY78</f>
        <v>-0.01</v>
      </c>
      <c r="CE78" s="292"/>
      <c r="CF78" s="292"/>
      <c r="CG78" s="292"/>
      <c r="CH78" s="292"/>
      <c r="CI78" s="335">
        <f>CD78</f>
        <v>-0.01</v>
      </c>
      <c r="CJ78" s="292"/>
      <c r="CK78" s="292"/>
      <c r="CL78" s="292"/>
      <c r="CM78" s="292"/>
      <c r="CN78" s="336">
        <f>CI78</f>
        <v>-0.01</v>
      </c>
      <c r="CO78" s="293"/>
    </row>
    <row r="79" spans="1:93" ht="15" customHeight="1">
      <c r="A79" s="22"/>
      <c r="B79" s="417" t="s">
        <v>130</v>
      </c>
      <c r="C79" s="337"/>
      <c r="D79" s="337"/>
      <c r="E79" s="337"/>
      <c r="F79" s="337"/>
      <c r="G79" s="338"/>
      <c r="H79" s="337"/>
      <c r="I79" s="337"/>
      <c r="J79" s="339"/>
      <c r="K79" s="339"/>
      <c r="L79" s="340">
        <f t="shared" si="225"/>
        <v>36.369237939488542</v>
      </c>
      <c r="M79" s="341">
        <f t="shared" si="226"/>
        <v>0.17714438780003317</v>
      </c>
      <c r="N79" s="341">
        <f t="shared" si="227"/>
        <v>0.87256940027593766</v>
      </c>
      <c r="O79" s="342">
        <f t="shared" si="228"/>
        <v>2.1584918224774272</v>
      </c>
      <c r="P79" s="342">
        <f t="shared" si="229"/>
        <v>1.5823779611758666</v>
      </c>
      <c r="Q79" s="340">
        <f t="shared" si="230"/>
        <v>1.0289744481758571</v>
      </c>
      <c r="R79" s="341">
        <f t="shared" si="232"/>
        <v>2.3385298289181788</v>
      </c>
      <c r="S79" s="341">
        <f t="shared" si="231"/>
        <v>0.35594243066379327</v>
      </c>
      <c r="T79" s="342">
        <f t="shared" si="231"/>
        <v>1.2415214608822853</v>
      </c>
      <c r="U79" s="342">
        <f t="shared" si="231"/>
        <v>1.1001290337939436</v>
      </c>
      <c r="V79" s="340">
        <f>(V76/Q76)-1</f>
        <v>1.142024576026444</v>
      </c>
      <c r="W79" s="341">
        <f t="shared" si="233"/>
        <v>0.26529022030316796</v>
      </c>
      <c r="X79" s="341">
        <f t="shared" si="233"/>
        <v>3.3553069549163208</v>
      </c>
      <c r="Y79" s="341">
        <f t="shared" si="233"/>
        <v>1.3709519409282906</v>
      </c>
      <c r="Z79" s="341">
        <f t="shared" si="233"/>
        <v>1.8036424626406267</v>
      </c>
      <c r="AA79" s="340">
        <f>(AA76/V76)-1</f>
        <v>1.5538927264531335</v>
      </c>
      <c r="AB79" s="343">
        <v>0.6</v>
      </c>
      <c r="AC79" s="343">
        <v>-0.27</v>
      </c>
      <c r="AD79" s="343">
        <v>0</v>
      </c>
      <c r="AE79" s="343">
        <v>-0.05</v>
      </c>
      <c r="AF79" s="340">
        <f>(AF76/AA76)-1</f>
        <v>-1.7165016655253051E-2</v>
      </c>
      <c r="AG79" s="343"/>
      <c r="AH79" s="343"/>
      <c r="AI79" s="343"/>
      <c r="AJ79" s="343"/>
      <c r="AK79" s="344">
        <v>-0.5</v>
      </c>
      <c r="AL79" s="343">
        <v>-0.5</v>
      </c>
      <c r="AM79" s="343">
        <v>-0.5</v>
      </c>
      <c r="AN79" s="343">
        <v>-0.5</v>
      </c>
      <c r="AO79" s="343">
        <v>-0.5</v>
      </c>
      <c r="AP79" s="344">
        <v>-0.25</v>
      </c>
      <c r="AQ79" s="343">
        <v>-0.25</v>
      </c>
      <c r="AR79" s="343">
        <v>-0.25</v>
      </c>
      <c r="AS79" s="343">
        <v>-0.25</v>
      </c>
      <c r="AT79" s="343">
        <v>-0.25</v>
      </c>
      <c r="AU79" s="344">
        <v>-0.25</v>
      </c>
      <c r="AV79" s="343">
        <v>-0.25</v>
      </c>
      <c r="AW79" s="343">
        <v>-0.25</v>
      </c>
      <c r="AX79" s="343">
        <v>-0.25</v>
      </c>
      <c r="AY79" s="343">
        <v>-0.25</v>
      </c>
      <c r="AZ79" s="344">
        <v>-0.25</v>
      </c>
      <c r="BA79" s="343">
        <v>-0.25</v>
      </c>
      <c r="BB79" s="343">
        <v>-0.25</v>
      </c>
      <c r="BC79" s="343">
        <v>-0.25</v>
      </c>
      <c r="BD79" s="343">
        <v>-0.25</v>
      </c>
      <c r="BE79" s="344">
        <v>-0.25</v>
      </c>
      <c r="BF79" s="343">
        <v>-0.25</v>
      </c>
      <c r="BG79" s="343">
        <v>-0.25</v>
      </c>
      <c r="BH79" s="343">
        <v>-0.25</v>
      </c>
      <c r="BI79" s="343">
        <v>-0.25</v>
      </c>
      <c r="BJ79" s="344">
        <v>-0.25</v>
      </c>
      <c r="BK79" s="343">
        <v>-0.25</v>
      </c>
      <c r="BL79" s="343">
        <v>-0.25</v>
      </c>
      <c r="BM79" s="343">
        <v>-0.25</v>
      </c>
      <c r="BN79" s="343">
        <v>-0.25</v>
      </c>
      <c r="BO79" s="344">
        <v>-0.25</v>
      </c>
      <c r="BP79" s="343">
        <v>-0.25</v>
      </c>
      <c r="BQ79" s="343">
        <v>-0.25</v>
      </c>
      <c r="BR79" s="343">
        <v>-0.25</v>
      </c>
      <c r="BS79" s="343">
        <v>-0.25</v>
      </c>
      <c r="BT79" s="344">
        <v>-0.25</v>
      </c>
      <c r="BU79" s="343">
        <v>-0.25</v>
      </c>
      <c r="BV79" s="343">
        <v>-0.25</v>
      </c>
      <c r="BW79" s="343">
        <v>-0.25</v>
      </c>
      <c r="BX79" s="343">
        <v>-0.25</v>
      </c>
      <c r="BY79" s="344">
        <v>-0.25</v>
      </c>
      <c r="BZ79" s="343">
        <v>-0.25</v>
      </c>
      <c r="CA79" s="343">
        <v>-0.25</v>
      </c>
      <c r="CB79" s="343">
        <v>-0.25</v>
      </c>
      <c r="CC79" s="343">
        <v>-0.25</v>
      </c>
      <c r="CD79" s="344">
        <v>-0.25</v>
      </c>
      <c r="CE79" s="343">
        <v>-0.25</v>
      </c>
      <c r="CF79" s="343">
        <v>-0.25</v>
      </c>
      <c r="CG79" s="343">
        <v>-0.25</v>
      </c>
      <c r="CH79" s="343">
        <v>-0.25</v>
      </c>
      <c r="CI79" s="344">
        <v>-0.25</v>
      </c>
      <c r="CJ79" s="343">
        <v>-0.25</v>
      </c>
      <c r="CK79" s="343">
        <v>-0.25</v>
      </c>
      <c r="CL79" s="343">
        <v>-0.25</v>
      </c>
      <c r="CM79" s="343">
        <v>-0.25</v>
      </c>
      <c r="CN79" s="345">
        <v>-0.25</v>
      </c>
      <c r="CO79" s="293"/>
    </row>
    <row r="80" spans="1:93" ht="15" customHeight="1">
      <c r="A80" s="22"/>
      <c r="B80" s="24"/>
      <c r="C80" s="43"/>
      <c r="D80" s="43"/>
      <c r="E80" s="43"/>
      <c r="F80" s="43"/>
      <c r="G80" s="50"/>
      <c r="H80" s="43"/>
      <c r="I80" s="43"/>
      <c r="J80" s="176"/>
      <c r="K80" s="43"/>
      <c r="L80" s="50"/>
      <c r="M80" s="43"/>
      <c r="N80" s="43"/>
      <c r="O80" s="176"/>
      <c r="P80" s="43"/>
      <c r="Q80" s="50"/>
      <c r="R80" s="43"/>
      <c r="S80" s="43"/>
      <c r="T80" s="176"/>
      <c r="U80" s="43"/>
      <c r="V80" s="50"/>
      <c r="W80" s="43"/>
      <c r="X80" s="43"/>
      <c r="Y80" s="176"/>
      <c r="Z80" s="43"/>
      <c r="AA80" s="50"/>
      <c r="AB80" s="43"/>
      <c r="AC80" s="43"/>
      <c r="AD80" s="43"/>
      <c r="AE80" s="43"/>
      <c r="AF80" s="50"/>
      <c r="AG80" s="43"/>
      <c r="AH80" s="43"/>
      <c r="AI80" s="43"/>
      <c r="AJ80" s="43"/>
      <c r="AK80" s="50"/>
      <c r="AL80" s="43"/>
      <c r="AM80" s="43"/>
      <c r="AN80" s="43"/>
      <c r="AO80" s="43"/>
      <c r="AP80" s="50"/>
      <c r="AQ80" s="43"/>
      <c r="AR80" s="43"/>
      <c r="AS80" s="43"/>
      <c r="AT80" s="43"/>
      <c r="AU80" s="50"/>
      <c r="AV80" s="43"/>
      <c r="AW80" s="43"/>
      <c r="AX80" s="43"/>
      <c r="AY80" s="43"/>
      <c r="AZ80" s="50"/>
      <c r="BA80" s="43"/>
      <c r="BB80" s="43"/>
      <c r="BC80" s="43"/>
      <c r="BD80" s="43"/>
      <c r="BE80" s="50"/>
      <c r="BF80" s="43"/>
      <c r="BG80" s="43"/>
      <c r="BH80" s="43"/>
      <c r="BI80" s="43"/>
      <c r="BJ80" s="50"/>
      <c r="BK80" s="43"/>
      <c r="BL80" s="43"/>
      <c r="BM80" s="43"/>
      <c r="BN80" s="43"/>
      <c r="BO80" s="50"/>
      <c r="BP80" s="43"/>
      <c r="BQ80" s="43"/>
      <c r="BR80" s="43"/>
      <c r="BS80" s="43"/>
      <c r="BT80" s="50"/>
      <c r="BU80" s="43"/>
      <c r="BV80" s="43"/>
      <c r="BW80" s="43"/>
      <c r="BX80" s="43"/>
      <c r="BY80" s="50"/>
      <c r="BZ80" s="43"/>
      <c r="CA80" s="43"/>
      <c r="CB80" s="43"/>
      <c r="CC80" s="43"/>
      <c r="CD80" s="50"/>
      <c r="CE80" s="43"/>
      <c r="CF80" s="43"/>
      <c r="CG80" s="43"/>
      <c r="CH80" s="43"/>
      <c r="CI80" s="50"/>
      <c r="CJ80" s="43"/>
      <c r="CK80" s="43"/>
      <c r="CL80" s="43"/>
      <c r="CM80" s="43"/>
      <c r="CN80" s="50"/>
    </row>
    <row r="81" spans="1:92" ht="14.25" customHeight="1">
      <c r="A81" s="20"/>
      <c r="B81" s="418" t="s">
        <v>8</v>
      </c>
      <c r="C81" s="43"/>
      <c r="D81" s="43"/>
      <c r="E81" s="43"/>
      <c r="F81" s="43"/>
      <c r="G81" s="178"/>
      <c r="H81" s="43"/>
      <c r="I81" s="43"/>
      <c r="J81" s="176"/>
      <c r="K81" s="43"/>
      <c r="L81" s="178"/>
      <c r="M81" s="43"/>
      <c r="N81" s="43"/>
      <c r="O81" s="176"/>
      <c r="P81" s="43"/>
      <c r="Q81" s="178"/>
      <c r="R81" s="43"/>
      <c r="S81" s="43"/>
      <c r="T81" s="176"/>
      <c r="U81" s="43"/>
      <c r="V81" s="178"/>
      <c r="W81" s="43"/>
      <c r="X81" s="43"/>
      <c r="Y81" s="176"/>
      <c r="Z81" s="43"/>
      <c r="AA81" s="178"/>
      <c r="AB81" s="43"/>
      <c r="AC81" s="43"/>
      <c r="AD81" s="43"/>
      <c r="AE81" s="43"/>
      <c r="AF81" s="178"/>
      <c r="AG81" s="43"/>
      <c r="AH81" s="43"/>
      <c r="AI81" s="43"/>
      <c r="AJ81" s="43"/>
      <c r="AK81" s="178"/>
      <c r="AL81" s="43"/>
      <c r="AM81" s="43"/>
      <c r="AN81" s="43"/>
      <c r="AO81" s="43"/>
      <c r="AP81" s="178"/>
      <c r="AQ81" s="43"/>
      <c r="AR81" s="43"/>
      <c r="AS81" s="43"/>
      <c r="AT81" s="43"/>
      <c r="AU81" s="178"/>
      <c r="AV81" s="43"/>
      <c r="AW81" s="43"/>
      <c r="AX81" s="43"/>
      <c r="AY81" s="43"/>
      <c r="AZ81" s="178"/>
      <c r="BA81" s="43"/>
      <c r="BB81" s="43"/>
      <c r="BC81" s="43"/>
      <c r="BD81" s="43"/>
      <c r="BE81" s="178"/>
      <c r="BF81" s="43"/>
      <c r="BG81" s="43"/>
      <c r="BH81" s="43"/>
      <c r="BI81" s="43"/>
      <c r="BJ81" s="178"/>
      <c r="BK81" s="43"/>
      <c r="BL81" s="43"/>
      <c r="BM81" s="43"/>
      <c r="BN81" s="43"/>
      <c r="BO81" s="178"/>
      <c r="BP81" s="43"/>
      <c r="BQ81" s="43"/>
      <c r="BR81" s="43"/>
      <c r="BS81" s="43"/>
      <c r="BT81" s="178"/>
      <c r="BU81" s="43"/>
      <c r="BV81" s="43"/>
      <c r="BW81" s="43"/>
      <c r="BX81" s="43"/>
      <c r="BY81" s="178"/>
      <c r="BZ81" s="43"/>
      <c r="CA81" s="43"/>
      <c r="CB81" s="43"/>
      <c r="CC81" s="43"/>
      <c r="CD81" s="178"/>
      <c r="CE81" s="43"/>
      <c r="CF81" s="43"/>
      <c r="CG81" s="43"/>
      <c r="CH81" s="43"/>
      <c r="CI81" s="178"/>
      <c r="CJ81" s="43"/>
      <c r="CK81" s="43"/>
      <c r="CL81" s="43"/>
      <c r="CM81" s="43"/>
      <c r="CN81" s="178"/>
    </row>
    <row r="82" spans="1:92" ht="14.25" customHeight="1">
      <c r="A82" s="20"/>
      <c r="B82" s="415" t="s">
        <v>132</v>
      </c>
      <c r="C82" s="88">
        <f>C83</f>
        <v>0</v>
      </c>
      <c r="D82" s="88">
        <f t="shared" ref="D82" si="234">D83</f>
        <v>0</v>
      </c>
      <c r="E82" s="88">
        <f t="shared" ref="E82" si="235">E83</f>
        <v>0</v>
      </c>
      <c r="F82" s="88">
        <f t="shared" ref="F82" si="236">F83</f>
        <v>0</v>
      </c>
      <c r="G82" s="87">
        <f t="shared" ref="G82:K82" si="237">G83</f>
        <v>1.834368</v>
      </c>
      <c r="H82" s="88">
        <f t="shared" si="237"/>
        <v>4.3097409999999989</v>
      </c>
      <c r="I82" s="88">
        <f t="shared" si="237"/>
        <v>-2.9438139999999997</v>
      </c>
      <c r="J82" s="88">
        <f t="shared" si="237"/>
        <v>0.23537400000000086</v>
      </c>
      <c r="K82" s="88">
        <f t="shared" si="237"/>
        <v>0.268598</v>
      </c>
      <c r="L82" s="87">
        <f>SUM(H82:K82)</f>
        <v>1.8698990000000002</v>
      </c>
      <c r="M82" s="88">
        <f t="shared" ref="M82:Z82" si="238">M83</f>
        <v>0.64263400000000004</v>
      </c>
      <c r="N82" s="88">
        <f t="shared" si="238"/>
        <v>2.2685209999999998</v>
      </c>
      <c r="O82" s="88">
        <f t="shared" si="238"/>
        <v>3.7400769999999999</v>
      </c>
      <c r="P82" s="88">
        <f t="shared" si="238"/>
        <v>4.4282789999999999</v>
      </c>
      <c r="Q82" s="87">
        <f>SUM(M82:P82)</f>
        <v>11.079511</v>
      </c>
      <c r="R82" s="88">
        <f t="shared" si="238"/>
        <v>4.8239130000000001</v>
      </c>
      <c r="S82" s="88">
        <f t="shared" si="238"/>
        <v>5.418266</v>
      </c>
      <c r="T82" s="88">
        <f t="shared" si="238"/>
        <v>7.0826830000000003</v>
      </c>
      <c r="U82" s="88">
        <f t="shared" si="238"/>
        <v>7.1980389999999996</v>
      </c>
      <c r="V82" s="87">
        <f>SUM(R82:U82)</f>
        <v>24.522900999999997</v>
      </c>
      <c r="W82" s="88">
        <f t="shared" si="238"/>
        <v>9.6378070000000005</v>
      </c>
      <c r="X82" s="88">
        <f t="shared" si="238"/>
        <v>13.154</v>
      </c>
      <c r="Y82" s="88">
        <f t="shared" si="238"/>
        <v>16.094999999999999</v>
      </c>
      <c r="Z82" s="88">
        <f t="shared" si="238"/>
        <v>31.077999999999999</v>
      </c>
      <c r="AA82" s="87">
        <f>Z82+Y82+X82+W82</f>
        <v>69.964806999999993</v>
      </c>
      <c r="AB82" s="88">
        <f t="shared" ref="AB82:AB84" si="239">W82*(1+AB85)</f>
        <v>13.492929800000001</v>
      </c>
      <c r="AC82" s="88">
        <f t="shared" ref="AC82:AC84" si="240">X82*(1+AC85)</f>
        <v>14.4694</v>
      </c>
      <c r="AD82" s="88">
        <f t="shared" ref="AD82:AD84" si="241">Y82*(1+AD85)</f>
        <v>15.129299999999999</v>
      </c>
      <c r="AE82" s="88">
        <f t="shared" ref="AE82:AE84" si="242">Z82*(1+AE85)</f>
        <v>20.200700000000001</v>
      </c>
      <c r="AF82" s="87">
        <f>AE82+AD82+AC82+AB82</f>
        <v>63.292329799999997</v>
      </c>
      <c r="AG82" s="88"/>
      <c r="AH82" s="88"/>
      <c r="AI82" s="88"/>
      <c r="AJ82" s="88"/>
      <c r="AK82" s="87">
        <f t="shared" ref="AK82:AK84" si="243">AF82*(1+AK85)</f>
        <v>64.558176395999993</v>
      </c>
      <c r="AL82" s="88"/>
      <c r="AM82" s="88"/>
      <c r="AN82" s="88"/>
      <c r="AO82" s="88"/>
      <c r="AP82" s="87">
        <f t="shared" ref="AP82:AP84" si="244">AK82*(1+AP85)</f>
        <v>65.203758159959989</v>
      </c>
      <c r="AQ82" s="88"/>
      <c r="AR82" s="88"/>
      <c r="AS82" s="88"/>
      <c r="AT82" s="88"/>
      <c r="AU82" s="87">
        <f t="shared" ref="AU82:AU84" si="245">AP82*(1+AU85)</f>
        <v>65.203758159959989</v>
      </c>
      <c r="AV82" s="88"/>
      <c r="AW82" s="88"/>
      <c r="AX82" s="88"/>
      <c r="AY82" s="88"/>
      <c r="AZ82" s="87">
        <f t="shared" ref="AZ82:AZ84" si="246">AU82*(1+AZ85)</f>
        <v>65.203758159959989</v>
      </c>
      <c r="BA82" s="88"/>
      <c r="BB82" s="88"/>
      <c r="BC82" s="88"/>
      <c r="BD82" s="88"/>
      <c r="BE82" s="87">
        <f t="shared" ref="BE82:BE84" si="247">AZ82*(1+BE85)</f>
        <v>65.203758159959989</v>
      </c>
      <c r="BF82" s="88"/>
      <c r="BG82" s="88"/>
      <c r="BH82" s="88"/>
      <c r="BI82" s="88"/>
      <c r="BJ82" s="87">
        <f t="shared" ref="BJ82:BJ84" si="248">BE82*(1+BJ85)</f>
        <v>65.203758159959989</v>
      </c>
      <c r="BK82" s="88"/>
      <c r="BL82" s="88"/>
      <c r="BM82" s="88"/>
      <c r="BN82" s="88"/>
      <c r="BO82" s="87">
        <f t="shared" ref="BO82:BO84" si="249">BJ82*(1+BO85)</f>
        <v>65.203758159959989</v>
      </c>
      <c r="BP82" s="88"/>
      <c r="BQ82" s="88"/>
      <c r="BR82" s="88"/>
      <c r="BS82" s="88"/>
      <c r="BT82" s="87">
        <f t="shared" ref="BT82:BT84" si="250">BO82*(1+BT85)</f>
        <v>65.203758159959989</v>
      </c>
      <c r="BU82" s="88"/>
      <c r="BV82" s="88"/>
      <c r="BW82" s="88"/>
      <c r="BX82" s="88"/>
      <c r="BY82" s="87">
        <f t="shared" ref="BY82:BY84" si="251">BT82*(1+BY85)</f>
        <v>65.203758159959989</v>
      </c>
      <c r="BZ82" s="88"/>
      <c r="CA82" s="88"/>
      <c r="CB82" s="88"/>
      <c r="CC82" s="88"/>
      <c r="CD82" s="87">
        <f t="shared" ref="CD82:CD84" si="252">BY82*(1+CD85)</f>
        <v>65.203758159959989</v>
      </c>
      <c r="CE82" s="88"/>
      <c r="CF82" s="88"/>
      <c r="CG82" s="88"/>
      <c r="CH82" s="88"/>
      <c r="CI82" s="87">
        <f t="shared" ref="CI82:CI84" si="253">CD82*(1+CI85)</f>
        <v>65.203758159959989</v>
      </c>
      <c r="CJ82" s="88"/>
      <c r="CK82" s="88"/>
      <c r="CL82" s="88"/>
      <c r="CM82" s="88"/>
      <c r="CN82" s="279">
        <f t="shared" ref="CN82:CN84" si="254">CI82*(1+CN85)</f>
        <v>65.203758159959989</v>
      </c>
    </row>
    <row r="83" spans="1:92" ht="14.25" customHeight="1">
      <c r="A83" s="20"/>
      <c r="B83" s="416" t="s">
        <v>133</v>
      </c>
      <c r="C83" s="40">
        <f t="shared" ref="C83:K83" si="255">C25</f>
        <v>0</v>
      </c>
      <c r="D83" s="40">
        <f t="shared" si="255"/>
        <v>0</v>
      </c>
      <c r="E83" s="40">
        <f t="shared" si="255"/>
        <v>0</v>
      </c>
      <c r="F83" s="40">
        <f t="shared" si="255"/>
        <v>0</v>
      </c>
      <c r="G83" s="49">
        <f t="shared" si="255"/>
        <v>1.834368</v>
      </c>
      <c r="H83" s="40">
        <f t="shared" si="255"/>
        <v>4.3097409999999989</v>
      </c>
      <c r="I83" s="40">
        <f t="shared" si="255"/>
        <v>-2.9438139999999997</v>
      </c>
      <c r="J83" s="40">
        <f t="shared" si="255"/>
        <v>0.23537400000000086</v>
      </c>
      <c r="K83" s="40">
        <f t="shared" si="255"/>
        <v>0.268598</v>
      </c>
      <c r="L83" s="49">
        <f t="shared" ref="L83:L84" si="256">SUM(H83:K83)</f>
        <v>1.8698990000000002</v>
      </c>
      <c r="M83" s="40">
        <f>M25</f>
        <v>0.64263400000000004</v>
      </c>
      <c r="N83" s="40">
        <f>N25</f>
        <v>2.2685209999999998</v>
      </c>
      <c r="O83" s="40">
        <f>O25</f>
        <v>3.7400769999999999</v>
      </c>
      <c r="P83" s="40">
        <f>P25</f>
        <v>4.4282789999999999</v>
      </c>
      <c r="Q83" s="49">
        <f t="shared" ref="Q83:Q84" si="257">SUM(M83:P83)</f>
        <v>11.079511</v>
      </c>
      <c r="R83" s="40">
        <f>R25</f>
        <v>4.8239130000000001</v>
      </c>
      <c r="S83" s="40">
        <f>S25</f>
        <v>5.418266</v>
      </c>
      <c r="T83" s="40">
        <f>T25</f>
        <v>7.0826830000000003</v>
      </c>
      <c r="U83" s="40">
        <f>U25</f>
        <v>7.1980389999999996</v>
      </c>
      <c r="V83" s="49">
        <f t="shared" ref="V83:V84" si="258">SUM(R83:U83)</f>
        <v>24.522900999999997</v>
      </c>
      <c r="W83" s="40">
        <f>W25</f>
        <v>9.6378070000000005</v>
      </c>
      <c r="X83" s="40">
        <f>X25</f>
        <v>13.154</v>
      </c>
      <c r="Y83" s="40">
        <f>Y25</f>
        <v>16.094999999999999</v>
      </c>
      <c r="Z83" s="40">
        <f>Z25</f>
        <v>31.077999999999999</v>
      </c>
      <c r="AA83" s="49">
        <f t="shared" ref="AA83:AA84" si="259">Z83+Y83+X83+W83</f>
        <v>69.964806999999993</v>
      </c>
      <c r="AB83" s="40">
        <f t="shared" si="239"/>
        <v>13.011039450000002</v>
      </c>
      <c r="AC83" s="40">
        <f t="shared" si="240"/>
        <v>13.943240000000001</v>
      </c>
      <c r="AD83" s="40">
        <f t="shared" si="241"/>
        <v>14.726925</v>
      </c>
      <c r="AE83" s="40">
        <f t="shared" si="242"/>
        <v>20.200700000000001</v>
      </c>
      <c r="AF83" s="49">
        <f t="shared" ref="AF83:AF84" si="260">AE83+AD83+AC83+AB83</f>
        <v>61.881904450000008</v>
      </c>
      <c r="AG83" s="40"/>
      <c r="AH83" s="40"/>
      <c r="AI83" s="40"/>
      <c r="AJ83" s="40"/>
      <c r="AK83" s="49">
        <f t="shared" si="243"/>
        <v>63.119542539000008</v>
      </c>
      <c r="AL83" s="40"/>
      <c r="AM83" s="40"/>
      <c r="AN83" s="40"/>
      <c r="AO83" s="40"/>
      <c r="AP83" s="49">
        <f t="shared" si="244"/>
        <v>64.066335677085007</v>
      </c>
      <c r="AQ83" s="40"/>
      <c r="AR83" s="40"/>
      <c r="AS83" s="40"/>
      <c r="AT83" s="40"/>
      <c r="AU83" s="49">
        <f t="shared" si="245"/>
        <v>64.706999033855851</v>
      </c>
      <c r="AV83" s="40"/>
      <c r="AW83" s="40"/>
      <c r="AX83" s="40"/>
      <c r="AY83" s="40"/>
      <c r="AZ83" s="49">
        <f t="shared" si="246"/>
        <v>65.030534029025119</v>
      </c>
      <c r="BA83" s="40"/>
      <c r="BB83" s="40"/>
      <c r="BC83" s="40"/>
      <c r="BD83" s="40"/>
      <c r="BE83" s="49">
        <f t="shared" si="247"/>
        <v>65.030534029025119</v>
      </c>
      <c r="BF83" s="40"/>
      <c r="BG83" s="40"/>
      <c r="BH83" s="40"/>
      <c r="BI83" s="40"/>
      <c r="BJ83" s="49">
        <f t="shared" si="248"/>
        <v>64.70538135887999</v>
      </c>
      <c r="BK83" s="40"/>
      <c r="BL83" s="40"/>
      <c r="BM83" s="40"/>
      <c r="BN83" s="40"/>
      <c r="BO83" s="49">
        <f t="shared" si="249"/>
        <v>64.058327545291192</v>
      </c>
      <c r="BP83" s="40"/>
      <c r="BQ83" s="40"/>
      <c r="BR83" s="40"/>
      <c r="BS83" s="40"/>
      <c r="BT83" s="49">
        <f t="shared" si="250"/>
        <v>63.097452632111825</v>
      </c>
      <c r="BU83" s="40"/>
      <c r="BV83" s="40"/>
      <c r="BW83" s="40"/>
      <c r="BX83" s="40"/>
      <c r="BY83" s="49">
        <f t="shared" si="251"/>
        <v>61.835503579469588</v>
      </c>
      <c r="BZ83" s="40"/>
      <c r="CA83" s="40"/>
      <c r="CB83" s="40"/>
      <c r="CC83" s="40"/>
      <c r="CD83" s="49">
        <f t="shared" si="252"/>
        <v>60.289615989982849</v>
      </c>
      <c r="CE83" s="40"/>
      <c r="CF83" s="40"/>
      <c r="CG83" s="40"/>
      <c r="CH83" s="40"/>
      <c r="CI83" s="49">
        <f t="shared" si="253"/>
        <v>58.480927510283365</v>
      </c>
      <c r="CJ83" s="40"/>
      <c r="CK83" s="40"/>
      <c r="CL83" s="40"/>
      <c r="CM83" s="40"/>
      <c r="CN83" s="280">
        <f t="shared" si="254"/>
        <v>56.434095047423448</v>
      </c>
    </row>
    <row r="84" spans="1:92" ht="14.25" customHeight="1">
      <c r="A84" s="20"/>
      <c r="B84" s="416" t="s">
        <v>134</v>
      </c>
      <c r="C84" s="40">
        <f>C83</f>
        <v>0</v>
      </c>
      <c r="D84" s="40">
        <f t="shared" ref="D84" si="261">D83</f>
        <v>0</v>
      </c>
      <c r="E84" s="40">
        <f t="shared" ref="E84" si="262">E83</f>
        <v>0</v>
      </c>
      <c r="F84" s="40">
        <f t="shared" ref="F84:G84" si="263">F83</f>
        <v>0</v>
      </c>
      <c r="G84" s="49">
        <f t="shared" si="263"/>
        <v>1.834368</v>
      </c>
      <c r="H84" s="40">
        <f t="shared" ref="H84:K84" si="264">H83</f>
        <v>4.3097409999999989</v>
      </c>
      <c r="I84" s="40">
        <f t="shared" si="264"/>
        <v>-2.9438139999999997</v>
      </c>
      <c r="J84" s="40">
        <f t="shared" si="264"/>
        <v>0.23537400000000086</v>
      </c>
      <c r="K84" s="40">
        <f t="shared" si="264"/>
        <v>0.268598</v>
      </c>
      <c r="L84" s="49">
        <f t="shared" si="256"/>
        <v>1.8698990000000002</v>
      </c>
      <c r="M84" s="40">
        <f t="shared" ref="M84:N84" si="265">M83</f>
        <v>0.64263400000000004</v>
      </c>
      <c r="N84" s="40">
        <f t="shared" si="265"/>
        <v>2.2685209999999998</v>
      </c>
      <c r="O84" s="40">
        <f t="shared" ref="O84" si="266">O83</f>
        <v>3.7400769999999999</v>
      </c>
      <c r="P84" s="40">
        <f t="shared" ref="P84" si="267">P83</f>
        <v>4.4282789999999999</v>
      </c>
      <c r="Q84" s="49">
        <f t="shared" si="257"/>
        <v>11.079511</v>
      </c>
      <c r="R84" s="40">
        <f t="shared" ref="R84:U84" si="268">R83</f>
        <v>4.8239130000000001</v>
      </c>
      <c r="S84" s="40">
        <f t="shared" si="268"/>
        <v>5.418266</v>
      </c>
      <c r="T84" s="40">
        <f t="shared" si="268"/>
        <v>7.0826830000000003</v>
      </c>
      <c r="U84" s="40">
        <f t="shared" si="268"/>
        <v>7.1980389999999996</v>
      </c>
      <c r="V84" s="49">
        <f t="shared" si="258"/>
        <v>24.522900999999997</v>
      </c>
      <c r="W84" s="40">
        <f t="shared" ref="W84:X84" si="269">W83</f>
        <v>9.6378070000000005</v>
      </c>
      <c r="X84" s="40">
        <f t="shared" si="269"/>
        <v>13.154</v>
      </c>
      <c r="Y84" s="40">
        <f t="shared" ref="Y84:Z84" si="270">Y83</f>
        <v>16.094999999999999</v>
      </c>
      <c r="Z84" s="40">
        <f t="shared" si="270"/>
        <v>31.077999999999999</v>
      </c>
      <c r="AA84" s="49">
        <f t="shared" si="259"/>
        <v>69.964806999999993</v>
      </c>
      <c r="AB84" s="40">
        <f t="shared" si="239"/>
        <v>12.529149100000001</v>
      </c>
      <c r="AC84" s="40">
        <f t="shared" si="240"/>
        <v>13.8117</v>
      </c>
      <c r="AD84" s="40">
        <f t="shared" si="241"/>
        <v>14.163599999999999</v>
      </c>
      <c r="AE84" s="40">
        <f t="shared" si="242"/>
        <v>27.970199999999998</v>
      </c>
      <c r="AF84" s="49">
        <f t="shared" si="260"/>
        <v>68.474649099999993</v>
      </c>
      <c r="AG84" s="40"/>
      <c r="AH84" s="40"/>
      <c r="AI84" s="40"/>
      <c r="AJ84" s="40"/>
      <c r="AK84" s="49">
        <f t="shared" si="243"/>
        <v>34.237324549999997</v>
      </c>
      <c r="AL84" s="40"/>
      <c r="AM84" s="40"/>
      <c r="AN84" s="40"/>
      <c r="AO84" s="40"/>
      <c r="AP84" s="49">
        <f t="shared" si="244"/>
        <v>25.677993412499998</v>
      </c>
      <c r="AQ84" s="40"/>
      <c r="AR84" s="40"/>
      <c r="AS84" s="40"/>
      <c r="AT84" s="40"/>
      <c r="AU84" s="49">
        <f t="shared" si="245"/>
        <v>19.258495059374997</v>
      </c>
      <c r="AV84" s="40"/>
      <c r="AW84" s="40"/>
      <c r="AX84" s="40"/>
      <c r="AY84" s="40"/>
      <c r="AZ84" s="49">
        <f t="shared" si="246"/>
        <v>14.443871294531249</v>
      </c>
      <c r="BA84" s="40"/>
      <c r="BB84" s="40"/>
      <c r="BC84" s="40"/>
      <c r="BD84" s="40"/>
      <c r="BE84" s="49">
        <f t="shared" si="247"/>
        <v>10.832903470898437</v>
      </c>
      <c r="BF84" s="40"/>
      <c r="BG84" s="40"/>
      <c r="BH84" s="40"/>
      <c r="BI84" s="40"/>
      <c r="BJ84" s="49">
        <f t="shared" si="248"/>
        <v>8.1246776031738275</v>
      </c>
      <c r="BK84" s="40"/>
      <c r="BL84" s="40"/>
      <c r="BM84" s="40"/>
      <c r="BN84" s="40"/>
      <c r="BO84" s="49">
        <f t="shared" si="249"/>
        <v>6.0935082023803702</v>
      </c>
      <c r="BP84" s="40"/>
      <c r="BQ84" s="40"/>
      <c r="BR84" s="40"/>
      <c r="BS84" s="40"/>
      <c r="BT84" s="49">
        <f t="shared" si="250"/>
        <v>4.5701311517852776</v>
      </c>
      <c r="BU84" s="40"/>
      <c r="BV84" s="40"/>
      <c r="BW84" s="40"/>
      <c r="BX84" s="40"/>
      <c r="BY84" s="49">
        <f t="shared" si="251"/>
        <v>3.4275983638389582</v>
      </c>
      <c r="BZ84" s="40"/>
      <c r="CA84" s="40"/>
      <c r="CB84" s="40"/>
      <c r="CC84" s="40"/>
      <c r="CD84" s="49">
        <f t="shared" si="252"/>
        <v>2.5706987728792186</v>
      </c>
      <c r="CE84" s="40"/>
      <c r="CF84" s="40"/>
      <c r="CG84" s="40"/>
      <c r="CH84" s="40"/>
      <c r="CI84" s="49">
        <f t="shared" si="253"/>
        <v>1.9280240796594139</v>
      </c>
      <c r="CJ84" s="40"/>
      <c r="CK84" s="40"/>
      <c r="CL84" s="40"/>
      <c r="CM84" s="40"/>
      <c r="CN84" s="280">
        <f t="shared" si="254"/>
        <v>1.4460180597445604</v>
      </c>
    </row>
    <row r="85" spans="1:92" ht="14.25" customHeight="1">
      <c r="A85" s="20"/>
      <c r="B85" s="416" t="s">
        <v>128</v>
      </c>
      <c r="C85" s="142"/>
      <c r="D85" s="142"/>
      <c r="E85" s="142"/>
      <c r="F85" s="142"/>
      <c r="G85" s="141"/>
      <c r="H85" s="142"/>
      <c r="I85" s="142"/>
      <c r="J85" s="238"/>
      <c r="K85" s="238"/>
      <c r="L85" s="89">
        <f t="shared" ref="L85:L87" si="271">L82/G82-1</f>
        <v>1.9369613948782449E-2</v>
      </c>
      <c r="M85" s="290">
        <f>M82/H82-1</f>
        <v>-0.85088802320139423</v>
      </c>
      <c r="N85" s="290">
        <f t="shared" ref="N85:Q85" si="272">N82/I82-1</f>
        <v>-1.7706060912815822</v>
      </c>
      <c r="O85" s="291">
        <f t="shared" si="272"/>
        <v>14.889932617876173</v>
      </c>
      <c r="P85" s="291">
        <f t="shared" si="272"/>
        <v>15.486641747146294</v>
      </c>
      <c r="Q85" s="89">
        <f t="shared" si="272"/>
        <v>4.9251922162640867</v>
      </c>
      <c r="R85" s="290">
        <f>R82/M82-1</f>
        <v>6.5064702458942412</v>
      </c>
      <c r="S85" s="290">
        <f t="shared" ref="S85:S87" si="273">S82/N82-1</f>
        <v>1.3884575016056719</v>
      </c>
      <c r="T85" s="291">
        <f t="shared" ref="T85:T87" si="274">T82/O82-1</f>
        <v>0.89372651953422366</v>
      </c>
      <c r="U85" s="291">
        <f t="shared" ref="U85:U87" si="275">U82/P82-1</f>
        <v>0.62547097868043089</v>
      </c>
      <c r="V85" s="89">
        <f t="shared" ref="V85:Z87" si="276">V82/Q82-1</f>
        <v>1.2133558963026436</v>
      </c>
      <c r="W85" s="290">
        <f>W82/R82-1</f>
        <v>0.99792305541165449</v>
      </c>
      <c r="X85" s="290">
        <f>X82/S82-1</f>
        <v>1.427713958672387</v>
      </c>
      <c r="Y85" s="290">
        <f>Y82/T82-1</f>
        <v>1.2724439312051659</v>
      </c>
      <c r="Z85" s="290">
        <f>Z82/U82-1</f>
        <v>3.3175648256420951</v>
      </c>
      <c r="AA85" s="89">
        <f>(AA82/V82)-1</f>
        <v>1.8530395730912912</v>
      </c>
      <c r="AB85" s="292">
        <v>0.4</v>
      </c>
      <c r="AC85" s="292">
        <v>0.1</v>
      </c>
      <c r="AD85" s="292">
        <v>-0.06</v>
      </c>
      <c r="AE85" s="292">
        <v>-0.35</v>
      </c>
      <c r="AF85" s="89">
        <f>(AF82/AA82)-1</f>
        <v>-9.5369050328402927E-2</v>
      </c>
      <c r="AG85" s="292"/>
      <c r="AH85" s="292"/>
      <c r="AI85" s="292"/>
      <c r="AJ85" s="292"/>
      <c r="AK85" s="335">
        <v>0.02</v>
      </c>
      <c r="AL85" s="292"/>
      <c r="AM85" s="292"/>
      <c r="AN85" s="292"/>
      <c r="AO85" s="292"/>
      <c r="AP85" s="335">
        <v>0.01</v>
      </c>
      <c r="AQ85" s="292"/>
      <c r="AR85" s="292"/>
      <c r="AS85" s="292"/>
      <c r="AT85" s="292"/>
      <c r="AU85" s="335">
        <v>0</v>
      </c>
      <c r="AV85" s="292"/>
      <c r="AW85" s="292"/>
      <c r="AX85" s="292"/>
      <c r="AY85" s="292"/>
      <c r="AZ85" s="335">
        <v>0</v>
      </c>
      <c r="BA85" s="292"/>
      <c r="BB85" s="292"/>
      <c r="BC85" s="292"/>
      <c r="BD85" s="292"/>
      <c r="BE85" s="335">
        <v>0</v>
      </c>
      <c r="BF85" s="292"/>
      <c r="BG85" s="292"/>
      <c r="BH85" s="292"/>
      <c r="BI85" s="292"/>
      <c r="BJ85" s="335">
        <v>0</v>
      </c>
      <c r="BK85" s="292"/>
      <c r="BL85" s="292"/>
      <c r="BM85" s="292"/>
      <c r="BN85" s="292"/>
      <c r="BO85" s="335">
        <v>0</v>
      </c>
      <c r="BP85" s="292"/>
      <c r="BQ85" s="292"/>
      <c r="BR85" s="292"/>
      <c r="BS85" s="292"/>
      <c r="BT85" s="335">
        <f>BO85</f>
        <v>0</v>
      </c>
      <c r="BU85" s="292"/>
      <c r="BV85" s="292"/>
      <c r="BW85" s="292"/>
      <c r="BX85" s="292"/>
      <c r="BY85" s="335">
        <f>BT85</f>
        <v>0</v>
      </c>
      <c r="BZ85" s="292"/>
      <c r="CA85" s="292"/>
      <c r="CB85" s="292"/>
      <c r="CC85" s="292"/>
      <c r="CD85" s="335">
        <f>BY85</f>
        <v>0</v>
      </c>
      <c r="CE85" s="292"/>
      <c r="CF85" s="292"/>
      <c r="CG85" s="292"/>
      <c r="CH85" s="292"/>
      <c r="CI85" s="335">
        <f>CD85</f>
        <v>0</v>
      </c>
      <c r="CJ85" s="292"/>
      <c r="CK85" s="292"/>
      <c r="CL85" s="292"/>
      <c r="CM85" s="292"/>
      <c r="CN85" s="336">
        <f>CI85</f>
        <v>0</v>
      </c>
    </row>
    <row r="86" spans="1:92" ht="14.25" customHeight="1">
      <c r="A86" s="20"/>
      <c r="B86" s="416" t="s">
        <v>129</v>
      </c>
      <c r="C86" s="142"/>
      <c r="D86" s="142"/>
      <c r="E86" s="142"/>
      <c r="F86" s="142"/>
      <c r="G86" s="141"/>
      <c r="H86" s="142"/>
      <c r="I86" s="142"/>
      <c r="J86" s="238"/>
      <c r="K86" s="238"/>
      <c r="L86" s="89">
        <f t="shared" si="271"/>
        <v>1.9369613948782449E-2</v>
      </c>
      <c r="M86" s="290">
        <f t="shared" ref="M86:Q86" si="277">M83/H83-1</f>
        <v>-0.85088802320139423</v>
      </c>
      <c r="N86" s="290">
        <f t="shared" si="277"/>
        <v>-1.7706060912815822</v>
      </c>
      <c r="O86" s="291">
        <f t="shared" si="277"/>
        <v>14.889932617876173</v>
      </c>
      <c r="P86" s="291">
        <f t="shared" si="277"/>
        <v>15.486641747146294</v>
      </c>
      <c r="Q86" s="89">
        <f t="shared" si="277"/>
        <v>4.9251922162640867</v>
      </c>
      <c r="R86" s="290">
        <f t="shared" ref="R86:R87" si="278">R83/M83-1</f>
        <v>6.5064702458942412</v>
      </c>
      <c r="S86" s="290">
        <f t="shared" si="273"/>
        <v>1.3884575016056719</v>
      </c>
      <c r="T86" s="291">
        <f t="shared" si="274"/>
        <v>0.89372651953422366</v>
      </c>
      <c r="U86" s="291">
        <f t="shared" si="275"/>
        <v>0.62547097868043089</v>
      </c>
      <c r="V86" s="89">
        <f t="shared" si="276"/>
        <v>1.2133558963026436</v>
      </c>
      <c r="W86" s="290">
        <f t="shared" si="276"/>
        <v>0.99792305541165449</v>
      </c>
      <c r="X86" s="290">
        <f t="shared" si="276"/>
        <v>1.427713958672387</v>
      </c>
      <c r="Y86" s="290">
        <f t="shared" si="276"/>
        <v>1.2724439312051659</v>
      </c>
      <c r="Z86" s="290">
        <f t="shared" si="276"/>
        <v>3.3175648256420951</v>
      </c>
      <c r="AA86" s="89">
        <f>(AA83/V83)-1</f>
        <v>1.8530395730912912</v>
      </c>
      <c r="AB86" s="292">
        <v>0.35</v>
      </c>
      <c r="AC86" s="292">
        <v>0.06</v>
      </c>
      <c r="AD86" s="292">
        <v>-8.5000000000000006E-2</v>
      </c>
      <c r="AE86" s="292">
        <v>-0.35</v>
      </c>
      <c r="AF86" s="89">
        <f>(AF83/AA83)-1</f>
        <v>-0.11552811901560722</v>
      </c>
      <c r="AG86" s="292"/>
      <c r="AH86" s="292"/>
      <c r="AI86" s="292"/>
      <c r="AJ86" s="292"/>
      <c r="AK86" s="335">
        <v>0.02</v>
      </c>
      <c r="AL86" s="292"/>
      <c r="AM86" s="292"/>
      <c r="AN86" s="292"/>
      <c r="AO86" s="292"/>
      <c r="AP86" s="335">
        <f>AK86-0.005</f>
        <v>1.4999999999999999E-2</v>
      </c>
      <c r="AQ86" s="292"/>
      <c r="AR86" s="292"/>
      <c r="AS86" s="292"/>
      <c r="AT86" s="292"/>
      <c r="AU86" s="335">
        <f>AP86-0.005</f>
        <v>9.9999999999999985E-3</v>
      </c>
      <c r="AV86" s="292">
        <f t="shared" ref="AV86:CN86" si="279">AQ86-0.005</f>
        <v>-5.0000000000000001E-3</v>
      </c>
      <c r="AW86" s="292">
        <f t="shared" si="279"/>
        <v>-5.0000000000000001E-3</v>
      </c>
      <c r="AX86" s="292">
        <f t="shared" si="279"/>
        <v>-5.0000000000000001E-3</v>
      </c>
      <c r="AY86" s="292">
        <f t="shared" si="279"/>
        <v>-5.0000000000000001E-3</v>
      </c>
      <c r="AZ86" s="335">
        <f>AU86-0.005</f>
        <v>4.9999999999999984E-3</v>
      </c>
      <c r="BA86" s="292">
        <f t="shared" si="279"/>
        <v>-0.01</v>
      </c>
      <c r="BB86" s="292">
        <f t="shared" si="279"/>
        <v>-0.01</v>
      </c>
      <c r="BC86" s="292">
        <f t="shared" si="279"/>
        <v>-0.01</v>
      </c>
      <c r="BD86" s="292">
        <f t="shared" si="279"/>
        <v>-0.01</v>
      </c>
      <c r="BE86" s="335">
        <f>AZ86-0.005</f>
        <v>0</v>
      </c>
      <c r="BF86" s="292">
        <f t="shared" si="279"/>
        <v>-1.4999999999999999E-2</v>
      </c>
      <c r="BG86" s="292">
        <f t="shared" si="279"/>
        <v>-1.4999999999999999E-2</v>
      </c>
      <c r="BH86" s="292">
        <f t="shared" si="279"/>
        <v>-1.4999999999999999E-2</v>
      </c>
      <c r="BI86" s="292">
        <f t="shared" si="279"/>
        <v>-1.4999999999999999E-2</v>
      </c>
      <c r="BJ86" s="335">
        <f>BE86-0.005</f>
        <v>-5.0000000000000001E-3</v>
      </c>
      <c r="BK86" s="292">
        <f t="shared" si="279"/>
        <v>-0.02</v>
      </c>
      <c r="BL86" s="292">
        <f t="shared" si="279"/>
        <v>-0.02</v>
      </c>
      <c r="BM86" s="292">
        <f t="shared" si="279"/>
        <v>-0.02</v>
      </c>
      <c r="BN86" s="292">
        <f t="shared" si="279"/>
        <v>-0.02</v>
      </c>
      <c r="BO86" s="335">
        <f t="shared" si="279"/>
        <v>-0.01</v>
      </c>
      <c r="BP86" s="292">
        <f t="shared" si="279"/>
        <v>-2.5000000000000001E-2</v>
      </c>
      <c r="BQ86" s="292">
        <f t="shared" si="279"/>
        <v>-2.5000000000000001E-2</v>
      </c>
      <c r="BR86" s="292">
        <f t="shared" si="279"/>
        <v>-2.5000000000000001E-2</v>
      </c>
      <c r="BS86" s="292">
        <f t="shared" si="279"/>
        <v>-2.5000000000000001E-2</v>
      </c>
      <c r="BT86" s="335">
        <f t="shared" si="279"/>
        <v>-1.4999999999999999E-2</v>
      </c>
      <c r="BU86" s="292">
        <f t="shared" si="279"/>
        <v>-3.0000000000000002E-2</v>
      </c>
      <c r="BV86" s="292">
        <f t="shared" si="279"/>
        <v>-3.0000000000000002E-2</v>
      </c>
      <c r="BW86" s="292">
        <f t="shared" si="279"/>
        <v>-3.0000000000000002E-2</v>
      </c>
      <c r="BX86" s="292">
        <f t="shared" si="279"/>
        <v>-3.0000000000000002E-2</v>
      </c>
      <c r="BY86" s="335">
        <f t="shared" si="279"/>
        <v>-0.02</v>
      </c>
      <c r="BZ86" s="292">
        <f t="shared" si="279"/>
        <v>-3.5000000000000003E-2</v>
      </c>
      <c r="CA86" s="292">
        <f t="shared" si="279"/>
        <v>-3.5000000000000003E-2</v>
      </c>
      <c r="CB86" s="292">
        <f t="shared" si="279"/>
        <v>-3.5000000000000003E-2</v>
      </c>
      <c r="CC86" s="292">
        <f t="shared" si="279"/>
        <v>-3.5000000000000003E-2</v>
      </c>
      <c r="CD86" s="335">
        <f t="shared" si="279"/>
        <v>-2.5000000000000001E-2</v>
      </c>
      <c r="CE86" s="292">
        <f t="shared" si="279"/>
        <v>-0.04</v>
      </c>
      <c r="CF86" s="292">
        <f t="shared" si="279"/>
        <v>-0.04</v>
      </c>
      <c r="CG86" s="292">
        <f t="shared" si="279"/>
        <v>-0.04</v>
      </c>
      <c r="CH86" s="292">
        <f t="shared" si="279"/>
        <v>-0.04</v>
      </c>
      <c r="CI86" s="335">
        <f t="shared" si="279"/>
        <v>-3.0000000000000002E-2</v>
      </c>
      <c r="CJ86" s="292">
        <f t="shared" si="279"/>
        <v>-4.4999999999999998E-2</v>
      </c>
      <c r="CK86" s="292">
        <f t="shared" si="279"/>
        <v>-4.4999999999999998E-2</v>
      </c>
      <c r="CL86" s="292">
        <f t="shared" si="279"/>
        <v>-4.4999999999999998E-2</v>
      </c>
      <c r="CM86" s="292">
        <f t="shared" si="279"/>
        <v>-4.4999999999999998E-2</v>
      </c>
      <c r="CN86" s="336">
        <f t="shared" si="279"/>
        <v>-3.5000000000000003E-2</v>
      </c>
    </row>
    <row r="87" spans="1:92" ht="14.25" customHeight="1">
      <c r="A87" s="20"/>
      <c r="B87" s="417" t="s">
        <v>130</v>
      </c>
      <c r="C87" s="337"/>
      <c r="D87" s="337"/>
      <c r="E87" s="337"/>
      <c r="F87" s="337"/>
      <c r="G87" s="338"/>
      <c r="H87" s="337"/>
      <c r="I87" s="337"/>
      <c r="J87" s="339"/>
      <c r="K87" s="339"/>
      <c r="L87" s="340">
        <f t="shared" si="271"/>
        <v>1.9369613948782449E-2</v>
      </c>
      <c r="M87" s="341">
        <f t="shared" ref="M87:Q87" si="280">M84/H84-1</f>
        <v>-0.85088802320139423</v>
      </c>
      <c r="N87" s="341">
        <f t="shared" si="280"/>
        <v>-1.7706060912815822</v>
      </c>
      <c r="O87" s="342">
        <f t="shared" si="280"/>
        <v>14.889932617876173</v>
      </c>
      <c r="P87" s="342">
        <f t="shared" si="280"/>
        <v>15.486641747146294</v>
      </c>
      <c r="Q87" s="340">
        <f t="shared" si="280"/>
        <v>4.9251922162640867</v>
      </c>
      <c r="R87" s="341">
        <f t="shared" si="278"/>
        <v>6.5064702458942412</v>
      </c>
      <c r="S87" s="341">
        <f t="shared" si="273"/>
        <v>1.3884575016056719</v>
      </c>
      <c r="T87" s="342">
        <f t="shared" si="274"/>
        <v>0.89372651953422366</v>
      </c>
      <c r="U87" s="342">
        <f t="shared" si="275"/>
        <v>0.62547097868043089</v>
      </c>
      <c r="V87" s="340">
        <f t="shared" si="276"/>
        <v>1.2133558963026436</v>
      </c>
      <c r="W87" s="341">
        <f t="shared" si="276"/>
        <v>0.99792305541165449</v>
      </c>
      <c r="X87" s="341">
        <f t="shared" si="276"/>
        <v>1.427713958672387</v>
      </c>
      <c r="Y87" s="341">
        <f t="shared" si="276"/>
        <v>1.2724439312051659</v>
      </c>
      <c r="Z87" s="341">
        <f t="shared" si="276"/>
        <v>3.3175648256420951</v>
      </c>
      <c r="AA87" s="340">
        <f>(AA84/V84)-1</f>
        <v>1.8530395730912912</v>
      </c>
      <c r="AB87" s="343">
        <v>0.3</v>
      </c>
      <c r="AC87" s="343">
        <v>0.05</v>
      </c>
      <c r="AD87" s="343">
        <v>-0.12</v>
      </c>
      <c r="AE87" s="343">
        <v>-0.1</v>
      </c>
      <c r="AF87" s="340">
        <f>(AF84/AA84)-1</f>
        <v>-2.1298678062529386E-2</v>
      </c>
      <c r="AG87" s="343"/>
      <c r="AH87" s="343"/>
      <c r="AI87" s="343"/>
      <c r="AJ87" s="343"/>
      <c r="AK87" s="344">
        <v>-0.5</v>
      </c>
      <c r="AL87" s="343">
        <v>-0.5</v>
      </c>
      <c r="AM87" s="343">
        <v>-0.5</v>
      </c>
      <c r="AN87" s="343">
        <v>-0.5</v>
      </c>
      <c r="AO87" s="343">
        <v>-0.5</v>
      </c>
      <c r="AP87" s="344">
        <v>-0.25</v>
      </c>
      <c r="AQ87" s="343">
        <v>-0.25</v>
      </c>
      <c r="AR87" s="343">
        <v>-0.25</v>
      </c>
      <c r="AS87" s="343">
        <v>-0.25</v>
      </c>
      <c r="AT87" s="343">
        <v>-0.25</v>
      </c>
      <c r="AU87" s="344">
        <v>-0.25</v>
      </c>
      <c r="AV87" s="343">
        <v>-0.25</v>
      </c>
      <c r="AW87" s="343">
        <v>-0.25</v>
      </c>
      <c r="AX87" s="343">
        <v>-0.25</v>
      </c>
      <c r="AY87" s="343">
        <v>-0.25</v>
      </c>
      <c r="AZ87" s="344">
        <v>-0.25</v>
      </c>
      <c r="BA87" s="343">
        <v>-0.25</v>
      </c>
      <c r="BB87" s="343">
        <v>-0.25</v>
      </c>
      <c r="BC87" s="343">
        <v>-0.25</v>
      </c>
      <c r="BD87" s="343">
        <v>-0.25</v>
      </c>
      <c r="BE87" s="344">
        <v>-0.25</v>
      </c>
      <c r="BF87" s="343">
        <v>-0.25</v>
      </c>
      <c r="BG87" s="343">
        <v>-0.25</v>
      </c>
      <c r="BH87" s="343">
        <v>-0.25</v>
      </c>
      <c r="BI87" s="343">
        <v>-0.25</v>
      </c>
      <c r="BJ87" s="344">
        <v>-0.25</v>
      </c>
      <c r="BK87" s="343">
        <v>-0.25</v>
      </c>
      <c r="BL87" s="343">
        <v>-0.25</v>
      </c>
      <c r="BM87" s="343">
        <v>-0.25</v>
      </c>
      <c r="BN87" s="343">
        <v>-0.25</v>
      </c>
      <c r="BO87" s="344">
        <v>-0.25</v>
      </c>
      <c r="BP87" s="343">
        <v>-0.25</v>
      </c>
      <c r="BQ87" s="343">
        <v>-0.25</v>
      </c>
      <c r="BR87" s="343">
        <v>-0.25</v>
      </c>
      <c r="BS87" s="343">
        <v>-0.25</v>
      </c>
      <c r="BT87" s="344">
        <v>-0.25</v>
      </c>
      <c r="BU87" s="343">
        <v>-0.25</v>
      </c>
      <c r="BV87" s="343">
        <v>-0.25</v>
      </c>
      <c r="BW87" s="343">
        <v>-0.25</v>
      </c>
      <c r="BX87" s="343">
        <v>-0.25</v>
      </c>
      <c r="BY87" s="344">
        <v>-0.25</v>
      </c>
      <c r="BZ87" s="343">
        <v>-0.25</v>
      </c>
      <c r="CA87" s="343">
        <v>-0.25</v>
      </c>
      <c r="CB87" s="343">
        <v>-0.25</v>
      </c>
      <c r="CC87" s="343">
        <v>-0.25</v>
      </c>
      <c r="CD87" s="344">
        <v>-0.25</v>
      </c>
      <c r="CE87" s="343">
        <v>-0.25</v>
      </c>
      <c r="CF87" s="343">
        <v>-0.25</v>
      </c>
      <c r="CG87" s="343">
        <v>-0.25</v>
      </c>
      <c r="CH87" s="343">
        <v>-0.25</v>
      </c>
      <c r="CI87" s="344">
        <v>-0.25</v>
      </c>
      <c r="CJ87" s="343">
        <v>-0.25</v>
      </c>
      <c r="CK87" s="343">
        <v>-0.25</v>
      </c>
      <c r="CL87" s="343">
        <v>-0.25</v>
      </c>
      <c r="CM87" s="343">
        <v>-0.25</v>
      </c>
      <c r="CN87" s="345">
        <v>-0.25</v>
      </c>
    </row>
    <row r="88" spans="1:92" ht="14.25" customHeight="1">
      <c r="A88" s="20"/>
      <c r="B88" s="30"/>
      <c r="C88" s="43"/>
      <c r="D88" s="43"/>
      <c r="E88" s="43"/>
      <c r="F88" s="43"/>
      <c r="G88" s="178"/>
      <c r="H88" s="43"/>
      <c r="I88" s="43"/>
      <c r="J88" s="176"/>
      <c r="K88" s="43"/>
      <c r="L88" s="178"/>
      <c r="M88" s="43"/>
      <c r="N88" s="43"/>
      <c r="O88" s="43"/>
      <c r="P88" s="43"/>
      <c r="Q88" s="178"/>
      <c r="R88" s="43"/>
      <c r="S88" s="43"/>
      <c r="T88" s="43"/>
      <c r="U88" s="43"/>
      <c r="V88" s="178"/>
      <c r="W88" s="43"/>
      <c r="X88" s="43"/>
      <c r="Y88" s="43"/>
      <c r="Z88" s="43"/>
      <c r="AA88" s="178"/>
      <c r="AB88" s="43"/>
      <c r="AC88" s="43"/>
      <c r="AD88" s="43"/>
      <c r="AE88" s="43"/>
      <c r="AF88" s="178"/>
      <c r="AG88" s="43"/>
      <c r="AH88" s="43"/>
      <c r="AI88" s="43"/>
      <c r="AJ88" s="43"/>
      <c r="AK88" s="178"/>
      <c r="AL88" s="43"/>
      <c r="AM88" s="43"/>
      <c r="AN88" s="43"/>
      <c r="AO88" s="43"/>
      <c r="AP88" s="178"/>
      <c r="AQ88" s="43"/>
      <c r="AR88" s="43"/>
      <c r="AS88" s="43"/>
      <c r="AT88" s="43"/>
      <c r="AU88" s="178"/>
      <c r="AV88" s="43"/>
      <c r="AW88" s="43"/>
      <c r="AX88" s="43"/>
      <c r="AY88" s="43"/>
      <c r="AZ88" s="178"/>
      <c r="BA88" s="43"/>
      <c r="BB88" s="43"/>
      <c r="BC88" s="43"/>
      <c r="BD88" s="43"/>
      <c r="BE88" s="178"/>
      <c r="BF88" s="43"/>
      <c r="BG88" s="43"/>
      <c r="BH88" s="43"/>
      <c r="BI88" s="43"/>
      <c r="BJ88" s="178"/>
      <c r="BK88" s="43"/>
      <c r="BL88" s="43"/>
      <c r="BM88" s="43"/>
      <c r="BN88" s="43"/>
      <c r="BO88" s="178"/>
      <c r="BP88" s="43"/>
      <c r="BQ88" s="43"/>
      <c r="BR88" s="43"/>
      <c r="BS88" s="43"/>
      <c r="BT88" s="178"/>
      <c r="BU88" s="43"/>
      <c r="BV88" s="43"/>
      <c r="BW88" s="43"/>
      <c r="BX88" s="43"/>
      <c r="BY88" s="178"/>
      <c r="BZ88" s="43"/>
      <c r="CA88" s="43"/>
      <c r="CB88" s="43"/>
      <c r="CC88" s="43"/>
      <c r="CD88" s="178"/>
      <c r="CE88" s="43"/>
      <c r="CF88" s="43"/>
      <c r="CG88" s="43"/>
      <c r="CH88" s="43"/>
      <c r="CI88" s="178"/>
      <c r="CJ88" s="43"/>
      <c r="CK88" s="43"/>
      <c r="CL88" s="43"/>
      <c r="CM88" s="43"/>
      <c r="CN88" s="178"/>
    </row>
    <row r="89" spans="1:92" ht="14.25" customHeight="1">
      <c r="A89" s="20"/>
      <c r="B89" s="414" t="s">
        <v>18</v>
      </c>
      <c r="C89" s="43"/>
      <c r="D89" s="43"/>
      <c r="E89" s="43"/>
      <c r="F89" s="43"/>
      <c r="G89" s="178"/>
      <c r="H89" s="43"/>
      <c r="I89" s="43"/>
      <c r="J89" s="176"/>
      <c r="K89" s="43"/>
      <c r="L89" s="178"/>
      <c r="M89" s="43"/>
      <c r="N89" s="43"/>
      <c r="O89" s="43"/>
      <c r="P89" s="43"/>
      <c r="Q89" s="178"/>
      <c r="R89" s="43"/>
      <c r="S89" s="43"/>
      <c r="T89" s="43"/>
      <c r="U89" s="43"/>
      <c r="V89" s="178"/>
      <c r="W89" s="43"/>
      <c r="X89" s="43"/>
      <c r="Y89" s="43"/>
      <c r="Z89" s="43"/>
      <c r="AA89" s="178"/>
      <c r="AB89" s="43"/>
      <c r="AC89" s="43"/>
      <c r="AD89" s="43"/>
      <c r="AE89" s="43"/>
      <c r="AF89" s="178"/>
      <c r="AG89" s="43"/>
      <c r="AH89" s="43"/>
      <c r="AI89" s="43"/>
      <c r="AJ89" s="43"/>
      <c r="AK89" s="178"/>
      <c r="AL89" s="43"/>
      <c r="AM89" s="43"/>
      <c r="AN89" s="43"/>
      <c r="AO89" s="43"/>
      <c r="AP89" s="178"/>
      <c r="AQ89" s="43"/>
      <c r="AR89" s="43"/>
      <c r="AS89" s="43"/>
      <c r="AT89" s="43"/>
      <c r="AU89" s="178"/>
      <c r="AV89" s="43"/>
      <c r="AW89" s="43"/>
      <c r="AX89" s="43"/>
      <c r="AY89" s="43"/>
      <c r="AZ89" s="178"/>
      <c r="BA89" s="43"/>
      <c r="BB89" s="43"/>
      <c r="BC89" s="43"/>
      <c r="BD89" s="43"/>
      <c r="BE89" s="178"/>
      <c r="BF89" s="43"/>
      <c r="BG89" s="43"/>
      <c r="BH89" s="43"/>
      <c r="BI89" s="43"/>
      <c r="BJ89" s="178"/>
      <c r="BK89" s="43"/>
      <c r="BL89" s="43"/>
      <c r="BM89" s="43"/>
      <c r="BN89" s="43"/>
      <c r="BO89" s="178"/>
      <c r="BP89" s="43"/>
      <c r="BQ89" s="43"/>
      <c r="BR89" s="43"/>
      <c r="BS89" s="43"/>
      <c r="BT89" s="178"/>
      <c r="BU89" s="43"/>
      <c r="BV89" s="43"/>
      <c r="BW89" s="43"/>
      <c r="BX89" s="43"/>
      <c r="BY89" s="178"/>
      <c r="BZ89" s="43"/>
      <c r="CA89" s="43"/>
      <c r="CB89" s="43"/>
      <c r="CC89" s="43"/>
      <c r="CD89" s="178"/>
      <c r="CE89" s="43"/>
      <c r="CF89" s="43"/>
      <c r="CG89" s="43"/>
      <c r="CH89" s="43"/>
      <c r="CI89" s="178"/>
      <c r="CJ89" s="43"/>
      <c r="CK89" s="43"/>
      <c r="CL89" s="43"/>
      <c r="CM89" s="43"/>
      <c r="CN89" s="178"/>
    </row>
    <row r="90" spans="1:92" ht="14.25" customHeight="1">
      <c r="A90" s="20"/>
      <c r="B90" s="415" t="s">
        <v>135</v>
      </c>
      <c r="C90" s="85"/>
      <c r="D90" s="85"/>
      <c r="E90" s="85"/>
      <c r="F90" s="85"/>
      <c r="G90" s="181"/>
      <c r="H90" s="85"/>
      <c r="I90" s="85"/>
      <c r="J90" s="85"/>
      <c r="K90" s="85"/>
      <c r="L90" s="181">
        <f>BS!D4+BS!D11</f>
        <v>0</v>
      </c>
      <c r="M90" s="85"/>
      <c r="N90" s="85"/>
      <c r="O90" s="85"/>
      <c r="P90" s="85"/>
      <c r="Q90" s="181">
        <f>BS!E4+BS!E11</f>
        <v>3.119713</v>
      </c>
      <c r="R90" s="85"/>
      <c r="S90" s="85"/>
      <c r="T90" s="85"/>
      <c r="U90" s="85"/>
      <c r="V90" s="181">
        <f>BS!F4+BS!F11</f>
        <v>62.251860000000001</v>
      </c>
      <c r="W90" s="85"/>
      <c r="X90" s="85"/>
      <c r="Y90" s="85"/>
      <c r="Z90" s="85"/>
      <c r="AA90" s="181">
        <f>BS!G4+BS!G11</f>
        <v>240.42983899999999</v>
      </c>
      <c r="AB90" s="85"/>
      <c r="AC90" s="85"/>
      <c r="AD90" s="85"/>
      <c r="AE90" s="85"/>
      <c r="AF90" s="181">
        <f>BS!H4+BS!H11</f>
        <v>324.11700000000002</v>
      </c>
      <c r="AG90" s="85"/>
      <c r="AH90" s="85"/>
      <c r="AI90" s="85"/>
      <c r="AJ90" s="85"/>
      <c r="AK90" s="181">
        <f>BS!I4+BS!I11</f>
        <v>546.55031517249154</v>
      </c>
      <c r="AL90" s="85"/>
      <c r="AM90" s="85"/>
      <c r="AN90" s="85"/>
      <c r="AO90" s="85"/>
      <c r="AP90" s="181">
        <f>BS!J4+BS!J11</f>
        <v>403.77298660634222</v>
      </c>
      <c r="AQ90" s="85"/>
      <c r="AR90" s="85"/>
      <c r="AS90" s="85"/>
      <c r="AT90" s="85"/>
      <c r="AU90" s="181">
        <f>BS!K4+BS!K11</f>
        <v>402.3229370459012</v>
      </c>
      <c r="AV90" s="85"/>
      <c r="AW90" s="85"/>
      <c r="AX90" s="85"/>
      <c r="AY90" s="85"/>
      <c r="AZ90" s="181">
        <f>BS!L4+BS!L11</f>
        <v>816.94022599120046</v>
      </c>
      <c r="BA90" s="85"/>
      <c r="BB90" s="85"/>
      <c r="BC90" s="85"/>
      <c r="BD90" s="85"/>
      <c r="BE90" s="181">
        <f>BS!M4+BS!M11</f>
        <v>1565.3254792101134</v>
      </c>
      <c r="BF90" s="85"/>
      <c r="BG90" s="85"/>
      <c r="BH90" s="85"/>
      <c r="BI90" s="85"/>
      <c r="BJ90" s="181">
        <f>BS!N4+BS!N11</f>
        <v>2419.329862221125</v>
      </c>
      <c r="BK90" s="85"/>
      <c r="BL90" s="85"/>
      <c r="BM90" s="85"/>
      <c r="BN90" s="85"/>
      <c r="BO90" s="181">
        <f>BS!O4+BS!O11</f>
        <v>3171.3344947450232</v>
      </c>
      <c r="BP90" s="85"/>
      <c r="BQ90" s="85"/>
      <c r="BR90" s="85"/>
      <c r="BS90" s="85"/>
      <c r="BT90" s="181">
        <f>BS!P4+BS!P11</f>
        <v>3871.0611248127143</v>
      </c>
      <c r="BU90" s="85"/>
      <c r="BV90" s="85"/>
      <c r="BW90" s="85"/>
      <c r="BX90" s="85"/>
      <c r="BY90" s="181">
        <f>BS!Q4+BS!Q11</f>
        <v>4501.9582570763932</v>
      </c>
      <c r="BZ90" s="85"/>
      <c r="CA90" s="85"/>
      <c r="CB90" s="85"/>
      <c r="CC90" s="85"/>
      <c r="CD90" s="181">
        <f>BS!R4+BS!R11</f>
        <v>5094.7917753479442</v>
      </c>
      <c r="CE90" s="85"/>
      <c r="CF90" s="85"/>
      <c r="CG90" s="85"/>
      <c r="CH90" s="85"/>
      <c r="CI90" s="181">
        <f>BS!S4+BS!S11</f>
        <v>5713.5911575014634</v>
      </c>
      <c r="CJ90" s="85"/>
      <c r="CK90" s="85"/>
      <c r="CL90" s="85"/>
      <c r="CM90" s="85"/>
      <c r="CN90" s="281">
        <f>BS!T4+BS!T11</f>
        <v>6363.5947459833951</v>
      </c>
    </row>
    <row r="91" spans="1:92" ht="14.25" customHeight="1">
      <c r="A91" s="20"/>
      <c r="B91" s="416" t="s">
        <v>136</v>
      </c>
      <c r="C91" s="142"/>
      <c r="D91" s="142"/>
      <c r="E91" s="142"/>
      <c r="F91" s="142"/>
      <c r="G91" s="182"/>
      <c r="H91" s="142"/>
      <c r="I91" s="142"/>
      <c r="J91" s="142"/>
      <c r="K91" s="142"/>
      <c r="L91" s="182"/>
      <c r="M91" s="142"/>
      <c r="N91" s="142"/>
      <c r="O91" s="142"/>
      <c r="P91" s="142"/>
      <c r="Q91" s="182">
        <f t="shared" ref="Q91" si="281">Q92/Q90</f>
        <v>3.177439719615234E-2</v>
      </c>
      <c r="R91" s="142"/>
      <c r="S91" s="142"/>
      <c r="T91" s="142"/>
      <c r="U91" s="142"/>
      <c r="V91" s="182">
        <f t="shared" ref="V91" si="282">V92/V90</f>
        <v>6.469911099845049E-3</v>
      </c>
      <c r="W91" s="142">
        <f t="shared" ref="W91:AT91" si="283">R91</f>
        <v>0</v>
      </c>
      <c r="X91" s="142">
        <f t="shared" si="283"/>
        <v>0</v>
      </c>
      <c r="Y91" s="142">
        <f t="shared" si="283"/>
        <v>0</v>
      </c>
      <c r="Z91" s="142">
        <f t="shared" si="283"/>
        <v>0</v>
      </c>
      <c r="AA91" s="182">
        <f>V91</f>
        <v>6.469911099845049E-3</v>
      </c>
      <c r="AB91" s="142">
        <f t="shared" si="283"/>
        <v>0</v>
      </c>
      <c r="AC91" s="142">
        <f t="shared" si="283"/>
        <v>0</v>
      </c>
      <c r="AD91" s="142">
        <f t="shared" si="283"/>
        <v>0</v>
      </c>
      <c r="AE91" s="142">
        <f t="shared" si="283"/>
        <v>0</v>
      </c>
      <c r="AF91" s="185">
        <f>AA91</f>
        <v>6.469911099845049E-3</v>
      </c>
      <c r="AG91" s="142">
        <f t="shared" si="283"/>
        <v>0</v>
      </c>
      <c r="AH91" s="142">
        <f t="shared" si="283"/>
        <v>0</v>
      </c>
      <c r="AI91" s="142">
        <f t="shared" si="283"/>
        <v>0</v>
      </c>
      <c r="AJ91" s="142">
        <f t="shared" si="283"/>
        <v>0</v>
      </c>
      <c r="AK91" s="185">
        <f>AF91</f>
        <v>6.469911099845049E-3</v>
      </c>
      <c r="AL91" s="142">
        <f t="shared" si="283"/>
        <v>0</v>
      </c>
      <c r="AM91" s="142">
        <f t="shared" si="283"/>
        <v>0</v>
      </c>
      <c r="AN91" s="142">
        <f t="shared" si="283"/>
        <v>0</v>
      </c>
      <c r="AO91" s="142">
        <f t="shared" si="283"/>
        <v>0</v>
      </c>
      <c r="AP91" s="185">
        <f>AK91</f>
        <v>6.469911099845049E-3</v>
      </c>
      <c r="AQ91" s="142">
        <f t="shared" si="283"/>
        <v>0</v>
      </c>
      <c r="AR91" s="142">
        <f t="shared" si="283"/>
        <v>0</v>
      </c>
      <c r="AS91" s="142">
        <f t="shared" si="283"/>
        <v>0</v>
      </c>
      <c r="AT91" s="142">
        <f t="shared" si="283"/>
        <v>0</v>
      </c>
      <c r="AU91" s="185">
        <f>AP91</f>
        <v>6.469911099845049E-3</v>
      </c>
      <c r="AV91" s="142">
        <f t="shared" ref="AV91" si="284">AQ91</f>
        <v>0</v>
      </c>
      <c r="AW91" s="142">
        <f t="shared" ref="AW91" si="285">AR91</f>
        <v>0</v>
      </c>
      <c r="AX91" s="142">
        <f t="shared" ref="AX91" si="286">AS91</f>
        <v>0</v>
      </c>
      <c r="AY91" s="142">
        <f t="shared" ref="AY91" si="287">AT91</f>
        <v>0</v>
      </c>
      <c r="AZ91" s="185">
        <f>AU91</f>
        <v>6.469911099845049E-3</v>
      </c>
      <c r="BA91" s="142">
        <f t="shared" ref="BA91" si="288">AV91</f>
        <v>0</v>
      </c>
      <c r="BB91" s="142">
        <f t="shared" ref="BB91" si="289">AW91</f>
        <v>0</v>
      </c>
      <c r="BC91" s="142">
        <f t="shared" ref="BC91" si="290">AX91</f>
        <v>0</v>
      </c>
      <c r="BD91" s="142">
        <f t="shared" ref="BD91" si="291">AY91</f>
        <v>0</v>
      </c>
      <c r="BE91" s="185">
        <f>AZ91</f>
        <v>6.469911099845049E-3</v>
      </c>
      <c r="BF91" s="142">
        <f t="shared" ref="BF91" si="292">BA91</f>
        <v>0</v>
      </c>
      <c r="BG91" s="142">
        <f t="shared" ref="BG91" si="293">BB91</f>
        <v>0</v>
      </c>
      <c r="BH91" s="142">
        <f t="shared" ref="BH91" si="294">BC91</f>
        <v>0</v>
      </c>
      <c r="BI91" s="142">
        <f t="shared" ref="BI91" si="295">BD91</f>
        <v>0</v>
      </c>
      <c r="BJ91" s="185">
        <f>BE91</f>
        <v>6.469911099845049E-3</v>
      </c>
      <c r="BK91" s="142">
        <f t="shared" ref="BK91" si="296">BF91</f>
        <v>0</v>
      </c>
      <c r="BL91" s="142">
        <f t="shared" ref="BL91" si="297">BG91</f>
        <v>0</v>
      </c>
      <c r="BM91" s="142">
        <f t="shared" ref="BM91" si="298">BH91</f>
        <v>0</v>
      </c>
      <c r="BN91" s="142">
        <f t="shared" ref="BN91" si="299">BI91</f>
        <v>0</v>
      </c>
      <c r="BO91" s="185">
        <f>BJ91</f>
        <v>6.469911099845049E-3</v>
      </c>
      <c r="BP91" s="142">
        <f t="shared" ref="BP91" si="300">BK91</f>
        <v>0</v>
      </c>
      <c r="BQ91" s="142">
        <f t="shared" ref="BQ91" si="301">BL91</f>
        <v>0</v>
      </c>
      <c r="BR91" s="142">
        <f t="shared" ref="BR91" si="302">BM91</f>
        <v>0</v>
      </c>
      <c r="BS91" s="142">
        <f t="shared" ref="BS91" si="303">BN91</f>
        <v>0</v>
      </c>
      <c r="BT91" s="185">
        <f>BO91</f>
        <v>6.469911099845049E-3</v>
      </c>
      <c r="BU91" s="142">
        <f t="shared" ref="BU91" si="304">BP91</f>
        <v>0</v>
      </c>
      <c r="BV91" s="142">
        <f t="shared" ref="BV91" si="305">BQ91</f>
        <v>0</v>
      </c>
      <c r="BW91" s="142">
        <f t="shared" ref="BW91" si="306">BR91</f>
        <v>0</v>
      </c>
      <c r="BX91" s="142">
        <f t="shared" ref="BX91" si="307">BS91</f>
        <v>0</v>
      </c>
      <c r="BY91" s="185">
        <f>BT91</f>
        <v>6.469911099845049E-3</v>
      </c>
      <c r="BZ91" s="142">
        <f t="shared" ref="BZ91" si="308">BU91</f>
        <v>0</v>
      </c>
      <c r="CA91" s="142">
        <f t="shared" ref="CA91" si="309">BV91</f>
        <v>0</v>
      </c>
      <c r="CB91" s="142">
        <f t="shared" ref="CB91" si="310">BW91</f>
        <v>0</v>
      </c>
      <c r="CC91" s="142">
        <f t="shared" ref="CC91" si="311">BX91</f>
        <v>0</v>
      </c>
      <c r="CD91" s="185">
        <f>BY91</f>
        <v>6.469911099845049E-3</v>
      </c>
      <c r="CE91" s="142">
        <f t="shared" ref="CE91" si="312">BZ91</f>
        <v>0</v>
      </c>
      <c r="CF91" s="142">
        <f t="shared" ref="CF91" si="313">CA91</f>
        <v>0</v>
      </c>
      <c r="CG91" s="142">
        <f t="shared" ref="CG91" si="314">CB91</f>
        <v>0</v>
      </c>
      <c r="CH91" s="142">
        <f t="shared" ref="CH91" si="315">CC91</f>
        <v>0</v>
      </c>
      <c r="CI91" s="185">
        <f>CD91</f>
        <v>6.469911099845049E-3</v>
      </c>
      <c r="CJ91" s="142">
        <f t="shared" ref="CJ91" si="316">CE91</f>
        <v>0</v>
      </c>
      <c r="CK91" s="142">
        <f t="shared" ref="CK91" si="317">CF91</f>
        <v>0</v>
      </c>
      <c r="CL91" s="142">
        <f t="shared" ref="CL91" si="318">CG91</f>
        <v>0</v>
      </c>
      <c r="CM91" s="142">
        <f t="shared" ref="CM91" si="319">CH91</f>
        <v>0</v>
      </c>
      <c r="CN91" s="282">
        <f>CI91</f>
        <v>6.469911099845049E-3</v>
      </c>
    </row>
    <row r="92" spans="1:92" ht="14.25" customHeight="1">
      <c r="A92" s="20"/>
      <c r="B92" s="417" t="s">
        <v>18</v>
      </c>
      <c r="C92" s="84">
        <v>0</v>
      </c>
      <c r="D92" s="84">
        <v>0</v>
      </c>
      <c r="E92" s="84">
        <v>0</v>
      </c>
      <c r="F92" s="84">
        <v>0</v>
      </c>
      <c r="G92" s="183" t="str">
        <f t="shared" ref="G92:V92" si="320">IF(G31&lt;0,"0.0",G31)</f>
        <v>0.0</v>
      </c>
      <c r="H92" s="267" t="str">
        <f t="shared" si="320"/>
        <v>0.0</v>
      </c>
      <c r="I92" s="267" t="str">
        <f t="shared" si="320"/>
        <v>0.0</v>
      </c>
      <c r="J92" s="267" t="str">
        <f t="shared" si="320"/>
        <v>0.0</v>
      </c>
      <c r="K92" s="267">
        <f t="shared" si="320"/>
        <v>1.1429999999999999E-3</v>
      </c>
      <c r="L92" s="183" t="str">
        <f t="shared" si="320"/>
        <v>0.0</v>
      </c>
      <c r="M92" s="267">
        <f t="shared" si="320"/>
        <v>1.4549999999999999E-3</v>
      </c>
      <c r="N92" s="267">
        <f t="shared" si="320"/>
        <v>4.1850000000000004E-3</v>
      </c>
      <c r="O92" s="267">
        <f t="shared" si="320"/>
        <v>8.8769000000000001E-2</v>
      </c>
      <c r="P92" s="267">
        <f t="shared" si="320"/>
        <v>4.718E-3</v>
      </c>
      <c r="Q92" s="183">
        <f t="shared" si="320"/>
        <v>9.9127000000000007E-2</v>
      </c>
      <c r="R92" s="267">
        <f t="shared" si="320"/>
        <v>5.2894999999999998E-2</v>
      </c>
      <c r="S92" s="267">
        <f t="shared" si="320"/>
        <v>7.8828999999999996E-2</v>
      </c>
      <c r="T92" s="267">
        <f t="shared" si="320"/>
        <v>9.8587999999999995E-2</v>
      </c>
      <c r="U92" s="267">
        <f t="shared" si="320"/>
        <v>0.17245199999999999</v>
      </c>
      <c r="V92" s="183">
        <f t="shared" si="320"/>
        <v>0.40276400000000001</v>
      </c>
      <c r="W92" s="267">
        <f t="shared" ref="W92:AU92" si="321">W90*W91</f>
        <v>0</v>
      </c>
      <c r="X92" s="267">
        <f t="shared" si="321"/>
        <v>0</v>
      </c>
      <c r="Y92" s="267">
        <f t="shared" si="321"/>
        <v>0</v>
      </c>
      <c r="Z92" s="267">
        <f t="shared" si="321"/>
        <v>0</v>
      </c>
      <c r="AA92" s="183">
        <f t="shared" si="321"/>
        <v>1.5555596840800581</v>
      </c>
      <c r="AB92" s="84">
        <f t="shared" si="321"/>
        <v>0</v>
      </c>
      <c r="AC92" s="84">
        <f t="shared" si="321"/>
        <v>0</v>
      </c>
      <c r="AD92" s="84">
        <f t="shared" si="321"/>
        <v>0</v>
      </c>
      <c r="AE92" s="84">
        <f t="shared" si="321"/>
        <v>0</v>
      </c>
      <c r="AF92" s="183">
        <f t="shared" si="321"/>
        <v>2.0970081759484778</v>
      </c>
      <c r="AG92" s="84">
        <f t="shared" si="321"/>
        <v>0</v>
      </c>
      <c r="AH92" s="84">
        <f t="shared" si="321"/>
        <v>0</v>
      </c>
      <c r="AI92" s="84">
        <f t="shared" si="321"/>
        <v>0</v>
      </c>
      <c r="AJ92" s="84">
        <f t="shared" si="321"/>
        <v>0</v>
      </c>
      <c r="AK92" s="183">
        <f t="shared" si="321"/>
        <v>3.5361319507583127</v>
      </c>
      <c r="AL92" s="84">
        <f t="shared" si="321"/>
        <v>0</v>
      </c>
      <c r="AM92" s="84">
        <f t="shared" si="321"/>
        <v>0</v>
      </c>
      <c r="AN92" s="84">
        <f t="shared" si="321"/>
        <v>0</v>
      </c>
      <c r="AO92" s="84">
        <f t="shared" si="321"/>
        <v>0</v>
      </c>
      <c r="AP92" s="183">
        <f t="shared" si="321"/>
        <v>2.6123753278619599</v>
      </c>
      <c r="AQ92" s="84">
        <f t="shared" si="321"/>
        <v>0</v>
      </c>
      <c r="AR92" s="84">
        <f t="shared" si="321"/>
        <v>0</v>
      </c>
      <c r="AS92" s="84">
        <f t="shared" si="321"/>
        <v>0</v>
      </c>
      <c r="AT92" s="84">
        <f t="shared" si="321"/>
        <v>0</v>
      </c>
      <c r="AU92" s="183">
        <f t="shared" si="321"/>
        <v>2.6029936361155368</v>
      </c>
      <c r="AV92" s="84">
        <f t="shared" ref="AV92:AZ92" si="322">AV90*AV91</f>
        <v>0</v>
      </c>
      <c r="AW92" s="84">
        <f t="shared" si="322"/>
        <v>0</v>
      </c>
      <c r="AX92" s="84">
        <f t="shared" si="322"/>
        <v>0</v>
      </c>
      <c r="AY92" s="84">
        <f t="shared" si="322"/>
        <v>0</v>
      </c>
      <c r="AZ92" s="183">
        <f t="shared" si="322"/>
        <v>5.2855306360503906</v>
      </c>
      <c r="BA92" s="84">
        <f t="shared" ref="BA92:BE92" si="323">BA90*BA91</f>
        <v>0</v>
      </c>
      <c r="BB92" s="84">
        <f t="shared" si="323"/>
        <v>0</v>
      </c>
      <c r="BC92" s="84">
        <f t="shared" si="323"/>
        <v>0</v>
      </c>
      <c r="BD92" s="84">
        <f t="shared" si="323"/>
        <v>0</v>
      </c>
      <c r="BE92" s="183">
        <f t="shared" si="323"/>
        <v>10.127516692811783</v>
      </c>
      <c r="BF92" s="84">
        <f t="shared" ref="BF92:BT92" si="324">BF90*BF91</f>
        <v>0</v>
      </c>
      <c r="BG92" s="84">
        <f t="shared" si="324"/>
        <v>0</v>
      </c>
      <c r="BH92" s="84">
        <f t="shared" si="324"/>
        <v>0</v>
      </c>
      <c r="BI92" s="84">
        <f t="shared" si="324"/>
        <v>0</v>
      </c>
      <c r="BJ92" s="183">
        <f t="shared" si="324"/>
        <v>15.652849129771051</v>
      </c>
      <c r="BK92" s="84">
        <f t="shared" si="324"/>
        <v>0</v>
      </c>
      <c r="BL92" s="84">
        <f t="shared" si="324"/>
        <v>0</v>
      </c>
      <c r="BM92" s="84">
        <f t="shared" si="324"/>
        <v>0</v>
      </c>
      <c r="BN92" s="84">
        <f t="shared" si="324"/>
        <v>0</v>
      </c>
      <c r="BO92" s="183">
        <f t="shared" si="324"/>
        <v>20.518252248872315</v>
      </c>
      <c r="BP92" s="84">
        <f t="shared" si="324"/>
        <v>0</v>
      </c>
      <c r="BQ92" s="84">
        <f t="shared" si="324"/>
        <v>0</v>
      </c>
      <c r="BR92" s="84">
        <f t="shared" si="324"/>
        <v>0</v>
      </c>
      <c r="BS92" s="84">
        <f t="shared" si="324"/>
        <v>0</v>
      </c>
      <c r="BT92" s="183">
        <f t="shared" si="324"/>
        <v>25.045421339604442</v>
      </c>
      <c r="BU92" s="84">
        <f t="shared" ref="BU92:CN92" si="325">BU90*BU91</f>
        <v>0</v>
      </c>
      <c r="BV92" s="84">
        <f t="shared" si="325"/>
        <v>0</v>
      </c>
      <c r="BW92" s="84">
        <f t="shared" si="325"/>
        <v>0</v>
      </c>
      <c r="BX92" s="84">
        <f t="shared" si="325"/>
        <v>0</v>
      </c>
      <c r="BY92" s="183">
        <f t="shared" si="325"/>
        <v>29.127269698497628</v>
      </c>
      <c r="BZ92" s="84">
        <f t="shared" si="325"/>
        <v>0</v>
      </c>
      <c r="CA92" s="84">
        <f t="shared" si="325"/>
        <v>0</v>
      </c>
      <c r="CB92" s="84">
        <f t="shared" si="325"/>
        <v>0</v>
      </c>
      <c r="CC92" s="84">
        <f t="shared" si="325"/>
        <v>0</v>
      </c>
      <c r="CD92" s="183">
        <f t="shared" si="325"/>
        <v>32.962849858722926</v>
      </c>
      <c r="CE92" s="84">
        <f t="shared" si="325"/>
        <v>0</v>
      </c>
      <c r="CF92" s="84">
        <f t="shared" si="325"/>
        <v>0</v>
      </c>
      <c r="CG92" s="84">
        <f t="shared" si="325"/>
        <v>0</v>
      </c>
      <c r="CH92" s="84">
        <f t="shared" si="325"/>
        <v>0</v>
      </c>
      <c r="CI92" s="183">
        <f t="shared" si="325"/>
        <v>36.966426849895242</v>
      </c>
      <c r="CJ92" s="84">
        <f t="shared" si="325"/>
        <v>0</v>
      </c>
      <c r="CK92" s="84">
        <f t="shared" si="325"/>
        <v>0</v>
      </c>
      <c r="CL92" s="84">
        <f t="shared" si="325"/>
        <v>0</v>
      </c>
      <c r="CM92" s="84">
        <f t="shared" si="325"/>
        <v>0</v>
      </c>
      <c r="CN92" s="283">
        <f t="shared" si="325"/>
        <v>41.171892281953603</v>
      </c>
    </row>
    <row r="93" spans="1:92" ht="14.25" customHeight="1">
      <c r="A93" s="20"/>
      <c r="B93" s="30"/>
      <c r="C93" s="43"/>
      <c r="D93" s="43"/>
      <c r="E93" s="43"/>
      <c r="F93" s="43"/>
      <c r="G93" s="178"/>
      <c r="H93" s="43"/>
      <c r="I93" s="43"/>
      <c r="J93" s="43"/>
      <c r="K93" s="43"/>
      <c r="L93" s="178"/>
      <c r="M93" s="43"/>
      <c r="N93" s="43"/>
      <c r="O93" s="43"/>
      <c r="P93" s="43"/>
      <c r="Q93" s="178"/>
      <c r="R93" s="43"/>
      <c r="S93" s="43"/>
      <c r="T93" s="43"/>
      <c r="U93" s="43"/>
      <c r="V93" s="178"/>
      <c r="W93" s="43"/>
      <c r="X93" s="43"/>
      <c r="Y93" s="43"/>
      <c r="Z93" s="43"/>
      <c r="AA93" s="178"/>
      <c r="AB93" s="43"/>
      <c r="AC93" s="43"/>
      <c r="AD93" s="43"/>
      <c r="AE93" s="43"/>
      <c r="AF93" s="178"/>
      <c r="AG93" s="43"/>
      <c r="AH93" s="43"/>
      <c r="AI93" s="43"/>
      <c r="AJ93" s="43"/>
      <c r="AK93" s="178"/>
      <c r="AL93" s="43"/>
      <c r="AM93" s="43"/>
      <c r="AN93" s="43"/>
      <c r="AO93" s="43"/>
      <c r="AP93" s="178"/>
      <c r="AQ93" s="43"/>
      <c r="AR93" s="43"/>
      <c r="AS93" s="43"/>
      <c r="AT93" s="43"/>
      <c r="AU93" s="178"/>
      <c r="AV93" s="43"/>
      <c r="AW93" s="43"/>
      <c r="AX93" s="43"/>
      <c r="AY93" s="43"/>
      <c r="AZ93" s="178"/>
      <c r="BA93" s="43"/>
      <c r="BB93" s="43"/>
      <c r="BC93" s="43"/>
      <c r="BD93" s="43"/>
      <c r="BE93" s="178"/>
      <c r="BF93" s="43"/>
      <c r="BG93" s="43"/>
      <c r="BH93" s="43"/>
      <c r="BI93" s="43"/>
      <c r="BJ93" s="178"/>
      <c r="BK93" s="43"/>
      <c r="BL93" s="43"/>
      <c r="BM93" s="43"/>
      <c r="BN93" s="43"/>
      <c r="BO93" s="178"/>
      <c r="BP93" s="43"/>
      <c r="BQ93" s="43"/>
      <c r="BR93" s="43"/>
      <c r="BS93" s="43"/>
      <c r="BT93" s="178"/>
      <c r="BU93" s="43"/>
      <c r="BV93" s="43"/>
      <c r="BW93" s="43"/>
      <c r="BX93" s="43"/>
      <c r="BY93" s="178"/>
      <c r="BZ93" s="43"/>
      <c r="CA93" s="43"/>
      <c r="CB93" s="43"/>
      <c r="CC93" s="43"/>
      <c r="CD93" s="178"/>
      <c r="CE93" s="43"/>
      <c r="CF93" s="43"/>
      <c r="CG93" s="43"/>
      <c r="CH93" s="43"/>
      <c r="CI93" s="178"/>
      <c r="CJ93" s="43"/>
      <c r="CK93" s="43"/>
      <c r="CL93" s="43"/>
      <c r="CM93" s="43"/>
      <c r="CN93" s="178"/>
    </row>
    <row r="94" spans="1:92" ht="14.25" customHeight="1">
      <c r="A94" s="20"/>
      <c r="B94" s="414" t="s">
        <v>137</v>
      </c>
      <c r="C94" s="43"/>
      <c r="D94" s="43"/>
      <c r="E94" s="43"/>
      <c r="F94" s="43"/>
      <c r="G94" s="178"/>
      <c r="H94" s="43"/>
      <c r="I94" s="43"/>
      <c r="J94" s="43"/>
      <c r="K94" s="43"/>
      <c r="L94" s="178"/>
      <c r="M94" s="43"/>
      <c r="N94" s="43"/>
      <c r="O94" s="43"/>
      <c r="P94" s="43"/>
      <c r="Q94" s="178"/>
      <c r="R94" s="43"/>
      <c r="S94" s="43"/>
      <c r="T94" s="43"/>
      <c r="U94" s="43"/>
      <c r="V94" s="178"/>
      <c r="W94" s="43"/>
      <c r="X94" s="43"/>
      <c r="Y94" s="43"/>
      <c r="Z94" s="43"/>
      <c r="AA94" s="178"/>
      <c r="AB94" s="43"/>
      <c r="AC94" s="43"/>
      <c r="AD94" s="43"/>
      <c r="AE94" s="43"/>
      <c r="AF94" s="178"/>
      <c r="AG94" s="43"/>
      <c r="AH94" s="43"/>
      <c r="AI94" s="43"/>
      <c r="AJ94" s="43"/>
      <c r="AK94" s="178"/>
      <c r="AL94" s="43"/>
      <c r="AM94" s="43"/>
      <c r="AN94" s="43"/>
      <c r="AO94" s="43"/>
      <c r="AP94" s="178"/>
      <c r="AQ94" s="43"/>
      <c r="AR94" s="43"/>
      <c r="AS94" s="43"/>
      <c r="AT94" s="43"/>
      <c r="AU94" s="178"/>
      <c r="AV94" s="43"/>
      <c r="AW94" s="43"/>
      <c r="AX94" s="43"/>
      <c r="AY94" s="43"/>
      <c r="AZ94" s="178"/>
      <c r="BA94" s="43"/>
      <c r="BB94" s="43"/>
      <c r="BC94" s="43"/>
      <c r="BD94" s="43"/>
      <c r="BE94" s="178"/>
      <c r="BF94" s="43"/>
      <c r="BG94" s="43"/>
      <c r="BH94" s="43"/>
      <c r="BI94" s="43"/>
      <c r="BJ94" s="178"/>
      <c r="BK94" s="43"/>
      <c r="BL94" s="43"/>
      <c r="BM94" s="43"/>
      <c r="BN94" s="43"/>
      <c r="BO94" s="178"/>
      <c r="BP94" s="43"/>
      <c r="BQ94" s="43"/>
      <c r="BR94" s="43"/>
      <c r="BS94" s="43"/>
      <c r="BT94" s="178"/>
      <c r="BU94" s="43"/>
      <c r="BV94" s="43"/>
      <c r="BW94" s="43"/>
      <c r="BX94" s="43"/>
      <c r="BY94" s="178"/>
      <c r="BZ94" s="43"/>
      <c r="CA94" s="43"/>
      <c r="CB94" s="43"/>
      <c r="CC94" s="43"/>
      <c r="CD94" s="178"/>
      <c r="CE94" s="43"/>
      <c r="CF94" s="43"/>
      <c r="CG94" s="43"/>
      <c r="CH94" s="43"/>
      <c r="CI94" s="178"/>
      <c r="CJ94" s="43"/>
      <c r="CK94" s="43"/>
      <c r="CL94" s="43"/>
      <c r="CM94" s="43"/>
      <c r="CN94" s="178"/>
    </row>
    <row r="95" spans="1:92" ht="14.25" customHeight="1">
      <c r="A95" s="20"/>
      <c r="B95" s="415" t="s">
        <v>138</v>
      </c>
      <c r="C95" s="143"/>
      <c r="D95" s="143"/>
      <c r="E95" s="143"/>
      <c r="F95" s="143"/>
      <c r="G95" s="260">
        <v>0.34</v>
      </c>
      <c r="H95" s="143"/>
      <c r="I95" s="143"/>
      <c r="J95" s="143"/>
      <c r="K95" s="143"/>
      <c r="L95" s="184">
        <f>(34+0)%</f>
        <v>0.34</v>
      </c>
      <c r="M95" s="143"/>
      <c r="N95" s="143"/>
      <c r="O95" s="143"/>
      <c r="P95" s="143"/>
      <c r="Q95" s="184">
        <f>(34+3.31)%</f>
        <v>0.37310000000000004</v>
      </c>
      <c r="R95" s="143"/>
      <c r="S95" s="143"/>
      <c r="T95" s="143"/>
      <c r="U95" s="143"/>
      <c r="V95" s="184">
        <f>(34+2.97)%</f>
        <v>0.36969999999999997</v>
      </c>
      <c r="W95" s="143">
        <v>0.35</v>
      </c>
      <c r="X95" s="143">
        <v>0.35</v>
      </c>
      <c r="Y95" s="143">
        <v>0.35</v>
      </c>
      <c r="Z95" s="143">
        <v>0.35</v>
      </c>
      <c r="AA95" s="184">
        <v>0.35</v>
      </c>
      <c r="AB95" s="143">
        <f>$AF$95</f>
        <v>0.35</v>
      </c>
      <c r="AC95" s="143">
        <f>$AF$95</f>
        <v>0.35</v>
      </c>
      <c r="AD95" s="143">
        <f>$AF$95</f>
        <v>0.35</v>
      </c>
      <c r="AE95" s="143">
        <f>$AF$95</f>
        <v>0.35</v>
      </c>
      <c r="AF95" s="184">
        <f>AA95</f>
        <v>0.35</v>
      </c>
      <c r="AG95" s="143"/>
      <c r="AH95" s="143"/>
      <c r="AI95" s="143"/>
      <c r="AJ95" s="143"/>
      <c r="AK95" s="184">
        <f>AF95</f>
        <v>0.35</v>
      </c>
      <c r="AL95" s="143"/>
      <c r="AM95" s="143"/>
      <c r="AN95" s="143"/>
      <c r="AO95" s="143"/>
      <c r="AP95" s="184">
        <f>AK95</f>
        <v>0.35</v>
      </c>
      <c r="AQ95" s="143"/>
      <c r="AR95" s="143"/>
      <c r="AS95" s="143"/>
      <c r="AT95" s="143"/>
      <c r="AU95" s="184">
        <f>AP95</f>
        <v>0.35</v>
      </c>
      <c r="AV95" s="143"/>
      <c r="AW95" s="143"/>
      <c r="AX95" s="143"/>
      <c r="AY95" s="143"/>
      <c r="AZ95" s="184">
        <f>AU95</f>
        <v>0.35</v>
      </c>
      <c r="BA95" s="143"/>
      <c r="BB95" s="143"/>
      <c r="BC95" s="143"/>
      <c r="BD95" s="143"/>
      <c r="BE95" s="184">
        <f>AZ95</f>
        <v>0.35</v>
      </c>
      <c r="BF95" s="143"/>
      <c r="BG95" s="143"/>
      <c r="BH95" s="143"/>
      <c r="BI95" s="143"/>
      <c r="BJ95" s="184">
        <f>BE95</f>
        <v>0.35</v>
      </c>
      <c r="BK95" s="143"/>
      <c r="BL95" s="143"/>
      <c r="BM95" s="143"/>
      <c r="BN95" s="143"/>
      <c r="BO95" s="184">
        <f>BJ95</f>
        <v>0.35</v>
      </c>
      <c r="BP95" s="143"/>
      <c r="BQ95" s="143"/>
      <c r="BR95" s="143"/>
      <c r="BS95" s="143"/>
      <c r="BT95" s="184">
        <f>BO95</f>
        <v>0.35</v>
      </c>
      <c r="BU95" s="143"/>
      <c r="BV95" s="143"/>
      <c r="BW95" s="143"/>
      <c r="BX95" s="143"/>
      <c r="BY95" s="184">
        <f>BT95</f>
        <v>0.35</v>
      </c>
      <c r="BZ95" s="143"/>
      <c r="CA95" s="143"/>
      <c r="CB95" s="143"/>
      <c r="CC95" s="143"/>
      <c r="CD95" s="184">
        <f>BY95</f>
        <v>0.35</v>
      </c>
      <c r="CE95" s="143"/>
      <c r="CF95" s="143"/>
      <c r="CG95" s="143"/>
      <c r="CH95" s="143"/>
      <c r="CI95" s="184">
        <f>CD95</f>
        <v>0.35</v>
      </c>
      <c r="CJ95" s="143"/>
      <c r="CK95" s="143"/>
      <c r="CL95" s="143"/>
      <c r="CM95" s="143"/>
      <c r="CN95" s="284">
        <f>CI95</f>
        <v>0.35</v>
      </c>
    </row>
    <row r="96" spans="1:92" ht="14.25" customHeight="1">
      <c r="A96" s="20"/>
      <c r="B96" s="416" t="s">
        <v>207</v>
      </c>
      <c r="C96" s="43"/>
      <c r="D96" s="43"/>
      <c r="E96" s="43"/>
      <c r="F96" s="43"/>
      <c r="G96" s="261"/>
      <c r="H96" s="43"/>
      <c r="I96" s="43"/>
      <c r="J96" s="43"/>
      <c r="K96" s="43"/>
      <c r="L96" s="268">
        <f>G98</f>
        <v>1.028929</v>
      </c>
      <c r="M96" s="43"/>
      <c r="N96" s="43"/>
      <c r="O96" s="43"/>
      <c r="P96" s="43"/>
      <c r="Q96" s="268">
        <f>L98</f>
        <v>3.056613</v>
      </c>
      <c r="R96" s="43"/>
      <c r="S96" s="43"/>
      <c r="T96" s="43"/>
      <c r="U96" s="43"/>
      <c r="V96" s="268">
        <f>Q98</f>
        <v>8.7859449999999999</v>
      </c>
      <c r="W96" s="43"/>
      <c r="X96" s="43"/>
      <c r="Y96" s="43"/>
      <c r="Z96" s="43"/>
      <c r="AA96" s="268">
        <f>V98</f>
        <v>13.063480999999999</v>
      </c>
      <c r="AB96" s="43"/>
      <c r="AC96" s="43"/>
      <c r="AD96" s="43"/>
      <c r="AE96" s="43"/>
      <c r="AF96" s="186">
        <f>AA98</f>
        <v>-204.98838599999996</v>
      </c>
      <c r="AG96" s="43"/>
      <c r="AH96" s="43"/>
      <c r="AI96" s="43"/>
      <c r="AJ96" s="43"/>
      <c r="AK96" s="186">
        <f>AF98</f>
        <v>-417.60963527405147</v>
      </c>
      <c r="AL96" s="43"/>
      <c r="AM96" s="43"/>
      <c r="AN96" s="43"/>
      <c r="AO96" s="43"/>
      <c r="AP96" s="186">
        <f>AK98</f>
        <v>-573.60610763905652</v>
      </c>
      <c r="AQ96" s="43"/>
      <c r="AR96" s="43"/>
      <c r="AS96" s="43"/>
      <c r="AT96" s="43"/>
      <c r="AU96" s="186">
        <f>AP98</f>
        <v>-571.80988794647931</v>
      </c>
      <c r="AV96" s="43"/>
      <c r="AW96" s="43"/>
      <c r="AX96" s="43"/>
      <c r="AY96" s="43"/>
      <c r="AZ96" s="186">
        <f>AU98</f>
        <v>-105.15329551238511</v>
      </c>
      <c r="BA96" s="43"/>
      <c r="BB96" s="43"/>
      <c r="BC96" s="43"/>
      <c r="BD96" s="43"/>
      <c r="BE96" s="186">
        <f>AZ98</f>
        <v>0</v>
      </c>
      <c r="BF96" s="43"/>
      <c r="BG96" s="43"/>
      <c r="BH96" s="43"/>
      <c r="BI96" s="43"/>
      <c r="BJ96" s="186">
        <f>BE98</f>
        <v>0</v>
      </c>
      <c r="BK96" s="43"/>
      <c r="BL96" s="43"/>
      <c r="BM96" s="43"/>
      <c r="BN96" s="43"/>
      <c r="BO96" s="186">
        <f>BJ98</f>
        <v>0</v>
      </c>
      <c r="BP96" s="43"/>
      <c r="BQ96" s="43"/>
      <c r="BR96" s="43"/>
      <c r="BS96" s="43"/>
      <c r="BT96" s="186">
        <f>BO98</f>
        <v>0</v>
      </c>
      <c r="BU96" s="43"/>
      <c r="BV96" s="43"/>
      <c r="BW96" s="43"/>
      <c r="BX96" s="43"/>
      <c r="BY96" s="186">
        <f>BT98</f>
        <v>0</v>
      </c>
      <c r="BZ96" s="43"/>
      <c r="CA96" s="43"/>
      <c r="CB96" s="43"/>
      <c r="CC96" s="43"/>
      <c r="CD96" s="186">
        <f>BY98</f>
        <v>0</v>
      </c>
      <c r="CE96" s="43"/>
      <c r="CF96" s="43"/>
      <c r="CG96" s="43"/>
      <c r="CH96" s="43"/>
      <c r="CI96" s="186">
        <f>CD98</f>
        <v>0</v>
      </c>
      <c r="CJ96" s="43"/>
      <c r="CK96" s="43"/>
      <c r="CL96" s="43"/>
      <c r="CM96" s="43"/>
      <c r="CN96" s="285">
        <f>CI98</f>
        <v>0</v>
      </c>
    </row>
    <row r="97" spans="1:92" ht="14.25" customHeight="1">
      <c r="A97" s="20"/>
      <c r="B97" s="416" t="s">
        <v>208</v>
      </c>
      <c r="C97" s="43"/>
      <c r="D97" s="43"/>
      <c r="E97" s="43"/>
      <c r="F97" s="43"/>
      <c r="G97" s="82"/>
      <c r="H97" s="43"/>
      <c r="I97" s="43"/>
      <c r="J97" s="43"/>
      <c r="K97" s="43"/>
      <c r="L97" s="82">
        <f>+L98-L96</f>
        <v>2.0276839999999998</v>
      </c>
      <c r="M97" s="43"/>
      <c r="N97" s="43"/>
      <c r="O97" s="43"/>
      <c r="P97" s="43"/>
      <c r="Q97" s="82">
        <f>+Q98-Q96</f>
        <v>5.7293319999999994</v>
      </c>
      <c r="R97" s="43"/>
      <c r="S97" s="43"/>
      <c r="T97" s="43"/>
      <c r="U97" s="43"/>
      <c r="V97" s="82">
        <f>+V98-V96</f>
        <v>4.2775359999999996</v>
      </c>
      <c r="W97" s="43"/>
      <c r="X97" s="43"/>
      <c r="Y97" s="43"/>
      <c r="Z97" s="43"/>
      <c r="AA97" s="82">
        <f>AA33</f>
        <v>-218.05186699999996</v>
      </c>
      <c r="AB97" s="43"/>
      <c r="AC97" s="43"/>
      <c r="AD97" s="43"/>
      <c r="AE97" s="43"/>
      <c r="AF97" s="82">
        <f>AF33</f>
        <v>-212.62124927405154</v>
      </c>
      <c r="AG97" s="43"/>
      <c r="AH97" s="43"/>
      <c r="AI97" s="43"/>
      <c r="AJ97" s="43"/>
      <c r="AK97" s="82">
        <f>AK33</f>
        <v>-155.9964723650051</v>
      </c>
      <c r="AL97" s="43"/>
      <c r="AM97" s="43"/>
      <c r="AN97" s="43"/>
      <c r="AO97" s="43"/>
      <c r="AP97" s="82">
        <f>AP33</f>
        <v>1.796219692577159</v>
      </c>
      <c r="AQ97" s="43"/>
      <c r="AR97" s="43"/>
      <c r="AS97" s="43"/>
      <c r="AT97" s="43"/>
      <c r="AU97" s="82">
        <f>AU33</f>
        <v>466.65659243409419</v>
      </c>
      <c r="AV97" s="43"/>
      <c r="AW97" s="43"/>
      <c r="AX97" s="43"/>
      <c r="AY97" s="43"/>
      <c r="AZ97" s="82">
        <f>AZ33</f>
        <v>1089.9740160223887</v>
      </c>
      <c r="BA97" s="43"/>
      <c r="BB97" s="43"/>
      <c r="BC97" s="43"/>
      <c r="BD97" s="43"/>
      <c r="BE97" s="82">
        <f>BE33</f>
        <v>1278.4805705030637</v>
      </c>
      <c r="BF97" s="43"/>
      <c r="BG97" s="43"/>
      <c r="BH97" s="43"/>
      <c r="BI97" s="43"/>
      <c r="BJ97" s="82">
        <f>BJ33</f>
        <v>1092.1983574007727</v>
      </c>
      <c r="BK97" s="43"/>
      <c r="BL97" s="43"/>
      <c r="BM97" s="43"/>
      <c r="BN97" s="43"/>
      <c r="BO97" s="82">
        <f>BO33</f>
        <v>1029.964755701792</v>
      </c>
      <c r="BP97" s="43"/>
      <c r="BQ97" s="43"/>
      <c r="BR97" s="43"/>
      <c r="BS97" s="43"/>
      <c r="BT97" s="82">
        <f>BT33</f>
        <v>923.58569940383222</v>
      </c>
      <c r="BU97" s="43"/>
      <c r="BV97" s="43"/>
      <c r="BW97" s="43"/>
      <c r="BX97" s="43"/>
      <c r="BY97" s="82">
        <f>BY33</f>
        <v>873.37932448383572</v>
      </c>
      <c r="BZ97" s="43"/>
      <c r="CA97" s="43"/>
      <c r="CB97" s="43"/>
      <c r="CC97" s="43"/>
      <c r="CD97" s="82">
        <f>CD33</f>
        <v>924.5140615452334</v>
      </c>
      <c r="CE97" s="43"/>
      <c r="CF97" s="43"/>
      <c r="CG97" s="43"/>
      <c r="CH97" s="43"/>
      <c r="CI97" s="82">
        <f>CI33</f>
        <v>977.57816711710382</v>
      </c>
      <c r="CJ97" s="43"/>
      <c r="CK97" s="43"/>
      <c r="CL97" s="43"/>
      <c r="CM97" s="43"/>
      <c r="CN97" s="286">
        <f>CN33</f>
        <v>1032.6261091219101</v>
      </c>
    </row>
    <row r="98" spans="1:92" ht="14.25" customHeight="1">
      <c r="A98" s="20"/>
      <c r="B98" s="416" t="s">
        <v>139</v>
      </c>
      <c r="C98" s="43"/>
      <c r="D98" s="43"/>
      <c r="E98" s="43"/>
      <c r="F98" s="43"/>
      <c r="G98" s="82">
        <v>1.028929</v>
      </c>
      <c r="H98" s="43"/>
      <c r="I98" s="43"/>
      <c r="J98" s="43"/>
      <c r="K98" s="43"/>
      <c r="L98" s="82">
        <v>3.056613</v>
      </c>
      <c r="M98" s="43"/>
      <c r="N98" s="43"/>
      <c r="O98" s="43"/>
      <c r="P98" s="43"/>
      <c r="Q98" s="82">
        <v>8.7859449999999999</v>
      </c>
      <c r="R98" s="43"/>
      <c r="S98" s="43"/>
      <c r="T98" s="43"/>
      <c r="U98" s="43"/>
      <c r="V98" s="82">
        <v>13.063480999999999</v>
      </c>
      <c r="W98" s="43"/>
      <c r="X98" s="43"/>
      <c r="Y98" s="43"/>
      <c r="Z98" s="43"/>
      <c r="AA98" s="82">
        <f>IF(AA96+AA97&lt;0,AA96+AA97,0)</f>
        <v>-204.98838599999996</v>
      </c>
      <c r="AB98" s="43"/>
      <c r="AC98" s="43"/>
      <c r="AD98" s="43"/>
      <c r="AE98" s="43"/>
      <c r="AF98" s="82">
        <f>IF(AF96+AF97&lt;0,AF96+AF97,0)</f>
        <v>-417.60963527405147</v>
      </c>
      <c r="AG98" s="43"/>
      <c r="AH98" s="43"/>
      <c r="AI98" s="43"/>
      <c r="AJ98" s="43"/>
      <c r="AK98" s="82">
        <f>IF(AK96+AK97&lt;0,AK96+AK97,0)</f>
        <v>-573.60610763905652</v>
      </c>
      <c r="AL98" s="43"/>
      <c r="AM98" s="43"/>
      <c r="AN98" s="43"/>
      <c r="AO98" s="43"/>
      <c r="AP98" s="82">
        <f>IF(AP96+AP97&lt;0,AP96+AP97,0)</f>
        <v>-571.80988794647931</v>
      </c>
      <c r="AQ98" s="43"/>
      <c r="AR98" s="43"/>
      <c r="AS98" s="43"/>
      <c r="AT98" s="43"/>
      <c r="AU98" s="82">
        <f>IF(AU96+AU97&lt;0,AU96+AU97,0)</f>
        <v>-105.15329551238511</v>
      </c>
      <c r="AV98" s="43"/>
      <c r="AW98" s="43"/>
      <c r="AX98" s="43"/>
      <c r="AY98" s="43"/>
      <c r="AZ98" s="82">
        <f>IF(AZ96+AZ97&lt;0,AZ96+AZ97,0)</f>
        <v>0</v>
      </c>
      <c r="BA98" s="43"/>
      <c r="BB98" s="43"/>
      <c r="BC98" s="43"/>
      <c r="BD98" s="43"/>
      <c r="BE98" s="82">
        <f>IF(BE96+BE97&lt;0,BE96+BE97,0)</f>
        <v>0</v>
      </c>
      <c r="BF98" s="43"/>
      <c r="BG98" s="43"/>
      <c r="BH98" s="43"/>
      <c r="BI98" s="43"/>
      <c r="BJ98" s="82">
        <f>IF(BJ96+BJ97&lt;0,BJ96+BJ97,0)</f>
        <v>0</v>
      </c>
      <c r="BK98" s="43"/>
      <c r="BL98" s="43"/>
      <c r="BM98" s="43"/>
      <c r="BN98" s="43"/>
      <c r="BO98" s="82">
        <f>IF(BO96+BO97&lt;0,BO96+BO97,0)</f>
        <v>0</v>
      </c>
      <c r="BP98" s="43"/>
      <c r="BQ98" s="43"/>
      <c r="BR98" s="43"/>
      <c r="BS98" s="43"/>
      <c r="BT98" s="82">
        <f>IF(BT96+BT97&lt;0,BT96+BT97,0)</f>
        <v>0</v>
      </c>
      <c r="BU98" s="43"/>
      <c r="BV98" s="43"/>
      <c r="BW98" s="43"/>
      <c r="BX98" s="43"/>
      <c r="BY98" s="82">
        <f>IF(BY96+BY97&lt;0,BY96+BY97,0)</f>
        <v>0</v>
      </c>
      <c r="BZ98" s="43"/>
      <c r="CA98" s="43"/>
      <c r="CB98" s="43"/>
      <c r="CC98" s="43"/>
      <c r="CD98" s="82">
        <f>IF(CD96+CD97&lt;0,CD96+CD97,0)</f>
        <v>0</v>
      </c>
      <c r="CE98" s="43"/>
      <c r="CF98" s="43"/>
      <c r="CG98" s="43"/>
      <c r="CH98" s="43"/>
      <c r="CI98" s="82">
        <f>IF(CI96+CI97&lt;0,CI96+CI97,0)</f>
        <v>0</v>
      </c>
      <c r="CJ98" s="43"/>
      <c r="CK98" s="43"/>
      <c r="CL98" s="43"/>
      <c r="CM98" s="43"/>
      <c r="CN98" s="286">
        <f>IF(CN96+CN97&lt;0,CN96+CN97,0)</f>
        <v>0</v>
      </c>
    </row>
    <row r="99" spans="1:92" ht="14.25" customHeight="1">
      <c r="A99" s="20"/>
      <c r="B99" s="416"/>
      <c r="C99" s="43"/>
      <c r="D99" s="43"/>
      <c r="E99" s="43"/>
      <c r="F99" s="43"/>
      <c r="G99" s="178"/>
      <c r="H99" s="43"/>
      <c r="I99" s="43"/>
      <c r="J99" s="43"/>
      <c r="K99" s="43"/>
      <c r="L99" s="178"/>
      <c r="M99" s="43"/>
      <c r="N99" s="43"/>
      <c r="O99" s="43"/>
      <c r="P99" s="43"/>
      <c r="Q99" s="178"/>
      <c r="R99" s="43"/>
      <c r="S99" s="43"/>
      <c r="T99" s="43"/>
      <c r="U99" s="43"/>
      <c r="V99" s="178"/>
      <c r="W99" s="43"/>
      <c r="X99" s="43"/>
      <c r="Y99" s="43"/>
      <c r="Z99" s="43"/>
      <c r="AA99" s="178"/>
      <c r="AB99" s="43"/>
      <c r="AC99" s="43"/>
      <c r="AD99" s="43"/>
      <c r="AE99" s="43"/>
      <c r="AF99" s="178"/>
      <c r="AG99" s="43"/>
      <c r="AH99" s="43"/>
      <c r="AI99" s="43"/>
      <c r="AJ99" s="43"/>
      <c r="AK99" s="178"/>
      <c r="AL99" s="43"/>
      <c r="AM99" s="43"/>
      <c r="AN99" s="43"/>
      <c r="AO99" s="43"/>
      <c r="AP99" s="178"/>
      <c r="AQ99" s="43"/>
      <c r="AR99" s="43"/>
      <c r="AS99" s="43"/>
      <c r="AT99" s="43"/>
      <c r="AU99" s="178"/>
      <c r="AV99" s="43"/>
      <c r="AW99" s="43"/>
      <c r="AX99" s="43"/>
      <c r="AY99" s="43"/>
      <c r="AZ99" s="178"/>
      <c r="BA99" s="43"/>
      <c r="BB99" s="43"/>
      <c r="BC99" s="43"/>
      <c r="BD99" s="43"/>
      <c r="BE99" s="178"/>
      <c r="BF99" s="43"/>
      <c r="BG99" s="43"/>
      <c r="BH99" s="43"/>
      <c r="BI99" s="43"/>
      <c r="BJ99" s="178"/>
      <c r="BK99" s="43"/>
      <c r="BL99" s="43"/>
      <c r="BM99" s="43"/>
      <c r="BN99" s="43"/>
      <c r="BO99" s="178"/>
      <c r="BP99" s="43"/>
      <c r="BQ99" s="43"/>
      <c r="BR99" s="43"/>
      <c r="BS99" s="43"/>
      <c r="BT99" s="178"/>
      <c r="BU99" s="43"/>
      <c r="BV99" s="43"/>
      <c r="BW99" s="43"/>
      <c r="BX99" s="43"/>
      <c r="BY99" s="178"/>
      <c r="BZ99" s="43"/>
      <c r="CA99" s="43"/>
      <c r="CB99" s="43"/>
      <c r="CC99" s="43"/>
      <c r="CD99" s="178"/>
      <c r="CE99" s="43"/>
      <c r="CF99" s="43"/>
      <c r="CG99" s="43"/>
      <c r="CH99" s="43"/>
      <c r="CI99" s="178"/>
      <c r="CJ99" s="43"/>
      <c r="CK99" s="43"/>
      <c r="CL99" s="43"/>
      <c r="CM99" s="43"/>
      <c r="CN99" s="287"/>
    </row>
    <row r="100" spans="1:92" ht="14.25" customHeight="1">
      <c r="A100" s="20"/>
      <c r="B100" s="416" t="s">
        <v>15</v>
      </c>
      <c r="C100" s="43"/>
      <c r="D100" s="43"/>
      <c r="E100" s="43"/>
      <c r="F100" s="43"/>
      <c r="G100" s="82"/>
      <c r="H100" s="43"/>
      <c r="I100" s="43"/>
      <c r="J100" s="43"/>
      <c r="K100" s="43"/>
      <c r="L100" s="82">
        <f>IF(L98&lt;0,0,L96+L97)</f>
        <v>3.0566129999999996</v>
      </c>
      <c r="M100" s="43"/>
      <c r="N100" s="43"/>
      <c r="O100" s="43"/>
      <c r="P100" s="43"/>
      <c r="Q100" s="82">
        <f>IF(Q98&lt;0,0,Q96+Q97)</f>
        <v>8.7859449999999999</v>
      </c>
      <c r="R100" s="43"/>
      <c r="S100" s="43"/>
      <c r="T100" s="43"/>
      <c r="U100" s="43"/>
      <c r="V100" s="82">
        <f>IF(V98&lt;0,0,V96+V97)</f>
        <v>13.063480999999999</v>
      </c>
      <c r="W100" s="43"/>
      <c r="X100" s="43"/>
      <c r="Y100" s="43"/>
      <c r="Z100" s="43"/>
      <c r="AA100" s="82">
        <f>IF(AA98&lt;0,0,AA96+AA97)</f>
        <v>0</v>
      </c>
      <c r="AB100" s="43"/>
      <c r="AC100" s="43"/>
      <c r="AD100" s="43"/>
      <c r="AE100" s="43"/>
      <c r="AF100" s="82">
        <f>IF(AF98&lt;0,0,AF96+AF97)</f>
        <v>0</v>
      </c>
      <c r="AG100" s="43"/>
      <c r="AH100" s="43"/>
      <c r="AI100" s="43"/>
      <c r="AJ100" s="43"/>
      <c r="AK100" s="82">
        <f>IF(AK98&lt;0,0,AK96+AK97)</f>
        <v>0</v>
      </c>
      <c r="AL100" s="43"/>
      <c r="AM100" s="43"/>
      <c r="AN100" s="43"/>
      <c r="AO100" s="43"/>
      <c r="AP100" s="82">
        <f>IF(AP98&lt;0,0,AP96+AP97)</f>
        <v>0</v>
      </c>
      <c r="AQ100" s="43"/>
      <c r="AR100" s="43"/>
      <c r="AS100" s="43"/>
      <c r="AT100" s="43"/>
      <c r="AU100" s="82">
        <f>IF(AU98&lt;0,0,AU96+AU97)</f>
        <v>0</v>
      </c>
      <c r="AV100" s="43"/>
      <c r="AW100" s="43"/>
      <c r="AX100" s="43"/>
      <c r="AY100" s="43"/>
      <c r="AZ100" s="82">
        <f>IF(AZ98&lt;0,0,AZ96+AZ97)</f>
        <v>984.82072051000364</v>
      </c>
      <c r="BA100" s="43"/>
      <c r="BB100" s="43"/>
      <c r="BC100" s="43"/>
      <c r="BD100" s="43"/>
      <c r="BE100" s="82">
        <f>IF(BE98&lt;0,0,BE96+BE97)</f>
        <v>1278.4805705030637</v>
      </c>
      <c r="BF100" s="43"/>
      <c r="BG100" s="43"/>
      <c r="BH100" s="43"/>
      <c r="BI100" s="43"/>
      <c r="BJ100" s="82">
        <f>IF(BJ98&lt;0,0,BJ96+BJ97)</f>
        <v>1092.1983574007727</v>
      </c>
      <c r="BK100" s="43"/>
      <c r="BL100" s="43"/>
      <c r="BM100" s="43"/>
      <c r="BN100" s="43"/>
      <c r="BO100" s="82">
        <f>IF(BO98&lt;0,0,BO96+BO97)</f>
        <v>1029.964755701792</v>
      </c>
      <c r="BP100" s="43"/>
      <c r="BQ100" s="43"/>
      <c r="BR100" s="43"/>
      <c r="BS100" s="43"/>
      <c r="BT100" s="82">
        <f>IF(BT98&lt;0,0,BT96+BT97)</f>
        <v>923.58569940383222</v>
      </c>
      <c r="BU100" s="43"/>
      <c r="BV100" s="43"/>
      <c r="BW100" s="43"/>
      <c r="BX100" s="43"/>
      <c r="BY100" s="82">
        <f>IF(BY98&lt;0,0,BY96+BY97)</f>
        <v>873.37932448383572</v>
      </c>
      <c r="BZ100" s="43"/>
      <c r="CA100" s="43"/>
      <c r="CB100" s="43"/>
      <c r="CC100" s="43"/>
      <c r="CD100" s="82">
        <f>IF(CD98&lt;0,0,CD96+CD97)</f>
        <v>924.5140615452334</v>
      </c>
      <c r="CE100" s="43"/>
      <c r="CF100" s="43"/>
      <c r="CG100" s="43"/>
      <c r="CH100" s="43"/>
      <c r="CI100" s="82">
        <f>IF(CI98&lt;0,0,CI96+CI97)</f>
        <v>977.57816711710382</v>
      </c>
      <c r="CJ100" s="43"/>
      <c r="CK100" s="43"/>
      <c r="CL100" s="43"/>
      <c r="CM100" s="43"/>
      <c r="CN100" s="286">
        <f>IF(CN98&lt;0,0,CN96+CN97)</f>
        <v>1032.6261091219101</v>
      </c>
    </row>
    <row r="101" spans="1:92" ht="14.25" customHeight="1">
      <c r="A101" s="20"/>
      <c r="B101" s="416" t="s">
        <v>16</v>
      </c>
      <c r="C101" s="43"/>
      <c r="D101" s="43"/>
      <c r="E101" s="43"/>
      <c r="F101" s="43"/>
      <c r="G101" s="82"/>
      <c r="H101" s="43"/>
      <c r="I101" s="43"/>
      <c r="J101" s="43"/>
      <c r="K101" s="43"/>
      <c r="L101" s="82">
        <f>IF(L98&lt;0,0,L95*L97)</f>
        <v>0.68941255999999995</v>
      </c>
      <c r="M101" s="43"/>
      <c r="N101" s="43"/>
      <c r="O101" s="43"/>
      <c r="P101" s="43"/>
      <c r="Q101" s="82">
        <f>IF(Q98&lt;0,0,Q95*Q97)</f>
        <v>2.1376137692000001</v>
      </c>
      <c r="R101" s="43"/>
      <c r="S101" s="43"/>
      <c r="T101" s="43"/>
      <c r="U101" s="43"/>
      <c r="V101" s="82">
        <f>IF(V98&lt;0,0,V95*V97)</f>
        <v>1.5814050591999997</v>
      </c>
      <c r="W101" s="43"/>
      <c r="X101" s="43"/>
      <c r="Y101" s="43"/>
      <c r="Z101" s="43"/>
      <c r="AA101" s="82">
        <f>IF(AA98&lt;0,0,AA95*AA97)</f>
        <v>0</v>
      </c>
      <c r="AB101" s="43"/>
      <c r="AC101" s="43"/>
      <c r="AD101" s="43"/>
      <c r="AE101" s="43"/>
      <c r="AF101" s="82">
        <f>IF(AF98&lt;0,0,AF95*AF97)</f>
        <v>0</v>
      </c>
      <c r="AG101" s="43"/>
      <c r="AH101" s="43"/>
      <c r="AI101" s="43"/>
      <c r="AJ101" s="43"/>
      <c r="AK101" s="82">
        <f>IF(AK98&lt;0,0,AK95*AK97)</f>
        <v>0</v>
      </c>
      <c r="AL101" s="43"/>
      <c r="AM101" s="43"/>
      <c r="AN101" s="43"/>
      <c r="AO101" s="43"/>
      <c r="AP101" s="82">
        <f>IF(AP98&lt;0,0,AP95*AP97)</f>
        <v>0</v>
      </c>
      <c r="AQ101" s="43"/>
      <c r="AR101" s="43"/>
      <c r="AS101" s="43"/>
      <c r="AT101" s="43"/>
      <c r="AU101" s="82">
        <f>IF(AU98&lt;0,0,AU95*AU97)</f>
        <v>0</v>
      </c>
      <c r="AV101" s="43"/>
      <c r="AW101" s="43"/>
      <c r="AX101" s="43"/>
      <c r="AY101" s="43"/>
      <c r="AZ101" s="82">
        <f>IF(AZ98&lt;0,0,AZ95*AZ97)</f>
        <v>381.490905607836</v>
      </c>
      <c r="BA101" s="43"/>
      <c r="BB101" s="43"/>
      <c r="BC101" s="43"/>
      <c r="BD101" s="43"/>
      <c r="BE101" s="82">
        <f>IF(BE98&lt;0,0,BE95*BE97)</f>
        <v>447.46819967607229</v>
      </c>
      <c r="BF101" s="43"/>
      <c r="BG101" s="43"/>
      <c r="BH101" s="43"/>
      <c r="BI101" s="43"/>
      <c r="BJ101" s="82">
        <f>IF(BJ98&lt;0,0,BJ95*BJ97)</f>
        <v>382.26942509027043</v>
      </c>
      <c r="BK101" s="43"/>
      <c r="BL101" s="43"/>
      <c r="BM101" s="43"/>
      <c r="BN101" s="43"/>
      <c r="BO101" s="82">
        <f>IF(BO98&lt;0,0,BO95*BO97)</f>
        <v>360.4876644956272</v>
      </c>
      <c r="BP101" s="43"/>
      <c r="BQ101" s="43"/>
      <c r="BR101" s="43"/>
      <c r="BS101" s="43"/>
      <c r="BT101" s="82">
        <f>IF(BT98&lt;0,0,BT95*BT97)</f>
        <v>323.25499479134123</v>
      </c>
      <c r="BU101" s="43"/>
      <c r="BV101" s="43"/>
      <c r="BW101" s="43"/>
      <c r="BX101" s="43"/>
      <c r="BY101" s="82">
        <f>IF(BY98&lt;0,0,BY95*BY97)</f>
        <v>305.68276356934246</v>
      </c>
      <c r="BZ101" s="43"/>
      <c r="CA101" s="43"/>
      <c r="CB101" s="43"/>
      <c r="CC101" s="43"/>
      <c r="CD101" s="82">
        <f>IF(CD98&lt;0,0,CD95*CD97)</f>
        <v>323.57992154083166</v>
      </c>
      <c r="CE101" s="43"/>
      <c r="CF101" s="43"/>
      <c r="CG101" s="43"/>
      <c r="CH101" s="43"/>
      <c r="CI101" s="82">
        <f>IF(CI98&lt;0,0,CI95*CI97)</f>
        <v>342.15235849098633</v>
      </c>
      <c r="CJ101" s="43"/>
      <c r="CK101" s="43"/>
      <c r="CL101" s="43"/>
      <c r="CM101" s="43"/>
      <c r="CN101" s="286">
        <f>IF(CN98&lt;0,0,CN95*CN97)</f>
        <v>361.41913819266853</v>
      </c>
    </row>
    <row r="102" spans="1:92" ht="14.25" customHeight="1">
      <c r="A102" s="20"/>
      <c r="B102" s="417" t="s">
        <v>17</v>
      </c>
      <c r="C102" s="81"/>
      <c r="D102" s="81"/>
      <c r="E102" s="81"/>
      <c r="F102" s="81"/>
      <c r="G102" s="83"/>
      <c r="H102" s="81"/>
      <c r="I102" s="81"/>
      <c r="J102" s="81"/>
      <c r="K102" s="81"/>
      <c r="L102" s="83">
        <f>L95*L100</f>
        <v>1.0392484199999998</v>
      </c>
      <c r="M102" s="81"/>
      <c r="N102" s="81"/>
      <c r="O102" s="81"/>
      <c r="P102" s="81"/>
      <c r="Q102" s="83">
        <f>Q95*Q100</f>
        <v>3.2780360795000005</v>
      </c>
      <c r="R102" s="81"/>
      <c r="S102" s="81"/>
      <c r="T102" s="81"/>
      <c r="U102" s="81"/>
      <c r="V102" s="83">
        <f>V95*V100</f>
        <v>4.8295689256999994</v>
      </c>
      <c r="W102" s="81"/>
      <c r="X102" s="81"/>
      <c r="Y102" s="81"/>
      <c r="Z102" s="81"/>
      <c r="AA102" s="83">
        <f>AA95*AA100</f>
        <v>0</v>
      </c>
      <c r="AB102" s="81"/>
      <c r="AC102" s="81"/>
      <c r="AD102" s="81"/>
      <c r="AE102" s="81"/>
      <c r="AF102" s="83">
        <f>AF95*AF100</f>
        <v>0</v>
      </c>
      <c r="AG102" s="81"/>
      <c r="AH102" s="81"/>
      <c r="AI102" s="81"/>
      <c r="AJ102" s="81"/>
      <c r="AK102" s="83">
        <f>AK95*AK100</f>
        <v>0</v>
      </c>
      <c r="AL102" s="81"/>
      <c r="AM102" s="81"/>
      <c r="AN102" s="81"/>
      <c r="AO102" s="81"/>
      <c r="AP102" s="83">
        <f>AP95*AP100</f>
        <v>0</v>
      </c>
      <c r="AQ102" s="81"/>
      <c r="AR102" s="81"/>
      <c r="AS102" s="81"/>
      <c r="AT102" s="81"/>
      <c r="AU102" s="83">
        <f>AU95*AU100</f>
        <v>0</v>
      </c>
      <c r="AV102" s="81"/>
      <c r="AW102" s="81"/>
      <c r="AX102" s="81"/>
      <c r="AY102" s="81"/>
      <c r="AZ102" s="83">
        <f>AZ95*AZ100</f>
        <v>344.68725217850124</v>
      </c>
      <c r="BA102" s="81"/>
      <c r="BB102" s="81"/>
      <c r="BC102" s="81"/>
      <c r="BD102" s="81"/>
      <c r="BE102" s="83">
        <f>BE95*BE100</f>
        <v>447.46819967607229</v>
      </c>
      <c r="BF102" s="81"/>
      <c r="BG102" s="81"/>
      <c r="BH102" s="81"/>
      <c r="BI102" s="81"/>
      <c r="BJ102" s="83">
        <f>BJ95*BJ100</f>
        <v>382.26942509027043</v>
      </c>
      <c r="BK102" s="81"/>
      <c r="BL102" s="81"/>
      <c r="BM102" s="81"/>
      <c r="BN102" s="81"/>
      <c r="BO102" s="83">
        <f>BO95*BO100</f>
        <v>360.4876644956272</v>
      </c>
      <c r="BP102" s="81"/>
      <c r="BQ102" s="81"/>
      <c r="BR102" s="81"/>
      <c r="BS102" s="81"/>
      <c r="BT102" s="83">
        <f>BT95*BT100</f>
        <v>323.25499479134123</v>
      </c>
      <c r="BU102" s="81"/>
      <c r="BV102" s="81"/>
      <c r="BW102" s="81"/>
      <c r="BX102" s="81"/>
      <c r="BY102" s="83">
        <f>BY95*BY100</f>
        <v>305.68276356934246</v>
      </c>
      <c r="BZ102" s="81"/>
      <c r="CA102" s="81"/>
      <c r="CB102" s="81"/>
      <c r="CC102" s="81"/>
      <c r="CD102" s="83">
        <f>CD95*CD100</f>
        <v>323.57992154083166</v>
      </c>
      <c r="CE102" s="81"/>
      <c r="CF102" s="81"/>
      <c r="CG102" s="81"/>
      <c r="CH102" s="81"/>
      <c r="CI102" s="83">
        <f>CI95*CI100</f>
        <v>342.15235849098633</v>
      </c>
      <c r="CJ102" s="81"/>
      <c r="CK102" s="81"/>
      <c r="CL102" s="81"/>
      <c r="CM102" s="81"/>
      <c r="CN102" s="288">
        <f>CN95*CN100</f>
        <v>361.41913819266853</v>
      </c>
    </row>
    <row r="103" spans="1:92" ht="15" customHeight="1">
      <c r="A103" s="22"/>
      <c r="B103" s="24"/>
      <c r="C103" s="43"/>
      <c r="D103" s="43"/>
      <c r="E103" s="43"/>
      <c r="F103" s="43"/>
      <c r="G103" s="50"/>
      <c r="H103" s="43"/>
      <c r="I103" s="43"/>
      <c r="J103" s="43"/>
      <c r="K103" s="43"/>
      <c r="L103" s="50"/>
      <c r="M103" s="43"/>
      <c r="N103" s="43"/>
      <c r="O103" s="43"/>
      <c r="P103" s="43"/>
      <c r="Q103" s="50"/>
      <c r="R103" s="43"/>
      <c r="S103" s="43"/>
      <c r="T103" s="43"/>
      <c r="U103" s="43"/>
      <c r="V103" s="50"/>
      <c r="W103" s="43"/>
      <c r="X103" s="43"/>
      <c r="Y103" s="43"/>
      <c r="Z103" s="43"/>
      <c r="AA103" s="50"/>
      <c r="AB103" s="43"/>
      <c r="AC103" s="43"/>
      <c r="AD103" s="43"/>
      <c r="AE103" s="43"/>
      <c r="AF103" s="50"/>
      <c r="AG103" s="43"/>
      <c r="AH103" s="43"/>
      <c r="AI103" s="43"/>
      <c r="AJ103" s="43"/>
      <c r="AK103" s="50"/>
      <c r="AL103" s="43"/>
      <c r="AM103" s="43"/>
      <c r="AN103" s="43"/>
      <c r="AO103" s="43"/>
      <c r="AP103" s="50"/>
      <c r="AQ103" s="43"/>
      <c r="AR103" s="43"/>
      <c r="AS103" s="43"/>
      <c r="AT103" s="43"/>
      <c r="AU103" s="50"/>
      <c r="AV103" s="43"/>
      <c r="AW103" s="43"/>
      <c r="AX103" s="43"/>
      <c r="AY103" s="43"/>
      <c r="AZ103" s="50"/>
      <c r="BA103" s="43"/>
      <c r="BB103" s="43"/>
      <c r="BC103" s="43"/>
      <c r="BD103" s="43"/>
      <c r="BE103" s="50"/>
      <c r="BF103" s="43"/>
      <c r="BG103" s="43"/>
      <c r="BH103" s="43"/>
      <c r="BI103" s="43"/>
      <c r="BJ103" s="50"/>
      <c r="BK103" s="43"/>
      <c r="BL103" s="43"/>
      <c r="BM103" s="43"/>
      <c r="BN103" s="43"/>
      <c r="BO103" s="50"/>
      <c r="BP103" s="43"/>
      <c r="BQ103" s="43"/>
      <c r="BR103" s="43"/>
      <c r="BS103" s="43"/>
      <c r="BT103" s="50"/>
      <c r="BU103" s="43"/>
      <c r="BV103" s="43"/>
      <c r="BW103" s="43"/>
      <c r="BX103" s="43"/>
      <c r="BY103" s="50"/>
      <c r="BZ103" s="43"/>
      <c r="CA103" s="43"/>
      <c r="CB103" s="43"/>
      <c r="CC103" s="43"/>
      <c r="CD103" s="50"/>
      <c r="CE103" s="43"/>
      <c r="CF103" s="43"/>
      <c r="CG103" s="43"/>
      <c r="CH103" s="43"/>
      <c r="CI103" s="50"/>
      <c r="CJ103" s="43"/>
      <c r="CK103" s="43"/>
      <c r="CL103" s="43"/>
      <c r="CM103" s="43"/>
      <c r="CN103" s="50"/>
    </row>
    <row r="104" spans="1:92" ht="14.25" customHeight="1">
      <c r="A104" s="33"/>
      <c r="B104" s="34"/>
      <c r="C104" s="34"/>
      <c r="D104" s="34"/>
      <c r="E104" s="34"/>
      <c r="F104" s="34"/>
      <c r="G104" s="32"/>
      <c r="H104" s="32"/>
      <c r="I104" s="32"/>
      <c r="J104" s="32"/>
      <c r="K104" s="32"/>
      <c r="L104" s="32"/>
      <c r="M104" s="32"/>
      <c r="N104" s="32"/>
      <c r="O104" s="32"/>
      <c r="P104" s="32"/>
      <c r="Q104" s="32"/>
      <c r="R104" s="32"/>
      <c r="S104" s="32"/>
      <c r="T104" s="32"/>
      <c r="U104" s="32"/>
      <c r="V104" s="32"/>
      <c r="W104" s="32"/>
      <c r="X104" s="32"/>
      <c r="Y104" s="32"/>
      <c r="Z104" s="32"/>
      <c r="AA104" s="32"/>
      <c r="AB104" s="32"/>
      <c r="AC104" s="32"/>
      <c r="AD104" s="32"/>
      <c r="AE104" s="32"/>
      <c r="AF104" s="32"/>
      <c r="AG104" s="32"/>
      <c r="AH104" s="32"/>
      <c r="AI104" s="32"/>
      <c r="AJ104" s="32"/>
      <c r="AK104" s="32"/>
      <c r="AL104" s="32"/>
      <c r="AM104" s="32"/>
      <c r="AN104" s="32"/>
      <c r="AO104" s="32"/>
      <c r="AP104" s="32"/>
      <c r="AQ104" s="32"/>
      <c r="AR104" s="32"/>
      <c r="AS104" s="32"/>
      <c r="AT104" s="32"/>
      <c r="AU104" s="32"/>
      <c r="AV104" s="32"/>
      <c r="AW104" s="32"/>
      <c r="AX104" s="32"/>
      <c r="AY104" s="32"/>
      <c r="AZ104" s="32"/>
      <c r="BA104" s="32"/>
      <c r="BB104" s="32"/>
      <c r="BC104" s="32"/>
      <c r="BD104" s="32"/>
      <c r="BE104" s="32"/>
      <c r="BF104" s="32"/>
      <c r="BG104" s="32"/>
      <c r="BH104" s="32"/>
      <c r="BI104" s="32"/>
      <c r="BJ104" s="32"/>
      <c r="BK104" s="32"/>
      <c r="BL104" s="32"/>
      <c r="BM104" s="32"/>
      <c r="BN104" s="32"/>
      <c r="BO104" s="32"/>
      <c r="BP104" s="32"/>
      <c r="BQ104" s="32"/>
      <c r="BR104" s="32"/>
      <c r="BS104" s="32"/>
      <c r="BT104" s="32"/>
      <c r="BU104" s="32"/>
      <c r="BV104" s="32"/>
      <c r="BW104" s="32"/>
      <c r="BX104" s="32"/>
      <c r="BY104" s="32"/>
      <c r="BZ104" s="32"/>
      <c r="CA104" s="32"/>
      <c r="CB104" s="32"/>
      <c r="CC104" s="32"/>
      <c r="CD104" s="32"/>
      <c r="CE104" s="32"/>
      <c r="CF104" s="32"/>
      <c r="CG104" s="32"/>
      <c r="CH104" s="32"/>
      <c r="CI104" s="32"/>
      <c r="CJ104" s="32"/>
      <c r="CK104" s="32"/>
      <c r="CL104" s="32"/>
      <c r="CM104" s="32"/>
      <c r="CN104" s="32"/>
    </row>
    <row r="105" spans="1:92" ht="14.25" customHeight="1">
      <c r="A105" s="25"/>
      <c r="B105" s="34" t="s">
        <v>212</v>
      </c>
      <c r="C105" s="34"/>
      <c r="D105" s="34"/>
      <c r="E105" s="34"/>
      <c r="F105" s="34"/>
      <c r="G105" s="32"/>
      <c r="H105" s="32"/>
      <c r="I105" s="32"/>
      <c r="J105" s="32"/>
      <c r="K105" s="32"/>
      <c r="L105" s="32"/>
      <c r="M105" s="32"/>
      <c r="N105" s="32"/>
      <c r="O105" s="32"/>
      <c r="P105" s="32"/>
      <c r="Q105" s="32"/>
      <c r="R105" s="32"/>
      <c r="S105" s="32"/>
      <c r="T105" s="32"/>
      <c r="U105" s="32"/>
      <c r="V105" s="32"/>
      <c r="W105" s="32"/>
      <c r="X105" s="32"/>
      <c r="Y105" s="32"/>
      <c r="Z105" s="32"/>
      <c r="AA105" s="32"/>
      <c r="AB105" s="32"/>
      <c r="AC105" s="32"/>
      <c r="AD105" s="32"/>
      <c r="AE105" s="32"/>
      <c r="AF105" s="32"/>
      <c r="AG105" s="32"/>
      <c r="AH105" s="32"/>
      <c r="AI105" s="32"/>
      <c r="AJ105" s="32"/>
      <c r="AK105" s="32"/>
      <c r="AL105" s="32"/>
      <c r="AM105" s="32"/>
      <c r="AN105" s="32"/>
      <c r="AO105" s="32"/>
      <c r="AP105" s="32"/>
      <c r="AQ105" s="32"/>
      <c r="AR105" s="32"/>
      <c r="AS105" s="32"/>
      <c r="AT105" s="32"/>
      <c r="AU105" s="32"/>
      <c r="AV105" s="32"/>
      <c r="AW105" s="32"/>
      <c r="AX105" s="32"/>
      <c r="AY105" s="32"/>
      <c r="AZ105" s="32"/>
      <c r="BA105" s="32"/>
      <c r="BB105" s="32"/>
      <c r="BC105" s="32"/>
      <c r="BD105" s="32"/>
      <c r="BE105" s="32"/>
      <c r="BF105" s="32"/>
      <c r="BG105" s="32"/>
      <c r="BH105" s="32"/>
      <c r="BI105" s="32"/>
      <c r="BJ105" s="32"/>
      <c r="BK105" s="32"/>
      <c r="BL105" s="32"/>
      <c r="BM105" s="32"/>
      <c r="BN105" s="32"/>
      <c r="BO105" s="32"/>
      <c r="BP105" s="32"/>
      <c r="BQ105" s="32"/>
      <c r="BR105" s="32"/>
      <c r="BS105" s="32"/>
      <c r="BT105" s="32"/>
      <c r="BU105" s="32"/>
      <c r="BV105" s="32"/>
      <c r="BW105" s="32"/>
      <c r="BX105" s="32"/>
      <c r="BY105" s="32"/>
      <c r="BZ105" s="32"/>
      <c r="CA105" s="32"/>
      <c r="CB105" s="32"/>
      <c r="CC105" s="32"/>
      <c r="CD105" s="32"/>
      <c r="CE105" s="32"/>
      <c r="CF105" s="32"/>
      <c r="CG105" s="32"/>
      <c r="CH105" s="32"/>
      <c r="CI105" s="32"/>
      <c r="CJ105" s="32"/>
      <c r="CK105" s="32"/>
      <c r="CL105" s="32"/>
      <c r="CM105" s="32"/>
      <c r="CN105" s="32"/>
    </row>
    <row r="106" spans="1:92" ht="14.25" customHeight="1">
      <c r="A106" s="25"/>
      <c r="B106" s="207" t="s">
        <v>213</v>
      </c>
      <c r="C106" s="207" t="s">
        <v>214</v>
      </c>
      <c r="D106" s="207" t="s">
        <v>214</v>
      </c>
      <c r="E106" s="207" t="s">
        <v>214</v>
      </c>
      <c r="F106" s="207" t="s">
        <v>214</v>
      </c>
      <c r="G106" s="32" t="s">
        <v>214</v>
      </c>
      <c r="H106" s="32" t="s">
        <v>214</v>
      </c>
      <c r="I106" s="32" t="s">
        <v>214</v>
      </c>
      <c r="J106" s="32" t="s">
        <v>214</v>
      </c>
      <c r="K106" s="32" t="s">
        <v>214</v>
      </c>
      <c r="L106" s="32" t="s">
        <v>214</v>
      </c>
      <c r="M106" s="32" t="s">
        <v>214</v>
      </c>
      <c r="N106" s="32" t="s">
        <v>214</v>
      </c>
      <c r="O106" s="32" t="s">
        <v>214</v>
      </c>
      <c r="P106" s="32" t="s">
        <v>214</v>
      </c>
      <c r="Q106" s="32" t="s">
        <v>214</v>
      </c>
      <c r="R106" s="32" t="s">
        <v>214</v>
      </c>
      <c r="S106" s="32" t="s">
        <v>214</v>
      </c>
      <c r="T106" s="32" t="s">
        <v>214</v>
      </c>
      <c r="U106" s="32" t="s">
        <v>214</v>
      </c>
      <c r="V106" s="32" t="s">
        <v>214</v>
      </c>
      <c r="W106" s="32" t="s">
        <v>214</v>
      </c>
      <c r="X106" s="32" t="s">
        <v>214</v>
      </c>
      <c r="Y106" s="32" t="s">
        <v>214</v>
      </c>
      <c r="Z106" s="32" t="s">
        <v>214</v>
      </c>
      <c r="AA106" s="32" t="s">
        <v>214</v>
      </c>
      <c r="AB106" s="32" t="s">
        <v>214</v>
      </c>
      <c r="AC106" s="32" t="s">
        <v>214</v>
      </c>
      <c r="AD106" s="32" t="s">
        <v>214</v>
      </c>
      <c r="AE106" s="32" t="s">
        <v>214</v>
      </c>
      <c r="AF106" s="32" t="s">
        <v>214</v>
      </c>
      <c r="AG106" s="32" t="s">
        <v>214</v>
      </c>
      <c r="AH106" s="32" t="s">
        <v>214</v>
      </c>
      <c r="AI106" s="32" t="s">
        <v>214</v>
      </c>
      <c r="AJ106" s="32" t="s">
        <v>214</v>
      </c>
      <c r="AK106" s="32" t="s">
        <v>214</v>
      </c>
      <c r="AL106" s="32" t="s">
        <v>214</v>
      </c>
      <c r="AM106" s="32" t="s">
        <v>214</v>
      </c>
      <c r="AN106" s="32" t="s">
        <v>214</v>
      </c>
      <c r="AO106" s="32" t="s">
        <v>214</v>
      </c>
      <c r="AP106" s="32" t="s">
        <v>214</v>
      </c>
      <c r="AQ106" s="32" t="s">
        <v>214</v>
      </c>
      <c r="AR106" s="32" t="s">
        <v>214</v>
      </c>
      <c r="AS106" s="32" t="s">
        <v>214</v>
      </c>
      <c r="AT106" s="32" t="s">
        <v>214</v>
      </c>
      <c r="AU106" s="32" t="s">
        <v>214</v>
      </c>
      <c r="AV106" s="32" t="s">
        <v>214</v>
      </c>
      <c r="AW106" s="32" t="s">
        <v>214</v>
      </c>
      <c r="AX106" s="32" t="s">
        <v>214</v>
      </c>
      <c r="AY106" s="32" t="s">
        <v>214</v>
      </c>
      <c r="AZ106" s="32" t="s">
        <v>214</v>
      </c>
      <c r="BA106" s="32" t="s">
        <v>214</v>
      </c>
      <c r="BB106" s="32" t="s">
        <v>214</v>
      </c>
      <c r="BC106" s="32" t="s">
        <v>214</v>
      </c>
      <c r="BD106" s="32" t="s">
        <v>214</v>
      </c>
      <c r="BE106" s="32" t="s">
        <v>214</v>
      </c>
      <c r="BF106" s="32" t="s">
        <v>214</v>
      </c>
      <c r="BG106" s="32" t="s">
        <v>214</v>
      </c>
      <c r="BH106" s="32" t="s">
        <v>214</v>
      </c>
      <c r="BI106" s="32" t="s">
        <v>214</v>
      </c>
      <c r="BJ106" s="32" t="s">
        <v>214</v>
      </c>
      <c r="BK106" s="32" t="s">
        <v>214</v>
      </c>
      <c r="BL106" s="32" t="s">
        <v>214</v>
      </c>
      <c r="BM106" s="32" t="s">
        <v>214</v>
      </c>
      <c r="BN106" s="32" t="s">
        <v>214</v>
      </c>
      <c r="BO106" s="32" t="s">
        <v>214</v>
      </c>
      <c r="BP106" s="32" t="s">
        <v>214</v>
      </c>
      <c r="BQ106" s="32" t="s">
        <v>214</v>
      </c>
      <c r="BR106" s="32" t="s">
        <v>214</v>
      </c>
      <c r="BS106" s="32" t="s">
        <v>214</v>
      </c>
      <c r="BT106" s="32" t="s">
        <v>214</v>
      </c>
      <c r="BU106" s="32" t="s">
        <v>214</v>
      </c>
      <c r="BV106" s="32" t="s">
        <v>214</v>
      </c>
      <c r="BW106" s="32" t="s">
        <v>214</v>
      </c>
      <c r="BX106" s="32" t="s">
        <v>214</v>
      </c>
      <c r="BY106" s="32" t="s">
        <v>214</v>
      </c>
      <c r="BZ106" s="32" t="s">
        <v>214</v>
      </c>
      <c r="CA106" s="32" t="s">
        <v>214</v>
      </c>
      <c r="CB106" s="32" t="s">
        <v>214</v>
      </c>
      <c r="CC106" s="32" t="s">
        <v>214</v>
      </c>
      <c r="CD106" s="32" t="s">
        <v>214</v>
      </c>
      <c r="CE106" s="32" t="s">
        <v>214</v>
      </c>
      <c r="CF106" s="32" t="s">
        <v>214</v>
      </c>
      <c r="CG106" s="32" t="s">
        <v>214</v>
      </c>
      <c r="CH106" s="32" t="s">
        <v>214</v>
      </c>
      <c r="CI106" s="32" t="s">
        <v>214</v>
      </c>
      <c r="CJ106" s="32" t="s">
        <v>214</v>
      </c>
      <c r="CK106" s="32" t="s">
        <v>214</v>
      </c>
      <c r="CL106" s="32" t="s">
        <v>214</v>
      </c>
      <c r="CM106" s="32" t="s">
        <v>214</v>
      </c>
      <c r="CN106" s="32" t="s">
        <v>214</v>
      </c>
    </row>
    <row r="107" spans="1:92" ht="14.25" customHeight="1">
      <c r="A107" s="209"/>
      <c r="B107" s="210" t="s">
        <v>215</v>
      </c>
      <c r="C107" s="74"/>
      <c r="D107" s="74"/>
      <c r="E107" s="74"/>
      <c r="F107" s="74"/>
      <c r="G107" s="208">
        <f>CF!C31+CF!C32</f>
        <v>0</v>
      </c>
      <c r="H107" s="209"/>
      <c r="I107" s="209"/>
      <c r="J107" s="209"/>
      <c r="K107" s="209"/>
      <c r="L107" s="208">
        <f>+CF!D31+CF!D32</f>
        <v>6.5000340000000003</v>
      </c>
      <c r="M107" s="209"/>
      <c r="N107" s="209"/>
      <c r="O107" s="209"/>
      <c r="P107" s="209"/>
      <c r="Q107" s="208">
        <f>+CF!E31+CF!E32</f>
        <v>73.149175</v>
      </c>
      <c r="R107" s="209"/>
      <c r="S107" s="209"/>
      <c r="T107" s="209"/>
      <c r="U107" s="209"/>
      <c r="V107" s="208">
        <f>+CF!F31+CF!F32</f>
        <v>246.97296500000002</v>
      </c>
      <c r="W107" s="209"/>
      <c r="X107" s="209"/>
      <c r="Y107" s="209"/>
      <c r="Z107" s="209"/>
      <c r="AA107" s="208">
        <f>+CF!G8+CF!G31+CF!G32</f>
        <v>316.74900000000002</v>
      </c>
      <c r="AB107" s="209"/>
      <c r="AC107" s="209"/>
      <c r="AD107" s="209"/>
      <c r="AE107" s="209"/>
      <c r="AF107" s="208">
        <f>+CF!H8+CF!H31+CF!H32</f>
        <v>451.24960811233154</v>
      </c>
      <c r="AG107" s="209"/>
      <c r="AH107" s="209"/>
      <c r="AI107" s="209"/>
      <c r="AJ107" s="209"/>
      <c r="AK107" s="208">
        <f>+CF!I8+CF!I31+CF!I32</f>
        <v>19.66908836617154</v>
      </c>
      <c r="AL107" s="209"/>
      <c r="AM107" s="209"/>
      <c r="AN107" s="209"/>
      <c r="AO107" s="209"/>
      <c r="AP107" s="208">
        <f>+CF!J8+CF!J31+CF!J32</f>
        <v>21.836653028194661</v>
      </c>
      <c r="AQ107" s="209"/>
      <c r="AR107" s="209"/>
      <c r="AS107" s="209"/>
      <c r="AT107" s="209"/>
      <c r="AU107" s="208">
        <f>+CF!K8+CF!K31+CF!K32</f>
        <v>27.913185343006962</v>
      </c>
      <c r="AV107" s="209"/>
      <c r="AW107" s="209"/>
      <c r="AX107" s="209"/>
      <c r="AY107" s="209"/>
      <c r="AZ107" s="208">
        <f>+CF!L8+CF!L31+CF!L32</f>
        <v>34.429798823029437</v>
      </c>
      <c r="BA107" s="209"/>
      <c r="BB107" s="209"/>
      <c r="BC107" s="209"/>
      <c r="BD107" s="209"/>
      <c r="BE107" s="208">
        <f>+CF!M8+CF!M31+CF!M32</f>
        <v>33.727733672661032</v>
      </c>
      <c r="BF107" s="209"/>
      <c r="BG107" s="209"/>
      <c r="BH107" s="209"/>
      <c r="BI107" s="209"/>
      <c r="BJ107" s="208">
        <f>+CF!R8+CF!R31+CF!R32</f>
        <v>18.125110468719864</v>
      </c>
      <c r="BK107" s="209"/>
      <c r="BL107" s="209"/>
      <c r="BM107" s="209"/>
      <c r="BN107" s="209"/>
      <c r="BO107" s="208">
        <f>+CF!W8+CF!W31+CF!W32</f>
        <v>0</v>
      </c>
      <c r="BP107" s="209"/>
      <c r="BQ107" s="209"/>
      <c r="BR107" s="209"/>
      <c r="BS107" s="209"/>
      <c r="BT107" s="208">
        <f>+CF!AB8+CF!AB31+CF!AB32</f>
        <v>0</v>
      </c>
      <c r="BU107" s="209"/>
      <c r="BV107" s="209"/>
      <c r="BW107" s="209"/>
      <c r="BX107" s="209"/>
      <c r="BY107" s="208">
        <f>+CF!AG8+CF!AG31+CF!AG32</f>
        <v>0</v>
      </c>
      <c r="BZ107" s="209"/>
      <c r="CA107" s="209"/>
      <c r="CB107" s="209"/>
      <c r="CC107" s="209"/>
      <c r="CD107" s="208">
        <f>+CF!AL8+CF!AL31+CF!AL32</f>
        <v>0</v>
      </c>
      <c r="CE107" s="209"/>
      <c r="CF107" s="209"/>
      <c r="CG107" s="209"/>
      <c r="CH107" s="209"/>
      <c r="CI107" s="208">
        <f>+CF!AQ8+CF!AQ31+CF!AQ32</f>
        <v>0</v>
      </c>
      <c r="CJ107" s="209"/>
      <c r="CK107" s="209"/>
      <c r="CL107" s="209"/>
      <c r="CM107" s="209"/>
      <c r="CN107" s="208">
        <f>+CF!AV8+CF!AV31+CF!AV32</f>
        <v>0</v>
      </c>
    </row>
    <row r="108" spans="1:92" ht="14.25" customHeight="1">
      <c r="B108" s="419" t="s">
        <v>405</v>
      </c>
      <c r="C108" s="350">
        <f>C47+C34</f>
        <v>0</v>
      </c>
      <c r="D108" s="350">
        <f t="shared" ref="D108:BO108" si="326">D47+D34</f>
        <v>0</v>
      </c>
      <c r="E108" s="350">
        <f t="shared" si="326"/>
        <v>0</v>
      </c>
      <c r="F108" s="350">
        <f t="shared" si="326"/>
        <v>0</v>
      </c>
      <c r="G108" s="350">
        <f t="shared" si="326"/>
        <v>-2.6894139999999997</v>
      </c>
      <c r="H108" s="350">
        <f t="shared" si="326"/>
        <v>-8.6733019999999996</v>
      </c>
      <c r="I108" s="350">
        <f t="shared" si="326"/>
        <v>-1.1503950000000005</v>
      </c>
      <c r="J108" s="350">
        <f t="shared" si="326"/>
        <v>-2.2312130000000012</v>
      </c>
      <c r="K108" s="350">
        <f t="shared" si="326"/>
        <v>-3.6508659999999997</v>
      </c>
      <c r="L108" s="350">
        <f t="shared" si="326"/>
        <v>-15.705776000000002</v>
      </c>
      <c r="M108" s="350">
        <f t="shared" si="326"/>
        <v>-5.4532040000000004</v>
      </c>
      <c r="N108" s="350">
        <f t="shared" si="326"/>
        <v>-9.9191749999999992</v>
      </c>
      <c r="O108" s="350">
        <f t="shared" si="326"/>
        <v>-9.9406580000000009</v>
      </c>
      <c r="P108" s="350">
        <f t="shared" si="326"/>
        <v>-13.160807</v>
      </c>
      <c r="Q108" s="350">
        <f t="shared" si="326"/>
        <v>-38.473844</v>
      </c>
      <c r="R108" s="350">
        <f t="shared" si="326"/>
        <v>-20.836107000000002</v>
      </c>
      <c r="S108" s="350">
        <f t="shared" si="326"/>
        <v>-15.718957999999999</v>
      </c>
      <c r="T108" s="350">
        <f t="shared" si="326"/>
        <v>-21.081808000000002</v>
      </c>
      <c r="U108" s="350">
        <f t="shared" si="326"/>
        <v>-25.374930999999997</v>
      </c>
      <c r="V108" s="350">
        <f t="shared" si="326"/>
        <v>-83.011803999999998</v>
      </c>
      <c r="W108" s="350">
        <f t="shared" si="326"/>
        <v>-29.718866999999999</v>
      </c>
      <c r="X108" s="350">
        <f t="shared" si="326"/>
        <v>-58.028999999999996</v>
      </c>
      <c r="Y108" s="350">
        <f t="shared" si="326"/>
        <v>-48.638999999999996</v>
      </c>
      <c r="Z108" s="350">
        <f t="shared" si="326"/>
        <v>-81.664999999999992</v>
      </c>
      <c r="AA108" s="350">
        <f t="shared" si="326"/>
        <v>-218.05186699999996</v>
      </c>
      <c r="AB108" s="350">
        <f t="shared" si="326"/>
        <v>-46.026337406012885</v>
      </c>
      <c r="AC108" s="350">
        <f t="shared" si="326"/>
        <v>-47.911165956012887</v>
      </c>
      <c r="AD108" s="350">
        <f t="shared" si="326"/>
        <v>-50.134547956012881</v>
      </c>
      <c r="AE108" s="350">
        <f t="shared" si="326"/>
        <v>-68.549197956012875</v>
      </c>
      <c r="AF108" s="350">
        <f t="shared" si="326"/>
        <v>-212.62124927405154</v>
      </c>
      <c r="AG108" s="350">
        <f t="shared" si="326"/>
        <v>0</v>
      </c>
      <c r="AH108" s="350">
        <f t="shared" si="326"/>
        <v>0</v>
      </c>
      <c r="AI108" s="350">
        <f t="shared" si="326"/>
        <v>0</v>
      </c>
      <c r="AJ108" s="350">
        <f t="shared" si="326"/>
        <v>0</v>
      </c>
      <c r="AK108" s="350">
        <f t="shared" si="326"/>
        <v>-155.9964723650051</v>
      </c>
      <c r="AL108" s="350">
        <f t="shared" si="326"/>
        <v>0</v>
      </c>
      <c r="AM108" s="350">
        <f t="shared" si="326"/>
        <v>0</v>
      </c>
      <c r="AN108" s="350">
        <f t="shared" si="326"/>
        <v>0</v>
      </c>
      <c r="AO108" s="350">
        <f t="shared" si="326"/>
        <v>0</v>
      </c>
      <c r="AP108" s="350">
        <f t="shared" si="326"/>
        <v>1.796219692577159</v>
      </c>
      <c r="AQ108" s="350">
        <f t="shared" si="326"/>
        <v>0</v>
      </c>
      <c r="AR108" s="350">
        <f t="shared" si="326"/>
        <v>0</v>
      </c>
      <c r="AS108" s="350">
        <f t="shared" si="326"/>
        <v>0</v>
      </c>
      <c r="AT108" s="350">
        <f t="shared" si="326"/>
        <v>0</v>
      </c>
      <c r="AU108" s="350">
        <f t="shared" si="326"/>
        <v>466.65659243409419</v>
      </c>
      <c r="AV108" s="350">
        <f t="shared" si="326"/>
        <v>0</v>
      </c>
      <c r="AW108" s="350">
        <f t="shared" si="326"/>
        <v>0</v>
      </c>
      <c r="AX108" s="350">
        <f t="shared" si="326"/>
        <v>0</v>
      </c>
      <c r="AY108" s="350">
        <f t="shared" si="326"/>
        <v>0</v>
      </c>
      <c r="AZ108" s="350">
        <f t="shared" si="326"/>
        <v>1089.9740160223887</v>
      </c>
      <c r="BA108" s="350">
        <f t="shared" si="326"/>
        <v>0</v>
      </c>
      <c r="BB108" s="350">
        <f t="shared" si="326"/>
        <v>0</v>
      </c>
      <c r="BC108" s="350">
        <f t="shared" si="326"/>
        <v>0</v>
      </c>
      <c r="BD108" s="350">
        <f t="shared" si="326"/>
        <v>0</v>
      </c>
      <c r="BE108" s="350">
        <f t="shared" si="326"/>
        <v>1278.4805705030637</v>
      </c>
      <c r="BF108" s="350">
        <f t="shared" si="326"/>
        <v>0</v>
      </c>
      <c r="BG108" s="350">
        <f t="shared" si="326"/>
        <v>0</v>
      </c>
      <c r="BH108" s="350">
        <f t="shared" si="326"/>
        <v>0</v>
      </c>
      <c r="BI108" s="350">
        <f t="shared" si="326"/>
        <v>0</v>
      </c>
      <c r="BJ108" s="350">
        <f t="shared" si="326"/>
        <v>1092.1983574007727</v>
      </c>
      <c r="BK108" s="350">
        <f t="shared" si="326"/>
        <v>0</v>
      </c>
      <c r="BL108" s="350">
        <f t="shared" si="326"/>
        <v>0</v>
      </c>
      <c r="BM108" s="350">
        <f t="shared" si="326"/>
        <v>0</v>
      </c>
      <c r="BN108" s="350">
        <f t="shared" si="326"/>
        <v>0</v>
      </c>
      <c r="BO108" s="350">
        <f t="shared" si="326"/>
        <v>1029.964755701792</v>
      </c>
      <c r="BP108" s="350">
        <f t="shared" ref="BP108:CN108" si="327">BP47+BP34</f>
        <v>0</v>
      </c>
      <c r="BQ108" s="350">
        <f t="shared" si="327"/>
        <v>0</v>
      </c>
      <c r="BR108" s="350">
        <f t="shared" si="327"/>
        <v>0</v>
      </c>
      <c r="BS108" s="350">
        <f t="shared" si="327"/>
        <v>0</v>
      </c>
      <c r="BT108" s="350">
        <f t="shared" si="327"/>
        <v>923.58569940383222</v>
      </c>
      <c r="BU108" s="350">
        <f t="shared" si="327"/>
        <v>0</v>
      </c>
      <c r="BV108" s="350">
        <f t="shared" si="327"/>
        <v>0</v>
      </c>
      <c r="BW108" s="350">
        <f t="shared" si="327"/>
        <v>0</v>
      </c>
      <c r="BX108" s="350">
        <f t="shared" si="327"/>
        <v>0</v>
      </c>
      <c r="BY108" s="350">
        <f t="shared" si="327"/>
        <v>873.37932448383572</v>
      </c>
      <c r="BZ108" s="350">
        <f t="shared" si="327"/>
        <v>0</v>
      </c>
      <c r="CA108" s="350">
        <f t="shared" si="327"/>
        <v>0</v>
      </c>
      <c r="CB108" s="350">
        <f t="shared" si="327"/>
        <v>0</v>
      </c>
      <c r="CC108" s="350">
        <f t="shared" si="327"/>
        <v>0</v>
      </c>
      <c r="CD108" s="350">
        <f t="shared" si="327"/>
        <v>924.51406154523352</v>
      </c>
      <c r="CE108" s="350">
        <f t="shared" si="327"/>
        <v>0</v>
      </c>
      <c r="CF108" s="350">
        <f t="shared" si="327"/>
        <v>0</v>
      </c>
      <c r="CG108" s="350">
        <f t="shared" si="327"/>
        <v>0</v>
      </c>
      <c r="CH108" s="350">
        <f t="shared" si="327"/>
        <v>0</v>
      </c>
      <c r="CI108" s="350">
        <f t="shared" si="327"/>
        <v>977.57816711710382</v>
      </c>
      <c r="CJ108" s="350">
        <f t="shared" si="327"/>
        <v>0</v>
      </c>
      <c r="CK108" s="350">
        <f t="shared" si="327"/>
        <v>0</v>
      </c>
      <c r="CL108" s="350">
        <f t="shared" si="327"/>
        <v>0</v>
      </c>
      <c r="CM108" s="350">
        <f t="shared" si="327"/>
        <v>0</v>
      </c>
      <c r="CN108" s="350">
        <f t="shared" si="327"/>
        <v>1032.6261091219101</v>
      </c>
    </row>
    <row r="109" spans="1:92" ht="14.25" customHeight="1">
      <c r="B109" s="419" t="s">
        <v>397</v>
      </c>
      <c r="C109" s="350"/>
      <c r="D109" s="350"/>
      <c r="E109" s="350"/>
      <c r="F109" s="350"/>
      <c r="G109" s="350">
        <v>6.2289219999999998</v>
      </c>
      <c r="H109" s="350"/>
      <c r="I109" s="350"/>
      <c r="J109" s="350"/>
      <c r="K109" s="350"/>
      <c r="L109" s="350">
        <v>6.916404</v>
      </c>
      <c r="M109" s="350"/>
      <c r="N109" s="350"/>
      <c r="O109" s="350"/>
      <c r="P109" s="350"/>
      <c r="Q109" s="350">
        <v>7.087618</v>
      </c>
      <c r="R109" s="350"/>
      <c r="S109" s="350"/>
      <c r="T109" s="350"/>
      <c r="U109" s="350"/>
      <c r="V109" s="350">
        <v>22.647583000000001</v>
      </c>
      <c r="W109" s="350"/>
      <c r="X109" s="350"/>
      <c r="Y109" s="350"/>
      <c r="Z109" s="350"/>
      <c r="AA109" s="350">
        <v>27.942397966703201</v>
      </c>
      <c r="AB109" s="350"/>
      <c r="AC109" s="350"/>
      <c r="AD109" s="350"/>
      <c r="AE109" s="350"/>
      <c r="AF109" s="350">
        <v>28.291677941286899</v>
      </c>
      <c r="AG109" s="350"/>
      <c r="AH109" s="350"/>
      <c r="AI109" s="350"/>
      <c r="AJ109" s="350"/>
      <c r="AK109" s="350">
        <v>28.645323915553</v>
      </c>
      <c r="AL109" s="350"/>
      <c r="AM109" s="350"/>
      <c r="AN109" s="350"/>
      <c r="AO109" s="350"/>
      <c r="AP109" s="350">
        <v>29.0033904644974</v>
      </c>
      <c r="AQ109" s="350"/>
      <c r="AR109" s="350"/>
      <c r="AS109" s="350"/>
      <c r="AT109" s="350"/>
      <c r="AU109" s="350">
        <v>29.3659328453037</v>
      </c>
      <c r="AV109" s="350"/>
      <c r="AW109" s="350"/>
      <c r="AX109" s="350"/>
      <c r="AY109" s="350"/>
      <c r="AZ109" s="350">
        <v>29.73300700587</v>
      </c>
      <c r="BA109" s="350"/>
      <c r="BB109" s="350"/>
      <c r="BC109" s="350"/>
      <c r="BD109" s="350"/>
      <c r="BE109" s="350">
        <v>30.104669593443301</v>
      </c>
      <c r="BF109" s="350"/>
      <c r="BG109" s="350"/>
      <c r="BH109" s="350"/>
      <c r="BI109" s="350"/>
      <c r="BJ109" s="350">
        <v>30.480977963361401</v>
      </c>
      <c r="BK109" s="350"/>
      <c r="BL109" s="350"/>
      <c r="BM109" s="350"/>
      <c r="BN109" s="350"/>
      <c r="BO109" s="350">
        <v>30.861990187903402</v>
      </c>
      <c r="BP109" s="350"/>
      <c r="BQ109" s="350"/>
      <c r="BR109" s="350"/>
      <c r="BS109" s="350"/>
      <c r="BT109" s="350">
        <v>31.247765065252199</v>
      </c>
      <c r="BU109" s="350"/>
      <c r="BV109" s="350"/>
      <c r="BW109" s="350"/>
      <c r="BX109" s="350"/>
      <c r="BY109" s="350">
        <v>31.638362128567799</v>
      </c>
      <c r="BZ109" s="350"/>
      <c r="CA109" s="350"/>
      <c r="CB109" s="350"/>
      <c r="CC109" s="350"/>
      <c r="CD109" s="350">
        <v>32.033841655174903</v>
      </c>
      <c r="CE109" s="350"/>
      <c r="CF109" s="350"/>
      <c r="CG109" s="350"/>
      <c r="CH109" s="350"/>
      <c r="CI109" s="350">
        <v>32.434264675864597</v>
      </c>
      <c r="CJ109" s="350"/>
      <c r="CK109" s="350"/>
      <c r="CL109" s="350"/>
      <c r="CM109" s="350"/>
      <c r="CN109" s="350">
        <v>32.839692984312897</v>
      </c>
    </row>
    <row r="110" spans="1:92" ht="14.25" customHeight="1">
      <c r="B110" s="419" t="s">
        <v>406</v>
      </c>
      <c r="C110">
        <v>0</v>
      </c>
      <c r="D110">
        <v>0</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0</v>
      </c>
      <c r="BK110">
        <v>0</v>
      </c>
      <c r="BL110">
        <v>0</v>
      </c>
      <c r="BM110">
        <v>0</v>
      </c>
      <c r="BN110">
        <v>0</v>
      </c>
      <c r="BO110">
        <v>0</v>
      </c>
      <c r="BP110">
        <v>0</v>
      </c>
      <c r="BQ110">
        <v>0</v>
      </c>
      <c r="BR110">
        <v>0</v>
      </c>
      <c r="BS110">
        <v>0</v>
      </c>
      <c r="BT110">
        <v>0</v>
      </c>
      <c r="BU110">
        <v>0</v>
      </c>
      <c r="BV110">
        <v>0</v>
      </c>
      <c r="BW110">
        <v>0</v>
      </c>
      <c r="BX110">
        <v>0</v>
      </c>
      <c r="BY110">
        <v>0</v>
      </c>
      <c r="BZ110">
        <v>0</v>
      </c>
      <c r="CA110">
        <v>0</v>
      </c>
      <c r="CB110">
        <v>0</v>
      </c>
      <c r="CC110">
        <v>0</v>
      </c>
      <c r="CD110">
        <v>0</v>
      </c>
      <c r="CE110">
        <v>0</v>
      </c>
      <c r="CF110">
        <v>0</v>
      </c>
      <c r="CG110">
        <v>0</v>
      </c>
      <c r="CH110">
        <v>0</v>
      </c>
      <c r="CI110">
        <v>0</v>
      </c>
      <c r="CJ110">
        <v>0</v>
      </c>
      <c r="CK110">
        <v>0</v>
      </c>
      <c r="CL110">
        <v>0</v>
      </c>
      <c r="CM110">
        <v>0</v>
      </c>
      <c r="CN110">
        <v>0</v>
      </c>
    </row>
    <row r="114" spans="2:101" ht="14.25" customHeight="1">
      <c r="B114"/>
    </row>
    <row r="117" spans="2:101" s="351" customFormat="1" ht="14.25" customHeight="1">
      <c r="B117" s="420"/>
      <c r="BJ117" s="352"/>
      <c r="BO117" s="352"/>
      <c r="BT117" s="352"/>
      <c r="BY117" s="352"/>
      <c r="CD117" s="352"/>
      <c r="CI117" s="352"/>
      <c r="CN117" s="352"/>
      <c r="CR117"/>
      <c r="CS117"/>
      <c r="CT117"/>
      <c r="CU117"/>
      <c r="CV117"/>
      <c r="CW117"/>
    </row>
  </sheetData>
  <phoneticPr fontId="3" type="noConversion"/>
  <pageMargins left="0" right="0" top="0" bottom="0" header="0" footer="0"/>
  <pageSetup paperSize="5" scale="40"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113"/>
  <sheetViews>
    <sheetView showGridLines="0" topLeftCell="B1" zoomScale="85" zoomScaleNormal="85" workbookViewId="0">
      <pane xSplit="2" ySplit="2" topLeftCell="D3" activePane="bottomRight" state="frozen"/>
      <selection activeCell="B1" sqref="B1"/>
      <selection pane="topRight" activeCell="C1" sqref="C1"/>
      <selection pane="bottomLeft" activeCell="B6" sqref="B6"/>
      <selection pane="bottomRight" activeCell="H79" sqref="H79"/>
    </sheetView>
  </sheetViews>
  <sheetFormatPr defaultRowHeight="12.75" outlineLevelRow="1"/>
  <cols>
    <col min="1" max="2" width="1.85546875" customWidth="1"/>
    <col min="3" max="3" width="59.5703125" style="421" customWidth="1"/>
    <col min="4" max="5" width="10.5703125" hidden="1" customWidth="1"/>
    <col min="6" max="6" width="9.5703125" hidden="1" customWidth="1"/>
    <col min="7" max="8" width="9.5703125" customWidth="1"/>
    <col min="9" max="9" width="9" customWidth="1"/>
    <col min="10" max="14" width="9.5703125" customWidth="1"/>
    <col min="25" max="25" width="28.28515625" bestFit="1" customWidth="1"/>
    <col min="27" max="27" width="12.5703125" bestFit="1" customWidth="1"/>
  </cols>
  <sheetData>
    <row r="1" spans="1:24" ht="12.75" customHeight="1">
      <c r="A1" s="55"/>
      <c r="B1" s="55"/>
      <c r="C1" s="158"/>
      <c r="D1" s="94"/>
      <c r="E1" s="94"/>
      <c r="F1" s="65"/>
      <c r="G1" s="65"/>
      <c r="H1" s="65"/>
      <c r="I1" s="65"/>
      <c r="J1" s="65"/>
      <c r="K1" s="65"/>
      <c r="L1" s="65"/>
      <c r="M1" s="65"/>
      <c r="N1" s="65"/>
      <c r="O1" s="56"/>
      <c r="P1" s="56"/>
      <c r="Q1" s="56"/>
      <c r="R1" s="56"/>
      <c r="S1" s="56"/>
      <c r="T1" s="190"/>
      <c r="U1" s="190"/>
      <c r="V1" s="56"/>
      <c r="W1" s="56"/>
      <c r="X1" s="56"/>
    </row>
    <row r="2" spans="1:24" ht="12.75" customHeight="1">
      <c r="A2" s="57"/>
      <c r="B2" s="91"/>
      <c r="C2" s="366" t="s">
        <v>233</v>
      </c>
      <c r="D2" s="92">
        <v>2013</v>
      </c>
      <c r="E2" s="92">
        <v>2014</v>
      </c>
      <c r="F2" s="92">
        <v>2015</v>
      </c>
      <c r="G2" s="92">
        <v>2016</v>
      </c>
      <c r="H2" s="92">
        <v>2017</v>
      </c>
      <c r="I2" s="92" t="s">
        <v>0</v>
      </c>
      <c r="J2" s="92" t="s">
        <v>1</v>
      </c>
      <c r="K2" s="92" t="s">
        <v>2</v>
      </c>
      <c r="L2" s="92" t="s">
        <v>49</v>
      </c>
      <c r="M2" s="92" t="s">
        <v>199</v>
      </c>
      <c r="N2" s="92" t="s">
        <v>200</v>
      </c>
      <c r="O2" s="92" t="s">
        <v>286</v>
      </c>
      <c r="P2" s="92" t="s">
        <v>291</v>
      </c>
      <c r="Q2" s="92" t="s">
        <v>296</v>
      </c>
      <c r="R2" s="92" t="s">
        <v>301</v>
      </c>
      <c r="S2" s="92" t="s">
        <v>306</v>
      </c>
      <c r="T2" s="92" t="s">
        <v>311</v>
      </c>
      <c r="U2" s="92" t="s">
        <v>316</v>
      </c>
      <c r="V2" s="57"/>
      <c r="W2" s="57"/>
      <c r="X2" s="57"/>
    </row>
    <row r="3" spans="1:24" ht="12.75" customHeight="1">
      <c r="A3" s="56"/>
      <c r="B3" s="56"/>
      <c r="C3" s="387" t="s">
        <v>20</v>
      </c>
      <c r="D3" s="64"/>
      <c r="E3" s="65"/>
      <c r="F3" s="65"/>
      <c r="G3" s="65"/>
      <c r="H3" s="65"/>
      <c r="I3" s="77"/>
      <c r="J3" s="77"/>
      <c r="K3" s="77"/>
      <c r="L3" s="77"/>
      <c r="M3" s="77"/>
      <c r="N3" s="77"/>
      <c r="O3" s="77"/>
      <c r="P3" s="77"/>
      <c r="Q3" s="77"/>
      <c r="R3" s="77"/>
      <c r="S3" s="77"/>
      <c r="T3" s="77"/>
      <c r="U3" s="77"/>
      <c r="V3" s="56"/>
      <c r="W3" s="56"/>
      <c r="X3" s="56"/>
    </row>
    <row r="4" spans="1:24" ht="12.75" customHeight="1">
      <c r="A4" s="55"/>
      <c r="B4" s="55"/>
      <c r="C4" s="388" t="s">
        <v>21</v>
      </c>
      <c r="D4" s="242">
        <v>0</v>
      </c>
      <c r="E4" s="242">
        <v>3.119713</v>
      </c>
      <c r="F4" s="242">
        <v>62.251860000000001</v>
      </c>
      <c r="G4" s="242">
        <v>240.42983899999999</v>
      </c>
      <c r="H4" s="242">
        <v>324.11700000000002</v>
      </c>
      <c r="I4" s="242">
        <f>CF!H39</f>
        <v>546.55031517249154</v>
      </c>
      <c r="J4" s="242">
        <f>CF!I39</f>
        <v>403.77298660634222</v>
      </c>
      <c r="K4" s="242">
        <f>CF!J39</f>
        <v>402.3229370459012</v>
      </c>
      <c r="L4" s="242">
        <f>CF!K39</f>
        <v>816.94022599120046</v>
      </c>
      <c r="M4" s="242">
        <f>CF!L39</f>
        <v>1565.3254792101134</v>
      </c>
      <c r="N4" s="242">
        <f>CF!M39</f>
        <v>2419.329862221125</v>
      </c>
      <c r="O4" s="242">
        <f>CF!N39</f>
        <v>3171.3344947450232</v>
      </c>
      <c r="P4" s="242">
        <f>CF!O39</f>
        <v>3871.0611248127143</v>
      </c>
      <c r="Q4" s="242">
        <f>CF!P39</f>
        <v>4501.9582570763932</v>
      </c>
      <c r="R4" s="242">
        <f>CF!Q39</f>
        <v>5094.7917753479442</v>
      </c>
      <c r="S4" s="242">
        <f>CF!R39</f>
        <v>5713.5911575014634</v>
      </c>
      <c r="T4" s="242">
        <f>CF!S39</f>
        <v>6363.5947459833951</v>
      </c>
      <c r="U4" s="242">
        <f>CF!T39</f>
        <v>7046.5986338172861</v>
      </c>
      <c r="V4" s="56"/>
      <c r="W4" s="56"/>
      <c r="X4" s="56"/>
    </row>
    <row r="5" spans="1:24" ht="12.75" hidden="1" customHeight="1">
      <c r="A5" s="189"/>
      <c r="B5" s="189"/>
      <c r="C5" s="388" t="s">
        <v>234</v>
      </c>
      <c r="D5" s="242">
        <v>0</v>
      </c>
      <c r="E5" s="242">
        <v>0</v>
      </c>
      <c r="F5" s="242">
        <v>0</v>
      </c>
      <c r="G5" s="242">
        <v>0</v>
      </c>
      <c r="H5" s="242">
        <f t="shared" ref="H5:T5" si="0">G5</f>
        <v>0</v>
      </c>
      <c r="I5" s="242">
        <f t="shared" si="0"/>
        <v>0</v>
      </c>
      <c r="J5" s="242">
        <f t="shared" si="0"/>
        <v>0</v>
      </c>
      <c r="K5" s="242">
        <f t="shared" si="0"/>
        <v>0</v>
      </c>
      <c r="L5" s="242">
        <f t="shared" si="0"/>
        <v>0</v>
      </c>
      <c r="M5" s="242">
        <f t="shared" si="0"/>
        <v>0</v>
      </c>
      <c r="N5" s="242">
        <f t="shared" si="0"/>
        <v>0</v>
      </c>
      <c r="O5" s="242">
        <f t="shared" si="0"/>
        <v>0</v>
      </c>
      <c r="P5" s="242">
        <f t="shared" si="0"/>
        <v>0</v>
      </c>
      <c r="Q5" s="242">
        <f t="shared" si="0"/>
        <v>0</v>
      </c>
      <c r="R5" s="242">
        <f t="shared" si="0"/>
        <v>0</v>
      </c>
      <c r="S5" s="242">
        <f t="shared" si="0"/>
        <v>0</v>
      </c>
      <c r="T5" s="242">
        <f t="shared" si="0"/>
        <v>0</v>
      </c>
      <c r="U5" s="242">
        <f t="shared" ref="U5" si="1">T5</f>
        <v>0</v>
      </c>
      <c r="V5" s="190"/>
      <c r="W5" s="190"/>
      <c r="X5" s="190"/>
    </row>
    <row r="6" spans="1:24" ht="12.75" customHeight="1">
      <c r="A6" s="55"/>
      <c r="B6" s="55"/>
      <c r="C6" s="388" t="s">
        <v>155</v>
      </c>
      <c r="D6" s="242">
        <v>0</v>
      </c>
      <c r="E6" s="242">
        <v>0</v>
      </c>
      <c r="F6" s="242">
        <v>0</v>
      </c>
      <c r="G6" s="242">
        <v>0</v>
      </c>
      <c r="H6" s="242">
        <v>0</v>
      </c>
      <c r="I6" s="242">
        <f t="shared" ref="I6:U6" si="2">I56</f>
        <v>3</v>
      </c>
      <c r="J6" s="242">
        <f t="shared" si="2"/>
        <v>3.6572173403881942</v>
      </c>
      <c r="K6" s="242">
        <f t="shared" si="2"/>
        <v>16.067119497694733</v>
      </c>
      <c r="L6" s="242">
        <f t="shared" si="2"/>
        <v>57.515451544352736</v>
      </c>
      <c r="M6" s="242">
        <f t="shared" si="2"/>
        <v>61.793539613045546</v>
      </c>
      <c r="N6" s="242">
        <f t="shared" si="2"/>
        <v>69.572327939327607</v>
      </c>
      <c r="O6" s="242">
        <f t="shared" si="2"/>
        <v>59.802695331489751</v>
      </c>
      <c r="P6" s="242">
        <f t="shared" si="2"/>
        <v>55.901433510488239</v>
      </c>
      <c r="Q6" s="242">
        <f t="shared" si="2"/>
        <v>50.114479812101138</v>
      </c>
      <c r="R6" s="242">
        <f t="shared" si="2"/>
        <v>46.969281978572688</v>
      </c>
      <c r="S6" s="242">
        <f t="shared" si="2"/>
        <v>48.343250583608977</v>
      </c>
      <c r="T6" s="242">
        <f t="shared" si="2"/>
        <v>49.750102435121548</v>
      </c>
      <c r="U6" s="242">
        <f t="shared" si="2"/>
        <v>51.190607484374127</v>
      </c>
      <c r="V6" s="56"/>
      <c r="W6" s="56"/>
      <c r="X6" s="56"/>
    </row>
    <row r="7" spans="1:24" ht="12.75" customHeight="1">
      <c r="A7" s="55"/>
      <c r="B7" s="55"/>
      <c r="C7" s="388" t="s">
        <v>22</v>
      </c>
      <c r="D7" s="242">
        <f>0.714424</f>
        <v>0.71442399999999995</v>
      </c>
      <c r="E7" s="242">
        <v>2.2643E-2</v>
      </c>
      <c r="F7" s="242">
        <v>0.90962900000000002</v>
      </c>
      <c r="G7" s="242">
        <v>4.7504689999999998</v>
      </c>
      <c r="H7" s="242">
        <v>8.3209999999999997</v>
      </c>
      <c r="I7" s="242">
        <f t="shared" ref="I7:U7" si="3">I58</f>
        <v>5.2</v>
      </c>
      <c r="J7" s="242">
        <f t="shared" si="3"/>
        <v>6.5829912126987491</v>
      </c>
      <c r="K7" s="242">
        <f t="shared" si="3"/>
        <v>18.744972747310527</v>
      </c>
      <c r="L7" s="242">
        <f t="shared" si="3"/>
        <v>24.649479233294027</v>
      </c>
      <c r="M7" s="242">
        <f t="shared" si="3"/>
        <v>30.896769806522773</v>
      </c>
      <c r="N7" s="242">
        <f t="shared" si="3"/>
        <v>34.786163969663804</v>
      </c>
      <c r="O7" s="242">
        <f t="shared" si="3"/>
        <v>29.901347665744876</v>
      </c>
      <c r="P7" s="242">
        <f t="shared" si="3"/>
        <v>27.95071675524412</v>
      </c>
      <c r="Q7" s="242">
        <f t="shared" si="3"/>
        <v>25.057239906050569</v>
      </c>
      <c r="R7" s="242">
        <f t="shared" si="3"/>
        <v>23.484640989286344</v>
      </c>
      <c r="S7" s="242">
        <f t="shared" si="3"/>
        <v>24.171625291804489</v>
      </c>
      <c r="T7" s="242">
        <f t="shared" si="3"/>
        <v>24.875051217560774</v>
      </c>
      <c r="U7" s="242">
        <f t="shared" si="3"/>
        <v>25.595303742187063</v>
      </c>
      <c r="V7" s="56"/>
      <c r="W7" s="56"/>
      <c r="X7" s="56"/>
    </row>
    <row r="8" spans="1:24" ht="12.75" customHeight="1">
      <c r="A8" s="55"/>
      <c r="B8" s="55"/>
      <c r="C8" s="388" t="s">
        <v>62</v>
      </c>
      <c r="D8" s="242">
        <v>0</v>
      </c>
      <c r="E8" s="242">
        <v>0</v>
      </c>
      <c r="F8" s="242">
        <v>0</v>
      </c>
      <c r="G8" s="242">
        <v>0</v>
      </c>
      <c r="H8" s="242">
        <v>0</v>
      </c>
      <c r="I8" s="242">
        <f t="shared" ref="I8:U8" si="4">I60</f>
        <v>0</v>
      </c>
      <c r="J8" s="242">
        <f t="shared" si="4"/>
        <v>2.9257738723105553</v>
      </c>
      <c r="K8" s="242">
        <f t="shared" si="4"/>
        <v>10.711412998463157</v>
      </c>
      <c r="L8" s="242">
        <f t="shared" si="4"/>
        <v>32.865972311058705</v>
      </c>
      <c r="M8" s="242">
        <f t="shared" si="4"/>
        <v>46.345154709784154</v>
      </c>
      <c r="N8" s="242">
        <f t="shared" si="4"/>
        <v>52.179245954495705</v>
      </c>
      <c r="O8" s="242">
        <f t="shared" si="4"/>
        <v>44.852021498617312</v>
      </c>
      <c r="P8" s="242">
        <f t="shared" si="4"/>
        <v>41.926075132866181</v>
      </c>
      <c r="Q8" s="242">
        <f t="shared" si="4"/>
        <v>37.585859859075853</v>
      </c>
      <c r="R8" s="242">
        <f t="shared" si="4"/>
        <v>35.226961483929514</v>
      </c>
      <c r="S8" s="242">
        <f t="shared" si="4"/>
        <v>36.257437937706733</v>
      </c>
      <c r="T8" s="242">
        <f t="shared" si="4"/>
        <v>37.312576826341157</v>
      </c>
      <c r="U8" s="242">
        <f t="shared" si="4"/>
        <v>38.392955613280591</v>
      </c>
      <c r="V8" s="56"/>
      <c r="W8" s="56"/>
      <c r="X8" s="56"/>
    </row>
    <row r="9" spans="1:24" ht="12.75" customHeight="1">
      <c r="A9" s="56"/>
      <c r="B9" s="56"/>
      <c r="C9" s="372" t="s">
        <v>264</v>
      </c>
      <c r="D9" s="243">
        <f t="shared" ref="D9:U9" si="5">SUM(D4:D8)</f>
        <v>0.71442399999999995</v>
      </c>
      <c r="E9" s="243">
        <f t="shared" si="5"/>
        <v>3.1423559999999999</v>
      </c>
      <c r="F9" s="243">
        <f t="shared" si="5"/>
        <v>63.161489000000003</v>
      </c>
      <c r="G9" s="243">
        <f t="shared" si="5"/>
        <v>245.180308</v>
      </c>
      <c r="H9" s="243">
        <f t="shared" si="5"/>
        <v>332.43800000000005</v>
      </c>
      <c r="I9" s="243">
        <f t="shared" si="5"/>
        <v>554.75031517249158</v>
      </c>
      <c r="J9" s="243">
        <f t="shared" si="5"/>
        <v>416.9389690317397</v>
      </c>
      <c r="K9" s="243">
        <f t="shared" si="5"/>
        <v>447.84644228936963</v>
      </c>
      <c r="L9" s="243">
        <f t="shared" si="5"/>
        <v>931.97112907990595</v>
      </c>
      <c r="M9" s="243">
        <f t="shared" si="5"/>
        <v>1704.3609433394658</v>
      </c>
      <c r="N9" s="243">
        <f t="shared" si="5"/>
        <v>2575.8676000846126</v>
      </c>
      <c r="O9" s="243">
        <f t="shared" si="5"/>
        <v>3305.8905592408751</v>
      </c>
      <c r="P9" s="243">
        <f t="shared" si="5"/>
        <v>3996.8393502113131</v>
      </c>
      <c r="Q9" s="243">
        <f t="shared" si="5"/>
        <v>4614.7158366536205</v>
      </c>
      <c r="R9" s="243">
        <f t="shared" si="5"/>
        <v>5200.4726597997324</v>
      </c>
      <c r="S9" s="243">
        <f t="shared" si="5"/>
        <v>5822.363471314583</v>
      </c>
      <c r="T9" s="243">
        <f t="shared" si="5"/>
        <v>6475.5324764624183</v>
      </c>
      <c r="U9" s="243">
        <f t="shared" si="5"/>
        <v>7161.7775006571273</v>
      </c>
      <c r="V9" s="56"/>
      <c r="W9" s="56"/>
      <c r="X9" s="56"/>
    </row>
    <row r="10" spans="1:24" ht="12.75" customHeight="1">
      <c r="A10" s="56"/>
      <c r="B10" s="56"/>
      <c r="C10" s="372"/>
      <c r="D10" s="243"/>
      <c r="E10" s="243"/>
      <c r="F10" s="243"/>
      <c r="G10" s="243"/>
      <c r="H10" s="243"/>
      <c r="I10" s="243"/>
      <c r="J10" s="243"/>
      <c r="K10" s="243"/>
      <c r="L10" s="243"/>
      <c r="M10" s="243"/>
      <c r="N10" s="243"/>
      <c r="O10" s="243"/>
      <c r="P10" s="243"/>
      <c r="Q10" s="243"/>
      <c r="R10" s="243"/>
      <c r="S10" s="243"/>
      <c r="T10" s="243"/>
      <c r="U10" s="243"/>
      <c r="V10" s="56"/>
      <c r="W10" s="56"/>
      <c r="X10" s="56"/>
    </row>
    <row r="11" spans="1:24" hidden="1">
      <c r="A11" s="55"/>
      <c r="B11" s="55"/>
      <c r="C11" s="388" t="s">
        <v>265</v>
      </c>
      <c r="D11" s="242">
        <v>0</v>
      </c>
      <c r="E11" s="242">
        <v>0</v>
      </c>
      <c r="F11" s="242">
        <v>0</v>
      </c>
      <c r="G11" s="242">
        <v>0</v>
      </c>
      <c r="H11" s="242">
        <f t="shared" ref="H11:T11" si="6">G11</f>
        <v>0</v>
      </c>
      <c r="I11" s="242">
        <f t="shared" si="6"/>
        <v>0</v>
      </c>
      <c r="J11" s="242">
        <f t="shared" si="6"/>
        <v>0</v>
      </c>
      <c r="K11" s="242">
        <f t="shared" si="6"/>
        <v>0</v>
      </c>
      <c r="L11" s="242">
        <f t="shared" si="6"/>
        <v>0</v>
      </c>
      <c r="M11" s="242">
        <f t="shared" si="6"/>
        <v>0</v>
      </c>
      <c r="N11" s="242">
        <f t="shared" si="6"/>
        <v>0</v>
      </c>
      <c r="O11" s="242">
        <f t="shared" si="6"/>
        <v>0</v>
      </c>
      <c r="P11" s="242">
        <f t="shared" si="6"/>
        <v>0</v>
      </c>
      <c r="Q11" s="242">
        <f t="shared" si="6"/>
        <v>0</v>
      </c>
      <c r="R11" s="242">
        <f t="shared" si="6"/>
        <v>0</v>
      </c>
      <c r="S11" s="242">
        <f t="shared" si="6"/>
        <v>0</v>
      </c>
      <c r="T11" s="242">
        <f t="shared" si="6"/>
        <v>0</v>
      </c>
      <c r="U11" s="242">
        <f t="shared" ref="U11" si="7">T11</f>
        <v>0</v>
      </c>
      <c r="V11" s="56"/>
      <c r="W11" s="56"/>
      <c r="X11" s="56"/>
    </row>
    <row r="12" spans="1:24" ht="12.75" customHeight="1">
      <c r="A12" s="55"/>
      <c r="B12" s="55"/>
      <c r="C12" s="388" t="s">
        <v>23</v>
      </c>
      <c r="D12" s="242">
        <v>2.1159999999999998E-3</v>
      </c>
      <c r="E12" s="242">
        <v>2.8049999999999999E-2</v>
      </c>
      <c r="F12" s="242">
        <v>0.23558999999999999</v>
      </c>
      <c r="G12" s="242">
        <v>24.200582000000001</v>
      </c>
      <c r="H12" s="242">
        <v>56.173999999999999</v>
      </c>
      <c r="I12" s="242">
        <f>H12-CF!H23-CF!H7</f>
        <v>71.349459768200006</v>
      </c>
      <c r="J12" s="242">
        <f>I12-CF!I23-CF!I7</f>
        <v>88.307532657563996</v>
      </c>
      <c r="K12" s="242">
        <f>J12-CF!J23-CF!J7</f>
        <v>103.32562497816679</v>
      </c>
      <c r="L12" s="242">
        <f>K12-CF!K23-CF!K7</f>
        <v>111.98991434581046</v>
      </c>
      <c r="M12" s="242">
        <f>L12-CF!L23-CF!L7</f>
        <v>117.43094599771921</v>
      </c>
      <c r="N12" s="242">
        <f>M12-CF!M23-CF!M7</f>
        <v>123.2503289077823</v>
      </c>
      <c r="O12" s="242">
        <f>N12-CF!N23-CF!N7</f>
        <v>125.41559533143975</v>
      </c>
      <c r="P12" s="242">
        <f>O12-CF!O23-CF!O7</f>
        <v>126.30322527033655</v>
      </c>
      <c r="Q12" s="242">
        <f>P12-CF!P23-CF!P7</f>
        <v>126.60365807085398</v>
      </c>
      <c r="R12" s="242">
        <f>Q12-CF!Q23-CF!Q7</f>
        <v>125.53545506800754</v>
      </c>
      <c r="S12" s="242">
        <f>R12-CF!R23-CF!R7</f>
        <v>122.77146532485345</v>
      </c>
      <c r="T12" s="242">
        <f>S12-CF!S23-CF!S7</f>
        <v>121.80330052459564</v>
      </c>
      <c r="U12" s="242">
        <f>T12-CF!T23-CF!T7</f>
        <v>122.40874574042948</v>
      </c>
      <c r="V12" s="56"/>
      <c r="W12" s="56"/>
      <c r="X12" s="56"/>
    </row>
    <row r="13" spans="1:24" ht="12.75" customHeight="1">
      <c r="A13" s="55"/>
      <c r="B13" s="55"/>
      <c r="C13" s="389" t="s">
        <v>235</v>
      </c>
      <c r="D13" s="242">
        <v>0</v>
      </c>
      <c r="E13" s="242">
        <v>4.4330000000000003E-3</v>
      </c>
      <c r="F13" s="242">
        <v>1.6872119999999999</v>
      </c>
      <c r="G13" s="242">
        <f>1.194541</f>
        <v>1.1945410000000001</v>
      </c>
      <c r="H13" s="242">
        <v>2.9660000000000002</v>
      </c>
      <c r="I13" s="242">
        <f t="shared" ref="I13:U13" si="8">I62</f>
        <v>1.2</v>
      </c>
      <c r="J13" s="242">
        <f t="shared" si="8"/>
        <v>1.4628869361552777</v>
      </c>
      <c r="K13" s="242">
        <f t="shared" si="8"/>
        <v>5.3557064992315784</v>
      </c>
      <c r="L13" s="242">
        <f t="shared" si="8"/>
        <v>16.432986155529353</v>
      </c>
      <c r="M13" s="242">
        <f t="shared" si="8"/>
        <v>30.896769806522773</v>
      </c>
      <c r="N13" s="242">
        <f t="shared" si="8"/>
        <v>34.786163969663804</v>
      </c>
      <c r="O13" s="242">
        <f t="shared" si="8"/>
        <v>29.901347665744876</v>
      </c>
      <c r="P13" s="242">
        <f t="shared" si="8"/>
        <v>27.95071675524412</v>
      </c>
      <c r="Q13" s="242">
        <f t="shared" si="8"/>
        <v>25.057239906050569</v>
      </c>
      <c r="R13" s="242">
        <f t="shared" si="8"/>
        <v>23.484640989286344</v>
      </c>
      <c r="S13" s="242">
        <f t="shared" si="8"/>
        <v>24.171625291804489</v>
      </c>
      <c r="T13" s="242">
        <f t="shared" si="8"/>
        <v>24.875051217560774</v>
      </c>
      <c r="U13" s="242">
        <f t="shared" si="8"/>
        <v>25.595303742187063</v>
      </c>
      <c r="V13" s="56"/>
      <c r="W13" s="56"/>
      <c r="X13" s="56"/>
    </row>
    <row r="14" spans="1:24" ht="12.75" customHeight="1" thickBot="1">
      <c r="A14" s="56"/>
      <c r="B14" s="56"/>
      <c r="C14" s="390" t="s">
        <v>266</v>
      </c>
      <c r="D14" s="244">
        <f t="shared" ref="D14" si="9">SUM(D9:D13)</f>
        <v>0.71653999999999995</v>
      </c>
      <c r="E14" s="244">
        <f t="shared" ref="E14:M14" si="10">SUM(E9:E13)</f>
        <v>3.174839</v>
      </c>
      <c r="F14" s="244">
        <f t="shared" si="10"/>
        <v>65.084291000000007</v>
      </c>
      <c r="G14" s="244">
        <f>SUM(G9:G13)</f>
        <v>270.57543100000004</v>
      </c>
      <c r="H14" s="244">
        <f t="shared" si="10"/>
        <v>391.57800000000003</v>
      </c>
      <c r="I14" s="244">
        <f t="shared" si="10"/>
        <v>627.29977494069158</v>
      </c>
      <c r="J14" s="244">
        <f t="shared" si="10"/>
        <v>506.70938862545898</v>
      </c>
      <c r="K14" s="244">
        <f t="shared" si="10"/>
        <v>556.52777376676806</v>
      </c>
      <c r="L14" s="244">
        <f t="shared" si="10"/>
        <v>1060.3940295812458</v>
      </c>
      <c r="M14" s="244">
        <f t="shared" si="10"/>
        <v>1852.6886591437078</v>
      </c>
      <c r="N14" s="244">
        <f t="shared" ref="N14:T14" si="11">SUM(N9:N13)</f>
        <v>2733.9040929620587</v>
      </c>
      <c r="O14" s="244">
        <f t="shared" si="11"/>
        <v>3461.2075022380595</v>
      </c>
      <c r="P14" s="244">
        <f t="shared" si="11"/>
        <v>4151.0932922368938</v>
      </c>
      <c r="Q14" s="244">
        <f t="shared" si="11"/>
        <v>4766.3767346305249</v>
      </c>
      <c r="R14" s="244">
        <f t="shared" si="11"/>
        <v>5349.4927558570262</v>
      </c>
      <c r="S14" s="244">
        <f t="shared" si="11"/>
        <v>5969.3065619312401</v>
      </c>
      <c r="T14" s="244">
        <f t="shared" si="11"/>
        <v>6622.2108282045747</v>
      </c>
      <c r="U14" s="244">
        <f t="shared" ref="U14" si="12">SUM(U9:U13)</f>
        <v>7309.7815501397436</v>
      </c>
      <c r="V14" s="56"/>
      <c r="W14" s="56"/>
      <c r="X14" s="56"/>
    </row>
    <row r="15" spans="1:24" ht="9" customHeight="1" thickTop="1">
      <c r="A15" s="56"/>
      <c r="B15" s="56"/>
      <c r="C15" s="391"/>
      <c r="D15" s="243"/>
      <c r="E15" s="243"/>
      <c r="F15" s="243"/>
      <c r="G15" s="243"/>
      <c r="H15" s="243"/>
      <c r="I15" s="243"/>
      <c r="J15" s="243"/>
      <c r="K15" s="243"/>
      <c r="L15" s="243"/>
      <c r="M15" s="243"/>
      <c r="N15" s="243"/>
      <c r="O15" s="243"/>
      <c r="P15" s="243"/>
      <c r="Q15" s="243"/>
      <c r="R15" s="243"/>
      <c r="S15" s="243"/>
      <c r="T15" s="243"/>
      <c r="U15" s="243"/>
      <c r="V15" s="56"/>
      <c r="W15" s="56"/>
      <c r="X15" s="56"/>
    </row>
    <row r="16" spans="1:24" ht="12.75" customHeight="1">
      <c r="A16" s="56"/>
      <c r="B16" s="56"/>
      <c r="C16" s="391" t="s">
        <v>24</v>
      </c>
      <c r="D16" s="243"/>
      <c r="E16" s="243"/>
      <c r="F16" s="243"/>
      <c r="G16" s="243"/>
      <c r="H16" s="243"/>
      <c r="I16" s="243"/>
      <c r="J16" s="243"/>
      <c r="K16" s="243"/>
      <c r="L16" s="243"/>
      <c r="M16" s="243"/>
      <c r="N16" s="243"/>
      <c r="O16" s="243"/>
      <c r="P16" s="243"/>
      <c r="Q16" s="243"/>
      <c r="R16" s="243"/>
      <c r="S16" s="243"/>
      <c r="T16" s="243"/>
      <c r="U16" s="243"/>
      <c r="V16" s="56"/>
      <c r="W16" s="56"/>
      <c r="X16" s="56"/>
    </row>
    <row r="17" spans="1:24" ht="12.75" customHeight="1">
      <c r="A17" s="59"/>
      <c r="B17" s="59"/>
      <c r="C17" s="388" t="s">
        <v>25</v>
      </c>
      <c r="D17" s="242">
        <v>0.27843800000000002</v>
      </c>
      <c r="E17" s="242">
        <v>8.3556000000000005E-2</v>
      </c>
      <c r="F17" s="242">
        <v>0.35978700000000002</v>
      </c>
      <c r="G17" s="242">
        <v>3.1972740000000002</v>
      </c>
      <c r="H17" s="242">
        <v>10.587</v>
      </c>
      <c r="I17" s="242">
        <f t="shared" ref="I17:U17" si="13">I64</f>
        <v>10.315582037911506</v>
      </c>
      <c r="J17" s="242">
        <f t="shared" si="13"/>
        <v>10.521893678669738</v>
      </c>
      <c r="K17" s="242">
        <f t="shared" si="13"/>
        <v>10.642274689399031</v>
      </c>
      <c r="L17" s="242">
        <f t="shared" si="13"/>
        <v>10.673053699502503</v>
      </c>
      <c r="M17" s="242">
        <f t="shared" si="13"/>
        <v>10.688597099604756</v>
      </c>
      <c r="N17" s="242">
        <f t="shared" si="13"/>
        <v>10.688597099604756</v>
      </c>
      <c r="O17" s="242">
        <f t="shared" si="13"/>
        <v>10.635154114106733</v>
      </c>
      <c r="P17" s="242">
        <f t="shared" si="13"/>
        <v>10.528802572965665</v>
      </c>
      <c r="Q17" s="242">
        <f t="shared" si="13"/>
        <v>10.408126965833929</v>
      </c>
      <c r="R17" s="242">
        <f t="shared" si="13"/>
        <v>10.273732160813497</v>
      </c>
      <c r="S17" s="242">
        <f t="shared" si="13"/>
        <v>10.126433942223082</v>
      </c>
      <c r="T17" s="242">
        <f t="shared" si="13"/>
        <v>9.9672404367238876</v>
      </c>
      <c r="U17" s="242">
        <f t="shared" si="13"/>
        <v>9.7973289184883328</v>
      </c>
      <c r="V17" s="60"/>
      <c r="W17" s="60"/>
      <c r="X17" s="60"/>
    </row>
    <row r="18" spans="1:24" ht="12.75" customHeight="1">
      <c r="A18" s="59"/>
      <c r="B18" s="59"/>
      <c r="C18" s="388" t="s">
        <v>236</v>
      </c>
      <c r="D18" s="242">
        <v>0.82525999999999999</v>
      </c>
      <c r="E18" s="242">
        <f>0.883363+4.0805</f>
        <v>4.9638629999999999</v>
      </c>
      <c r="F18" s="242">
        <f>2.437017+4.0805</f>
        <v>6.5175169999999998</v>
      </c>
      <c r="G18" s="242">
        <f>16.794003+4.4525</f>
        <v>21.246503000000001</v>
      </c>
      <c r="H18" s="242">
        <f>44.938+2.788</f>
        <v>47.725999999999999</v>
      </c>
      <c r="I18" s="242">
        <f t="shared" ref="I18:U18" si="14">I68</f>
        <v>45.090834064499994</v>
      </c>
      <c r="J18" s="242">
        <f t="shared" si="14"/>
        <v>45.992650745789994</v>
      </c>
      <c r="K18" s="242">
        <f t="shared" si="14"/>
        <v>46.518852772913846</v>
      </c>
      <c r="L18" s="242">
        <f t="shared" si="14"/>
        <v>46.653392077835726</v>
      </c>
      <c r="M18" s="242">
        <f t="shared" si="14"/>
        <v>46.721334426821272</v>
      </c>
      <c r="N18" s="242">
        <f t="shared" si="14"/>
        <v>46.721334426821272</v>
      </c>
      <c r="O18" s="242">
        <f t="shared" si="14"/>
        <v>46.487727754687164</v>
      </c>
      <c r="P18" s="242">
        <f t="shared" si="14"/>
        <v>46.022850477140288</v>
      </c>
      <c r="Q18" s="242">
        <f t="shared" si="14"/>
        <v>45.495360728446336</v>
      </c>
      <c r="R18" s="242">
        <f t="shared" si="14"/>
        <v>44.907902470634433</v>
      </c>
      <c r="S18" s="242">
        <f t="shared" si="14"/>
        <v>44.264041609652757</v>
      </c>
      <c r="T18" s="242">
        <f t="shared" si="14"/>
        <v>43.5681848063983</v>
      </c>
      <c r="U18" s="242">
        <f t="shared" si="14"/>
        <v>42.825478088905335</v>
      </c>
      <c r="V18" s="60"/>
      <c r="W18" s="60"/>
      <c r="X18" s="60"/>
    </row>
    <row r="19" spans="1:24" ht="12.75" customHeight="1">
      <c r="A19" s="59"/>
      <c r="B19" s="59"/>
      <c r="C19" s="388" t="s">
        <v>55</v>
      </c>
      <c r="D19" s="242">
        <v>0</v>
      </c>
      <c r="E19" s="242">
        <v>0</v>
      </c>
      <c r="F19" s="242">
        <v>0</v>
      </c>
      <c r="G19" s="242">
        <v>0</v>
      </c>
      <c r="H19" s="242">
        <v>0</v>
      </c>
      <c r="I19" s="242">
        <v>0</v>
      </c>
      <c r="J19" s="242">
        <f>I19</f>
        <v>0</v>
      </c>
      <c r="K19" s="242">
        <v>10</v>
      </c>
      <c r="L19" s="242">
        <f t="shared" ref="L19:U19" si="15">(K19/(K19+K24))*L66</f>
        <v>12.273253702671804</v>
      </c>
      <c r="M19" s="242">
        <f t="shared" si="15"/>
        <v>15.383850134907259</v>
      </c>
      <c r="N19" s="242">
        <f t="shared" si="15"/>
        <v>19.48547627170467</v>
      </c>
      <c r="O19" s="242">
        <f t="shared" si="15"/>
        <v>16.749245502923863</v>
      </c>
      <c r="P19" s="242">
        <f t="shared" si="15"/>
        <v>15.656599232568706</v>
      </c>
      <c r="Q19" s="242">
        <f t="shared" si="15"/>
        <v>14.035817632825308</v>
      </c>
      <c r="R19" s="242">
        <f t="shared" si="15"/>
        <v>13.154926054661052</v>
      </c>
      <c r="S19" s="242">
        <f t="shared" si="15"/>
        <v>13.539740440559557</v>
      </c>
      <c r="T19" s="242">
        <f t="shared" si="15"/>
        <v>13.93376460479851</v>
      </c>
      <c r="U19" s="242">
        <f t="shared" si="15"/>
        <v>14.337214191550302</v>
      </c>
      <c r="V19" s="60"/>
      <c r="W19" s="60"/>
      <c r="X19" s="60"/>
    </row>
    <row r="20" spans="1:24" ht="12.75" customHeight="1">
      <c r="A20" s="59"/>
      <c r="B20" s="59"/>
      <c r="C20" s="388" t="s">
        <v>317</v>
      </c>
      <c r="D20" s="242">
        <v>0.35</v>
      </c>
      <c r="E20" s="242">
        <v>0</v>
      </c>
      <c r="F20" s="242">
        <v>0</v>
      </c>
      <c r="G20" s="242">
        <v>0</v>
      </c>
      <c r="H20" s="242">
        <v>0</v>
      </c>
      <c r="I20" s="242">
        <f t="shared" ref="I20:U20" si="16">H20</f>
        <v>0</v>
      </c>
      <c r="J20" s="242">
        <f t="shared" si="16"/>
        <v>0</v>
      </c>
      <c r="K20" s="242">
        <f t="shared" si="16"/>
        <v>0</v>
      </c>
      <c r="L20" s="242">
        <f t="shared" si="16"/>
        <v>0</v>
      </c>
      <c r="M20" s="242">
        <f t="shared" si="16"/>
        <v>0</v>
      </c>
      <c r="N20" s="242">
        <f t="shared" si="16"/>
        <v>0</v>
      </c>
      <c r="O20" s="242">
        <f t="shared" si="16"/>
        <v>0</v>
      </c>
      <c r="P20" s="242">
        <f t="shared" si="16"/>
        <v>0</v>
      </c>
      <c r="Q20" s="242">
        <f t="shared" si="16"/>
        <v>0</v>
      </c>
      <c r="R20" s="242">
        <f t="shared" si="16"/>
        <v>0</v>
      </c>
      <c r="S20" s="242">
        <f t="shared" si="16"/>
        <v>0</v>
      </c>
      <c r="T20" s="242">
        <f t="shared" si="16"/>
        <v>0</v>
      </c>
      <c r="U20" s="242">
        <f t="shared" si="16"/>
        <v>0</v>
      </c>
      <c r="V20" s="60"/>
      <c r="W20" s="60"/>
      <c r="X20" s="60"/>
    </row>
    <row r="21" spans="1:24" ht="12.75" customHeight="1">
      <c r="A21" s="59"/>
      <c r="B21" s="59"/>
      <c r="C21" s="389" t="s">
        <v>237</v>
      </c>
      <c r="D21" s="245">
        <v>0.56049400000000005</v>
      </c>
      <c r="E21" s="245">
        <v>0</v>
      </c>
      <c r="F21" s="245">
        <v>0</v>
      </c>
      <c r="G21" s="245">
        <v>0</v>
      </c>
      <c r="H21" s="245">
        <v>0</v>
      </c>
      <c r="I21" s="245">
        <f t="shared" ref="I21:U21" si="17">I70</f>
        <v>0</v>
      </c>
      <c r="J21" s="245">
        <f t="shared" si="17"/>
        <v>0</v>
      </c>
      <c r="K21" s="245">
        <f t="shared" si="17"/>
        <v>0</v>
      </c>
      <c r="L21" s="245">
        <f t="shared" si="17"/>
        <v>0</v>
      </c>
      <c r="M21" s="245">
        <f t="shared" si="17"/>
        <v>0</v>
      </c>
      <c r="N21" s="245">
        <f t="shared" si="17"/>
        <v>0</v>
      </c>
      <c r="O21" s="245">
        <f t="shared" si="17"/>
        <v>0</v>
      </c>
      <c r="P21" s="245">
        <f t="shared" si="17"/>
        <v>0</v>
      </c>
      <c r="Q21" s="245">
        <f t="shared" si="17"/>
        <v>0</v>
      </c>
      <c r="R21" s="245">
        <f t="shared" si="17"/>
        <v>0</v>
      </c>
      <c r="S21" s="245">
        <f t="shared" si="17"/>
        <v>0</v>
      </c>
      <c r="T21" s="245">
        <f t="shared" si="17"/>
        <v>0</v>
      </c>
      <c r="U21" s="245">
        <f t="shared" si="17"/>
        <v>0</v>
      </c>
      <c r="V21" s="60"/>
      <c r="W21" s="60"/>
      <c r="X21" s="60"/>
    </row>
    <row r="22" spans="1:24" ht="12.75" customHeight="1">
      <c r="A22" s="56"/>
      <c r="B22" s="56"/>
      <c r="C22" s="391" t="s">
        <v>267</v>
      </c>
      <c r="D22" s="243">
        <f t="shared" ref="D22:U22" si="18">SUM(D17:D21)</f>
        <v>2.0141920000000004</v>
      </c>
      <c r="E22" s="243">
        <f t="shared" si="18"/>
        <v>5.0474189999999997</v>
      </c>
      <c r="F22" s="243">
        <f t="shared" si="18"/>
        <v>6.8773039999999996</v>
      </c>
      <c r="G22" s="243">
        <f t="shared" si="18"/>
        <v>24.443777000000001</v>
      </c>
      <c r="H22" s="243">
        <f t="shared" si="18"/>
        <v>58.313000000000002</v>
      </c>
      <c r="I22" s="243">
        <f t="shared" si="18"/>
        <v>55.406416102411498</v>
      </c>
      <c r="J22" s="243">
        <f t="shared" si="18"/>
        <v>56.514544424459729</v>
      </c>
      <c r="K22" s="243">
        <f t="shared" si="18"/>
        <v>67.161127462312876</v>
      </c>
      <c r="L22" s="243">
        <f t="shared" si="18"/>
        <v>69.599699480010031</v>
      </c>
      <c r="M22" s="243">
        <f t="shared" si="18"/>
        <v>72.793781661333284</v>
      </c>
      <c r="N22" s="243">
        <f t="shared" si="18"/>
        <v>76.895407798130691</v>
      </c>
      <c r="O22" s="243">
        <f t="shared" si="18"/>
        <v>73.872127371717767</v>
      </c>
      <c r="P22" s="243">
        <f t="shared" si="18"/>
        <v>72.208252282674664</v>
      </c>
      <c r="Q22" s="243">
        <f t="shared" si="18"/>
        <v>69.939305327105572</v>
      </c>
      <c r="R22" s="243">
        <f t="shared" si="18"/>
        <v>68.336560686108982</v>
      </c>
      <c r="S22" s="243">
        <f t="shared" si="18"/>
        <v>67.930215992435393</v>
      </c>
      <c r="T22" s="243">
        <f t="shared" si="18"/>
        <v>67.469189847920703</v>
      </c>
      <c r="U22" s="243">
        <f t="shared" si="18"/>
        <v>66.960021198943963</v>
      </c>
      <c r="V22" s="56"/>
      <c r="W22" s="56"/>
      <c r="X22" s="56"/>
    </row>
    <row r="23" spans="1:24" ht="12.75" customHeight="1">
      <c r="A23" s="56"/>
      <c r="B23" s="56"/>
      <c r="C23" s="391"/>
      <c r="D23" s="243"/>
      <c r="E23" s="243"/>
      <c r="F23" s="243"/>
      <c r="G23" s="243"/>
      <c r="H23" s="243"/>
      <c r="I23" s="243"/>
      <c r="J23" s="243"/>
      <c r="K23" s="243"/>
      <c r="L23" s="243"/>
      <c r="M23" s="243"/>
      <c r="N23" s="243"/>
      <c r="O23" s="243"/>
      <c r="P23" s="243"/>
      <c r="Q23" s="243"/>
      <c r="R23" s="243"/>
      <c r="S23" s="243"/>
      <c r="T23" s="243"/>
      <c r="U23" s="243"/>
      <c r="V23" s="56"/>
      <c r="W23" s="56"/>
      <c r="X23" s="56"/>
    </row>
    <row r="24" spans="1:24" ht="12.75" customHeight="1">
      <c r="A24" s="56"/>
      <c r="B24" s="56"/>
      <c r="C24" s="388" t="s">
        <v>56</v>
      </c>
      <c r="D24" s="242">
        <v>0</v>
      </c>
      <c r="E24" s="242">
        <v>0</v>
      </c>
      <c r="F24" s="242">
        <v>0</v>
      </c>
      <c r="G24" s="242">
        <v>0</v>
      </c>
      <c r="H24" s="242">
        <v>0</v>
      </c>
      <c r="I24" s="242">
        <f t="shared" ref="I24:U24" si="19">I66-I19</f>
        <v>0</v>
      </c>
      <c r="J24" s="242">
        <f t="shared" si="19"/>
        <v>14.628869361552777</v>
      </c>
      <c r="K24" s="242">
        <f t="shared" si="19"/>
        <v>30.167798744236833</v>
      </c>
      <c r="L24" s="242">
        <f t="shared" si="19"/>
        <v>37.025704763916252</v>
      </c>
      <c r="M24" s="242">
        <f t="shared" si="19"/>
        <v>46.40968947813829</v>
      </c>
      <c r="N24" s="242">
        <f t="shared" si="19"/>
        <v>58.783392660038885</v>
      </c>
      <c r="O24" s="242">
        <f t="shared" si="19"/>
        <v>50.528786745002101</v>
      </c>
      <c r="P24" s="242">
        <f t="shared" si="19"/>
        <v>47.232513466730566</v>
      </c>
      <c r="Q24" s="242">
        <f t="shared" si="19"/>
        <v>42.342972155788466</v>
      </c>
      <c r="R24" s="242">
        <f t="shared" si="19"/>
        <v>39.685516171233218</v>
      </c>
      <c r="S24" s="242">
        <f t="shared" si="19"/>
        <v>40.846416466000541</v>
      </c>
      <c r="T24" s="242">
        <f t="shared" si="19"/>
        <v>42.035100634713224</v>
      </c>
      <c r="U24" s="242">
        <f t="shared" si="19"/>
        <v>43.252219228370585</v>
      </c>
      <c r="V24" s="56"/>
      <c r="W24" s="56"/>
      <c r="X24" s="56"/>
    </row>
    <row r="25" spans="1:24" ht="12.75" customHeight="1">
      <c r="A25" s="56"/>
      <c r="B25" s="56"/>
      <c r="C25" s="388" t="s">
        <v>26</v>
      </c>
      <c r="D25" s="246">
        <v>0</v>
      </c>
      <c r="E25" s="246">
        <v>0</v>
      </c>
      <c r="F25" s="246">
        <v>0</v>
      </c>
      <c r="G25" s="246">
        <v>0</v>
      </c>
      <c r="H25" s="246">
        <v>0.52500000000000002</v>
      </c>
      <c r="I25" s="246">
        <f t="shared" ref="I25:U25" si="20">H25</f>
        <v>0.52500000000000002</v>
      </c>
      <c r="J25" s="246">
        <f t="shared" si="20"/>
        <v>0.52500000000000002</v>
      </c>
      <c r="K25" s="246">
        <f t="shared" si="20"/>
        <v>0.52500000000000002</v>
      </c>
      <c r="L25" s="246">
        <f t="shared" si="20"/>
        <v>0.52500000000000002</v>
      </c>
      <c r="M25" s="246">
        <f t="shared" si="20"/>
        <v>0.52500000000000002</v>
      </c>
      <c r="N25" s="246">
        <f t="shared" si="20"/>
        <v>0.52500000000000002</v>
      </c>
      <c r="O25" s="246">
        <f t="shared" si="20"/>
        <v>0.52500000000000002</v>
      </c>
      <c r="P25" s="246">
        <f t="shared" si="20"/>
        <v>0.52500000000000002</v>
      </c>
      <c r="Q25" s="246">
        <f t="shared" si="20"/>
        <v>0.52500000000000002</v>
      </c>
      <c r="R25" s="246">
        <f t="shared" si="20"/>
        <v>0.52500000000000002</v>
      </c>
      <c r="S25" s="246">
        <f t="shared" si="20"/>
        <v>0.52500000000000002</v>
      </c>
      <c r="T25" s="246">
        <f t="shared" si="20"/>
        <v>0.52500000000000002</v>
      </c>
      <c r="U25" s="246">
        <f t="shared" si="20"/>
        <v>0.52500000000000002</v>
      </c>
      <c r="V25" s="56"/>
      <c r="W25" s="56"/>
      <c r="X25" s="56"/>
    </row>
    <row r="26" spans="1:24" ht="12.75" customHeight="1">
      <c r="A26" s="56"/>
      <c r="B26" s="56"/>
      <c r="C26" s="392" t="s">
        <v>268</v>
      </c>
      <c r="D26" s="247">
        <f t="shared" ref="D26" si="21">SUM(D22:D25)</f>
        <v>2.0141920000000004</v>
      </c>
      <c r="E26" s="247">
        <f t="shared" ref="E26:L26" si="22">SUM(E22:E25)</f>
        <v>5.0474189999999997</v>
      </c>
      <c r="F26" s="247">
        <f t="shared" si="22"/>
        <v>6.8773039999999996</v>
      </c>
      <c r="G26" s="247">
        <f t="shared" si="22"/>
        <v>24.443777000000001</v>
      </c>
      <c r="H26" s="247">
        <f t="shared" si="22"/>
        <v>58.838000000000001</v>
      </c>
      <c r="I26" s="247">
        <f t="shared" si="22"/>
        <v>55.931416102411497</v>
      </c>
      <c r="J26" s="247">
        <f t="shared" si="22"/>
        <v>71.668413786012508</v>
      </c>
      <c r="K26" s="247">
        <f t="shared" si="22"/>
        <v>97.853926206549716</v>
      </c>
      <c r="L26" s="247">
        <f t="shared" si="22"/>
        <v>107.15040424392629</v>
      </c>
      <c r="M26" s="247">
        <f t="shared" ref="M26:N26" si="23">SUM(M22:M25)</f>
        <v>119.72847113947158</v>
      </c>
      <c r="N26" s="247">
        <f t="shared" si="23"/>
        <v>136.20380045816958</v>
      </c>
      <c r="O26" s="247">
        <f t="shared" ref="O26:T26" si="24">SUM(O22:O25)</f>
        <v>124.92591411671987</v>
      </c>
      <c r="P26" s="247">
        <f t="shared" si="24"/>
        <v>119.96576574940524</v>
      </c>
      <c r="Q26" s="247">
        <f t="shared" si="24"/>
        <v>112.80727748289405</v>
      </c>
      <c r="R26" s="247">
        <f t="shared" si="24"/>
        <v>108.5470768573422</v>
      </c>
      <c r="S26" s="247">
        <f t="shared" si="24"/>
        <v>109.30163245843593</v>
      </c>
      <c r="T26" s="247">
        <f t="shared" si="24"/>
        <v>110.02929048263394</v>
      </c>
      <c r="U26" s="247">
        <f t="shared" ref="U26" si="25">SUM(U22:U25)</f>
        <v>110.73724042731456</v>
      </c>
      <c r="V26" s="56"/>
      <c r="W26" s="56"/>
      <c r="X26" s="56"/>
    </row>
    <row r="27" spans="1:24" ht="9" customHeight="1">
      <c r="A27" s="56"/>
      <c r="B27" s="56"/>
      <c r="C27" s="391"/>
      <c r="D27" s="243"/>
      <c r="E27" s="243"/>
      <c r="F27" s="243"/>
      <c r="G27" s="243"/>
      <c r="H27" s="243"/>
      <c r="I27" s="243"/>
      <c r="J27" s="243"/>
      <c r="K27" s="243"/>
      <c r="L27" s="243"/>
      <c r="M27" s="243"/>
      <c r="N27" s="243"/>
      <c r="O27" s="243"/>
      <c r="P27" s="243"/>
      <c r="Q27" s="243"/>
      <c r="R27" s="243"/>
      <c r="S27" s="243"/>
      <c r="T27" s="243"/>
      <c r="U27" s="243"/>
      <c r="V27" s="56"/>
      <c r="W27" s="56"/>
      <c r="X27" s="56"/>
    </row>
    <row r="28" spans="1:24" ht="12.75" customHeight="1">
      <c r="A28" s="55"/>
      <c r="B28" s="55"/>
      <c r="C28" s="393" t="s">
        <v>27</v>
      </c>
      <c r="D28" s="242"/>
      <c r="E28" s="242"/>
      <c r="F28" s="242"/>
      <c r="G28" s="242"/>
      <c r="H28" s="242"/>
      <c r="I28" s="242"/>
      <c r="J28" s="242"/>
      <c r="K28" s="242"/>
      <c r="L28" s="242"/>
      <c r="M28" s="242"/>
      <c r="N28" s="242"/>
      <c r="O28" s="242"/>
      <c r="P28" s="242"/>
      <c r="Q28" s="242"/>
      <c r="R28" s="242"/>
      <c r="S28" s="242"/>
      <c r="T28" s="242"/>
      <c r="U28" s="242"/>
      <c r="V28" s="56"/>
      <c r="W28" s="56"/>
      <c r="X28" s="56"/>
    </row>
    <row r="29" spans="1:24" ht="12.75" customHeight="1">
      <c r="A29" s="55"/>
      <c r="B29" s="55"/>
      <c r="C29" s="388" t="s">
        <v>238</v>
      </c>
      <c r="D29" s="242">
        <f>0.345447+0.000512</f>
        <v>0.34595900000000002</v>
      </c>
      <c r="E29" s="242">
        <f>0.559745+0.000647</f>
        <v>0.560392</v>
      </c>
      <c r="F29" s="242">
        <f>1.032909+0.000682</f>
        <v>1.0335910000000001</v>
      </c>
      <c r="G29" s="242">
        <v>2.7699999999999999E-3</v>
      </c>
      <c r="H29" s="242">
        <v>3.0000000000000001E-3</v>
      </c>
      <c r="I29" s="242">
        <f t="shared" ref="I29:U30" si="26">H29</f>
        <v>3.0000000000000001E-3</v>
      </c>
      <c r="J29" s="242">
        <f t="shared" si="26"/>
        <v>3.0000000000000001E-3</v>
      </c>
      <c r="K29" s="242">
        <f t="shared" si="26"/>
        <v>3.0000000000000001E-3</v>
      </c>
      <c r="L29" s="242">
        <f t="shared" si="26"/>
        <v>3.0000000000000001E-3</v>
      </c>
      <c r="M29" s="242">
        <f t="shared" si="26"/>
        <v>3.0000000000000001E-3</v>
      </c>
      <c r="N29" s="242">
        <f t="shared" si="26"/>
        <v>3.0000000000000001E-3</v>
      </c>
      <c r="O29" s="242">
        <f t="shared" si="26"/>
        <v>3.0000000000000001E-3</v>
      </c>
      <c r="P29" s="242">
        <f t="shared" si="26"/>
        <v>3.0000000000000001E-3</v>
      </c>
      <c r="Q29" s="242">
        <f t="shared" si="26"/>
        <v>3.0000000000000001E-3</v>
      </c>
      <c r="R29" s="242">
        <f t="shared" si="26"/>
        <v>3.0000000000000001E-3</v>
      </c>
      <c r="S29" s="242">
        <f t="shared" si="26"/>
        <v>3.0000000000000001E-3</v>
      </c>
      <c r="T29" s="242">
        <f t="shared" si="26"/>
        <v>3.0000000000000001E-3</v>
      </c>
      <c r="U29" s="242">
        <f t="shared" si="26"/>
        <v>3.0000000000000001E-3</v>
      </c>
      <c r="V29" s="56"/>
      <c r="W29" s="56"/>
      <c r="X29" s="56"/>
    </row>
    <row r="30" spans="1:24" ht="12.75" hidden="1" customHeight="1" outlineLevel="1">
      <c r="A30" s="189"/>
      <c r="B30" s="189"/>
      <c r="C30" s="388" t="s">
        <v>273</v>
      </c>
      <c r="D30" s="242">
        <v>0</v>
      </c>
      <c r="E30" s="242">
        <f>0.000126+0.000223</f>
        <v>3.4900000000000003E-4</v>
      </c>
      <c r="F30" s="242">
        <f>0.000309+0.000237+0.000324</f>
        <v>8.699999999999999E-4</v>
      </c>
      <c r="G30" s="242">
        <v>0</v>
      </c>
      <c r="H30" s="242">
        <v>0</v>
      </c>
      <c r="I30" s="242">
        <f t="shared" si="26"/>
        <v>0</v>
      </c>
      <c r="J30" s="242">
        <f t="shared" si="26"/>
        <v>0</v>
      </c>
      <c r="K30" s="242">
        <f t="shared" si="26"/>
        <v>0</v>
      </c>
      <c r="L30" s="242">
        <f t="shared" si="26"/>
        <v>0</v>
      </c>
      <c r="M30" s="242">
        <f t="shared" si="26"/>
        <v>0</v>
      </c>
      <c r="N30" s="242">
        <f t="shared" si="26"/>
        <v>0</v>
      </c>
      <c r="O30" s="242">
        <f t="shared" si="26"/>
        <v>0</v>
      </c>
      <c r="P30" s="242">
        <f t="shared" si="26"/>
        <v>0</v>
      </c>
      <c r="Q30" s="242">
        <f t="shared" si="26"/>
        <v>0</v>
      </c>
      <c r="R30" s="242">
        <f t="shared" si="26"/>
        <v>0</v>
      </c>
      <c r="S30" s="242">
        <f t="shared" si="26"/>
        <v>0</v>
      </c>
      <c r="T30" s="242">
        <f t="shared" si="26"/>
        <v>0</v>
      </c>
      <c r="U30" s="242">
        <f t="shared" si="26"/>
        <v>0</v>
      </c>
      <c r="V30" s="190"/>
      <c r="W30" s="190"/>
      <c r="X30" s="190"/>
    </row>
    <row r="31" spans="1:24" ht="12.75" customHeight="1" collapsed="1">
      <c r="A31" s="55"/>
      <c r="B31" s="55"/>
      <c r="C31" s="388" t="s">
        <v>269</v>
      </c>
      <c r="D31" s="242">
        <v>2.7272319999999999</v>
      </c>
      <c r="E31" s="242">
        <v>17.643298000000001</v>
      </c>
      <c r="F31" s="242">
        <v>115.723046</v>
      </c>
      <c r="G31" s="242">
        <v>387.69120800000002</v>
      </c>
      <c r="H31" s="242">
        <v>692.35</v>
      </c>
      <c r="I31" s="242">
        <f>H31+CF!H79</f>
        <v>1143.5996081123317</v>
      </c>
      <c r="J31" s="242">
        <f>I31+CF!I79</f>
        <v>1163.2686964785032</v>
      </c>
      <c r="K31" s="242">
        <f>J31+CF!J79</f>
        <v>1185.1053495066978</v>
      </c>
      <c r="L31" s="242">
        <f>K31+CF!K79</f>
        <v>1213.0185348497048</v>
      </c>
      <c r="M31" s="242">
        <f>L31+CF!L79</f>
        <v>1247.4483336727342</v>
      </c>
      <c r="N31" s="242">
        <f>M31+CF!M79</f>
        <v>1281.1760673453953</v>
      </c>
      <c r="O31" s="242">
        <f>N31+CF!N79</f>
        <v>1309.8284306523444</v>
      </c>
      <c r="P31" s="242">
        <f>O31+CF!O79</f>
        <v>1335.1972778123281</v>
      </c>
      <c r="Q31" s="242">
        <f>P31+CF!P79</f>
        <v>1357.30850385998</v>
      </c>
      <c r="R31" s="242">
        <f>Q31+CF!Q79</f>
        <v>1376.9881647975396</v>
      </c>
      <c r="S31" s="242">
        <f>R31+CF!R79</f>
        <v>1395.1132752662595</v>
      </c>
      <c r="T31" s="242">
        <f>S31+CF!S79</f>
        <v>1411.8640748892774</v>
      </c>
      <c r="U31" s="242">
        <f>T31+CF!T79</f>
        <v>1427.5198759505251</v>
      </c>
      <c r="V31" s="56"/>
      <c r="W31" s="56"/>
      <c r="X31" s="56"/>
    </row>
    <row r="32" spans="1:24" ht="12.75" customHeight="1">
      <c r="A32" s="55"/>
      <c r="B32" s="55"/>
      <c r="C32" s="388" t="s">
        <v>239</v>
      </c>
      <c r="D32" s="242">
        <v>-4.3708429999999998</v>
      </c>
      <c r="E32" s="242">
        <v>-20.076619000000001</v>
      </c>
      <c r="F32" s="242">
        <v>-58.550519999999999</v>
      </c>
      <c r="G32" s="242">
        <v>-141.56232399999999</v>
      </c>
      <c r="H32" s="242">
        <v>-359.613</v>
      </c>
      <c r="I32" s="242">
        <f t="shared" ref="I32:U32" si="27">H32+I45</f>
        <v>-572.23424927405154</v>
      </c>
      <c r="J32" s="242">
        <f t="shared" si="27"/>
        <v>-728.23072163905658</v>
      </c>
      <c r="K32" s="242">
        <f t="shared" si="27"/>
        <v>-726.43450194647937</v>
      </c>
      <c r="L32" s="242">
        <f t="shared" si="27"/>
        <v>-259.77790951238518</v>
      </c>
      <c r="M32" s="242">
        <f t="shared" si="27"/>
        <v>485.50885433150228</v>
      </c>
      <c r="N32" s="242">
        <f t="shared" si="27"/>
        <v>1316.5212251584937</v>
      </c>
      <c r="O32" s="242">
        <f t="shared" si="27"/>
        <v>2026.4501574689959</v>
      </c>
      <c r="P32" s="242">
        <f t="shared" si="27"/>
        <v>2695.9272486751606</v>
      </c>
      <c r="Q32" s="242">
        <f t="shared" si="27"/>
        <v>3296.2579532876516</v>
      </c>
      <c r="R32" s="242">
        <f t="shared" si="27"/>
        <v>3863.9545142021448</v>
      </c>
      <c r="S32" s="242">
        <f t="shared" si="27"/>
        <v>4464.8886542065466</v>
      </c>
      <c r="T32" s="242">
        <f t="shared" si="27"/>
        <v>5100.3144628326645</v>
      </c>
      <c r="U32" s="242">
        <f t="shared" si="27"/>
        <v>5771.5214337619063</v>
      </c>
      <c r="V32" s="56"/>
      <c r="W32" s="56"/>
      <c r="X32" s="56"/>
    </row>
    <row r="33" spans="1:24" ht="12.75" customHeight="1">
      <c r="A33" s="60"/>
      <c r="B33" s="60"/>
      <c r="C33" s="394" t="s">
        <v>270</v>
      </c>
      <c r="D33" s="247">
        <f t="shared" ref="D33" si="28">SUM(D29:D32)</f>
        <v>-1.2976519999999998</v>
      </c>
      <c r="E33" s="247">
        <f t="shared" ref="E33:M33" si="29">SUM(E29:E32)</f>
        <v>-1.8725799999999992</v>
      </c>
      <c r="F33" s="247">
        <f t="shared" si="29"/>
        <v>58.206986999999991</v>
      </c>
      <c r="G33" s="247">
        <f t="shared" si="29"/>
        <v>246.13165400000003</v>
      </c>
      <c r="H33" s="247">
        <f t="shared" si="29"/>
        <v>332.74000000000007</v>
      </c>
      <c r="I33" s="247">
        <f t="shared" si="29"/>
        <v>571.36835883828007</v>
      </c>
      <c r="J33" s="247">
        <f t="shared" si="29"/>
        <v>435.04097483944656</v>
      </c>
      <c r="K33" s="247">
        <f t="shared" si="29"/>
        <v>458.67384756021841</v>
      </c>
      <c r="L33" s="247">
        <f t="shared" si="29"/>
        <v>953.2436253373196</v>
      </c>
      <c r="M33" s="247">
        <f t="shared" si="29"/>
        <v>1732.9601880042364</v>
      </c>
      <c r="N33" s="247">
        <f t="shared" ref="N33:T33" si="30">SUM(N29:N32)</f>
        <v>2597.7002925038887</v>
      </c>
      <c r="O33" s="247">
        <f t="shared" si="30"/>
        <v>3336.2815881213401</v>
      </c>
      <c r="P33" s="247">
        <f t="shared" si="30"/>
        <v>4031.1275264874885</v>
      </c>
      <c r="Q33" s="247">
        <f t="shared" si="30"/>
        <v>4653.5694571476315</v>
      </c>
      <c r="R33" s="247">
        <f t="shared" si="30"/>
        <v>5240.9456789996839</v>
      </c>
      <c r="S33" s="247">
        <f t="shared" si="30"/>
        <v>5860.004929472806</v>
      </c>
      <c r="T33" s="247">
        <f t="shared" si="30"/>
        <v>6512.1815377219418</v>
      </c>
      <c r="U33" s="247">
        <f t="shared" ref="U33" si="31">SUM(U29:U32)</f>
        <v>7199.0443097124316</v>
      </c>
      <c r="V33" s="60"/>
      <c r="W33" s="60"/>
      <c r="X33" s="60"/>
    </row>
    <row r="34" spans="1:24" ht="9" customHeight="1">
      <c r="A34" s="61"/>
      <c r="B34" s="61"/>
      <c r="C34" s="395"/>
      <c r="D34" s="248"/>
      <c r="E34" s="248"/>
      <c r="F34" s="248"/>
      <c r="G34" s="248"/>
      <c r="H34" s="248"/>
      <c r="I34" s="248"/>
      <c r="J34" s="248"/>
      <c r="K34" s="248"/>
      <c r="L34" s="248"/>
      <c r="M34" s="248"/>
      <c r="N34" s="248"/>
      <c r="O34" s="248"/>
      <c r="P34" s="248"/>
      <c r="Q34" s="248"/>
      <c r="R34" s="248"/>
      <c r="S34" s="248"/>
      <c r="T34" s="248"/>
      <c r="U34" s="248"/>
      <c r="V34" s="62"/>
      <c r="W34" s="62"/>
      <c r="X34" s="62"/>
    </row>
    <row r="35" spans="1:24" ht="12.75" customHeight="1" thickBot="1">
      <c r="A35" s="60"/>
      <c r="B35" s="60"/>
      <c r="C35" s="396" t="s">
        <v>271</v>
      </c>
      <c r="D35" s="240">
        <f t="shared" ref="D35" si="32">D26+D33</f>
        <v>0.71654000000000062</v>
      </c>
      <c r="E35" s="240">
        <f t="shared" ref="E35:M35" si="33">E26+E33</f>
        <v>3.1748390000000004</v>
      </c>
      <c r="F35" s="240">
        <f t="shared" si="33"/>
        <v>65.084290999999993</v>
      </c>
      <c r="G35" s="240">
        <f t="shared" si="33"/>
        <v>270.57543100000004</v>
      </c>
      <c r="H35" s="240">
        <f t="shared" si="33"/>
        <v>391.57800000000009</v>
      </c>
      <c r="I35" s="240">
        <f t="shared" si="33"/>
        <v>627.29977494069158</v>
      </c>
      <c r="J35" s="240">
        <f t="shared" si="33"/>
        <v>506.70938862545904</v>
      </c>
      <c r="K35" s="240">
        <f t="shared" si="33"/>
        <v>556.52777376676818</v>
      </c>
      <c r="L35" s="240">
        <f t="shared" si="33"/>
        <v>1060.3940295812458</v>
      </c>
      <c r="M35" s="240">
        <f t="shared" si="33"/>
        <v>1852.688659143708</v>
      </c>
      <c r="N35" s="240">
        <f t="shared" ref="N35:T35" si="34">N26+N33</f>
        <v>2733.9040929620583</v>
      </c>
      <c r="O35" s="240">
        <f t="shared" si="34"/>
        <v>3461.20750223806</v>
      </c>
      <c r="P35" s="240">
        <f t="shared" si="34"/>
        <v>4151.0932922368938</v>
      </c>
      <c r="Q35" s="240">
        <f t="shared" si="34"/>
        <v>4766.3767346305258</v>
      </c>
      <c r="R35" s="240">
        <f t="shared" si="34"/>
        <v>5349.4927558570262</v>
      </c>
      <c r="S35" s="240">
        <f t="shared" si="34"/>
        <v>5969.306561931242</v>
      </c>
      <c r="T35" s="240">
        <f t="shared" si="34"/>
        <v>6622.2108282045756</v>
      </c>
      <c r="U35" s="240">
        <f t="shared" ref="U35" si="35">U26+U33</f>
        <v>7309.7815501397463</v>
      </c>
      <c r="V35" s="60"/>
      <c r="W35" s="60"/>
      <c r="X35" s="60"/>
    </row>
    <row r="36" spans="1:24" ht="12.75" customHeight="1" thickTop="1">
      <c r="A36" s="55"/>
      <c r="B36" s="55"/>
      <c r="C36" s="422"/>
      <c r="D36" s="64"/>
      <c r="E36" s="64"/>
      <c r="F36" s="64"/>
      <c r="G36" s="64"/>
      <c r="H36" s="64"/>
      <c r="I36" s="65"/>
      <c r="J36" s="65"/>
      <c r="K36" s="65"/>
      <c r="L36" s="65"/>
      <c r="M36" s="65"/>
      <c r="N36" s="65"/>
      <c r="O36" s="65"/>
      <c r="P36" s="65"/>
      <c r="Q36" s="65"/>
      <c r="R36" s="65"/>
      <c r="S36" s="65"/>
      <c r="T36" s="65"/>
      <c r="U36" s="65"/>
      <c r="V36" s="56"/>
      <c r="W36" s="56"/>
      <c r="X36" s="56"/>
    </row>
    <row r="37" spans="1:24" ht="12.75" customHeight="1">
      <c r="A37" s="55"/>
      <c r="B37" s="55"/>
      <c r="C37" s="423" t="s">
        <v>118</v>
      </c>
      <c r="D37" s="95">
        <f t="shared" ref="D37:U37" si="36">D14-D35</f>
        <v>0</v>
      </c>
      <c r="E37" s="95">
        <f t="shared" si="36"/>
        <v>0</v>
      </c>
      <c r="F37" s="95">
        <f t="shared" si="36"/>
        <v>0</v>
      </c>
      <c r="G37" s="95">
        <f t="shared" si="36"/>
        <v>0</v>
      </c>
      <c r="H37" s="161">
        <f t="shared" si="36"/>
        <v>0</v>
      </c>
      <c r="I37" s="161">
        <f t="shared" si="36"/>
        <v>0</v>
      </c>
      <c r="J37" s="161">
        <f t="shared" si="36"/>
        <v>0</v>
      </c>
      <c r="K37" s="161">
        <f t="shared" si="36"/>
        <v>0</v>
      </c>
      <c r="L37" s="161">
        <f t="shared" si="36"/>
        <v>0</v>
      </c>
      <c r="M37" s="161">
        <f t="shared" si="36"/>
        <v>0</v>
      </c>
      <c r="N37" s="161">
        <f t="shared" si="36"/>
        <v>0</v>
      </c>
      <c r="O37" s="161">
        <f t="shared" si="36"/>
        <v>0</v>
      </c>
      <c r="P37" s="161">
        <f t="shared" si="36"/>
        <v>0</v>
      </c>
      <c r="Q37" s="161">
        <f t="shared" si="36"/>
        <v>0</v>
      </c>
      <c r="R37" s="161">
        <f t="shared" si="36"/>
        <v>0</v>
      </c>
      <c r="S37" s="161">
        <f t="shared" si="36"/>
        <v>0</v>
      </c>
      <c r="T37" s="161">
        <f t="shared" si="36"/>
        <v>0</v>
      </c>
      <c r="U37" s="161">
        <f t="shared" si="36"/>
        <v>0</v>
      </c>
      <c r="V37" s="289"/>
      <c r="W37" s="289"/>
      <c r="X37" s="289"/>
    </row>
    <row r="38" spans="1:24" ht="12.75" customHeight="1">
      <c r="A38" s="55"/>
      <c r="B38" s="55"/>
      <c r="C38" s="424" t="s">
        <v>272</v>
      </c>
      <c r="D38" s="78"/>
      <c r="E38" s="78"/>
      <c r="F38" s="78"/>
      <c r="G38" s="78"/>
      <c r="H38" s="78"/>
      <c r="I38" s="78"/>
      <c r="J38" s="78"/>
      <c r="K38" s="78"/>
      <c r="L38" s="78"/>
      <c r="M38" s="78"/>
      <c r="N38" s="78"/>
      <c r="O38" s="78"/>
      <c r="P38" s="78"/>
      <c r="Q38" s="78"/>
      <c r="R38" s="78"/>
      <c r="S38" s="78"/>
      <c r="T38" s="78"/>
      <c r="U38" s="78"/>
      <c r="V38" s="56"/>
      <c r="W38" s="56"/>
      <c r="X38" s="56"/>
    </row>
    <row r="39" spans="1:24" ht="12.75" customHeight="1">
      <c r="A39" s="55"/>
      <c r="B39" s="55"/>
      <c r="C39" s="424"/>
      <c r="D39" s="78"/>
      <c r="E39" s="78"/>
      <c r="F39" s="78"/>
      <c r="G39" s="78"/>
      <c r="H39" s="78"/>
      <c r="I39" s="78"/>
      <c r="J39" s="78"/>
      <c r="K39" s="78"/>
      <c r="L39" s="78"/>
      <c r="M39" s="78"/>
      <c r="N39" s="78"/>
      <c r="O39" s="78"/>
      <c r="P39" s="78"/>
      <c r="Q39" s="78"/>
      <c r="R39" s="78"/>
      <c r="S39" s="78"/>
      <c r="T39" s="78"/>
      <c r="U39" s="78"/>
      <c r="V39" s="56"/>
      <c r="W39" s="56"/>
      <c r="X39" s="56"/>
    </row>
    <row r="40" spans="1:24" ht="12.75" customHeight="1">
      <c r="A40" s="55"/>
      <c r="B40" s="55"/>
      <c r="C40" s="422"/>
      <c r="D40" s="76"/>
      <c r="E40" s="76"/>
      <c r="F40" s="76"/>
      <c r="G40" s="76"/>
      <c r="H40" s="76"/>
      <c r="I40" s="76"/>
      <c r="J40" s="76"/>
      <c r="K40" s="76"/>
      <c r="L40" s="76"/>
      <c r="M40" s="76"/>
      <c r="N40" s="76"/>
      <c r="O40" s="76"/>
      <c r="P40" s="76"/>
      <c r="Q40" s="76"/>
      <c r="R40" s="76"/>
      <c r="S40" s="76"/>
      <c r="T40" s="76"/>
      <c r="U40" s="76"/>
      <c r="V40" s="56"/>
      <c r="W40" s="56"/>
      <c r="X40" s="56"/>
    </row>
    <row r="41" spans="1:24" ht="12.75" customHeight="1" outlineLevel="1">
      <c r="A41" s="55"/>
      <c r="B41" s="55"/>
      <c r="C41" s="377" t="s">
        <v>192</v>
      </c>
      <c r="D41" s="80"/>
      <c r="E41" s="80"/>
      <c r="F41" s="80"/>
      <c r="G41" s="80"/>
      <c r="H41" s="80"/>
      <c r="I41" s="80"/>
      <c r="J41" s="80"/>
      <c r="K41" s="80"/>
      <c r="L41" s="80"/>
      <c r="M41" s="80"/>
      <c r="N41" s="80"/>
      <c r="O41" s="80"/>
      <c r="P41" s="80"/>
      <c r="Q41" s="80"/>
      <c r="R41" s="80"/>
      <c r="S41" s="80"/>
      <c r="T41" s="80"/>
      <c r="U41" s="80"/>
      <c r="V41" s="56"/>
      <c r="W41" s="56"/>
      <c r="X41" s="56"/>
    </row>
    <row r="42" spans="1:24" ht="12.75" customHeight="1" outlineLevel="1">
      <c r="A42" s="55"/>
      <c r="B42" s="55"/>
      <c r="C42" s="425" t="s">
        <v>143</v>
      </c>
      <c r="D42" s="273">
        <f>IS!G12</f>
        <v>0</v>
      </c>
      <c r="E42" s="273">
        <f>IS!L12</f>
        <v>0</v>
      </c>
      <c r="F42" s="273">
        <f>IS!Q12</f>
        <v>0</v>
      </c>
      <c r="G42" s="273">
        <f>IS!V12</f>
        <v>0</v>
      </c>
      <c r="H42" s="273">
        <f>IS!AA12</f>
        <v>0</v>
      </c>
      <c r="I42" s="273">
        <f>IS!AF12</f>
        <v>0</v>
      </c>
      <c r="J42" s="273">
        <f>IS!AK12</f>
        <v>73.144346807763881</v>
      </c>
      <c r="K42" s="273">
        <f>IS!AP12</f>
        <v>267.78532496157891</v>
      </c>
      <c r="L42" s="273">
        <f>IS!AU12</f>
        <v>821.64930777646759</v>
      </c>
      <c r="M42" s="273">
        <f>IS!AZ12</f>
        <v>1544.8384903261385</v>
      </c>
      <c r="N42" s="273">
        <f>IS!BE12</f>
        <v>1739.3081984831902</v>
      </c>
      <c r="O42" s="273">
        <f>IS!BJ12</f>
        <v>1495.0673832872437</v>
      </c>
      <c r="P42" s="273">
        <f>IS!BO12</f>
        <v>1397.535837762206</v>
      </c>
      <c r="Q42" s="273">
        <f>IS!BT12</f>
        <v>1252.8619953025284</v>
      </c>
      <c r="R42" s="273">
        <f>IS!BY12</f>
        <v>1174.2320494643172</v>
      </c>
      <c r="S42" s="273">
        <f>IS!CD12</f>
        <v>1208.5812645902245</v>
      </c>
      <c r="T42" s="273">
        <f>IS!CI12</f>
        <v>1243.7525608780386</v>
      </c>
      <c r="U42" s="274">
        <f>IS!CN12</f>
        <v>1279.7651871093531</v>
      </c>
      <c r="V42" s="56"/>
      <c r="W42" s="56"/>
      <c r="X42" s="56"/>
    </row>
    <row r="43" spans="1:24" ht="12.75" customHeight="1" outlineLevel="1">
      <c r="A43" s="55"/>
      <c r="B43" s="55"/>
      <c r="C43" s="426" t="s">
        <v>5</v>
      </c>
      <c r="D43" s="275">
        <f>IS!G15</f>
        <v>0</v>
      </c>
      <c r="E43" s="275">
        <f>IS!L15</f>
        <v>0</v>
      </c>
      <c r="F43" s="275">
        <f>IS!Q15</f>
        <v>0</v>
      </c>
      <c r="G43" s="275">
        <f>IS!V15</f>
        <v>0</v>
      </c>
      <c r="H43" s="275">
        <f>IS!AA15</f>
        <v>0</v>
      </c>
      <c r="I43" s="275">
        <f>IS!AF15</f>
        <v>0</v>
      </c>
      <c r="J43" s="275">
        <f>IS!AK15</f>
        <v>13.664328524527319</v>
      </c>
      <c r="K43" s="275">
        <f>IS!AP15</f>
        <v>47.083134059178711</v>
      </c>
      <c r="L43" s="275">
        <f>IS!AU15</f>
        <v>135.43669908403311</v>
      </c>
      <c r="M43" s="275">
        <f>IS!AZ15</f>
        <v>237.66746005017512</v>
      </c>
      <c r="N43" s="275">
        <f>IS!BE15</f>
        <v>248.47259978331283</v>
      </c>
      <c r="O43" s="275">
        <f>IS!BJ15</f>
        <v>197.15174285106508</v>
      </c>
      <c r="P43" s="275">
        <f>IS!BO15</f>
        <v>168.93290346576114</v>
      </c>
      <c r="Q43" s="275">
        <f>IS!BT15</f>
        <v>137.67714234093717</v>
      </c>
      <c r="R43" s="275">
        <f>IS!BY15</f>
        <v>116.1328400569105</v>
      </c>
      <c r="S43" s="275">
        <f>IS!CD15</f>
        <v>106.2489023815582</v>
      </c>
      <c r="T43" s="275">
        <f>IS!CI15</f>
        <v>95.673273913695283</v>
      </c>
      <c r="U43" s="276">
        <f>IS!CN15</f>
        <v>84.380122226990323</v>
      </c>
      <c r="V43" s="56"/>
      <c r="W43" s="56"/>
      <c r="X43" s="56"/>
    </row>
    <row r="44" spans="1:24" ht="12.75" customHeight="1" outlineLevel="1">
      <c r="A44" s="55"/>
      <c r="B44" s="55"/>
      <c r="C44" s="427" t="s">
        <v>144</v>
      </c>
      <c r="D44" s="275">
        <f>IS!G21+IS!G25</f>
        <v>2.196977</v>
      </c>
      <c r="E44" s="275">
        <f>IS!L21+IS!L25</f>
        <v>15.420321000000001</v>
      </c>
      <c r="F44" s="275">
        <f>IS!Q21+IS!Q25</f>
        <v>38.572970999999995</v>
      </c>
      <c r="G44" s="275">
        <f>IS!V21+IS!V25</f>
        <v>83.414568000000003</v>
      </c>
      <c r="H44" s="275">
        <f>IS!AA21+IS!AA25</f>
        <v>220.36780700000003</v>
      </c>
      <c r="I44" s="275">
        <f>IS!AF21+IS!AF25</f>
        <v>214.71825744999998</v>
      </c>
      <c r="J44" s="275">
        <f>IS!AK21+IS!AK25</f>
        <v>219.012622599</v>
      </c>
      <c r="K44" s="275">
        <f>IS!AP21+IS!AP25</f>
        <v>221.51834653768498</v>
      </c>
      <c r="L44" s="275">
        <f>IS!AU21+IS!AU25</f>
        <v>222.15900989445583</v>
      </c>
      <c r="M44" s="275">
        <f>IS!AZ21+IS!AZ25</f>
        <v>222.4825448896251</v>
      </c>
      <c r="N44" s="275">
        <f>IS!BE21+IS!BE25</f>
        <v>222.4825448896251</v>
      </c>
      <c r="O44" s="275">
        <f>IS!BJ21+IS!BJ25</f>
        <v>221.37013216517698</v>
      </c>
      <c r="P44" s="275">
        <f>IS!BO21+IS!BO25</f>
        <v>219.15643084352519</v>
      </c>
      <c r="Q44" s="275">
        <f>IS!BT21+IS!BT25</f>
        <v>216.6445748973635</v>
      </c>
      <c r="R44" s="275">
        <f>IS!BY21+IS!BY25</f>
        <v>213.84715462206873</v>
      </c>
      <c r="S44" s="275">
        <f>IS!CD21+IS!CD25</f>
        <v>210.781150522156</v>
      </c>
      <c r="T44" s="275">
        <f>IS!CI21+IS!CI25</f>
        <v>207.46754669713476</v>
      </c>
      <c r="U44" s="276">
        <f>IS!CN21+IS!CN25</f>
        <v>203.93084804240635</v>
      </c>
      <c r="V44" s="56"/>
      <c r="W44" s="56"/>
      <c r="X44" s="56"/>
    </row>
    <row r="45" spans="1:24" ht="12.75" customHeight="1" outlineLevel="1">
      <c r="A45" s="55"/>
      <c r="B45" s="55"/>
      <c r="C45" s="427" t="s">
        <v>145</v>
      </c>
      <c r="D45" s="275">
        <f>IS!G36</f>
        <v>-2.2138839999999997</v>
      </c>
      <c r="E45" s="275">
        <f>IS!L36</f>
        <v>-16.418417000000002</v>
      </c>
      <c r="F45" s="275">
        <f>IS!Q36</f>
        <v>-38.473844</v>
      </c>
      <c r="G45" s="275">
        <f>IS!V36</f>
        <v>-83.011803999999998</v>
      </c>
      <c r="H45" s="275">
        <f>IS!AA36</f>
        <v>-218.05186699999996</v>
      </c>
      <c r="I45" s="275">
        <f>IS!AF36</f>
        <v>-212.62124927405154</v>
      </c>
      <c r="J45" s="275">
        <f>IS!AK36</f>
        <v>-155.9964723650051</v>
      </c>
      <c r="K45" s="275">
        <f>IS!AP36</f>
        <v>1.796219692577159</v>
      </c>
      <c r="L45" s="275">
        <f>IS!AU36</f>
        <v>466.65659243409419</v>
      </c>
      <c r="M45" s="275">
        <f>IS!AZ36</f>
        <v>745.28676384388746</v>
      </c>
      <c r="N45" s="275">
        <f>IS!BE36</f>
        <v>831.0123708269914</v>
      </c>
      <c r="O45" s="275">
        <f>IS!BJ36</f>
        <v>709.9289323105022</v>
      </c>
      <c r="P45" s="275">
        <f>IS!BO36</f>
        <v>669.4770912061648</v>
      </c>
      <c r="Q45" s="275">
        <f>IS!BT36</f>
        <v>600.33070461249099</v>
      </c>
      <c r="R45" s="275">
        <f>IS!BY36</f>
        <v>567.69656091449326</v>
      </c>
      <c r="S45" s="275">
        <f>IS!CD36</f>
        <v>600.9341400044018</v>
      </c>
      <c r="T45" s="275">
        <f>IS!CI36</f>
        <v>635.42580862611749</v>
      </c>
      <c r="U45" s="276">
        <f>IS!CN36</f>
        <v>671.20697092924161</v>
      </c>
      <c r="V45" s="56"/>
      <c r="W45" s="56"/>
      <c r="X45" s="56"/>
    </row>
    <row r="46" spans="1:24" ht="12.75" customHeight="1" outlineLevel="1">
      <c r="A46" s="55"/>
      <c r="B46" s="55"/>
      <c r="C46" s="427" t="s">
        <v>146</v>
      </c>
      <c r="D46" s="275">
        <f>CF!C19</f>
        <v>-0.51718600000000015</v>
      </c>
      <c r="E46" s="275">
        <f>CF!D19</f>
        <v>-4.0097680000000011</v>
      </c>
      <c r="F46" s="275">
        <f>CF!E19</f>
        <v>-13.796025</v>
      </c>
      <c r="G46" s="275">
        <f>CF!F19</f>
        <v>-48.020695000000003</v>
      </c>
      <c r="H46" s="275">
        <f>CF!G19</f>
        <v>-157.38099999999997</v>
      </c>
      <c r="I46" s="275">
        <f>CF!H19</f>
        <v>-179.68813893409003</v>
      </c>
      <c r="J46" s="275">
        <f>CF!I19</f>
        <v>-108.06077883970023</v>
      </c>
      <c r="K46" s="275">
        <f>CF!J19</f>
        <v>34.924732382437575</v>
      </c>
      <c r="L46" s="275">
        <f>CF!K19</f>
        <v>450.15682137412267</v>
      </c>
      <c r="M46" s="275">
        <f>CF!L19</f>
        <v>786.18318609303731</v>
      </c>
      <c r="N46" s="275">
        <f>CF!M19</f>
        <v>893.82306773341361</v>
      </c>
      <c r="O46" s="275">
        <f>CF!N19</f>
        <v>787.48047576803219</v>
      </c>
      <c r="P46" s="275">
        <f>CF!O19</f>
        <v>734.12975390506915</v>
      </c>
      <c r="Q46" s="275">
        <f>CF!P19</f>
        <v>664.99798526911104</v>
      </c>
      <c r="R46" s="275">
        <f>CF!Q19</f>
        <v>626.33669784438553</v>
      </c>
      <c r="S46" s="275">
        <f>CF!R19</f>
        <v>651.79345147341985</v>
      </c>
      <c r="T46" s="275">
        <f>CF!S19</f>
        <v>686.110363407975</v>
      </c>
      <c r="U46" s="276">
        <f>CF!T19</f>
        <v>722.24530440769161</v>
      </c>
      <c r="V46" s="56"/>
      <c r="W46" s="56"/>
      <c r="X46" s="56"/>
    </row>
    <row r="47" spans="1:24" ht="12.75" customHeight="1" outlineLevel="1">
      <c r="A47" s="55"/>
      <c r="B47" s="55"/>
      <c r="C47" s="428" t="s">
        <v>147</v>
      </c>
      <c r="D47" s="277">
        <f>CF!C23</f>
        <v>-2.2279999999999999E-3</v>
      </c>
      <c r="E47" s="277">
        <f>CF!D23</f>
        <v>-2.9284000000000001E-2</v>
      </c>
      <c r="F47" s="277">
        <f>CF!E23</f>
        <v>-0.221003</v>
      </c>
      <c r="G47" s="277">
        <f>CF!F23</f>
        <v>-19.182085000000001</v>
      </c>
      <c r="H47" s="277">
        <f>CF!G23</f>
        <v>-32.046999999999997</v>
      </c>
      <c r="I47" s="277">
        <f>CF!H23</f>
        <v>-20.14118925</v>
      </c>
      <c r="J47" s="277">
        <f>CF!I23</f>
        <v>-24.137634446562082</v>
      </c>
      <c r="K47" s="277">
        <f>CF!J23</f>
        <v>-24.636249896465259</v>
      </c>
      <c r="L47" s="277">
        <f>CF!K23</f>
        <v>-20.54123269441169</v>
      </c>
      <c r="M47" s="277">
        <f>CF!L23</f>
        <v>-19.310481129076734</v>
      </c>
      <c r="N47" s="277">
        <f>CF!M23</f>
        <v>-21.741352481039879</v>
      </c>
      <c r="O47" s="277">
        <f>CF!N23</f>
        <v>-20.183409674377788</v>
      </c>
      <c r="P47" s="277">
        <f>CF!O23</f>
        <v>-20.963037566433091</v>
      </c>
      <c r="Q47" s="277">
        <f>CF!P23</f>
        <v>-22.55151591544551</v>
      </c>
      <c r="R47" s="277">
        <f>CF!Q23</f>
        <v>-23.484640989286344</v>
      </c>
      <c r="S47" s="277">
        <f>CF!R23</f>
        <v>-24.171625291804489</v>
      </c>
      <c r="T47" s="277">
        <f>CF!S23</f>
        <v>-28.606308900194886</v>
      </c>
      <c r="U47" s="278">
        <f>CF!T23</f>
        <v>-33.273894864843179</v>
      </c>
      <c r="V47" s="56"/>
      <c r="W47" s="56"/>
      <c r="X47" s="56"/>
    </row>
    <row r="48" spans="1:24" ht="12.75" customHeight="1" outlineLevel="1">
      <c r="A48" s="55"/>
      <c r="B48" s="55"/>
      <c r="C48" s="63"/>
      <c r="D48" s="79"/>
      <c r="E48" s="79"/>
      <c r="F48" s="79"/>
      <c r="G48" s="79"/>
      <c r="H48" s="79"/>
      <c r="I48" s="79"/>
      <c r="J48" s="79"/>
      <c r="K48" s="79"/>
      <c r="L48" s="79"/>
      <c r="M48" s="79"/>
      <c r="N48" s="191"/>
      <c r="O48" s="191"/>
      <c r="P48" s="191"/>
      <c r="Q48" s="191"/>
      <c r="R48" s="191"/>
      <c r="S48" s="191"/>
      <c r="T48" s="191"/>
      <c r="U48" s="191"/>
      <c r="V48" s="56"/>
      <c r="W48" s="56"/>
      <c r="X48" s="56"/>
    </row>
    <row r="49" spans="1:24" ht="12.75" customHeight="1" outlineLevel="1">
      <c r="A49" s="55"/>
      <c r="B49" s="55"/>
      <c r="C49" s="376" t="s">
        <v>148</v>
      </c>
      <c r="D49" s="79"/>
      <c r="E49" s="79"/>
      <c r="F49" s="79"/>
      <c r="G49" s="79"/>
      <c r="H49" s="79"/>
      <c r="I49" s="79"/>
      <c r="J49" s="79"/>
      <c r="K49" s="79"/>
      <c r="L49" s="79"/>
      <c r="M49" s="79"/>
      <c r="N49" s="191"/>
      <c r="O49" s="191"/>
      <c r="P49" s="191"/>
      <c r="Q49" s="191"/>
      <c r="R49" s="191"/>
      <c r="S49" s="191"/>
      <c r="T49" s="191"/>
      <c r="U49" s="191"/>
      <c r="V49" s="56"/>
      <c r="W49" s="56"/>
      <c r="X49" s="56"/>
    </row>
    <row r="50" spans="1:24" ht="12.75" customHeight="1" outlineLevel="1">
      <c r="A50" s="55"/>
      <c r="B50" s="55"/>
      <c r="C50" s="429" t="s">
        <v>149</v>
      </c>
      <c r="D50" s="123" t="str">
        <f>IF(ISERROR(D42/D6),"NM",D42/D6)</f>
        <v>NM</v>
      </c>
      <c r="E50" s="123" t="str">
        <f>IF(ISERROR(E42/E6),"NM",E42/E6)</f>
        <v>NM</v>
      </c>
      <c r="F50" s="123" t="str">
        <f>IF(ISERROR(F42/F6),"NM",F42/F6)</f>
        <v>NM</v>
      </c>
      <c r="G50" s="123" t="str">
        <f>IF(ISERROR(G42/G6),"NM",G42/G6)</f>
        <v>NM</v>
      </c>
      <c r="H50" s="123">
        <f t="shared" ref="H50:U50" si="37">IF(ISERROR(H42/H7),"NM",H42/H7)</f>
        <v>0</v>
      </c>
      <c r="I50" s="123">
        <f t="shared" si="37"/>
        <v>0</v>
      </c>
      <c r="J50" s="123">
        <f t="shared" si="37"/>
        <v>11.111111111111111</v>
      </c>
      <c r="K50" s="123">
        <f t="shared" si="37"/>
        <v>14.285714285714283</v>
      </c>
      <c r="L50" s="123">
        <f t="shared" si="37"/>
        <v>33.333333333333336</v>
      </c>
      <c r="M50" s="123">
        <f t="shared" si="37"/>
        <v>49.999999999999993</v>
      </c>
      <c r="N50" s="123">
        <f t="shared" si="37"/>
        <v>50</v>
      </c>
      <c r="O50" s="123">
        <f t="shared" si="37"/>
        <v>50</v>
      </c>
      <c r="P50" s="123">
        <f t="shared" si="37"/>
        <v>50</v>
      </c>
      <c r="Q50" s="123">
        <f t="shared" si="37"/>
        <v>50</v>
      </c>
      <c r="R50" s="123">
        <f t="shared" si="37"/>
        <v>50</v>
      </c>
      <c r="S50" s="123">
        <f t="shared" si="37"/>
        <v>50</v>
      </c>
      <c r="T50" s="123">
        <f t="shared" si="37"/>
        <v>49.999999999999993</v>
      </c>
      <c r="U50" s="124">
        <f t="shared" si="37"/>
        <v>49.999999999999993</v>
      </c>
      <c r="V50" s="56"/>
      <c r="W50" s="56"/>
      <c r="X50" s="56"/>
    </row>
    <row r="51" spans="1:24" ht="12.75" customHeight="1" outlineLevel="1">
      <c r="A51" s="55"/>
      <c r="B51" s="55"/>
      <c r="C51" s="427" t="s">
        <v>150</v>
      </c>
      <c r="D51" s="96" t="str">
        <f>IF(ISERROR(D43/D8),"NM",D43/D8)</f>
        <v>NM</v>
      </c>
      <c r="E51" s="96" t="str">
        <f>IF(ISERROR(E43/E8),"NM",E43/E8)</f>
        <v>NM</v>
      </c>
      <c r="F51" s="96" t="str">
        <f>IF(ISERROR(F43/F8),"NM",F43/F8)</f>
        <v>NM</v>
      </c>
      <c r="G51" s="96" t="str">
        <f>IF(ISERROR(G43/G8),"NM",G43/G8)</f>
        <v>NM</v>
      </c>
      <c r="H51" s="96" t="str">
        <f t="shared" ref="H51:U51" si="38">IF(ISERROR(H43/H8),"NM",H43/H8)</f>
        <v>NM</v>
      </c>
      <c r="I51" s="96" t="str">
        <f t="shared" si="38"/>
        <v>NM</v>
      </c>
      <c r="J51" s="96">
        <f t="shared" si="38"/>
        <v>4.6703296703296706</v>
      </c>
      <c r="K51" s="96">
        <f t="shared" si="38"/>
        <v>4.395604395604396</v>
      </c>
      <c r="L51" s="96">
        <f t="shared" si="38"/>
        <v>4.1208791208791204</v>
      </c>
      <c r="M51" s="96">
        <f t="shared" si="38"/>
        <v>5.1282051282051277</v>
      </c>
      <c r="N51" s="96">
        <f t="shared" si="38"/>
        <v>4.761904761904761</v>
      </c>
      <c r="O51" s="96">
        <f t="shared" si="38"/>
        <v>4.3956043956043951</v>
      </c>
      <c r="P51" s="96">
        <f t="shared" si="38"/>
        <v>4.0293040293040283</v>
      </c>
      <c r="Q51" s="96">
        <f t="shared" si="38"/>
        <v>3.6630036630036624</v>
      </c>
      <c r="R51" s="96">
        <f t="shared" si="38"/>
        <v>3.296703296703297</v>
      </c>
      <c r="S51" s="96">
        <f t="shared" si="38"/>
        <v>2.9304029304029307</v>
      </c>
      <c r="T51" s="96">
        <f t="shared" si="38"/>
        <v>2.5641025641025643</v>
      </c>
      <c r="U51" s="104">
        <f t="shared" si="38"/>
        <v>2.197802197802198</v>
      </c>
      <c r="V51" s="56"/>
      <c r="W51" s="56"/>
      <c r="X51" s="56"/>
    </row>
    <row r="52" spans="1:24" ht="12.75" customHeight="1" outlineLevel="1">
      <c r="A52" s="55"/>
      <c r="B52" s="55"/>
      <c r="C52" s="427" t="s">
        <v>151</v>
      </c>
      <c r="D52" s="96">
        <f t="shared" ref="D52:U52" si="39">IF(ISERROR(D43/(D17+D18)),"NM",D43/(D17+D18))</f>
        <v>0</v>
      </c>
      <c r="E52" s="96">
        <f t="shared" si="39"/>
        <v>0</v>
      </c>
      <c r="F52" s="96">
        <f t="shared" si="39"/>
        <v>0</v>
      </c>
      <c r="G52" s="96">
        <f t="shared" si="39"/>
        <v>0</v>
      </c>
      <c r="H52" s="96">
        <f t="shared" si="39"/>
        <v>0</v>
      </c>
      <c r="I52" s="96">
        <f t="shared" si="39"/>
        <v>0</v>
      </c>
      <c r="J52" s="96">
        <f t="shared" si="39"/>
        <v>0.24178428161606733</v>
      </c>
      <c r="K52" s="96">
        <f t="shared" si="39"/>
        <v>0.82369148667022485</v>
      </c>
      <c r="L52" s="96">
        <f t="shared" si="39"/>
        <v>2.3625518248607822</v>
      </c>
      <c r="M52" s="96">
        <f t="shared" si="39"/>
        <v>4.1398317979316142</v>
      </c>
      <c r="N52" s="96">
        <f t="shared" si="39"/>
        <v>4.3280420856962678</v>
      </c>
      <c r="O52" s="96">
        <f t="shared" si="39"/>
        <v>3.4513619831699813</v>
      </c>
      <c r="P52" s="96">
        <f t="shared" si="39"/>
        <v>2.9872319261133362</v>
      </c>
      <c r="Q52" s="96">
        <f t="shared" si="39"/>
        <v>2.4627648116313061</v>
      </c>
      <c r="R52" s="96">
        <f t="shared" si="39"/>
        <v>2.1045559964388327</v>
      </c>
      <c r="S52" s="96">
        <f t="shared" si="39"/>
        <v>1.9534468361141926</v>
      </c>
      <c r="T52" s="96">
        <f t="shared" si="39"/>
        <v>1.7871021567347432</v>
      </c>
      <c r="U52" s="104">
        <f t="shared" si="39"/>
        <v>1.603489570883869</v>
      </c>
      <c r="V52" s="56"/>
      <c r="W52" s="56"/>
      <c r="X52" s="56"/>
    </row>
    <row r="53" spans="1:24" ht="12.75" customHeight="1" outlineLevel="1">
      <c r="A53" s="55"/>
      <c r="B53" s="55"/>
      <c r="C53" s="430" t="s">
        <v>152</v>
      </c>
      <c r="D53" s="96" t="str">
        <f t="shared" ref="D53:L54" si="40">IF(ISERROR(366/D50), "NM", (366/D50))</f>
        <v>NM</v>
      </c>
      <c r="E53" s="96" t="str">
        <f t="shared" ref="E53:G53" si="41">IF(ISERROR(366/E50), "NM", (366/E50))</f>
        <v>NM</v>
      </c>
      <c r="F53" s="96" t="str">
        <f t="shared" si="41"/>
        <v>NM</v>
      </c>
      <c r="G53" s="96" t="str">
        <f t="shared" si="41"/>
        <v>NM</v>
      </c>
      <c r="H53" s="96" t="str">
        <f t="shared" si="40"/>
        <v>NM</v>
      </c>
      <c r="I53" s="96" t="str">
        <f t="shared" si="40"/>
        <v>NM</v>
      </c>
      <c r="J53" s="96">
        <f t="shared" si="40"/>
        <v>32.94</v>
      </c>
      <c r="K53" s="96">
        <f t="shared" si="40"/>
        <v>25.620000000000005</v>
      </c>
      <c r="L53" s="96">
        <f t="shared" si="40"/>
        <v>10.979999999999999</v>
      </c>
      <c r="M53" s="96">
        <f t="shared" ref="M53:N53" si="42">IF(ISERROR(366/M50), "NM", (366/M50))</f>
        <v>7.3200000000000012</v>
      </c>
      <c r="N53" s="96">
        <f t="shared" si="42"/>
        <v>7.32</v>
      </c>
      <c r="O53" s="96">
        <f t="shared" ref="O53:T53" si="43">IF(ISERROR(366/O50), "NM", (366/O50))</f>
        <v>7.32</v>
      </c>
      <c r="P53" s="96">
        <f t="shared" si="43"/>
        <v>7.32</v>
      </c>
      <c r="Q53" s="96">
        <f t="shared" si="43"/>
        <v>7.32</v>
      </c>
      <c r="R53" s="96">
        <f t="shared" si="43"/>
        <v>7.32</v>
      </c>
      <c r="S53" s="96">
        <f t="shared" si="43"/>
        <v>7.32</v>
      </c>
      <c r="T53" s="96">
        <f t="shared" si="43"/>
        <v>7.3200000000000012</v>
      </c>
      <c r="U53" s="104">
        <f t="shared" ref="U53" si="44">IF(ISERROR(366/U50), "NM", (366/U50))</f>
        <v>7.3200000000000012</v>
      </c>
      <c r="V53" s="56"/>
      <c r="W53" s="56"/>
      <c r="X53" s="56"/>
    </row>
    <row r="54" spans="1:24" ht="12.75" customHeight="1" outlineLevel="1">
      <c r="A54" s="55"/>
      <c r="B54" s="55"/>
      <c r="C54" s="431" t="s">
        <v>153</v>
      </c>
      <c r="D54" s="96" t="str">
        <f t="shared" si="40"/>
        <v>NM</v>
      </c>
      <c r="E54" s="96" t="str">
        <f t="shared" ref="E54:G54" si="45">IF(ISERROR(366/E51), "NM", (366/E51))</f>
        <v>NM</v>
      </c>
      <c r="F54" s="96" t="str">
        <f t="shared" si="45"/>
        <v>NM</v>
      </c>
      <c r="G54" s="96" t="str">
        <f t="shared" si="45"/>
        <v>NM</v>
      </c>
      <c r="H54" s="96" t="str">
        <f t="shared" si="40"/>
        <v>NM</v>
      </c>
      <c r="I54" s="96" t="str">
        <f t="shared" si="40"/>
        <v>NM</v>
      </c>
      <c r="J54" s="96">
        <f t="shared" si="40"/>
        <v>78.367058823529405</v>
      </c>
      <c r="K54" s="96">
        <f t="shared" si="40"/>
        <v>83.264999999999986</v>
      </c>
      <c r="L54" s="96">
        <f t="shared" si="40"/>
        <v>88.816000000000003</v>
      </c>
      <c r="M54" s="96">
        <f t="shared" ref="M54:N54" si="46">IF(ISERROR(366/M51), "NM", (366/M51))</f>
        <v>71.37</v>
      </c>
      <c r="N54" s="96">
        <f t="shared" si="46"/>
        <v>76.860000000000014</v>
      </c>
      <c r="O54" s="96">
        <f t="shared" ref="O54:T54" si="47">IF(ISERROR(366/O51), "NM", (366/O51))</f>
        <v>83.265000000000015</v>
      </c>
      <c r="P54" s="96">
        <f t="shared" si="47"/>
        <v>90.834545454545477</v>
      </c>
      <c r="Q54" s="96">
        <f t="shared" si="47"/>
        <v>99.918000000000021</v>
      </c>
      <c r="R54" s="96">
        <f t="shared" si="47"/>
        <v>111.02</v>
      </c>
      <c r="S54" s="96">
        <f t="shared" si="47"/>
        <v>124.89749999999999</v>
      </c>
      <c r="T54" s="96">
        <f t="shared" si="47"/>
        <v>142.73999999999998</v>
      </c>
      <c r="U54" s="104">
        <f t="shared" ref="U54" si="48">IF(ISERROR(366/U51), "NM", (366/U51))</f>
        <v>166.52999999999997</v>
      </c>
      <c r="V54" s="56"/>
      <c r="W54" s="56"/>
      <c r="X54" s="56"/>
    </row>
    <row r="55" spans="1:24" ht="12.75" customHeight="1" outlineLevel="1">
      <c r="A55" s="55"/>
      <c r="B55" s="55"/>
      <c r="C55" s="430" t="s">
        <v>154</v>
      </c>
      <c r="D55" s="96" t="str">
        <f t="shared" ref="D55:L55" si="49">IF(ISERROR(366/D52), "NM", (366/D52))</f>
        <v>NM</v>
      </c>
      <c r="E55" s="96" t="str">
        <f t="shared" ref="E55:G55" si="50">IF(ISERROR(366/E52), "NM", (366/E52))</f>
        <v>NM</v>
      </c>
      <c r="F55" s="96" t="str">
        <f t="shared" si="50"/>
        <v>NM</v>
      </c>
      <c r="G55" s="96" t="str">
        <f t="shared" si="50"/>
        <v>NM</v>
      </c>
      <c r="H55" s="96" t="str">
        <f t="shared" si="49"/>
        <v>NM</v>
      </c>
      <c r="I55" s="96" t="str">
        <f t="shared" si="49"/>
        <v>NM</v>
      </c>
      <c r="J55" s="96">
        <f t="shared" si="49"/>
        <v>1513.7460448366803</v>
      </c>
      <c r="K55" s="96">
        <f t="shared" si="49"/>
        <v>444.3411227661901</v>
      </c>
      <c r="L55" s="96">
        <f t="shared" si="49"/>
        <v>154.91723658657403</v>
      </c>
      <c r="M55" s="96">
        <f t="shared" ref="M55:N55" si="51">IF(ISERROR(366/M52), "NM", (366/M52))</f>
        <v>88.409389043985968</v>
      </c>
      <c r="N55" s="96">
        <f t="shared" si="51"/>
        <v>84.564796911192758</v>
      </c>
      <c r="O55" s="96">
        <f t="shared" ref="O55:T55" si="52">IF(ISERROR(366/O52), "NM", (366/O52))</f>
        <v>106.04509228088531</v>
      </c>
      <c r="P55" s="96">
        <f t="shared" si="52"/>
        <v>122.52145432718366</v>
      </c>
      <c r="Q55" s="96">
        <f t="shared" si="52"/>
        <v>148.61346007196113</v>
      </c>
      <c r="R55" s="96">
        <f t="shared" si="52"/>
        <v>173.90841613115401</v>
      </c>
      <c r="S55" s="96">
        <f t="shared" si="52"/>
        <v>187.36112661660619</v>
      </c>
      <c r="T55" s="96">
        <f t="shared" si="52"/>
        <v>204.80082720549524</v>
      </c>
      <c r="U55" s="104">
        <f t="shared" ref="U55" si="53">IF(ISERROR(366/U52), "NM", (366/U52))</f>
        <v>228.25218613567594</v>
      </c>
      <c r="V55" s="56"/>
      <c r="W55" s="56"/>
      <c r="X55" s="56"/>
    </row>
    <row r="56" spans="1:24" ht="12.75" customHeight="1" outlineLevel="1">
      <c r="A56" s="55"/>
      <c r="B56" s="55"/>
      <c r="C56" s="427" t="s">
        <v>155</v>
      </c>
      <c r="D56" s="96">
        <f>D6</f>
        <v>0</v>
      </c>
      <c r="E56" s="96">
        <f>E6</f>
        <v>0</v>
      </c>
      <c r="F56" s="96">
        <f>F6</f>
        <v>0</v>
      </c>
      <c r="G56" s="96">
        <f>G6</f>
        <v>0</v>
      </c>
      <c r="H56" s="96">
        <f>H6</f>
        <v>0</v>
      </c>
      <c r="I56" s="101">
        <v>3</v>
      </c>
      <c r="J56" s="96">
        <f t="shared" ref="J56:M56" si="54">J57*J42</f>
        <v>3.6572173403881942</v>
      </c>
      <c r="K56" s="96">
        <f t="shared" si="54"/>
        <v>16.067119497694733</v>
      </c>
      <c r="L56" s="96">
        <f t="shared" si="54"/>
        <v>57.515451544352736</v>
      </c>
      <c r="M56" s="96">
        <f t="shared" si="54"/>
        <v>61.793539613045546</v>
      </c>
      <c r="N56" s="96">
        <f t="shared" ref="N56:T56" si="55">N57*N42</f>
        <v>69.572327939327607</v>
      </c>
      <c r="O56" s="96">
        <f t="shared" si="55"/>
        <v>59.802695331489751</v>
      </c>
      <c r="P56" s="96">
        <f t="shared" si="55"/>
        <v>55.901433510488239</v>
      </c>
      <c r="Q56" s="96">
        <f t="shared" si="55"/>
        <v>50.114479812101138</v>
      </c>
      <c r="R56" s="96">
        <f t="shared" si="55"/>
        <v>46.969281978572688</v>
      </c>
      <c r="S56" s="96">
        <f t="shared" si="55"/>
        <v>48.343250583608977</v>
      </c>
      <c r="T56" s="96">
        <f t="shared" si="55"/>
        <v>49.750102435121548</v>
      </c>
      <c r="U56" s="104">
        <f t="shared" ref="U56" si="56">U57*U42</f>
        <v>51.190607484374127</v>
      </c>
      <c r="V56" s="56"/>
      <c r="W56" s="56"/>
      <c r="X56" s="56"/>
    </row>
    <row r="57" spans="1:24" ht="12.75" customHeight="1" outlineLevel="1">
      <c r="A57" s="55"/>
      <c r="B57" s="55"/>
      <c r="C57" s="98" t="s">
        <v>156</v>
      </c>
      <c r="D57" s="97"/>
      <c r="E57" s="97"/>
      <c r="F57" s="97"/>
      <c r="G57" s="97"/>
      <c r="H57" s="212"/>
      <c r="I57" s="212"/>
      <c r="J57" s="212">
        <v>0.05</v>
      </c>
      <c r="K57" s="212">
        <v>0.06</v>
      </c>
      <c r="L57" s="212">
        <v>7.0000000000000007E-2</v>
      </c>
      <c r="M57" s="212">
        <v>0.04</v>
      </c>
      <c r="N57" s="212">
        <v>0.04</v>
      </c>
      <c r="O57" s="212">
        <v>0.04</v>
      </c>
      <c r="P57" s="212">
        <v>0.04</v>
      </c>
      <c r="Q57" s="212">
        <v>0.04</v>
      </c>
      <c r="R57" s="212">
        <v>0.04</v>
      </c>
      <c r="S57" s="212">
        <v>0.04</v>
      </c>
      <c r="T57" s="212">
        <v>0.04</v>
      </c>
      <c r="U57" s="213">
        <v>0.04</v>
      </c>
      <c r="V57" s="56"/>
      <c r="W57" s="56"/>
      <c r="X57" s="56"/>
    </row>
    <row r="58" spans="1:24" ht="12.75" customHeight="1" outlineLevel="1">
      <c r="A58" s="55"/>
      <c r="B58" s="55"/>
      <c r="C58" s="427" t="s">
        <v>157</v>
      </c>
      <c r="D58" s="96">
        <f>D7</f>
        <v>0.71442399999999995</v>
      </c>
      <c r="E58" s="96">
        <f>E7</f>
        <v>2.2643E-2</v>
      </c>
      <c r="F58" s="96">
        <f>F7</f>
        <v>0.90962900000000002</v>
      </c>
      <c r="G58" s="96">
        <f>G7</f>
        <v>4.7504689999999998</v>
      </c>
      <c r="H58" s="96">
        <f>H7</f>
        <v>8.3209999999999997</v>
      </c>
      <c r="I58" s="101">
        <v>5.2</v>
      </c>
      <c r="J58" s="96">
        <f t="shared" ref="J58:M58" si="57">J59*J42</f>
        <v>6.5829912126987491</v>
      </c>
      <c r="K58" s="96">
        <f t="shared" si="57"/>
        <v>18.744972747310527</v>
      </c>
      <c r="L58" s="96">
        <f t="shared" si="57"/>
        <v>24.649479233294027</v>
      </c>
      <c r="M58" s="96">
        <f t="shared" si="57"/>
        <v>30.896769806522773</v>
      </c>
      <c r="N58" s="96">
        <f t="shared" ref="N58:T58" si="58">N59*N42</f>
        <v>34.786163969663804</v>
      </c>
      <c r="O58" s="96">
        <f t="shared" si="58"/>
        <v>29.901347665744876</v>
      </c>
      <c r="P58" s="96">
        <f t="shared" si="58"/>
        <v>27.95071675524412</v>
      </c>
      <c r="Q58" s="96">
        <f t="shared" si="58"/>
        <v>25.057239906050569</v>
      </c>
      <c r="R58" s="96">
        <f t="shared" si="58"/>
        <v>23.484640989286344</v>
      </c>
      <c r="S58" s="96">
        <f t="shared" si="58"/>
        <v>24.171625291804489</v>
      </c>
      <c r="T58" s="96">
        <f t="shared" si="58"/>
        <v>24.875051217560774</v>
      </c>
      <c r="U58" s="104">
        <f t="shared" ref="U58" si="59">U59*U42</f>
        <v>25.595303742187063</v>
      </c>
      <c r="V58" s="56"/>
      <c r="W58" s="56"/>
      <c r="X58" s="56"/>
    </row>
    <row r="59" spans="1:24" ht="12.75" customHeight="1" outlineLevel="1">
      <c r="A59" s="55"/>
      <c r="B59" s="55"/>
      <c r="C59" s="98" t="s">
        <v>158</v>
      </c>
      <c r="D59" s="97"/>
      <c r="E59" s="97"/>
      <c r="F59" s="97"/>
      <c r="G59" s="97"/>
      <c r="H59" s="212"/>
      <c r="I59" s="212"/>
      <c r="J59" s="212">
        <v>0.09</v>
      </c>
      <c r="K59" s="212">
        <v>7.0000000000000007E-2</v>
      </c>
      <c r="L59" s="212">
        <v>0.03</v>
      </c>
      <c r="M59" s="212">
        <v>0.02</v>
      </c>
      <c r="N59" s="212">
        <v>0.02</v>
      </c>
      <c r="O59" s="212">
        <v>0.02</v>
      </c>
      <c r="P59" s="212">
        <v>0.02</v>
      </c>
      <c r="Q59" s="212">
        <v>0.02</v>
      </c>
      <c r="R59" s="212">
        <v>0.02</v>
      </c>
      <c r="S59" s="212">
        <v>0.02</v>
      </c>
      <c r="T59" s="212">
        <v>0.02</v>
      </c>
      <c r="U59" s="213">
        <v>0.02</v>
      </c>
      <c r="V59" s="56"/>
      <c r="W59" s="56"/>
      <c r="X59" s="56"/>
    </row>
    <row r="60" spans="1:24" ht="12.75" customHeight="1" outlineLevel="1">
      <c r="A60" s="55"/>
      <c r="B60" s="55"/>
      <c r="C60" s="427" t="s">
        <v>62</v>
      </c>
      <c r="D60" s="96">
        <f>D8</f>
        <v>0</v>
      </c>
      <c r="E60" s="96">
        <f>E8</f>
        <v>0</v>
      </c>
      <c r="F60" s="96">
        <f>F8</f>
        <v>0</v>
      </c>
      <c r="G60" s="96">
        <f>G8</f>
        <v>0</v>
      </c>
      <c r="H60" s="96">
        <f t="shared" ref="H60:M60" si="60">H61*H42</f>
        <v>0</v>
      </c>
      <c r="I60" s="96">
        <f t="shared" si="60"/>
        <v>0</v>
      </c>
      <c r="J60" s="96">
        <f t="shared" si="60"/>
        <v>2.9257738723105553</v>
      </c>
      <c r="K60" s="96">
        <f t="shared" si="60"/>
        <v>10.711412998463157</v>
      </c>
      <c r="L60" s="96">
        <f t="shared" si="60"/>
        <v>32.865972311058705</v>
      </c>
      <c r="M60" s="96">
        <f t="shared" si="60"/>
        <v>46.345154709784154</v>
      </c>
      <c r="N60" s="96">
        <f t="shared" ref="N60:T60" si="61">N61*N42</f>
        <v>52.179245954495705</v>
      </c>
      <c r="O60" s="96">
        <f t="shared" si="61"/>
        <v>44.852021498617312</v>
      </c>
      <c r="P60" s="96">
        <f t="shared" si="61"/>
        <v>41.926075132866181</v>
      </c>
      <c r="Q60" s="96">
        <f t="shared" si="61"/>
        <v>37.585859859075853</v>
      </c>
      <c r="R60" s="96">
        <f t="shared" si="61"/>
        <v>35.226961483929514</v>
      </c>
      <c r="S60" s="96">
        <f t="shared" si="61"/>
        <v>36.257437937706733</v>
      </c>
      <c r="T60" s="96">
        <f t="shared" si="61"/>
        <v>37.312576826341157</v>
      </c>
      <c r="U60" s="104">
        <f t="shared" ref="U60" si="62">U61*U42</f>
        <v>38.392955613280591</v>
      </c>
      <c r="V60" s="56"/>
      <c r="W60" s="56"/>
      <c r="X60" s="56"/>
    </row>
    <row r="61" spans="1:24" ht="12.75" customHeight="1" outlineLevel="1">
      <c r="A61" s="55"/>
      <c r="B61" s="55"/>
      <c r="C61" s="98" t="s">
        <v>158</v>
      </c>
      <c r="D61" s="97"/>
      <c r="E61" s="97"/>
      <c r="F61" s="97"/>
      <c r="G61" s="97"/>
      <c r="H61" s="212"/>
      <c r="I61" s="212"/>
      <c r="J61" s="212">
        <v>0.04</v>
      </c>
      <c r="K61" s="212">
        <v>0.04</v>
      </c>
      <c r="L61" s="212">
        <v>0.04</v>
      </c>
      <c r="M61" s="212">
        <v>0.03</v>
      </c>
      <c r="N61" s="212">
        <v>0.03</v>
      </c>
      <c r="O61" s="212">
        <v>0.03</v>
      </c>
      <c r="P61" s="212">
        <v>0.03</v>
      </c>
      <c r="Q61" s="212">
        <v>0.03</v>
      </c>
      <c r="R61" s="212">
        <v>0.03</v>
      </c>
      <c r="S61" s="212">
        <v>0.03</v>
      </c>
      <c r="T61" s="212">
        <v>0.03</v>
      </c>
      <c r="U61" s="213">
        <v>0.03</v>
      </c>
      <c r="V61" s="56"/>
      <c r="W61" s="56"/>
      <c r="X61" s="56"/>
    </row>
    <row r="62" spans="1:24" ht="12.75" customHeight="1" outlineLevel="1">
      <c r="A62" s="55"/>
      <c r="B62" s="55"/>
      <c r="C62" s="427" t="s">
        <v>159</v>
      </c>
      <c r="D62" s="96">
        <f>D13</f>
        <v>0</v>
      </c>
      <c r="E62" s="96">
        <f>E13</f>
        <v>4.4330000000000003E-3</v>
      </c>
      <c r="F62" s="96">
        <f>F13</f>
        <v>1.6872119999999999</v>
      </c>
      <c r="G62" s="96">
        <f>G13</f>
        <v>1.1945410000000001</v>
      </c>
      <c r="H62" s="96">
        <f>H13</f>
        <v>2.9660000000000002</v>
      </c>
      <c r="I62" s="101">
        <v>1.2</v>
      </c>
      <c r="J62" s="96">
        <f t="shared" ref="J62:M62" si="63">J63*J42</f>
        <v>1.4628869361552777</v>
      </c>
      <c r="K62" s="96">
        <f t="shared" si="63"/>
        <v>5.3557064992315784</v>
      </c>
      <c r="L62" s="96">
        <f t="shared" si="63"/>
        <v>16.432986155529353</v>
      </c>
      <c r="M62" s="96">
        <f t="shared" si="63"/>
        <v>30.896769806522773</v>
      </c>
      <c r="N62" s="96">
        <f t="shared" ref="N62:T62" si="64">N63*N42</f>
        <v>34.786163969663804</v>
      </c>
      <c r="O62" s="96">
        <f t="shared" si="64"/>
        <v>29.901347665744876</v>
      </c>
      <c r="P62" s="96">
        <f t="shared" si="64"/>
        <v>27.95071675524412</v>
      </c>
      <c r="Q62" s="96">
        <f t="shared" si="64"/>
        <v>25.057239906050569</v>
      </c>
      <c r="R62" s="96">
        <f t="shared" si="64"/>
        <v>23.484640989286344</v>
      </c>
      <c r="S62" s="96">
        <f t="shared" si="64"/>
        <v>24.171625291804489</v>
      </c>
      <c r="T62" s="96">
        <f t="shared" si="64"/>
        <v>24.875051217560774</v>
      </c>
      <c r="U62" s="104">
        <f t="shared" ref="U62" si="65">U63*U42</f>
        <v>25.595303742187063</v>
      </c>
      <c r="V62" s="56"/>
      <c r="W62" s="56"/>
      <c r="X62" s="56"/>
    </row>
    <row r="63" spans="1:24" ht="12.75" customHeight="1" outlineLevel="1">
      <c r="A63" s="55"/>
      <c r="B63" s="55"/>
      <c r="C63" s="98" t="s">
        <v>158</v>
      </c>
      <c r="D63" s="97"/>
      <c r="E63" s="97"/>
      <c r="F63" s="97"/>
      <c r="G63" s="97"/>
      <c r="H63" s="212"/>
      <c r="I63" s="212"/>
      <c r="J63" s="212">
        <v>0.02</v>
      </c>
      <c r="K63" s="212">
        <v>0.02</v>
      </c>
      <c r="L63" s="212">
        <v>0.02</v>
      </c>
      <c r="M63" s="212">
        <v>0.02</v>
      </c>
      <c r="N63" s="212">
        <v>0.02</v>
      </c>
      <c r="O63" s="212">
        <v>0.02</v>
      </c>
      <c r="P63" s="212">
        <v>0.02</v>
      </c>
      <c r="Q63" s="212">
        <v>0.02</v>
      </c>
      <c r="R63" s="212">
        <v>0.02</v>
      </c>
      <c r="S63" s="212">
        <v>0.02</v>
      </c>
      <c r="T63" s="212">
        <v>0.02</v>
      </c>
      <c r="U63" s="213">
        <v>0.02</v>
      </c>
      <c r="V63" s="56"/>
      <c r="W63" s="56"/>
      <c r="X63" s="56"/>
    </row>
    <row r="64" spans="1:24" ht="12.75" customHeight="1" outlineLevel="1">
      <c r="A64" s="55"/>
      <c r="B64" s="55"/>
      <c r="C64" s="427" t="s">
        <v>160</v>
      </c>
      <c r="D64" s="96">
        <f>D17</f>
        <v>0.27843800000000002</v>
      </c>
      <c r="E64" s="96">
        <f>E17</f>
        <v>8.3556000000000005E-2</v>
      </c>
      <c r="F64" s="96">
        <f>F17</f>
        <v>0.35978700000000002</v>
      </c>
      <c r="G64" s="96">
        <f>G17</f>
        <v>3.1972740000000002</v>
      </c>
      <c r="H64" s="96">
        <f>H17</f>
        <v>10.587</v>
      </c>
      <c r="I64" s="96">
        <f t="shared" ref="I64:M64" si="66">I44*I65</f>
        <v>10.315582037911506</v>
      </c>
      <c r="J64" s="96">
        <f t="shared" si="66"/>
        <v>10.521893678669738</v>
      </c>
      <c r="K64" s="96">
        <f t="shared" si="66"/>
        <v>10.642274689399031</v>
      </c>
      <c r="L64" s="96">
        <f t="shared" si="66"/>
        <v>10.673053699502503</v>
      </c>
      <c r="M64" s="96">
        <f t="shared" si="66"/>
        <v>10.688597099604756</v>
      </c>
      <c r="N64" s="96">
        <f t="shared" ref="N64:T64" si="67">N44*N65</f>
        <v>10.688597099604756</v>
      </c>
      <c r="O64" s="96">
        <f t="shared" si="67"/>
        <v>10.635154114106733</v>
      </c>
      <c r="P64" s="96">
        <f t="shared" si="67"/>
        <v>10.528802572965665</v>
      </c>
      <c r="Q64" s="96">
        <f t="shared" si="67"/>
        <v>10.408126965833929</v>
      </c>
      <c r="R64" s="96">
        <f t="shared" si="67"/>
        <v>10.273732160813497</v>
      </c>
      <c r="S64" s="96">
        <f t="shared" si="67"/>
        <v>10.126433942223082</v>
      </c>
      <c r="T64" s="96">
        <f t="shared" si="67"/>
        <v>9.9672404367238876</v>
      </c>
      <c r="U64" s="104">
        <f t="shared" ref="U64" si="68">U44*U65</f>
        <v>9.7973289184883328</v>
      </c>
      <c r="V64" s="56"/>
      <c r="W64" s="56"/>
      <c r="X64" s="56"/>
    </row>
    <row r="65" spans="1:24" ht="12.75" customHeight="1" outlineLevel="1">
      <c r="A65" s="55"/>
      <c r="B65" s="55"/>
      <c r="C65" s="98" t="s">
        <v>161</v>
      </c>
      <c r="D65" s="97">
        <f>D64/D44</f>
        <v>0.12673687526086982</v>
      </c>
      <c r="E65" s="97">
        <f t="shared" ref="E65:G65" si="69">E64/E44</f>
        <v>5.4185642438960898E-3</v>
      </c>
      <c r="F65" s="97">
        <f t="shared" si="69"/>
        <v>9.3274381172246245E-3</v>
      </c>
      <c r="G65" s="97">
        <f t="shared" si="69"/>
        <v>3.8329923377412922E-2</v>
      </c>
      <c r="H65" s="97">
        <f t="shared" ref="H65" si="70">H64/H44</f>
        <v>4.8042407573625302E-2</v>
      </c>
      <c r="I65" s="212">
        <f>H65</f>
        <v>4.8042407573625302E-2</v>
      </c>
      <c r="J65" s="212">
        <f t="shared" ref="J65:U65" si="71">I65</f>
        <v>4.8042407573625302E-2</v>
      </c>
      <c r="K65" s="212">
        <f t="shared" si="71"/>
        <v>4.8042407573625302E-2</v>
      </c>
      <c r="L65" s="212">
        <f t="shared" si="71"/>
        <v>4.8042407573625302E-2</v>
      </c>
      <c r="M65" s="212">
        <f t="shared" si="71"/>
        <v>4.8042407573625302E-2</v>
      </c>
      <c r="N65" s="212">
        <f t="shared" si="71"/>
        <v>4.8042407573625302E-2</v>
      </c>
      <c r="O65" s="212">
        <f t="shared" si="71"/>
        <v>4.8042407573625302E-2</v>
      </c>
      <c r="P65" s="212">
        <f t="shared" si="71"/>
        <v>4.8042407573625302E-2</v>
      </c>
      <c r="Q65" s="212">
        <f t="shared" si="71"/>
        <v>4.8042407573625302E-2</v>
      </c>
      <c r="R65" s="212">
        <f t="shared" si="71"/>
        <v>4.8042407573625302E-2</v>
      </c>
      <c r="S65" s="212">
        <f t="shared" si="71"/>
        <v>4.8042407573625302E-2</v>
      </c>
      <c r="T65" s="212">
        <f t="shared" si="71"/>
        <v>4.8042407573625302E-2</v>
      </c>
      <c r="U65" s="213">
        <f t="shared" si="71"/>
        <v>4.8042407573625302E-2</v>
      </c>
      <c r="V65" s="56"/>
      <c r="W65" s="56"/>
      <c r="X65" s="56"/>
    </row>
    <row r="66" spans="1:24" ht="12.75" customHeight="1" outlineLevel="1">
      <c r="A66" s="55"/>
      <c r="B66" s="55"/>
      <c r="C66" s="427" t="s">
        <v>162</v>
      </c>
      <c r="D66" s="96">
        <f>D19+D24</f>
        <v>0</v>
      </c>
      <c r="E66" s="96">
        <f>E19+E24</f>
        <v>0</v>
      </c>
      <c r="F66" s="96">
        <f>F19+F24</f>
        <v>0</v>
      </c>
      <c r="G66" s="96">
        <f>G19+G24</f>
        <v>0</v>
      </c>
      <c r="H66" s="96">
        <f>H19+H24</f>
        <v>0</v>
      </c>
      <c r="I66" s="96">
        <f t="shared" ref="I66:M66" si="72">I67*I42</f>
        <v>0</v>
      </c>
      <c r="J66" s="96">
        <f t="shared" si="72"/>
        <v>14.628869361552777</v>
      </c>
      <c r="K66" s="96">
        <f t="shared" si="72"/>
        <v>40.167798744236833</v>
      </c>
      <c r="L66" s="96">
        <f t="shared" si="72"/>
        <v>49.298958466588054</v>
      </c>
      <c r="M66" s="96">
        <f t="shared" si="72"/>
        <v>61.793539613045546</v>
      </c>
      <c r="N66" s="96">
        <f t="shared" ref="N66:T66" si="73">N67*N42</f>
        <v>78.268868931743555</v>
      </c>
      <c r="O66" s="96">
        <f t="shared" si="73"/>
        <v>67.278032247925964</v>
      </c>
      <c r="P66" s="96">
        <f t="shared" si="73"/>
        <v>62.889112699299268</v>
      </c>
      <c r="Q66" s="96">
        <f t="shared" si="73"/>
        <v>56.378789788613773</v>
      </c>
      <c r="R66" s="96">
        <f t="shared" si="73"/>
        <v>52.840442225894272</v>
      </c>
      <c r="S66" s="96">
        <f t="shared" si="73"/>
        <v>54.386156906560096</v>
      </c>
      <c r="T66" s="96">
        <f t="shared" si="73"/>
        <v>55.968865239511736</v>
      </c>
      <c r="U66" s="104">
        <f t="shared" ref="U66" si="74">U67*U42</f>
        <v>57.589433419920887</v>
      </c>
      <c r="V66" s="56"/>
      <c r="W66" s="56"/>
      <c r="X66" s="56"/>
    </row>
    <row r="67" spans="1:24" ht="12.75" customHeight="1" outlineLevel="1">
      <c r="A67" s="55"/>
      <c r="B67" s="55"/>
      <c r="C67" s="98" t="s">
        <v>158</v>
      </c>
      <c r="D67" s="98"/>
      <c r="E67" s="98"/>
      <c r="F67" s="98"/>
      <c r="G67" s="98"/>
      <c r="H67" s="212"/>
      <c r="I67" s="212"/>
      <c r="J67" s="212">
        <v>0.2</v>
      </c>
      <c r="K67" s="212">
        <v>0.15</v>
      </c>
      <c r="L67" s="212">
        <v>0.06</v>
      </c>
      <c r="M67" s="212">
        <v>0.04</v>
      </c>
      <c r="N67" s="212">
        <v>4.4999999999999998E-2</v>
      </c>
      <c r="O67" s="212">
        <v>4.4999999999999998E-2</v>
      </c>
      <c r="P67" s="212">
        <v>4.4999999999999998E-2</v>
      </c>
      <c r="Q67" s="212">
        <v>4.4999999999999998E-2</v>
      </c>
      <c r="R67" s="212">
        <v>4.4999999999999998E-2</v>
      </c>
      <c r="S67" s="212">
        <v>4.4999999999999998E-2</v>
      </c>
      <c r="T67" s="212">
        <v>4.4999999999999998E-2</v>
      </c>
      <c r="U67" s="213">
        <v>4.4999999999999998E-2</v>
      </c>
      <c r="V67" s="56"/>
      <c r="W67" s="56"/>
      <c r="X67" s="56"/>
    </row>
    <row r="68" spans="1:24" ht="12.75" customHeight="1" outlineLevel="1">
      <c r="A68" s="55"/>
      <c r="B68" s="55"/>
      <c r="C68" s="427" t="s">
        <v>119</v>
      </c>
      <c r="D68" s="96">
        <f>D18</f>
        <v>0.82525999999999999</v>
      </c>
      <c r="E68" s="96">
        <f>E18</f>
        <v>4.9638629999999999</v>
      </c>
      <c r="F68" s="96">
        <f>F18</f>
        <v>6.5175169999999998</v>
      </c>
      <c r="G68" s="96">
        <f>G18</f>
        <v>21.246503000000001</v>
      </c>
      <c r="H68" s="96">
        <f>H18</f>
        <v>47.725999999999999</v>
      </c>
      <c r="I68" s="96">
        <f t="shared" ref="I68:M68" si="75">I44*I69</f>
        <v>45.090834064499994</v>
      </c>
      <c r="J68" s="96">
        <f t="shared" si="75"/>
        <v>45.992650745789994</v>
      </c>
      <c r="K68" s="96">
        <f t="shared" si="75"/>
        <v>46.518852772913846</v>
      </c>
      <c r="L68" s="96">
        <f t="shared" si="75"/>
        <v>46.653392077835726</v>
      </c>
      <c r="M68" s="96">
        <f t="shared" si="75"/>
        <v>46.721334426821272</v>
      </c>
      <c r="N68" s="96">
        <f t="shared" ref="N68:T68" si="76">N44*N69</f>
        <v>46.721334426821272</v>
      </c>
      <c r="O68" s="96">
        <f t="shared" si="76"/>
        <v>46.487727754687164</v>
      </c>
      <c r="P68" s="96">
        <f t="shared" si="76"/>
        <v>46.022850477140288</v>
      </c>
      <c r="Q68" s="96">
        <f t="shared" si="76"/>
        <v>45.495360728446336</v>
      </c>
      <c r="R68" s="96">
        <f t="shared" si="76"/>
        <v>44.907902470634433</v>
      </c>
      <c r="S68" s="96">
        <f t="shared" si="76"/>
        <v>44.264041609652757</v>
      </c>
      <c r="T68" s="96">
        <f t="shared" si="76"/>
        <v>43.5681848063983</v>
      </c>
      <c r="U68" s="104">
        <f t="shared" ref="U68" si="77">U44*U69</f>
        <v>42.825478088905335</v>
      </c>
      <c r="V68" s="56"/>
      <c r="W68" s="56"/>
      <c r="X68" s="56"/>
    </row>
    <row r="69" spans="1:24" ht="12.75" customHeight="1" outlineLevel="1">
      <c r="A69" s="55"/>
      <c r="B69" s="55"/>
      <c r="C69" s="98" t="s">
        <v>161</v>
      </c>
      <c r="D69" s="97">
        <f>D68/D44</f>
        <v>0.3756343375465469</v>
      </c>
      <c r="E69" s="97">
        <f t="shared" ref="E69:G69" si="78">E68/E44</f>
        <v>0.32190399927472324</v>
      </c>
      <c r="F69" s="97">
        <f t="shared" si="78"/>
        <v>0.16896590620411378</v>
      </c>
      <c r="G69" s="97">
        <f t="shared" si="78"/>
        <v>0.25470974086924481</v>
      </c>
      <c r="H69" s="97">
        <f t="shared" ref="H69" si="79">H68/H44</f>
        <v>0.2165742839197923</v>
      </c>
      <c r="I69" s="212">
        <v>0.21</v>
      </c>
      <c r="J69" s="212">
        <f t="shared" ref="J69:U69" si="80">I69</f>
        <v>0.21</v>
      </c>
      <c r="K69" s="212">
        <f t="shared" si="80"/>
        <v>0.21</v>
      </c>
      <c r="L69" s="212">
        <f t="shared" si="80"/>
        <v>0.21</v>
      </c>
      <c r="M69" s="212">
        <f t="shared" si="80"/>
        <v>0.21</v>
      </c>
      <c r="N69" s="212">
        <f t="shared" si="80"/>
        <v>0.21</v>
      </c>
      <c r="O69" s="212">
        <f t="shared" si="80"/>
        <v>0.21</v>
      </c>
      <c r="P69" s="212">
        <f t="shared" si="80"/>
        <v>0.21</v>
      </c>
      <c r="Q69" s="212">
        <f t="shared" si="80"/>
        <v>0.21</v>
      </c>
      <c r="R69" s="212">
        <f t="shared" si="80"/>
        <v>0.21</v>
      </c>
      <c r="S69" s="212">
        <f t="shared" si="80"/>
        <v>0.21</v>
      </c>
      <c r="T69" s="212">
        <f t="shared" si="80"/>
        <v>0.21</v>
      </c>
      <c r="U69" s="213">
        <f t="shared" si="80"/>
        <v>0.21</v>
      </c>
      <c r="V69" s="56"/>
      <c r="W69" s="56"/>
      <c r="X69" s="56"/>
    </row>
    <row r="70" spans="1:24" ht="12.75" customHeight="1" outlineLevel="1">
      <c r="A70" s="55"/>
      <c r="B70" s="55"/>
      <c r="C70" s="427" t="s">
        <v>163</v>
      </c>
      <c r="D70" s="96">
        <f>D21</f>
        <v>0.56049400000000005</v>
      </c>
      <c r="E70" s="96">
        <f t="shared" ref="E70:G70" si="81">E21</f>
        <v>0</v>
      </c>
      <c r="F70" s="96">
        <f t="shared" si="81"/>
        <v>0</v>
      </c>
      <c r="G70" s="96">
        <f t="shared" si="81"/>
        <v>0</v>
      </c>
      <c r="H70" s="96">
        <f t="shared" ref="H70" si="82">H21</f>
        <v>0</v>
      </c>
      <c r="I70" s="96">
        <f t="shared" ref="I70:M70" si="83">I71*I44</f>
        <v>0</v>
      </c>
      <c r="J70" s="96">
        <f t="shared" si="83"/>
        <v>0</v>
      </c>
      <c r="K70" s="96">
        <f t="shared" si="83"/>
        <v>0</v>
      </c>
      <c r="L70" s="96">
        <f t="shared" si="83"/>
        <v>0</v>
      </c>
      <c r="M70" s="96">
        <f t="shared" si="83"/>
        <v>0</v>
      </c>
      <c r="N70" s="96">
        <f t="shared" ref="N70:T70" si="84">N71*N44</f>
        <v>0</v>
      </c>
      <c r="O70" s="96">
        <f t="shared" si="84"/>
        <v>0</v>
      </c>
      <c r="P70" s="96">
        <f t="shared" si="84"/>
        <v>0</v>
      </c>
      <c r="Q70" s="96">
        <f t="shared" si="84"/>
        <v>0</v>
      </c>
      <c r="R70" s="96">
        <f t="shared" si="84"/>
        <v>0</v>
      </c>
      <c r="S70" s="96">
        <f t="shared" si="84"/>
        <v>0</v>
      </c>
      <c r="T70" s="96">
        <f t="shared" si="84"/>
        <v>0</v>
      </c>
      <c r="U70" s="104">
        <f t="shared" ref="U70" si="85">U71*U44</f>
        <v>0</v>
      </c>
      <c r="V70" s="56"/>
      <c r="W70" s="56"/>
      <c r="X70" s="56"/>
    </row>
    <row r="71" spans="1:24" ht="12.75" customHeight="1" outlineLevel="1">
      <c r="A71" s="55"/>
      <c r="B71" s="55"/>
      <c r="C71" s="432" t="s">
        <v>161</v>
      </c>
      <c r="D71" s="125">
        <f>D70/D44</f>
        <v>0.25512055884062512</v>
      </c>
      <c r="E71" s="125">
        <f t="shared" ref="E71:G71" si="86">E70/E44</f>
        <v>0</v>
      </c>
      <c r="F71" s="125">
        <f t="shared" si="86"/>
        <v>0</v>
      </c>
      <c r="G71" s="125">
        <f t="shared" si="86"/>
        <v>0</v>
      </c>
      <c r="H71" s="125">
        <f t="shared" ref="H71" si="87">H70/H44</f>
        <v>0</v>
      </c>
      <c r="I71" s="214">
        <f>H71</f>
        <v>0</v>
      </c>
      <c r="J71" s="214">
        <f t="shared" ref="J71:T71" si="88">I71</f>
        <v>0</v>
      </c>
      <c r="K71" s="214">
        <f t="shared" si="88"/>
        <v>0</v>
      </c>
      <c r="L71" s="214">
        <f t="shared" si="88"/>
        <v>0</v>
      </c>
      <c r="M71" s="214">
        <f t="shared" si="88"/>
        <v>0</v>
      </c>
      <c r="N71" s="214">
        <f t="shared" si="88"/>
        <v>0</v>
      </c>
      <c r="O71" s="214">
        <f t="shared" si="88"/>
        <v>0</v>
      </c>
      <c r="P71" s="214">
        <f t="shared" si="88"/>
        <v>0</v>
      </c>
      <c r="Q71" s="214">
        <f t="shared" si="88"/>
        <v>0</v>
      </c>
      <c r="R71" s="214">
        <f t="shared" si="88"/>
        <v>0</v>
      </c>
      <c r="S71" s="214">
        <f t="shared" si="88"/>
        <v>0</v>
      </c>
      <c r="T71" s="214">
        <f t="shared" si="88"/>
        <v>0</v>
      </c>
      <c r="U71" s="215">
        <v>0</v>
      </c>
      <c r="V71" s="56"/>
      <c r="W71" s="56"/>
      <c r="X71" s="56"/>
    </row>
    <row r="72" spans="1:24" ht="12.75" customHeight="1" outlineLevel="1">
      <c r="A72" s="55"/>
      <c r="B72" s="55"/>
      <c r="C72" s="63"/>
      <c r="D72" s="79"/>
      <c r="E72" s="79"/>
      <c r="F72" s="79"/>
      <c r="G72" s="79"/>
      <c r="H72" s="79"/>
      <c r="I72" s="79"/>
      <c r="J72" s="79"/>
      <c r="K72" s="79"/>
      <c r="L72" s="79"/>
      <c r="M72" s="79"/>
      <c r="N72" s="191"/>
      <c r="O72" s="191"/>
      <c r="P72" s="191"/>
      <c r="Q72" s="191"/>
      <c r="R72" s="191"/>
      <c r="S72" s="191"/>
      <c r="T72" s="191"/>
      <c r="U72" s="191"/>
      <c r="V72" s="56"/>
      <c r="W72" s="56"/>
      <c r="X72" s="56"/>
    </row>
    <row r="73" spans="1:24" ht="12.75" customHeight="1" outlineLevel="1">
      <c r="A73" s="55"/>
      <c r="B73" s="55"/>
      <c r="C73" s="376" t="s">
        <v>23</v>
      </c>
      <c r="D73" s="79"/>
      <c r="E73" s="79"/>
      <c r="F73" s="79"/>
      <c r="G73" s="79"/>
      <c r="H73" s="79"/>
      <c r="I73" s="79"/>
      <c r="J73" s="79"/>
      <c r="K73" s="79"/>
      <c r="L73" s="79"/>
      <c r="M73" s="79"/>
      <c r="N73" s="191"/>
      <c r="O73" s="191"/>
      <c r="P73" s="191"/>
      <c r="Q73" s="191"/>
      <c r="R73" s="191"/>
      <c r="S73" s="191"/>
      <c r="T73" s="191"/>
      <c r="U73" s="191"/>
      <c r="V73" s="56"/>
      <c r="W73" s="56"/>
      <c r="X73" s="56"/>
    </row>
    <row r="74" spans="1:24" ht="12.75" customHeight="1" outlineLevel="1">
      <c r="A74" s="55"/>
      <c r="B74" s="55"/>
      <c r="C74" s="433" t="s">
        <v>194</v>
      </c>
      <c r="D74" s="99"/>
      <c r="E74" s="102">
        <f>D79</f>
        <v>2.1159999999999998E-3</v>
      </c>
      <c r="F74" s="102">
        <f>E79</f>
        <v>2.8049999999999999E-2</v>
      </c>
      <c r="G74" s="102">
        <f t="shared" ref="G74:M74" si="89">F79</f>
        <v>0.23558999999999999</v>
      </c>
      <c r="H74" s="102">
        <f t="shared" si="89"/>
        <v>24.200582000000001</v>
      </c>
      <c r="I74" s="102">
        <f t="shared" si="89"/>
        <v>42.071771249999998</v>
      </c>
      <c r="J74" s="102">
        <f t="shared" si="89"/>
        <v>57.247231018199997</v>
      </c>
      <c r="K74" s="102">
        <f t="shared" si="89"/>
        <v>74.205303907563973</v>
      </c>
      <c r="L74" s="102">
        <f t="shared" si="89"/>
        <v>89.223396228166763</v>
      </c>
      <c r="M74" s="102">
        <f t="shared" si="89"/>
        <v>97.887685595810439</v>
      </c>
      <c r="N74" s="102">
        <f t="shared" ref="N74" si="90">M79</f>
        <v>103.3287172477192</v>
      </c>
      <c r="O74" s="102">
        <f t="shared" ref="O74" si="91">N79</f>
        <v>109.14810015778231</v>
      </c>
      <c r="P74" s="102">
        <f t="shared" ref="P74" si="92">O79</f>
        <v>111.31336658143975</v>
      </c>
      <c r="Q74" s="102">
        <f t="shared" ref="Q74" si="93">P79</f>
        <v>112.20099652033656</v>
      </c>
      <c r="R74" s="102">
        <f t="shared" ref="R74" si="94">Q79</f>
        <v>112.50142932085399</v>
      </c>
      <c r="S74" s="102">
        <f t="shared" ref="S74:U74" si="95">R79</f>
        <v>111.43322631800754</v>
      </c>
      <c r="T74" s="102">
        <f t="shared" ref="T74" si="96">S79</f>
        <v>108.66923657485346</v>
      </c>
      <c r="U74" s="103">
        <f t="shared" si="95"/>
        <v>107.70107177459565</v>
      </c>
      <c r="V74" s="56"/>
      <c r="W74" s="56"/>
      <c r="X74" s="56"/>
    </row>
    <row r="75" spans="1:24" ht="12.75" customHeight="1" outlineLevel="1">
      <c r="A75" s="55"/>
      <c r="B75" s="55"/>
      <c r="C75" s="427" t="s">
        <v>164</v>
      </c>
      <c r="D75" s="163">
        <f>-D47</f>
        <v>2.2279999999999999E-3</v>
      </c>
      <c r="E75" s="163">
        <f t="shared" ref="E75:G75" si="97">-E47</f>
        <v>2.9284000000000001E-2</v>
      </c>
      <c r="F75" s="163">
        <f t="shared" si="97"/>
        <v>0.221003</v>
      </c>
      <c r="G75" s="163">
        <f t="shared" si="97"/>
        <v>19.182085000000001</v>
      </c>
      <c r="H75" s="96">
        <f>G75*1.05</f>
        <v>20.14118925</v>
      </c>
      <c r="I75" s="96">
        <f>H75</f>
        <v>20.14118925</v>
      </c>
      <c r="J75" s="96">
        <f t="shared" ref="J75:M75" si="98">J42*J76</f>
        <v>24.137634446562082</v>
      </c>
      <c r="K75" s="96">
        <f t="shared" si="98"/>
        <v>24.636249896465259</v>
      </c>
      <c r="L75" s="96">
        <f t="shared" si="98"/>
        <v>20.54123269441169</v>
      </c>
      <c r="M75" s="96">
        <f t="shared" si="98"/>
        <v>19.310481129076734</v>
      </c>
      <c r="N75" s="96">
        <f t="shared" ref="N75:T75" si="99">N42*N76</f>
        <v>21.741352481039879</v>
      </c>
      <c r="O75" s="96">
        <f t="shared" si="99"/>
        <v>20.183409674377788</v>
      </c>
      <c r="P75" s="96">
        <f t="shared" si="99"/>
        <v>20.963037566433091</v>
      </c>
      <c r="Q75" s="96">
        <f t="shared" si="99"/>
        <v>22.55151591544551</v>
      </c>
      <c r="R75" s="96">
        <f t="shared" si="99"/>
        <v>23.484640989286344</v>
      </c>
      <c r="S75" s="96">
        <f t="shared" si="99"/>
        <v>24.171625291804489</v>
      </c>
      <c r="T75" s="96">
        <f t="shared" si="99"/>
        <v>28.606308900194886</v>
      </c>
      <c r="U75" s="104">
        <f t="shared" ref="U75" si="100">U42*U76</f>
        <v>33.273894864843179</v>
      </c>
      <c r="V75" s="56"/>
      <c r="W75" s="56"/>
      <c r="X75" s="56"/>
    </row>
    <row r="76" spans="1:24" ht="12.75" customHeight="1" outlineLevel="1">
      <c r="A76" s="55"/>
      <c r="B76" s="55"/>
      <c r="C76" s="98" t="s">
        <v>156</v>
      </c>
      <c r="D76" s="162"/>
      <c r="E76" s="162"/>
      <c r="F76" s="162"/>
      <c r="G76" s="162"/>
      <c r="H76" s="212"/>
      <c r="I76" s="212"/>
      <c r="J76" s="212">
        <v>0.33</v>
      </c>
      <c r="K76" s="212">
        <v>9.1999999999999998E-2</v>
      </c>
      <c r="L76" s="212">
        <v>2.5000000000000001E-2</v>
      </c>
      <c r="M76" s="212">
        <v>1.2500000000000001E-2</v>
      </c>
      <c r="N76" s="212">
        <v>1.2500000000000001E-2</v>
      </c>
      <c r="O76" s="212">
        <v>1.35E-2</v>
      </c>
      <c r="P76" s="212">
        <v>1.4999999999999999E-2</v>
      </c>
      <c r="Q76" s="212">
        <v>1.7999999999999999E-2</v>
      </c>
      <c r="R76" s="212">
        <v>0.02</v>
      </c>
      <c r="S76" s="212">
        <f t="shared" ref="S76" si="101">R76</f>
        <v>0.02</v>
      </c>
      <c r="T76" s="212">
        <v>2.3E-2</v>
      </c>
      <c r="U76" s="213">
        <v>2.5999999999999999E-2</v>
      </c>
      <c r="V76" s="56"/>
      <c r="W76" s="56"/>
      <c r="X76" s="56"/>
    </row>
    <row r="77" spans="1:24" ht="12.75" customHeight="1" outlineLevel="1">
      <c r="A77" s="55"/>
      <c r="B77" s="55"/>
      <c r="C77" s="427" t="s">
        <v>165</v>
      </c>
      <c r="D77" s="147">
        <f>-CF!C7</f>
        <v>-1.4774000000000001E-2</v>
      </c>
      <c r="E77" s="147">
        <f>-CF!D7</f>
        <v>-3.3500000000000001E-3</v>
      </c>
      <c r="F77" s="147">
        <f>-CF!E7</f>
        <v>-1.3462999999999999E-2</v>
      </c>
      <c r="G77" s="398">
        <f>-CF!F7</f>
        <v>-6.4630000000000007E-2</v>
      </c>
      <c r="H77" s="147">
        <f>-CF!G7</f>
        <v>-2.27</v>
      </c>
      <c r="I77" s="147">
        <f>-CF!H7</f>
        <v>-4.9657294818000004</v>
      </c>
      <c r="J77" s="147">
        <f>-CF!I7</f>
        <v>-7.1795615571981042</v>
      </c>
      <c r="K77" s="147">
        <f>-CF!J7</f>
        <v>-9.6181575758624707</v>
      </c>
      <c r="L77" s="147">
        <f>-CF!K7</f>
        <v>-11.87694332676802</v>
      </c>
      <c r="M77" s="147">
        <f>-CF!L7</f>
        <v>-13.86944947716797</v>
      </c>
      <c r="N77" s="147">
        <f>-CF!M7</f>
        <v>-15.921969570976776</v>
      </c>
      <c r="O77" s="147">
        <f>-CF!N7</f>
        <v>-18.018143250720339</v>
      </c>
      <c r="P77" s="147">
        <f>-CF!O7</f>
        <v>-20.075407627536293</v>
      </c>
      <c r="Q77" s="147">
        <f>-CF!P7</f>
        <v>-22.251083114928097</v>
      </c>
      <c r="R77" s="147">
        <f>-CF!Q7</f>
        <v>-24.552843992132772</v>
      </c>
      <c r="S77" s="147">
        <f>-CF!R7</f>
        <v>-26.935615034958587</v>
      </c>
      <c r="T77" s="147">
        <f>-CF!S7</f>
        <v>-29.5744737004527</v>
      </c>
      <c r="U77" s="148">
        <f>-CF!T7</f>
        <v>-32.668449649009339</v>
      </c>
      <c r="V77" s="56"/>
      <c r="W77" s="56"/>
      <c r="X77" s="56"/>
    </row>
    <row r="78" spans="1:24" ht="12.75" customHeight="1" outlineLevel="1">
      <c r="A78" s="55"/>
      <c r="B78" s="55"/>
      <c r="C78" s="427" t="s">
        <v>166</v>
      </c>
      <c r="D78" s="147">
        <f>D79-D74-D75-D77</f>
        <v>1.4662000000000001E-2</v>
      </c>
      <c r="E78" s="163">
        <f>E79-E74-E75-E77</f>
        <v>0</v>
      </c>
      <c r="F78" s="96">
        <f>F79-F74-F75-F77</f>
        <v>0</v>
      </c>
      <c r="G78" s="96">
        <f>G79-G74-G75-G77</f>
        <v>4.8475370000000018</v>
      </c>
      <c r="H78" s="96">
        <v>0</v>
      </c>
      <c r="I78" s="101">
        <v>0</v>
      </c>
      <c r="J78" s="101">
        <v>0</v>
      </c>
      <c r="K78" s="101">
        <v>0</v>
      </c>
      <c r="L78" s="101">
        <v>0</v>
      </c>
      <c r="M78" s="101">
        <v>0</v>
      </c>
      <c r="N78" s="101">
        <v>0</v>
      </c>
      <c r="O78" s="101">
        <v>0</v>
      </c>
      <c r="P78" s="101">
        <v>0</v>
      </c>
      <c r="Q78" s="101">
        <v>0</v>
      </c>
      <c r="R78" s="101">
        <v>0</v>
      </c>
      <c r="S78" s="101">
        <v>0</v>
      </c>
      <c r="T78" s="101">
        <v>0</v>
      </c>
      <c r="U78" s="105">
        <v>0</v>
      </c>
      <c r="V78" s="56"/>
      <c r="W78" s="56"/>
      <c r="X78" s="56"/>
    </row>
    <row r="79" spans="1:24" ht="12.75" customHeight="1" outlineLevel="1">
      <c r="A79" s="55"/>
      <c r="B79" s="55"/>
      <c r="C79" s="434" t="s">
        <v>167</v>
      </c>
      <c r="D79" s="107">
        <f>D12</f>
        <v>2.1159999999999998E-3</v>
      </c>
      <c r="E79" s="107">
        <f>E12</f>
        <v>2.8049999999999999E-2</v>
      </c>
      <c r="F79" s="106">
        <f>F12</f>
        <v>0.23558999999999999</v>
      </c>
      <c r="G79" s="106">
        <f>G12</f>
        <v>24.200582000000001</v>
      </c>
      <c r="H79" s="106">
        <f t="shared" ref="H79:L79" si="102">H74+H75+H77+H78</f>
        <v>42.071771249999998</v>
      </c>
      <c r="I79" s="106">
        <f t="shared" si="102"/>
        <v>57.247231018199997</v>
      </c>
      <c r="J79" s="106">
        <f t="shared" si="102"/>
        <v>74.205303907563973</v>
      </c>
      <c r="K79" s="106">
        <f t="shared" si="102"/>
        <v>89.223396228166763</v>
      </c>
      <c r="L79" s="106">
        <f t="shared" si="102"/>
        <v>97.887685595810439</v>
      </c>
      <c r="M79" s="106">
        <f t="shared" ref="M79:N79" si="103">M74+M75+M77+M78</f>
        <v>103.3287172477192</v>
      </c>
      <c r="N79" s="106">
        <f t="shared" si="103"/>
        <v>109.14810015778231</v>
      </c>
      <c r="O79" s="106">
        <f t="shared" ref="O79:T79" si="104">O74+O75+O77+O78</f>
        <v>111.31336658143975</v>
      </c>
      <c r="P79" s="106">
        <f t="shared" si="104"/>
        <v>112.20099652033656</v>
      </c>
      <c r="Q79" s="106">
        <f t="shared" si="104"/>
        <v>112.50142932085399</v>
      </c>
      <c r="R79" s="106">
        <f t="shared" si="104"/>
        <v>111.43322631800754</v>
      </c>
      <c r="S79" s="106">
        <f t="shared" si="104"/>
        <v>108.66923657485346</v>
      </c>
      <c r="T79" s="106">
        <f t="shared" si="104"/>
        <v>107.70107177459565</v>
      </c>
      <c r="U79" s="269">
        <f t="shared" ref="U79" si="105">U74+U75+U77+U78</f>
        <v>108.30651699042949</v>
      </c>
      <c r="V79" s="56"/>
      <c r="W79" s="56"/>
      <c r="X79" s="56"/>
    </row>
    <row r="80" spans="1:24" ht="12.75" customHeight="1" outlineLevel="1">
      <c r="A80" s="55"/>
      <c r="B80" s="55"/>
      <c r="C80" s="158"/>
      <c r="D80" s="79"/>
      <c r="E80" s="79"/>
      <c r="F80" s="79"/>
      <c r="G80" s="79"/>
      <c r="H80" s="79"/>
      <c r="I80" s="79"/>
      <c r="J80" s="79"/>
      <c r="K80" s="79"/>
      <c r="L80" s="79"/>
      <c r="M80" s="79"/>
      <c r="N80" s="191"/>
      <c r="O80" s="191"/>
      <c r="P80" s="191"/>
      <c r="Q80" s="191"/>
      <c r="R80" s="191"/>
      <c r="S80" s="191"/>
      <c r="T80" s="191"/>
      <c r="U80" s="191"/>
      <c r="V80" s="56"/>
      <c r="W80" s="56"/>
      <c r="X80" s="56"/>
    </row>
    <row r="81" spans="1:24" ht="12.75" customHeight="1" outlineLevel="1">
      <c r="A81" s="55"/>
      <c r="B81" s="55"/>
      <c r="C81" s="435" t="s">
        <v>140</v>
      </c>
      <c r="D81" s="109"/>
      <c r="E81" s="259">
        <v>10</v>
      </c>
      <c r="F81" s="79"/>
      <c r="G81" s="79"/>
      <c r="H81" s="79"/>
      <c r="I81" s="79"/>
      <c r="J81" s="79"/>
      <c r="K81" s="79"/>
      <c r="L81" s="79"/>
      <c r="M81" s="79"/>
      <c r="N81" s="191"/>
      <c r="O81" s="191"/>
      <c r="P81" s="191"/>
      <c r="Q81" s="191"/>
      <c r="R81" s="191"/>
      <c r="S81" s="191"/>
      <c r="T81" s="191"/>
      <c r="U81" s="191"/>
      <c r="V81" s="56"/>
      <c r="W81" s="56"/>
      <c r="X81" s="56"/>
    </row>
    <row r="82" spans="1:24" ht="12.75" customHeight="1" outlineLevel="1">
      <c r="A82" s="55"/>
      <c r="B82" s="55"/>
      <c r="C82" s="436"/>
      <c r="D82" s="99"/>
      <c r="E82" s="99"/>
      <c r="F82" s="99"/>
      <c r="G82" s="99"/>
      <c r="H82" s="99"/>
      <c r="I82" s="99"/>
      <c r="J82" s="99"/>
      <c r="K82" s="99"/>
      <c r="L82" s="99"/>
      <c r="M82" s="99"/>
      <c r="N82" s="99"/>
      <c r="O82" s="99"/>
      <c r="P82" s="99"/>
      <c r="Q82" s="99"/>
      <c r="R82" s="99"/>
      <c r="S82" s="99"/>
      <c r="T82" s="99"/>
      <c r="U82" s="100"/>
      <c r="V82" s="56"/>
      <c r="W82" s="56"/>
      <c r="X82" s="56"/>
    </row>
    <row r="83" spans="1:24" ht="12.75" customHeight="1" outlineLevel="1">
      <c r="A83" s="55"/>
      <c r="B83" s="55"/>
      <c r="C83" s="427" t="s">
        <v>28</v>
      </c>
      <c r="D83" s="108">
        <f>D102-SUM(D84:D93)</f>
        <v>1.4662600000000001E-2</v>
      </c>
      <c r="E83" s="108">
        <f>E102-SUM(E84:E93)</f>
        <v>1.663E-3</v>
      </c>
      <c r="F83" s="108">
        <f>E83-E83*(1/$E$81)</f>
        <v>1.4966999999999999E-3</v>
      </c>
      <c r="G83" s="108">
        <f>F83-F83*(1/$E$81)</f>
        <v>1.3470299999999999E-3</v>
      </c>
      <c r="H83" s="108">
        <f t="shared" ref="H83:M83" si="106">G83-G83*(1/$E$81)</f>
        <v>1.212327E-3</v>
      </c>
      <c r="I83" s="108">
        <f t="shared" si="106"/>
        <v>1.0910943E-3</v>
      </c>
      <c r="J83" s="108">
        <f t="shared" si="106"/>
        <v>9.8198486999999997E-4</v>
      </c>
      <c r="K83" s="108">
        <f t="shared" si="106"/>
        <v>8.83786383E-4</v>
      </c>
      <c r="L83" s="108">
        <f t="shared" si="106"/>
        <v>7.9540774469999995E-4</v>
      </c>
      <c r="M83" s="108">
        <f t="shared" si="106"/>
        <v>7.1586697022999997E-4</v>
      </c>
      <c r="N83" s="108">
        <f t="shared" ref="N83" si="107">M83-M83*(1/$E$81)</f>
        <v>6.44280273207E-4</v>
      </c>
      <c r="O83" s="108">
        <f t="shared" ref="O83" si="108">N83-N83*(1/$E$81)</f>
        <v>5.7985224588629999E-4</v>
      </c>
      <c r="P83" s="108">
        <f t="shared" ref="P83" si="109">O83-O83*(1/$E$81)</f>
        <v>5.2186702129766998E-4</v>
      </c>
      <c r="Q83" s="108">
        <f t="shared" ref="Q83" si="110">P83-P83*(1/$E$81)</f>
        <v>4.6968031916790298E-4</v>
      </c>
      <c r="R83" s="108">
        <f t="shared" ref="R83" si="111">Q83-Q83*(1/$E$81)</f>
        <v>4.2271228725111265E-4</v>
      </c>
      <c r="S83" s="108">
        <f t="shared" ref="S83:U83" si="112">R83-R83*(1/$E$81)</f>
        <v>3.804410585260014E-4</v>
      </c>
      <c r="T83" s="108">
        <f t="shared" ref="T83" si="113">S83-S83*(1/$E$81)</f>
        <v>3.4239695267340123E-4</v>
      </c>
      <c r="U83" s="110">
        <f t="shared" si="112"/>
        <v>3.0815725740606113E-4</v>
      </c>
      <c r="V83" s="56"/>
      <c r="W83" s="56"/>
      <c r="X83" s="56"/>
    </row>
    <row r="84" spans="1:24" ht="12.75" customHeight="1" outlineLevel="1">
      <c r="A84" s="55"/>
      <c r="B84" s="55"/>
      <c r="C84" s="427" t="s">
        <v>210</v>
      </c>
      <c r="D84" s="163">
        <f>D$75/$E$81/2</f>
        <v>1.114E-4</v>
      </c>
      <c r="E84" s="163">
        <f>MAX(0,MIN($D$84*2,E$75-SUM($D84:D84)))</f>
        <v>2.2279999999999999E-4</v>
      </c>
      <c r="F84" s="163">
        <f>MAX(0,MIN($D$84*2,F$75-SUM($D84:E84)))</f>
        <v>2.2279999999999999E-4</v>
      </c>
      <c r="G84" s="163">
        <f>MAX(0,MIN($D$84*2,G$75-SUM($D84:F84)))</f>
        <v>2.2279999999999999E-4</v>
      </c>
      <c r="H84" s="163">
        <f>MAX(0,MIN($D$84*2,H$75-SUM($D84:G84)))</f>
        <v>2.2279999999999999E-4</v>
      </c>
      <c r="I84" s="163">
        <f>MAX(0,MIN($D$84*2,I$75-SUM($D84:H84)))</f>
        <v>2.2279999999999999E-4</v>
      </c>
      <c r="J84" s="163">
        <f>MAX(0,MIN($D$84*2,J$75-SUM($D84:I84)))</f>
        <v>2.2279999999999999E-4</v>
      </c>
      <c r="K84" s="163">
        <f>MAX(0,MIN($D$84*2,K$75-SUM($D84:J84)))</f>
        <v>2.2279999999999999E-4</v>
      </c>
      <c r="L84" s="163">
        <f>MAX(0,MIN($D$84*2,L$75-SUM($D84:K84)))</f>
        <v>2.2279999999999999E-4</v>
      </c>
      <c r="M84" s="163">
        <f>MAX(0,MIN($D$84*2,M$75-SUM($D84:L84)))</f>
        <v>2.2279999999999999E-4</v>
      </c>
      <c r="N84" s="163">
        <f>MAX(0,MIN($D$84*2,N$75-SUM($D84:M84)))</f>
        <v>2.2279999999999999E-4</v>
      </c>
      <c r="O84" s="163">
        <f>MAX(0,MIN($D$84*2,O$75-SUM($D84:N84)))</f>
        <v>2.2279999999999999E-4</v>
      </c>
      <c r="P84" s="163">
        <f>MAX(0,MIN($D$84*2,P$75-SUM($D84:O84)))</f>
        <v>2.2279999999999999E-4</v>
      </c>
      <c r="Q84" s="163">
        <f>MAX(0,MIN($D$84*2,Q$75-SUM($D84:P84)))</f>
        <v>2.2279999999999999E-4</v>
      </c>
      <c r="R84" s="163">
        <f>MAX(0,MIN($D$84*2,R$75-SUM($D84:Q84)))</f>
        <v>2.2279999999999999E-4</v>
      </c>
      <c r="S84" s="163">
        <f>MAX(0,MIN($D$84*2,S$75-SUM($D84:R84)))</f>
        <v>2.2279999999999999E-4</v>
      </c>
      <c r="T84" s="163">
        <f>MAX(0,MIN($D$84*2,T$75-SUM($D84:S84)))</f>
        <v>2.2279999999999999E-4</v>
      </c>
      <c r="U84" s="188">
        <f>MAX(0,MIN($D$84*2,U$75-SUM($D84:T84)))</f>
        <v>2.2279999999999999E-4</v>
      </c>
      <c r="V84" s="56"/>
      <c r="W84" s="56"/>
      <c r="X84" s="56"/>
    </row>
    <row r="85" spans="1:24" ht="12.75" customHeight="1" outlineLevel="1">
      <c r="A85" s="55"/>
      <c r="B85" s="55"/>
      <c r="C85" s="427" t="s">
        <v>168</v>
      </c>
      <c r="D85" s="191"/>
      <c r="E85" s="163">
        <f>E$75/$E$81/2</f>
        <v>1.4642000000000001E-3</v>
      </c>
      <c r="F85" s="163">
        <f>MAX(0,MIN($E$85*2,F$75-SUM(E85:$E85)))</f>
        <v>2.9284000000000003E-3</v>
      </c>
      <c r="G85" s="163">
        <f>MAX(0,MIN($E$85*2,G$75-SUM($E85:F85)))</f>
        <v>2.9284000000000003E-3</v>
      </c>
      <c r="H85" s="163">
        <f>MAX(0,MIN($E$85*2,H$75-SUM($E85:G85)))</f>
        <v>2.9284000000000003E-3</v>
      </c>
      <c r="I85" s="163">
        <f>MAX(0,MIN($E$85*2,I$75-SUM($E85:H85)))</f>
        <v>2.9284000000000003E-3</v>
      </c>
      <c r="J85" s="163">
        <f>MAX(0,MIN($E$85*2,J$75-SUM($E85:I85)))</f>
        <v>2.9284000000000003E-3</v>
      </c>
      <c r="K85" s="163">
        <f>MAX(0,MIN($E$85*2,K$75-SUM($E85:J85)))</f>
        <v>2.9284000000000003E-3</v>
      </c>
      <c r="L85" s="163">
        <f>MAX(0,MIN($E$85*2,L$75-SUM($E85:K85)))</f>
        <v>2.9284000000000003E-3</v>
      </c>
      <c r="M85" s="163">
        <f>MAX(0,MIN($E$85*2,M$75-SUM($E85:L85)))</f>
        <v>2.9284000000000003E-3</v>
      </c>
      <c r="N85" s="163">
        <f>MAX(0,MIN($E$85*2,N$75-SUM($E85:M85)))</f>
        <v>2.9284000000000003E-3</v>
      </c>
      <c r="O85" s="163">
        <f>MAX(0,MIN($E$85*2,O$75-SUM($E85:N85)))</f>
        <v>2.9284000000000003E-3</v>
      </c>
      <c r="P85" s="163">
        <f>MAX(0,MIN($E$85*2,P$75-SUM($E85:O85)))</f>
        <v>2.9284000000000003E-3</v>
      </c>
      <c r="Q85" s="163">
        <f>MAX(0,MIN($E$85*2,Q$75-SUM($E85:P85)))</f>
        <v>2.9284000000000003E-3</v>
      </c>
      <c r="R85" s="163">
        <f>MAX(0,MIN($E$85*2,R$75-SUM($E85:Q85)))</f>
        <v>2.9284000000000003E-3</v>
      </c>
      <c r="S85" s="163">
        <f>MAX(0,MIN($E$85*2,S$75-SUM($E85:R85)))</f>
        <v>2.9284000000000003E-3</v>
      </c>
      <c r="T85" s="163">
        <f>MAX(0,MIN($E$85*2,T$75-SUM($E85:S85)))</f>
        <v>2.9284000000000003E-3</v>
      </c>
      <c r="U85" s="188">
        <f>MAX(0,MIN($E$85*2,U$75-SUM($E85:T85)))</f>
        <v>2.9284000000000003E-3</v>
      </c>
      <c r="V85" s="56"/>
      <c r="W85" s="56"/>
      <c r="X85" s="56"/>
    </row>
    <row r="86" spans="1:24" ht="12.75" customHeight="1" outlineLevel="1">
      <c r="A86" s="55"/>
      <c r="B86" s="55"/>
      <c r="C86" s="427" t="s">
        <v>169</v>
      </c>
      <c r="D86" s="191"/>
      <c r="E86" s="191"/>
      <c r="F86" s="163">
        <f>F$75/$E$81/2</f>
        <v>1.105015E-2</v>
      </c>
      <c r="G86" s="163">
        <f>MAX(0,MIN($F$86*2,G$75-SUM(F86:$F86)))</f>
        <v>2.21003E-2</v>
      </c>
      <c r="H86" s="163">
        <f>MAX(0,MIN($F$86*2,H$75-SUM($F86:G86)))</f>
        <v>2.21003E-2</v>
      </c>
      <c r="I86" s="163">
        <f>MAX(0,MIN($F$86*2,I$75-SUM($F86:H86)))</f>
        <v>2.21003E-2</v>
      </c>
      <c r="J86" s="163">
        <f>MAX(0,MIN($F$86*2,J$75-SUM($F86:I86)))</f>
        <v>2.21003E-2</v>
      </c>
      <c r="K86" s="163">
        <f>MAX(0,MIN($F$86*2,K$75-SUM($F86:J86)))</f>
        <v>2.21003E-2</v>
      </c>
      <c r="L86" s="163">
        <f>MAX(0,MIN($F$86*2,L$75-SUM($F86:K86)))</f>
        <v>2.21003E-2</v>
      </c>
      <c r="M86" s="163">
        <f>MAX(0,MIN($F$86*2,M$75-SUM($F86:L86)))</f>
        <v>2.21003E-2</v>
      </c>
      <c r="N86" s="163">
        <f>MAX(0,MIN($F$86*2,N$75-SUM($F86:M86)))</f>
        <v>2.21003E-2</v>
      </c>
      <c r="O86" s="163">
        <f>MAX(0,MIN($F$86*2,O$75-SUM($F86:N86)))</f>
        <v>2.21003E-2</v>
      </c>
      <c r="P86" s="163">
        <f>MAX(0,MIN($F$86*2,P$75-SUM($F86:O86)))</f>
        <v>2.21003E-2</v>
      </c>
      <c r="Q86" s="163">
        <f>MAX(0,MIN($F$86*2,Q$75-SUM($F86:P86)))</f>
        <v>2.21003E-2</v>
      </c>
      <c r="R86" s="163">
        <f>MAX(0,MIN($F$86*2,R$75-SUM($F86:Q86)))</f>
        <v>2.21003E-2</v>
      </c>
      <c r="S86" s="163">
        <f>MAX(0,MIN($F$86*2,S$75-SUM($F86:R86)))</f>
        <v>2.21003E-2</v>
      </c>
      <c r="T86" s="163">
        <f>MAX(0,MIN($F$86*2,T$75-SUM($F86:S86)))</f>
        <v>2.21003E-2</v>
      </c>
      <c r="U86" s="188">
        <f>MAX(0,MIN($F$86*2,U$75-SUM($F86:T86)))</f>
        <v>2.21003E-2</v>
      </c>
      <c r="V86" s="56"/>
      <c r="W86" s="56"/>
      <c r="X86" s="56"/>
    </row>
    <row r="87" spans="1:24" ht="12.75" customHeight="1" outlineLevel="1">
      <c r="A87" s="55"/>
      <c r="B87" s="55"/>
      <c r="C87" s="427" t="s">
        <v>170</v>
      </c>
      <c r="D87" s="191"/>
      <c r="E87" s="191"/>
      <c r="F87" s="163"/>
      <c r="G87" s="163">
        <f>G$75/$E$81/2</f>
        <v>0.95910424999999999</v>
      </c>
      <c r="H87" s="163">
        <f>MAX(0,MIN($G$87*2,H$75-SUM(G87:$G87)))</f>
        <v>1.9182085</v>
      </c>
      <c r="I87" s="163">
        <f>MAX(0,MIN($G$87*2,I$75-SUM($G87:H87)))</f>
        <v>1.9182085</v>
      </c>
      <c r="J87" s="163">
        <f>MAX(0,MIN($G$87*2,J$75-SUM($G87:I87)))</f>
        <v>1.9182085</v>
      </c>
      <c r="K87" s="163">
        <f>MAX(0,MIN($G$87*2,K$75-SUM($G87:J87)))</f>
        <v>1.9182085</v>
      </c>
      <c r="L87" s="163">
        <f>MAX(0,MIN($G$87*2,L$75-SUM($G87:K87)))</f>
        <v>1.9182085</v>
      </c>
      <c r="M87" s="163">
        <f>MAX(0,MIN($G$87*2,M$75-SUM($G87:L87)))</f>
        <v>1.9182085</v>
      </c>
      <c r="N87" s="163">
        <f>MAX(0,MIN($G$87*2,N$75-SUM($G87:M87)))</f>
        <v>1.9182085</v>
      </c>
      <c r="O87" s="163">
        <f>MAX(0,MIN($G$87*2,O$75-SUM($G87:N87)))</f>
        <v>1.9182085</v>
      </c>
      <c r="P87" s="163">
        <f>MAX(0,MIN($G$87*2,P$75-SUM($G87:O87)))</f>
        <v>1.9182085</v>
      </c>
      <c r="Q87" s="163">
        <f>MAX(0,MIN($G$87*2,Q$75-SUM($G87:P87)))</f>
        <v>1.9182085</v>
      </c>
      <c r="R87" s="163">
        <f>MAX(0,MIN($G$87*2,R$75-SUM($G87:Q87)))</f>
        <v>1.9182085</v>
      </c>
      <c r="S87" s="163">
        <f>MAX(0,MIN($G$87*2,S$75-SUM($G87:R87)))</f>
        <v>1.9182085</v>
      </c>
      <c r="T87" s="163">
        <f>MAX(0,MIN($G$87*2,T$75-SUM($G87:S87)))</f>
        <v>1.9182085</v>
      </c>
      <c r="U87" s="188">
        <f>MAX(0,MIN($G$87*2,U$75-SUM($G87:T87)))</f>
        <v>1.9182085</v>
      </c>
      <c r="V87" s="56"/>
      <c r="W87" s="56"/>
      <c r="X87" s="56"/>
    </row>
    <row r="88" spans="1:24" ht="12.75" customHeight="1" outlineLevel="1">
      <c r="A88" s="55"/>
      <c r="B88" s="55"/>
      <c r="C88" s="427" t="s">
        <v>171</v>
      </c>
      <c r="D88" s="191"/>
      <c r="E88" s="191"/>
      <c r="F88" s="163"/>
      <c r="G88" s="163"/>
      <c r="H88" s="163">
        <f>H$75/$E$81/2</f>
        <v>1.0070594625</v>
      </c>
      <c r="I88" s="163">
        <f>MAX(0,MIN($H$88*2,I$75-SUM(H88:$H88)))</f>
        <v>2.014118925</v>
      </c>
      <c r="J88" s="163">
        <f>MAX(0,MIN($H$88*2,J$75-SUM($H88:I88)))</f>
        <v>2.014118925</v>
      </c>
      <c r="K88" s="163">
        <f>MAX(0,MIN($H$88*2,K$75-SUM($H88:J88)))</f>
        <v>2.014118925</v>
      </c>
      <c r="L88" s="163">
        <f>MAX(0,MIN($H$88*2,L$75-SUM($H88:K88)))</f>
        <v>2.014118925</v>
      </c>
      <c r="M88" s="163">
        <f>MAX(0,MIN($H$88*2,M$75-SUM($H88:L88)))</f>
        <v>2.014118925</v>
      </c>
      <c r="N88" s="163">
        <f>MAX(0,MIN($H$88*2,N$75-SUM($H88:M88)))</f>
        <v>2.014118925</v>
      </c>
      <c r="O88" s="163">
        <f>MAX(0,MIN($H$88*2,O$75-SUM($H88:N88)))</f>
        <v>2.014118925</v>
      </c>
      <c r="P88" s="163">
        <f>MAX(0,MIN($H$88*2,P$75-SUM($H88:O88)))</f>
        <v>2.014118925</v>
      </c>
      <c r="Q88" s="163">
        <f>MAX(0,MIN($H$88*2,Q$75-SUM($H88:P88)))</f>
        <v>2.014118925</v>
      </c>
      <c r="R88" s="163">
        <f>MAX(0,MIN($H$88*2,R$75-SUM($H88:Q88)))</f>
        <v>2.014118925</v>
      </c>
      <c r="S88" s="163">
        <f>MAX(0,MIN($H$88*2,S$75-SUM($H88:R88)))</f>
        <v>2.014118925</v>
      </c>
      <c r="T88" s="163">
        <f>MAX(0,MIN($H$88*2,T$75-SUM($H88:S88)))</f>
        <v>2.014118925</v>
      </c>
      <c r="U88" s="188">
        <f>MAX(0,MIN($H$88*2,U$75-SUM($H88:T88)))</f>
        <v>2.014118925</v>
      </c>
      <c r="V88" s="56"/>
      <c r="W88" s="56"/>
      <c r="X88" s="56"/>
    </row>
    <row r="89" spans="1:24" ht="12.75" customHeight="1" outlineLevel="1">
      <c r="A89" s="55"/>
      <c r="B89" s="55"/>
      <c r="C89" s="427" t="s">
        <v>172</v>
      </c>
      <c r="D89" s="191"/>
      <c r="E89" s="191"/>
      <c r="F89" s="163"/>
      <c r="G89" s="163"/>
      <c r="H89" s="163"/>
      <c r="I89" s="163">
        <f>I$75/$E$81/2</f>
        <v>1.0070594625</v>
      </c>
      <c r="J89" s="163">
        <f>MAX(0,MIN($I$89*2,J$75-SUM(I89:$I89)))</f>
        <v>2.014118925</v>
      </c>
      <c r="K89" s="163">
        <f>MAX(0,MIN($I$89*2,K$75-SUM($I89:J89)))</f>
        <v>2.014118925</v>
      </c>
      <c r="L89" s="163">
        <f>MAX(0,MIN($I$89*2,L$75-SUM($I89:K89)))</f>
        <v>2.014118925</v>
      </c>
      <c r="M89" s="163">
        <f>MAX(0,MIN($I$89*2,M$75-SUM($I89:L89)))</f>
        <v>2.014118925</v>
      </c>
      <c r="N89" s="163">
        <f>MAX(0,MIN($I$89*2,N$75-SUM($I89:M89)))</f>
        <v>2.014118925</v>
      </c>
      <c r="O89" s="163">
        <f>MAX(0,MIN($I$89*2,O$75-SUM($I89:N89)))</f>
        <v>2.014118925</v>
      </c>
      <c r="P89" s="163">
        <f>MAX(0,MIN($I$89*2,P$75-SUM($I89:O89)))</f>
        <v>2.014118925</v>
      </c>
      <c r="Q89" s="163">
        <f>MAX(0,MIN($I$89*2,Q$75-SUM($I89:P89)))</f>
        <v>2.014118925</v>
      </c>
      <c r="R89" s="163">
        <f>MAX(0,MIN($I$89*2,R$75-SUM($I89:Q89)))</f>
        <v>2.014118925</v>
      </c>
      <c r="S89" s="163">
        <f>MAX(0,MIN($I$89*2,S$75-SUM($I89:R89)))</f>
        <v>2.014118925</v>
      </c>
      <c r="T89" s="163">
        <f>MAX(0,MIN($I$89*2,T$75-SUM($I89:S89)))</f>
        <v>2.014118925</v>
      </c>
      <c r="U89" s="188">
        <f>MAX(0,MIN($I$89*2,U$75-SUM($I89:T89)))</f>
        <v>2.014118925</v>
      </c>
      <c r="V89" s="56"/>
      <c r="W89" s="56"/>
      <c r="X89" s="56"/>
    </row>
    <row r="90" spans="1:24" ht="12.75" customHeight="1" outlineLevel="1">
      <c r="A90" s="55"/>
      <c r="B90" s="55"/>
      <c r="C90" s="427" t="s">
        <v>173</v>
      </c>
      <c r="D90" s="191"/>
      <c r="E90" s="191"/>
      <c r="F90" s="163"/>
      <c r="G90" s="163"/>
      <c r="H90" s="163"/>
      <c r="I90" s="163"/>
      <c r="J90" s="163">
        <f>J$75/$E$81/2</f>
        <v>1.2068817223281041</v>
      </c>
      <c r="K90" s="163">
        <f>MAX(0,MIN($J$90*2,K$75-SUM(J90:$J90)))</f>
        <v>2.4137634446562082</v>
      </c>
      <c r="L90" s="163">
        <f>MAX(0,MIN($J$90*2,L$75-SUM($J90:K90)))</f>
        <v>2.4137634446562082</v>
      </c>
      <c r="M90" s="163">
        <f>MAX(0,MIN($J$90*2,M$75-SUM($J90:L90)))</f>
        <v>2.4137634446562082</v>
      </c>
      <c r="N90" s="163">
        <f>MAX(0,MIN($J$90*2,N$75-SUM($J90:M90)))</f>
        <v>2.4137634446562082</v>
      </c>
      <c r="O90" s="163">
        <f>MAX(0,MIN($J$90*2,O$75-SUM($J90:N90)))</f>
        <v>2.4137634446562082</v>
      </c>
      <c r="P90" s="163">
        <f>MAX(0,MIN($J$90*2,P$75-SUM($J90:O90)))</f>
        <v>2.4137634446562082</v>
      </c>
      <c r="Q90" s="163">
        <f>MAX(0,MIN($J$90*2,Q$75-SUM($J90:P90)))</f>
        <v>2.4137634446562082</v>
      </c>
      <c r="R90" s="163">
        <f>MAX(0,MIN($J$90*2,R$75-SUM($J90:Q90)))</f>
        <v>2.4137634446562082</v>
      </c>
      <c r="S90" s="163">
        <f>MAX(0,MIN($J$90*2,S$75-SUM($J90:R90)))</f>
        <v>2.4137634446562082</v>
      </c>
      <c r="T90" s="163">
        <f>MAX(0,MIN($J$90*2,T$75-SUM($J90:S90)))</f>
        <v>2.4137634446562082</v>
      </c>
      <c r="U90" s="188">
        <f>MAX(0,MIN($J$90*2,U$75-SUM($J90:T90)))</f>
        <v>2.4137634446562082</v>
      </c>
      <c r="V90" s="56"/>
      <c r="W90" s="56"/>
      <c r="X90" s="56"/>
    </row>
    <row r="91" spans="1:24" ht="12.75" customHeight="1" outlineLevel="1">
      <c r="A91" s="55"/>
      <c r="B91" s="55"/>
      <c r="C91" s="427" t="s">
        <v>174</v>
      </c>
      <c r="D91" s="191"/>
      <c r="E91" s="191"/>
      <c r="F91" s="163"/>
      <c r="G91" s="163"/>
      <c r="H91" s="163"/>
      <c r="I91" s="163"/>
      <c r="J91" s="163"/>
      <c r="K91" s="163">
        <f>K$75/$E$81/2</f>
        <v>1.2318124948232629</v>
      </c>
      <c r="L91" s="163">
        <f>MAX(0,MIN(K91*2,L$75-SUM(K91:$K91)))</f>
        <v>2.4636249896465259</v>
      </c>
      <c r="M91" s="163">
        <f>MAX(0,MIN($K$91*2,M$75-SUM($K91:L91)))</f>
        <v>2.4636249896465259</v>
      </c>
      <c r="N91" s="163">
        <f>MAX(0,MIN(K91*2,N$75-SUM($K91:M91)))</f>
        <v>2.4636249896465259</v>
      </c>
      <c r="O91" s="163">
        <f>MAX(0,MIN(K91*2,O$75-SUM($K91:N91)))</f>
        <v>2.4636249896465259</v>
      </c>
      <c r="P91" s="163">
        <f>MAX(0,MIN(K91*2,P$75-SUM($K91:O91)))</f>
        <v>2.4636249896465259</v>
      </c>
      <c r="Q91" s="163">
        <f>MAX(0,MIN(K91*2,Q$75-SUM($K91:P91)))</f>
        <v>2.4636249896465259</v>
      </c>
      <c r="R91" s="163">
        <f>MAX(0,MIN(K91*2,R$75-SUM($K91:Q91)))</f>
        <v>2.4636249896465259</v>
      </c>
      <c r="S91" s="163">
        <f>MAX(0,MIN(K91*2,S$75-SUM($K91:R91)))</f>
        <v>2.4636249896465259</v>
      </c>
      <c r="T91" s="163">
        <f>MAX(0,MIN(K91*2,T$75-SUM($K91:S91)))</f>
        <v>2.4636249896465259</v>
      </c>
      <c r="U91" s="188">
        <f>MAX(0,MIN(K91*2,U$75-SUM($K91:T91)))</f>
        <v>2.4636249896465259</v>
      </c>
      <c r="V91" s="56"/>
      <c r="W91" s="56"/>
      <c r="X91" s="56"/>
    </row>
    <row r="92" spans="1:24" ht="12.75" customHeight="1" outlineLevel="1">
      <c r="A92" s="55"/>
      <c r="B92" s="55"/>
      <c r="C92" s="427" t="s">
        <v>176</v>
      </c>
      <c r="D92" s="191"/>
      <c r="E92" s="191"/>
      <c r="F92" s="163"/>
      <c r="G92" s="163"/>
      <c r="H92" s="163"/>
      <c r="I92" s="163"/>
      <c r="J92" s="163"/>
      <c r="K92" s="163"/>
      <c r="L92" s="163">
        <f>L$75/$E$81/2</f>
        <v>1.0270616347205845</v>
      </c>
      <c r="M92" s="163">
        <f>MAX(0,MIN($L$92*2,M$75-SUM(L92:$L92)))</f>
        <v>2.0541232694411691</v>
      </c>
      <c r="N92" s="163">
        <f>MAX(0,MIN(L92*2,N$75-SUM(L92:$M92)))</f>
        <v>2.0541232694411691</v>
      </c>
      <c r="O92" s="163">
        <f>MAX(0,MIN($L$92*2,O$75-SUM($L92:N92)))</f>
        <v>2.0541232694411691</v>
      </c>
      <c r="P92" s="163">
        <f>MAX(0,MIN($L$92*2,P$75-SUM($L92:O92)))</f>
        <v>2.0541232694411691</v>
      </c>
      <c r="Q92" s="163">
        <f>MAX(0,MIN($L$92*2,Q$75-SUM($L92:P92)))</f>
        <v>2.0541232694411691</v>
      </c>
      <c r="R92" s="163">
        <f>MAX(0,MIN($L$92*2,R$75-SUM($L92:Q92)))</f>
        <v>2.0541232694411691</v>
      </c>
      <c r="S92" s="163">
        <f>MAX(0,MIN($L$92*2,S$75-SUM($L92:R92)))</f>
        <v>2.0541232694411691</v>
      </c>
      <c r="T92" s="163">
        <f>MAX(0,MIN($L$92*2,T$75-SUM($L92:S92)))</f>
        <v>2.0541232694411691</v>
      </c>
      <c r="U92" s="188">
        <f>MAX(0,MIN($L$92*2,U$75-SUM($L92:T92)))</f>
        <v>2.0541232694411691</v>
      </c>
      <c r="V92" s="56"/>
      <c r="W92" s="56"/>
      <c r="X92" s="56"/>
    </row>
    <row r="93" spans="1:24" ht="12.75" customHeight="1" outlineLevel="1">
      <c r="A93" s="55"/>
      <c r="B93" s="55"/>
      <c r="C93" s="427" t="s">
        <v>201</v>
      </c>
      <c r="D93" s="191"/>
      <c r="E93" s="191"/>
      <c r="F93" s="163"/>
      <c r="G93" s="163"/>
      <c r="H93" s="163"/>
      <c r="I93" s="163"/>
      <c r="J93" s="163"/>
      <c r="K93" s="163"/>
      <c r="L93" s="163"/>
      <c r="M93" s="163">
        <f>M$75/$E$81/2</f>
        <v>0.96552405645383677</v>
      </c>
      <c r="N93" s="163">
        <f>MAX(0,MIN($M$93*2,N$75-SUM($M$93:M93)))</f>
        <v>1.9310481129076735</v>
      </c>
      <c r="O93" s="163">
        <f>MAX(0,MIN($M$93*2,O$75-SUM($M$93:N93)))</f>
        <v>1.9310481129076735</v>
      </c>
      <c r="P93" s="163">
        <f>MAX(0,MIN($M$93*2,P$75-SUM($M$93:O93)))</f>
        <v>1.9310481129076735</v>
      </c>
      <c r="Q93" s="163">
        <f>MAX(0,MIN($M$93*2,Q$75-SUM($M$93:P93)))</f>
        <v>1.9310481129076735</v>
      </c>
      <c r="R93" s="163">
        <f>MAX(0,MIN($M$93*2,R$75-SUM($M$93:Q93)))</f>
        <v>1.9310481129076735</v>
      </c>
      <c r="S93" s="163">
        <f>MAX(0,MIN($M$93*2,S$75-SUM($M$93:R93)))</f>
        <v>1.9310481129076735</v>
      </c>
      <c r="T93" s="163">
        <f>MAX(0,MIN($M$93*2,T$75-SUM($M$93:S93)))</f>
        <v>1.9310481129076735</v>
      </c>
      <c r="U93" s="188">
        <f>MAX(0,MIN($M$93*2,U$75-SUM($M$93:T93)))</f>
        <v>1.9310481129076735</v>
      </c>
      <c r="V93" s="56"/>
      <c r="W93" s="56"/>
      <c r="X93" s="56"/>
    </row>
    <row r="94" spans="1:24" ht="12.75" customHeight="1" outlineLevel="1">
      <c r="A94" s="189"/>
      <c r="B94" s="189"/>
      <c r="C94" s="427" t="s">
        <v>202</v>
      </c>
      <c r="D94" s="191"/>
      <c r="E94" s="191"/>
      <c r="F94" s="163"/>
      <c r="G94" s="163"/>
      <c r="H94" s="163"/>
      <c r="I94" s="163"/>
      <c r="J94" s="163"/>
      <c r="K94" s="163"/>
      <c r="L94" s="163"/>
      <c r="M94" s="163"/>
      <c r="N94" s="163">
        <f>N$75/$E$81/2</f>
        <v>1.0870676240519939</v>
      </c>
      <c r="O94" s="163">
        <f>MAX(0,MIN($N$94*2,O$75-SUM($N$94:N94)))</f>
        <v>2.1741352481039877</v>
      </c>
      <c r="P94" s="163">
        <f>MAX(0,MIN($N$94*2,P$75-SUM($N$94:O94)))</f>
        <v>2.1741352481039877</v>
      </c>
      <c r="Q94" s="163">
        <f>MAX(0,MIN($N$94*2,Q$75-SUM($N$94:P94)))</f>
        <v>2.1741352481039877</v>
      </c>
      <c r="R94" s="163">
        <f>MAX(0,MIN($N$94*2,R$75-SUM($N$94:Q94)))</f>
        <v>2.1741352481039877</v>
      </c>
      <c r="S94" s="163">
        <f>MAX(0,MIN($N$94*2,S$75-SUM($N$94:R94)))</f>
        <v>2.1741352481039877</v>
      </c>
      <c r="T94" s="163">
        <f>MAX(0,MIN($N$94*2,T$75-SUM($N$94:S94)))</f>
        <v>2.1741352481039877</v>
      </c>
      <c r="U94" s="188">
        <f>MAX(0,MIN($N$94*2,U$75-SUM($N$94:T94)))</f>
        <v>2.1741352481039877</v>
      </c>
      <c r="V94" s="190"/>
      <c r="W94" s="190"/>
      <c r="X94" s="190"/>
    </row>
    <row r="95" spans="1:24" ht="12.75" customHeight="1" outlineLevel="1">
      <c r="A95" s="189"/>
      <c r="B95" s="189"/>
      <c r="C95" s="427" t="s">
        <v>318</v>
      </c>
      <c r="D95" s="191"/>
      <c r="E95" s="191"/>
      <c r="F95" s="163"/>
      <c r="G95" s="163"/>
      <c r="H95" s="163"/>
      <c r="I95" s="163"/>
      <c r="J95" s="163"/>
      <c r="K95" s="163"/>
      <c r="L95" s="163"/>
      <c r="M95" s="163"/>
      <c r="N95" s="163"/>
      <c r="O95" s="163">
        <f>O$75/$E$81/2</f>
        <v>1.0091704837188895</v>
      </c>
      <c r="P95" s="163">
        <f>MAX(0,MIN($O$95*2,P$75-SUM($O$95:O95)))</f>
        <v>2.018340967437779</v>
      </c>
      <c r="Q95" s="163">
        <f>MAX(0,MIN($O$95*2,Q$75-SUM($O$95:P95)))</f>
        <v>2.018340967437779</v>
      </c>
      <c r="R95" s="163">
        <f>MAX(0,MIN($O$95*2,R$75-SUM($O$95:Q95)))</f>
        <v>2.018340967437779</v>
      </c>
      <c r="S95" s="163">
        <f>MAX(0,MIN($O$95*2,S$75-SUM($O$95:R95)))</f>
        <v>2.018340967437779</v>
      </c>
      <c r="T95" s="163">
        <f>MAX(0,MIN($O$95*2,T$75-SUM($O$95:S95)))</f>
        <v>2.018340967437779</v>
      </c>
      <c r="U95" s="188">
        <f>MAX(0,MIN($O$95*2,U$75-SUM($O$95:T95)))</f>
        <v>2.018340967437779</v>
      </c>
      <c r="V95" s="190"/>
      <c r="W95" s="190"/>
      <c r="X95" s="190"/>
    </row>
    <row r="96" spans="1:24" ht="12.75" customHeight="1" outlineLevel="1">
      <c r="A96" s="189"/>
      <c r="B96" s="189"/>
      <c r="C96" s="427" t="s">
        <v>319</v>
      </c>
      <c r="D96" s="191"/>
      <c r="E96" s="191"/>
      <c r="F96" s="163"/>
      <c r="G96" s="163"/>
      <c r="H96" s="163"/>
      <c r="I96" s="163"/>
      <c r="J96" s="163"/>
      <c r="K96" s="163"/>
      <c r="L96" s="163"/>
      <c r="M96" s="163"/>
      <c r="N96" s="163"/>
      <c r="O96" s="163"/>
      <c r="P96" s="163">
        <f>P$75/$E$81/2</f>
        <v>1.0481518783216546</v>
      </c>
      <c r="Q96" s="163">
        <f>MAX(0,MIN($P$96*2,Q$75-SUM($P$96:P96)))</f>
        <v>2.0963037566433091</v>
      </c>
      <c r="R96" s="163">
        <f>MAX(0,MIN($P$96*2,R$75-SUM($P$96:Q96)))</f>
        <v>2.0963037566433091</v>
      </c>
      <c r="S96" s="163">
        <f>MAX(0,MIN($P$96*2,S$75-SUM($P$96:R96)))</f>
        <v>2.0963037566433091</v>
      </c>
      <c r="T96" s="163">
        <f>MAX(0,MIN($P$96*2,T$75-SUM($P$96:S96)))</f>
        <v>2.0963037566433091</v>
      </c>
      <c r="U96" s="188">
        <f>MAX(0,MIN($P$96*2,U$75-SUM($P$96:T96)))</f>
        <v>2.0963037566433091</v>
      </c>
      <c r="V96" s="190"/>
      <c r="W96" s="190"/>
      <c r="X96" s="190"/>
    </row>
    <row r="97" spans="1:24" ht="12.75" customHeight="1" outlineLevel="1">
      <c r="A97" s="189"/>
      <c r="B97" s="189"/>
      <c r="C97" s="427" t="s">
        <v>320</v>
      </c>
      <c r="D97" s="191"/>
      <c r="E97" s="191"/>
      <c r="F97" s="163"/>
      <c r="G97" s="163"/>
      <c r="H97" s="163"/>
      <c r="I97" s="163"/>
      <c r="J97" s="163"/>
      <c r="K97" s="163"/>
      <c r="L97" s="163"/>
      <c r="M97" s="163"/>
      <c r="N97" s="163"/>
      <c r="O97" s="163"/>
      <c r="P97" s="163"/>
      <c r="Q97" s="163">
        <f>Q$75/$E$81/2</f>
        <v>1.1275757957722754</v>
      </c>
      <c r="R97" s="163">
        <f>MAX(0,MIN($Q$97*2,R$75-SUM($Q$97:Q97)))</f>
        <v>2.2551515915445508</v>
      </c>
      <c r="S97" s="163">
        <f>MAX(0,MIN($Q$97*2,S$75-SUM($Q$97:R97)))</f>
        <v>2.2551515915445508</v>
      </c>
      <c r="T97" s="163">
        <f>MAX(0,MIN($Q$97*2,T$75-SUM($Q$97:S97)))</f>
        <v>2.2551515915445508</v>
      </c>
      <c r="U97" s="188">
        <f>MAX(0,MIN($Q$97*2,U$75-SUM($Q$97:T97)))</f>
        <v>2.2551515915445508</v>
      </c>
      <c r="V97" s="190"/>
      <c r="W97" s="190"/>
      <c r="X97" s="190"/>
    </row>
    <row r="98" spans="1:24" ht="12.75" customHeight="1" outlineLevel="1">
      <c r="A98" s="189"/>
      <c r="B98" s="189"/>
      <c r="C98" s="427" t="s">
        <v>321</v>
      </c>
      <c r="D98" s="191"/>
      <c r="E98" s="191"/>
      <c r="F98" s="163"/>
      <c r="G98" s="163"/>
      <c r="H98" s="163"/>
      <c r="I98" s="163"/>
      <c r="J98" s="163"/>
      <c r="K98" s="163"/>
      <c r="L98" s="163"/>
      <c r="M98" s="163"/>
      <c r="N98" s="163"/>
      <c r="O98" s="163"/>
      <c r="P98" s="163"/>
      <c r="Q98" s="163"/>
      <c r="R98" s="163">
        <f>R$75/$E$81/2</f>
        <v>1.1742320494643173</v>
      </c>
      <c r="S98" s="163">
        <f>MAX(0,MIN($R$98*2,S$75-SUM($R$98:R98)))</f>
        <v>2.3484640989286345</v>
      </c>
      <c r="T98" s="163">
        <f>MAX(0,MIN($R$98*2,T$75-SUM($R$98:S98)))</f>
        <v>2.3484640989286345</v>
      </c>
      <c r="U98" s="188">
        <f>MAX(0,MIN($R$98*2,U$75-SUM($R$98:T98)))</f>
        <v>2.3484640989286345</v>
      </c>
      <c r="V98" s="190"/>
      <c r="W98" s="190"/>
      <c r="X98" s="190"/>
    </row>
    <row r="99" spans="1:24" ht="12.75" customHeight="1" outlineLevel="1">
      <c r="A99" s="189"/>
      <c r="B99" s="189"/>
      <c r="C99" s="427" t="s">
        <v>322</v>
      </c>
      <c r="D99" s="191"/>
      <c r="E99" s="191"/>
      <c r="F99" s="163"/>
      <c r="G99" s="163"/>
      <c r="H99" s="163"/>
      <c r="I99" s="163"/>
      <c r="J99" s="163"/>
      <c r="K99" s="163"/>
      <c r="L99" s="163"/>
      <c r="M99" s="163"/>
      <c r="N99" s="163"/>
      <c r="O99" s="163"/>
      <c r="P99" s="163"/>
      <c r="Q99" s="163"/>
      <c r="R99" s="163"/>
      <c r="S99" s="163">
        <f>S$75/$E$81/2</f>
        <v>1.2085812645902245</v>
      </c>
      <c r="T99" s="163">
        <f>MAX(0,MIN($S$99*2,T$75-SUM($S$99:S99)))</f>
        <v>2.417162529180449</v>
      </c>
      <c r="U99" s="188">
        <f>MAX(0,MIN($S$99*2,U$75-SUM($S$99:T99)))</f>
        <v>2.417162529180449</v>
      </c>
      <c r="V99" s="190"/>
      <c r="W99" s="190"/>
      <c r="X99" s="190"/>
    </row>
    <row r="100" spans="1:24" ht="12.75" customHeight="1" outlineLevel="1">
      <c r="A100" s="189"/>
      <c r="B100" s="189"/>
      <c r="C100" s="427" t="s">
        <v>323</v>
      </c>
      <c r="D100" s="191"/>
      <c r="E100" s="191"/>
      <c r="F100" s="163"/>
      <c r="G100" s="163"/>
      <c r="H100" s="163"/>
      <c r="I100" s="163"/>
      <c r="J100" s="163"/>
      <c r="K100" s="163"/>
      <c r="L100" s="163"/>
      <c r="M100" s="163"/>
      <c r="N100" s="163"/>
      <c r="O100" s="163"/>
      <c r="P100" s="163"/>
      <c r="Q100" s="163"/>
      <c r="R100" s="163"/>
      <c r="S100" s="163"/>
      <c r="T100" s="163">
        <f>T$75/$E$81/2</f>
        <v>1.4303154450097444</v>
      </c>
      <c r="U100" s="188">
        <f>MAX(0,MIN($T$100*2,U$75-SUM($T$100:T100)))</f>
        <v>2.8606308900194888</v>
      </c>
      <c r="V100" s="190"/>
      <c r="W100" s="190"/>
      <c r="X100" s="190"/>
    </row>
    <row r="101" spans="1:24" ht="12.75" customHeight="1" outlineLevel="1">
      <c r="A101" s="189"/>
      <c r="B101" s="189"/>
      <c r="C101" s="427" t="s">
        <v>324</v>
      </c>
      <c r="D101" s="191"/>
      <c r="E101" s="191"/>
      <c r="F101" s="163"/>
      <c r="G101" s="163"/>
      <c r="H101" s="163"/>
      <c r="I101" s="163"/>
      <c r="J101" s="163"/>
      <c r="K101" s="163"/>
      <c r="L101" s="163"/>
      <c r="M101" s="163"/>
      <c r="N101" s="163"/>
      <c r="O101" s="163"/>
      <c r="P101" s="163"/>
      <c r="Q101" s="163"/>
      <c r="R101" s="163"/>
      <c r="S101" s="163"/>
      <c r="T101" s="163"/>
      <c r="U101" s="188">
        <f>U$75/$E$81/2</f>
        <v>1.6636947432421589</v>
      </c>
      <c r="V101" s="190"/>
      <c r="W101" s="190"/>
      <c r="X101" s="190"/>
    </row>
    <row r="102" spans="1:24" ht="12.75" customHeight="1" outlineLevel="1">
      <c r="A102" s="55"/>
      <c r="B102" s="55"/>
      <c r="C102" s="437" t="s">
        <v>175</v>
      </c>
      <c r="D102" s="107">
        <f>-D77</f>
        <v>1.4774000000000001E-2</v>
      </c>
      <c r="E102" s="107">
        <f>-E77</f>
        <v>3.3500000000000001E-3</v>
      </c>
      <c r="F102" s="107">
        <f t="shared" ref="F102:M102" si="114">SUM(F83:F93)</f>
        <v>1.5698049999999998E-2</v>
      </c>
      <c r="G102" s="107">
        <f t="shared" si="114"/>
        <v>0.98570278</v>
      </c>
      <c r="H102" s="107">
        <f t="shared" si="114"/>
        <v>2.9517317895000001</v>
      </c>
      <c r="I102" s="107">
        <f t="shared" si="114"/>
        <v>4.9657294818000004</v>
      </c>
      <c r="J102" s="107">
        <f t="shared" si="114"/>
        <v>7.1795615571981042</v>
      </c>
      <c r="K102" s="107">
        <f t="shared" si="114"/>
        <v>9.6181575758624707</v>
      </c>
      <c r="L102" s="107">
        <f t="shared" si="114"/>
        <v>11.87694332676802</v>
      </c>
      <c r="M102" s="107">
        <f t="shared" si="114"/>
        <v>13.86944947716797</v>
      </c>
      <c r="N102" s="107">
        <f>SUM(N83:N101)</f>
        <v>15.921969570976776</v>
      </c>
      <c r="O102" s="107">
        <f t="shared" ref="O102:S102" si="115">SUM(O83:O101)</f>
        <v>18.018143250720339</v>
      </c>
      <c r="P102" s="107">
        <f t="shared" si="115"/>
        <v>20.075407627536293</v>
      </c>
      <c r="Q102" s="107">
        <f t="shared" si="115"/>
        <v>22.251083114928097</v>
      </c>
      <c r="R102" s="107">
        <f t="shared" si="115"/>
        <v>24.552843992132772</v>
      </c>
      <c r="S102" s="107">
        <f t="shared" si="115"/>
        <v>26.935615034958587</v>
      </c>
      <c r="T102" s="107">
        <f t="shared" ref="T102" si="116">SUM(T83:T101)</f>
        <v>29.5744737004527</v>
      </c>
      <c r="U102" s="270">
        <f t="shared" ref="U102" si="117">SUM(U83:U101)</f>
        <v>32.668449649009339</v>
      </c>
      <c r="V102" s="56"/>
      <c r="W102" s="56"/>
      <c r="X102" s="56"/>
    </row>
    <row r="103" spans="1:24" ht="12.75" customHeight="1" outlineLevel="1">
      <c r="A103" s="55"/>
      <c r="B103" s="55"/>
      <c r="C103" s="63"/>
      <c r="D103" s="79"/>
      <c r="E103" s="79"/>
      <c r="F103" s="79"/>
      <c r="G103" s="79"/>
      <c r="H103" s="79"/>
      <c r="I103" s="79"/>
      <c r="J103" s="79"/>
      <c r="K103" s="79"/>
      <c r="L103" s="79"/>
      <c r="M103" s="79"/>
      <c r="N103" s="191"/>
      <c r="O103" s="191"/>
      <c r="P103" s="191"/>
      <c r="Q103" s="191"/>
      <c r="R103" s="191"/>
      <c r="S103" s="191"/>
      <c r="T103" s="191"/>
      <c r="U103" s="191"/>
      <c r="V103" s="56"/>
      <c r="W103" s="56"/>
      <c r="X103" s="56"/>
    </row>
    <row r="104" spans="1:24">
      <c r="A104" s="55"/>
      <c r="B104" s="55"/>
      <c r="C104" s="422"/>
      <c r="D104" s="65"/>
      <c r="E104" s="65"/>
      <c r="F104" s="65"/>
      <c r="G104" s="65"/>
      <c r="H104" s="65"/>
      <c r="I104" s="65"/>
      <c r="J104" s="65"/>
      <c r="K104" s="65"/>
      <c r="L104" s="65"/>
      <c r="M104" s="65"/>
      <c r="N104" s="65"/>
      <c r="O104" s="65"/>
      <c r="P104" s="65"/>
      <c r="Q104" s="65"/>
      <c r="R104" s="65"/>
      <c r="S104" s="65"/>
      <c r="T104" s="65"/>
      <c r="U104" s="65"/>
      <c r="V104" s="56"/>
      <c r="W104" s="56"/>
      <c r="X104" s="56"/>
    </row>
    <row r="105" spans="1:24">
      <c r="A105" s="55"/>
      <c r="B105" s="55"/>
      <c r="C105" s="422"/>
      <c r="D105" s="65"/>
      <c r="E105" s="65"/>
      <c r="F105" s="65"/>
      <c r="G105" s="65"/>
      <c r="H105" s="65"/>
      <c r="I105" s="65"/>
      <c r="J105" s="65"/>
      <c r="K105" s="65"/>
      <c r="L105" s="65"/>
      <c r="M105" s="65"/>
      <c r="N105" s="65"/>
      <c r="O105" s="65"/>
      <c r="P105" s="65"/>
      <c r="Q105" s="65"/>
      <c r="R105" s="65"/>
      <c r="S105" s="65"/>
      <c r="T105" s="65"/>
      <c r="U105" s="65"/>
      <c r="V105" s="56"/>
      <c r="W105" s="56"/>
      <c r="X105" s="56"/>
    </row>
    <row r="106" spans="1:24">
      <c r="A106" s="55"/>
      <c r="B106" s="55"/>
      <c r="C106" s="422"/>
      <c r="D106" s="65"/>
      <c r="E106" s="65"/>
      <c r="F106" s="65"/>
      <c r="G106" s="65"/>
      <c r="H106" s="65"/>
      <c r="I106" s="65"/>
      <c r="J106" s="65"/>
      <c r="K106" s="65"/>
      <c r="L106" s="65"/>
      <c r="M106" s="65"/>
      <c r="N106" s="65"/>
      <c r="O106" s="65"/>
      <c r="P106" s="65"/>
      <c r="Q106" s="65"/>
      <c r="R106" s="65"/>
      <c r="S106" s="65"/>
      <c r="T106" s="65"/>
      <c r="U106" s="65"/>
      <c r="V106" s="56"/>
      <c r="W106" s="56"/>
      <c r="X106" s="56"/>
    </row>
    <row r="107" spans="1:24">
      <c r="A107" s="55"/>
      <c r="B107" s="55"/>
      <c r="C107" s="422"/>
      <c r="D107" s="65"/>
      <c r="E107" s="65"/>
      <c r="F107" s="65"/>
      <c r="G107" s="65"/>
      <c r="H107" s="65"/>
      <c r="I107" s="65"/>
      <c r="J107" s="65"/>
      <c r="K107" s="65"/>
      <c r="L107" s="65"/>
      <c r="M107" s="65"/>
      <c r="N107" s="65"/>
      <c r="O107" s="65"/>
      <c r="P107" s="65"/>
      <c r="Q107" s="65"/>
      <c r="R107" s="65"/>
      <c r="S107" s="65"/>
      <c r="T107" s="65"/>
      <c r="U107" s="65"/>
      <c r="V107" s="56"/>
      <c r="W107" s="56"/>
      <c r="X107" s="56"/>
    </row>
    <row r="108" spans="1:24">
      <c r="A108" s="55"/>
      <c r="B108" s="55"/>
      <c r="C108" s="422"/>
      <c r="D108" s="65"/>
      <c r="E108" s="65"/>
      <c r="F108" s="65"/>
      <c r="G108" s="65"/>
      <c r="H108" s="65"/>
      <c r="I108" s="65"/>
      <c r="J108" s="65"/>
      <c r="K108" s="65"/>
      <c r="L108" s="65"/>
      <c r="M108" s="65"/>
      <c r="N108" s="65"/>
      <c r="O108" s="65"/>
      <c r="P108" s="65"/>
      <c r="Q108" s="65"/>
      <c r="R108" s="65"/>
      <c r="S108" s="65"/>
      <c r="T108" s="65"/>
      <c r="U108" s="65"/>
      <c r="V108" s="56"/>
      <c r="W108" s="56"/>
      <c r="X108" s="56"/>
    </row>
    <row r="109" spans="1:24">
      <c r="A109" s="55"/>
      <c r="B109" s="55"/>
      <c r="C109" s="422"/>
      <c r="D109" s="65"/>
      <c r="E109" s="65"/>
      <c r="F109" s="65"/>
      <c r="G109" s="65"/>
      <c r="H109" s="65"/>
      <c r="I109" s="65"/>
      <c r="J109" s="65"/>
      <c r="K109" s="65"/>
      <c r="L109" s="65"/>
      <c r="M109" s="65"/>
      <c r="N109" s="65"/>
      <c r="O109" s="65"/>
      <c r="P109" s="65"/>
      <c r="Q109" s="65"/>
      <c r="R109" s="65"/>
      <c r="S109" s="65"/>
      <c r="T109" s="65"/>
      <c r="U109" s="65"/>
      <c r="V109" s="56"/>
      <c r="W109" s="56"/>
      <c r="X109" s="56"/>
    </row>
    <row r="110" spans="1:24">
      <c r="A110" s="55"/>
      <c r="B110" s="55"/>
      <c r="C110" s="422"/>
      <c r="D110" s="65"/>
      <c r="E110" s="65"/>
      <c r="F110" s="65"/>
      <c r="G110" s="65"/>
      <c r="H110" s="65"/>
      <c r="I110" s="65"/>
      <c r="J110" s="65"/>
      <c r="K110" s="65"/>
      <c r="L110" s="65"/>
      <c r="M110" s="65"/>
      <c r="N110" s="65"/>
      <c r="O110" s="65"/>
      <c r="P110" s="65"/>
      <c r="Q110" s="65"/>
      <c r="R110" s="65"/>
      <c r="S110" s="65"/>
      <c r="T110" s="65"/>
      <c r="U110" s="65"/>
      <c r="V110" s="56"/>
      <c r="W110" s="56"/>
      <c r="X110" s="56"/>
    </row>
    <row r="111" spans="1:24">
      <c r="A111" s="55"/>
      <c r="B111" s="55"/>
      <c r="C111" s="422"/>
      <c r="D111" s="65"/>
      <c r="E111" s="65"/>
      <c r="F111" s="65"/>
      <c r="G111" s="65"/>
      <c r="H111" s="65"/>
      <c r="I111" s="65"/>
      <c r="J111" s="65"/>
      <c r="K111" s="65"/>
      <c r="L111" s="65"/>
      <c r="M111" s="65"/>
      <c r="N111" s="65"/>
      <c r="O111" s="65"/>
      <c r="P111" s="65"/>
      <c r="Q111" s="65"/>
      <c r="R111" s="65"/>
      <c r="S111" s="65"/>
      <c r="T111" s="65"/>
      <c r="U111" s="65"/>
      <c r="V111" s="56"/>
      <c r="W111" s="56"/>
      <c r="X111" s="56"/>
    </row>
    <row r="112" spans="1:24">
      <c r="A112" s="55"/>
      <c r="B112" s="55"/>
      <c r="C112" s="422"/>
      <c r="D112" s="65"/>
      <c r="E112" s="65"/>
      <c r="F112" s="65"/>
      <c r="G112" s="65"/>
      <c r="H112" s="65"/>
      <c r="I112" s="65"/>
      <c r="J112" s="65"/>
      <c r="K112" s="65"/>
      <c r="L112" s="65"/>
      <c r="M112" s="65"/>
      <c r="N112" s="65"/>
      <c r="O112" s="65"/>
      <c r="P112" s="65"/>
      <c r="Q112" s="65"/>
      <c r="R112" s="65"/>
      <c r="S112" s="65"/>
      <c r="T112" s="65"/>
      <c r="U112" s="65"/>
      <c r="V112" s="56"/>
      <c r="W112" s="56"/>
      <c r="X112" s="56"/>
    </row>
    <row r="113" spans="3:3">
      <c r="C113"/>
    </row>
  </sheetData>
  <phoneticPr fontId="3" type="noConversion"/>
  <pageMargins left="0" right="0" top="0" bottom="0" header="0" footer="0"/>
  <pageSetup paperSize="5" scale="43"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F107"/>
  <sheetViews>
    <sheetView showGridLines="0" zoomScale="85" zoomScaleNormal="85" workbookViewId="0">
      <pane xSplit="2" ySplit="2" topLeftCell="F3" activePane="bottomRight" state="frozen"/>
      <selection pane="topRight" activeCell="C1" sqref="C1"/>
      <selection pane="bottomLeft" activeCell="A6" sqref="A6"/>
      <selection pane="bottomRight" activeCell="B2" sqref="B2:O41"/>
    </sheetView>
  </sheetViews>
  <sheetFormatPr defaultRowHeight="12.75" outlineLevelRow="1"/>
  <cols>
    <col min="1" max="1" width="2.28515625" customWidth="1"/>
    <col min="2" max="2" width="71.85546875" style="421" bestFit="1" customWidth="1"/>
    <col min="3" max="5" width="9.7109375" hidden="1" customWidth="1"/>
    <col min="6" max="13" width="9.7109375" customWidth="1"/>
    <col min="24" max="24" width="34.5703125" customWidth="1"/>
    <col min="26" max="26" width="12.5703125" bestFit="1" customWidth="1"/>
  </cols>
  <sheetData>
    <row r="1" spans="1:32" ht="12.75" customHeight="1">
      <c r="A1" s="55"/>
      <c r="B1" s="158"/>
      <c r="C1" s="94"/>
      <c r="D1" s="94"/>
      <c r="E1" s="65"/>
      <c r="F1" s="65"/>
      <c r="G1" s="65"/>
      <c r="H1" s="65"/>
      <c r="I1" s="65"/>
      <c r="J1" s="65"/>
      <c r="K1" s="65"/>
      <c r="L1" s="65"/>
      <c r="M1" s="65"/>
      <c r="N1" s="56"/>
      <c r="O1" s="56"/>
      <c r="P1" s="56"/>
      <c r="Q1" s="56"/>
      <c r="R1" s="31"/>
      <c r="S1" s="31"/>
      <c r="T1" s="31"/>
      <c r="U1" s="31"/>
      <c r="AE1" s="31" t="s">
        <v>420</v>
      </c>
      <c r="AF1" s="451" t="s">
        <v>395</v>
      </c>
    </row>
    <row r="2" spans="1:32" ht="12.75" customHeight="1">
      <c r="A2" s="57"/>
      <c r="B2" s="366" t="s">
        <v>233</v>
      </c>
      <c r="C2" s="92">
        <v>2013</v>
      </c>
      <c r="D2" s="92">
        <v>2014</v>
      </c>
      <c r="E2" s="92">
        <v>2015</v>
      </c>
      <c r="F2" s="92">
        <v>2016</v>
      </c>
      <c r="G2" s="92">
        <v>2017</v>
      </c>
      <c r="H2" s="92" t="s">
        <v>0</v>
      </c>
      <c r="I2" s="92" t="s">
        <v>1</v>
      </c>
      <c r="J2" s="92" t="s">
        <v>2</v>
      </c>
      <c r="K2" s="92" t="s">
        <v>49</v>
      </c>
      <c r="L2" s="92" t="s">
        <v>199</v>
      </c>
      <c r="M2" s="92" t="s">
        <v>200</v>
      </c>
      <c r="N2" s="92" t="s">
        <v>286</v>
      </c>
      <c r="O2" s="92" t="s">
        <v>291</v>
      </c>
      <c r="P2" s="92" t="s">
        <v>296</v>
      </c>
      <c r="Q2" s="92" t="s">
        <v>301</v>
      </c>
      <c r="R2" s="92" t="s">
        <v>306</v>
      </c>
      <c r="S2" s="92" t="s">
        <v>311</v>
      </c>
      <c r="T2" s="92" t="s">
        <v>316</v>
      </c>
      <c r="U2" s="58"/>
      <c r="AE2" s="31" t="s">
        <v>398</v>
      </c>
      <c r="AF2" s="451" t="str">
        <f>_xll.TR($AF$1,"TR.NetIncome.currency","Null=-")</f>
        <v>USD</v>
      </c>
    </row>
    <row r="3" spans="1:32">
      <c r="A3" s="66"/>
      <c r="B3" s="377" t="s">
        <v>252</v>
      </c>
      <c r="C3" s="72"/>
      <c r="D3" s="72"/>
      <c r="E3" s="73"/>
      <c r="F3" s="73"/>
      <c r="G3" s="73"/>
      <c r="H3" s="73"/>
      <c r="I3" s="73"/>
      <c r="J3" s="73"/>
      <c r="K3" s="73"/>
      <c r="L3" s="73"/>
      <c r="M3" s="73"/>
      <c r="N3" s="73"/>
      <c r="O3" s="73"/>
      <c r="P3" s="73"/>
      <c r="Q3" s="73"/>
      <c r="R3" s="73"/>
      <c r="S3" s="73"/>
      <c r="T3" s="73"/>
      <c r="U3" s="66"/>
    </row>
    <row r="4" spans="1:32">
      <c r="A4" s="66"/>
      <c r="B4" s="377"/>
      <c r="C4" s="72"/>
      <c r="D4" s="72"/>
      <c r="E4" s="73"/>
      <c r="F4" s="73"/>
      <c r="G4" s="73"/>
      <c r="H4" s="73"/>
      <c r="I4" s="73"/>
      <c r="J4" s="73"/>
      <c r="K4" s="73"/>
      <c r="L4" s="73"/>
      <c r="M4" s="73"/>
      <c r="N4" s="73"/>
      <c r="O4" s="73"/>
      <c r="P4" s="73"/>
      <c r="Q4" s="73"/>
      <c r="R4" s="73"/>
      <c r="S4" s="73"/>
      <c r="T4" s="73"/>
      <c r="U4" s="66"/>
    </row>
    <row r="5" spans="1:32">
      <c r="A5" s="68"/>
      <c r="B5" s="376" t="s">
        <v>240</v>
      </c>
      <c r="C5" s="249">
        <v>-2.6894140000000002</v>
      </c>
      <c r="D5" s="249">
        <v>-15.705776</v>
      </c>
      <c r="E5" s="249">
        <v>-38.473844</v>
      </c>
      <c r="F5" s="249">
        <v>-83.011803999999998</v>
      </c>
      <c r="G5" s="249">
        <v>-218.05099999999999</v>
      </c>
      <c r="H5" s="249">
        <f>BS!I45</f>
        <v>-212.62124927405154</v>
      </c>
      <c r="I5" s="249">
        <f>BS!J45</f>
        <v>-155.9964723650051</v>
      </c>
      <c r="J5" s="249">
        <f>BS!K45</f>
        <v>1.796219692577159</v>
      </c>
      <c r="K5" s="249">
        <f>BS!L45</f>
        <v>466.65659243409419</v>
      </c>
      <c r="L5" s="249">
        <f>BS!M45</f>
        <v>745.28676384388746</v>
      </c>
      <c r="M5" s="249">
        <f>BS!N45</f>
        <v>831.0123708269914</v>
      </c>
      <c r="N5" s="249">
        <f>BS!O45</f>
        <v>709.9289323105022</v>
      </c>
      <c r="O5" s="249">
        <f>BS!P45</f>
        <v>669.4770912061648</v>
      </c>
      <c r="P5" s="249">
        <f>BS!Q45</f>
        <v>600.33070461249099</v>
      </c>
      <c r="Q5" s="249">
        <f>BS!R45</f>
        <v>567.69656091449326</v>
      </c>
      <c r="R5" s="249">
        <f>BS!S45</f>
        <v>600.9341400044018</v>
      </c>
      <c r="S5" s="249">
        <f>BS!T45</f>
        <v>635.42580862611749</v>
      </c>
      <c r="T5" s="249">
        <f>BS!U45</f>
        <v>671.20697092924161</v>
      </c>
      <c r="U5" s="68"/>
    </row>
    <row r="6" spans="1:32">
      <c r="A6" s="68"/>
      <c r="B6" s="376" t="s">
        <v>251</v>
      </c>
      <c r="C6" s="250"/>
      <c r="D6" s="250"/>
      <c r="E6" s="250"/>
      <c r="F6" s="250"/>
      <c r="G6" s="250"/>
      <c r="H6" s="250"/>
      <c r="I6" s="250"/>
      <c r="J6" s="250"/>
      <c r="K6" s="250"/>
      <c r="L6" s="250"/>
      <c r="M6" s="250"/>
      <c r="N6" s="250"/>
      <c r="O6" s="250"/>
      <c r="P6" s="250"/>
      <c r="Q6" s="250"/>
      <c r="R6" s="250"/>
      <c r="S6" s="250"/>
      <c r="T6" s="250"/>
      <c r="U6" s="68"/>
    </row>
    <row r="7" spans="1:32">
      <c r="A7" s="68"/>
      <c r="B7" s="378" t="s">
        <v>140</v>
      </c>
      <c r="C7" s="249">
        <v>1.4774000000000001E-2</v>
      </c>
      <c r="D7" s="249">
        <v>3.3500000000000001E-3</v>
      </c>
      <c r="E7" s="249">
        <v>1.3462999999999999E-2</v>
      </c>
      <c r="F7" s="249">
        <v>6.4630000000000007E-2</v>
      </c>
      <c r="G7" s="249">
        <v>2.27</v>
      </c>
      <c r="H7" s="249">
        <f>BS!I102</f>
        <v>4.9657294818000004</v>
      </c>
      <c r="I7" s="249">
        <f>BS!J102</f>
        <v>7.1795615571981042</v>
      </c>
      <c r="J7" s="249">
        <f>BS!K102</f>
        <v>9.6181575758624707</v>
      </c>
      <c r="K7" s="249">
        <f>BS!L102</f>
        <v>11.87694332676802</v>
      </c>
      <c r="L7" s="249">
        <f>BS!M102</f>
        <v>13.86944947716797</v>
      </c>
      <c r="M7" s="249">
        <f>BS!N102</f>
        <v>15.921969570976776</v>
      </c>
      <c r="N7" s="249">
        <f>BS!O102</f>
        <v>18.018143250720339</v>
      </c>
      <c r="O7" s="249">
        <f>BS!P102</f>
        <v>20.075407627536293</v>
      </c>
      <c r="P7" s="249">
        <f>BS!Q102</f>
        <v>22.251083114928097</v>
      </c>
      <c r="Q7" s="249">
        <f>BS!R102</f>
        <v>24.552843992132772</v>
      </c>
      <c r="R7" s="249">
        <f>BS!S102</f>
        <v>26.935615034958587</v>
      </c>
      <c r="S7" s="249">
        <f>BS!T102</f>
        <v>29.5744737004527</v>
      </c>
      <c r="T7" s="249">
        <f>BS!U102</f>
        <v>32.668449649009339</v>
      </c>
      <c r="U7" s="68"/>
    </row>
    <row r="8" spans="1:32">
      <c r="A8" s="68"/>
      <c r="B8" s="378" t="s">
        <v>241</v>
      </c>
      <c r="C8" s="249">
        <f>1.227744+0.345447</f>
        <v>1.573191</v>
      </c>
      <c r="D8" s="249">
        <f>1.204261+6.207993</f>
        <v>7.4122539999999999</v>
      </c>
      <c r="E8" s="249">
        <f>5.250217+20.154076</f>
        <v>25.404292999999999</v>
      </c>
      <c r="F8" s="249">
        <v>26.785769999999999</v>
      </c>
      <c r="G8" s="249">
        <f>11.647+31.544</f>
        <v>43.191000000000003</v>
      </c>
      <c r="H8" s="249">
        <f>IS!AF63</f>
        <v>28.986964755749998</v>
      </c>
      <c r="I8" s="249">
        <f>IS!AK63</f>
        <v>30.248003646058553</v>
      </c>
      <c r="J8" s="249">
        <f>IS!AP63</f>
        <v>33.575185074607965</v>
      </c>
      <c r="K8" s="249">
        <f>IS!AU63</f>
        <v>42.911485077418668</v>
      </c>
      <c r="L8" s="249">
        <f>IS!AZ63</f>
        <v>52.91725056807703</v>
      </c>
      <c r="M8" s="249">
        <f>IS!BE63</f>
        <v>51.805065914023174</v>
      </c>
      <c r="N8" s="249">
        <f>IS!BJ63</f>
        <v>43.944796876705411</v>
      </c>
      <c r="O8" s="249">
        <f>IS!BO63</f>
        <v>38.808933430928626</v>
      </c>
      <c r="P8" s="249">
        <f>IS!BT63</f>
        <v>33.660563137638555</v>
      </c>
      <c r="Q8" s="249">
        <f>IS!BY63</f>
        <v>29.698199521108119</v>
      </c>
      <c r="R8" s="249">
        <f>IS!CD63</f>
        <v>26.947554496815695</v>
      </c>
      <c r="S8" s="249">
        <f>IS!CI63</f>
        <v>24.251265648866394</v>
      </c>
      <c r="T8" s="249">
        <f>IS!CN63</f>
        <v>21.623322770204737</v>
      </c>
      <c r="U8" s="68"/>
    </row>
    <row r="9" spans="1:32">
      <c r="A9" s="68"/>
      <c r="B9" s="378" t="s">
        <v>242</v>
      </c>
      <c r="C9" s="249">
        <v>0.13412499999999999</v>
      </c>
      <c r="D9" s="249">
        <f>0.11626+0.145199</f>
        <v>0.261459</v>
      </c>
      <c r="E9" s="249">
        <v>0</v>
      </c>
      <c r="F9" s="249">
        <v>2.4011000000000001E-2</v>
      </c>
      <c r="G9" s="249">
        <v>0</v>
      </c>
      <c r="H9" s="249">
        <v>0</v>
      </c>
      <c r="I9" s="249">
        <v>0</v>
      </c>
      <c r="J9" s="249">
        <v>0</v>
      </c>
      <c r="K9" s="249">
        <v>0</v>
      </c>
      <c r="L9" s="249">
        <v>0</v>
      </c>
      <c r="M9" s="249">
        <v>0</v>
      </c>
      <c r="N9" s="249">
        <v>0</v>
      </c>
      <c r="O9" s="249">
        <v>0</v>
      </c>
      <c r="P9" s="249">
        <v>0</v>
      </c>
      <c r="Q9" s="249">
        <v>0</v>
      </c>
      <c r="R9" s="249">
        <v>0</v>
      </c>
      <c r="S9" s="249">
        <v>0</v>
      </c>
      <c r="T9" s="249">
        <v>0</v>
      </c>
      <c r="U9" s="68"/>
    </row>
    <row r="10" spans="1:32">
      <c r="A10" s="68"/>
      <c r="B10" s="379"/>
      <c r="C10" s="249"/>
      <c r="D10" s="249"/>
      <c r="E10" s="249"/>
      <c r="F10" s="249"/>
      <c r="G10" s="249"/>
      <c r="H10" s="249"/>
      <c r="I10" s="249"/>
      <c r="J10" s="249"/>
      <c r="K10" s="249"/>
      <c r="L10" s="249"/>
      <c r="M10" s="249"/>
      <c r="N10" s="249"/>
      <c r="O10" s="249"/>
      <c r="P10" s="249"/>
      <c r="Q10" s="249"/>
      <c r="R10" s="249"/>
      <c r="S10" s="249"/>
      <c r="T10" s="249"/>
      <c r="U10" s="68"/>
    </row>
    <row r="11" spans="1:32">
      <c r="A11" s="68"/>
      <c r="B11" s="376" t="s">
        <v>253</v>
      </c>
      <c r="C11" s="249"/>
      <c r="D11" s="249"/>
      <c r="E11" s="249"/>
      <c r="F11" s="249"/>
      <c r="G11" s="249"/>
      <c r="H11" s="249"/>
      <c r="I11" s="249"/>
      <c r="J11" s="249"/>
      <c r="K11" s="249"/>
      <c r="L11" s="249"/>
      <c r="M11" s="249"/>
      <c r="N11" s="249"/>
      <c r="O11" s="249"/>
      <c r="P11" s="249"/>
      <c r="Q11" s="249"/>
      <c r="R11" s="249"/>
      <c r="S11" s="249"/>
      <c r="T11" s="249"/>
      <c r="U11" s="68"/>
    </row>
    <row r="12" spans="1:32">
      <c r="A12" s="68"/>
      <c r="B12" s="378" t="s">
        <v>244</v>
      </c>
      <c r="C12" s="249">
        <v>0</v>
      </c>
      <c r="D12" s="249">
        <v>0</v>
      </c>
      <c r="E12" s="249">
        <v>0</v>
      </c>
      <c r="F12" s="249">
        <v>0</v>
      </c>
      <c r="G12" s="249">
        <v>0</v>
      </c>
      <c r="H12" s="249">
        <f>BS!H6-BS!I6</f>
        <v>-3</v>
      </c>
      <c r="I12" s="249">
        <f>BS!I6-BS!J6</f>
        <v>-0.65721734038819424</v>
      </c>
      <c r="J12" s="249">
        <f>BS!J6-BS!K6</f>
        <v>-12.40990215730654</v>
      </c>
      <c r="K12" s="249">
        <f>BS!K6-BS!L6</f>
        <v>-41.448332046658003</v>
      </c>
      <c r="L12" s="249">
        <f>BS!L6-BS!M6</f>
        <v>-4.27808806869281</v>
      </c>
      <c r="M12" s="249">
        <f>BS!M6-BS!N6</f>
        <v>-7.7787883262820614</v>
      </c>
      <c r="N12" s="249">
        <f>BS!N6-BS!O6</f>
        <v>9.7696326078378561</v>
      </c>
      <c r="O12" s="249">
        <f>BS!O6-BS!P6</f>
        <v>3.901261821001512</v>
      </c>
      <c r="P12" s="249">
        <f>BS!P6-BS!Q6</f>
        <v>5.7869536983871015</v>
      </c>
      <c r="Q12" s="249">
        <f>BS!Q6-BS!R6</f>
        <v>3.1451978335284494</v>
      </c>
      <c r="R12" s="249">
        <f>BS!R6-BS!S6</f>
        <v>-1.3739686050362891</v>
      </c>
      <c r="S12" s="249">
        <f>BS!S6-BS!T6</f>
        <v>-1.4068518515125703</v>
      </c>
      <c r="T12" s="249">
        <f>BS!T6-BS!U6</f>
        <v>-1.4405050492525788</v>
      </c>
      <c r="U12" s="68"/>
    </row>
    <row r="13" spans="1:32">
      <c r="A13" s="68"/>
      <c r="B13" s="378" t="s">
        <v>62</v>
      </c>
      <c r="C13" s="249">
        <v>0</v>
      </c>
      <c r="D13" s="249">
        <v>0</v>
      </c>
      <c r="E13" s="249">
        <v>0</v>
      </c>
      <c r="F13" s="249">
        <v>0</v>
      </c>
      <c r="G13" s="249">
        <v>0</v>
      </c>
      <c r="H13" s="249">
        <f>BS!H8-BS!I8</f>
        <v>0</v>
      </c>
      <c r="I13" s="249">
        <f>BS!I8-BS!J8</f>
        <v>-2.9257738723105553</v>
      </c>
      <c r="J13" s="249">
        <f>BS!J8-BS!K8</f>
        <v>-7.785639126152601</v>
      </c>
      <c r="K13" s="249">
        <f>BS!K8-BS!L8</f>
        <v>-22.154559312595548</v>
      </c>
      <c r="L13" s="249">
        <f>BS!L8-BS!M8</f>
        <v>-13.479182398725449</v>
      </c>
      <c r="M13" s="249">
        <f>BS!M8-BS!N8</f>
        <v>-5.8340912447115514</v>
      </c>
      <c r="N13" s="249">
        <f>BS!N8-BS!O8</f>
        <v>7.3272244558783939</v>
      </c>
      <c r="O13" s="249">
        <f>BS!O8-BS!P8</f>
        <v>2.9259463657511304</v>
      </c>
      <c r="P13" s="249">
        <f>BS!P8-BS!Q8</f>
        <v>4.3402152737903279</v>
      </c>
      <c r="Q13" s="249">
        <f>BS!Q8-BS!R8</f>
        <v>2.3588983751463388</v>
      </c>
      <c r="R13" s="249">
        <f>BS!R8-BS!S8</f>
        <v>-1.0304764537772186</v>
      </c>
      <c r="S13" s="249">
        <f>BS!S8-BS!T8</f>
        <v>-1.0551388886344242</v>
      </c>
      <c r="T13" s="249">
        <f>BS!T8-BS!U8</f>
        <v>-1.0803787869394341</v>
      </c>
      <c r="U13" s="68"/>
    </row>
    <row r="14" spans="1:32">
      <c r="A14" s="68"/>
      <c r="B14" s="378" t="s">
        <v>243</v>
      </c>
      <c r="C14" s="249">
        <v>0</v>
      </c>
      <c r="D14" s="249">
        <f>-0.022643-0.004433</f>
        <v>-2.7075999999999999E-2</v>
      </c>
      <c r="E14" s="249">
        <f>-0.886986-1.311736</f>
        <v>-2.1987220000000001</v>
      </c>
      <c r="F14" s="249">
        <v>-3.8543889999999998</v>
      </c>
      <c r="G14" s="249">
        <f>-3.667-1.771</f>
        <v>-5.4379999999999997</v>
      </c>
      <c r="H14" s="249">
        <f>(BS!H7-BS!I7)+(BS!H13-BS!I13)</f>
        <v>4.8869999999999996</v>
      </c>
      <c r="I14" s="249">
        <f>(BS!I7-BS!J7)+(BS!I13-BS!J13)</f>
        <v>-1.6458781488540266</v>
      </c>
      <c r="J14" s="249">
        <f>(BS!J7-BS!K7)+(BS!J13-BS!K13)</f>
        <v>-16.054801097688078</v>
      </c>
      <c r="K14" s="249">
        <f>(BS!K7-BS!L7)+(BS!K13-BS!L13)</f>
        <v>-16.981786142281273</v>
      </c>
      <c r="L14" s="249">
        <f>(BS!L7-BS!M7)+(BS!L13-BS!M13)</f>
        <v>-20.711074224222166</v>
      </c>
      <c r="M14" s="249">
        <f>(BS!M7-BS!N7)+(BS!M13-BS!N13)</f>
        <v>-7.7787883262820614</v>
      </c>
      <c r="N14" s="249">
        <f>(BS!N7-BS!O7)+(BS!N13-BS!O13)</f>
        <v>9.7696326078378561</v>
      </c>
      <c r="O14" s="249">
        <f>(BS!O7-BS!P7)+(BS!O13-BS!P13)</f>
        <v>3.901261821001512</v>
      </c>
      <c r="P14" s="249">
        <f>(BS!P7-BS!Q7)+(BS!P13-BS!Q13)</f>
        <v>5.7869536983871015</v>
      </c>
      <c r="Q14" s="249">
        <f>(BS!Q7-BS!R7)+(BS!Q13-BS!R13)</f>
        <v>3.1451978335284494</v>
      </c>
      <c r="R14" s="249">
        <f>(BS!R7-BS!S7)+(BS!R13-BS!S13)</f>
        <v>-1.3739686050362891</v>
      </c>
      <c r="S14" s="249">
        <f>(BS!S7-BS!T7)+(BS!S13-BS!T13)</f>
        <v>-1.4068518515125703</v>
      </c>
      <c r="T14" s="249">
        <f>(BS!T7-BS!U7)+(BS!T13-BS!U13)</f>
        <v>-1.4405050492525788</v>
      </c>
      <c r="U14" s="68"/>
    </row>
    <row r="15" spans="1:32">
      <c r="A15" s="68"/>
      <c r="B15" s="378" t="s">
        <v>25</v>
      </c>
      <c r="C15" s="249">
        <v>0.27843800000000002</v>
      </c>
      <c r="D15" s="249">
        <v>-9.2581999999999998E-2</v>
      </c>
      <c r="E15" s="249">
        <v>0.276231</v>
      </c>
      <c r="F15" s="249">
        <v>0.957986</v>
      </c>
      <c r="G15" s="249">
        <v>6.3739999999999997</v>
      </c>
      <c r="H15" s="249">
        <f>BS!I17-BS!H17</f>
        <v>-0.27141796208849378</v>
      </c>
      <c r="I15" s="249">
        <f>BS!J17-BS!I17</f>
        <v>0.20631164075823172</v>
      </c>
      <c r="J15" s="249">
        <f>BS!K17-BS!J17</f>
        <v>0.12038101072929308</v>
      </c>
      <c r="K15" s="249">
        <f>BS!L17-BS!K17</f>
        <v>3.0779010103472615E-2</v>
      </c>
      <c r="L15" s="249">
        <f>BS!M17-BS!L17</f>
        <v>1.5543400102252747E-2</v>
      </c>
      <c r="M15" s="249">
        <f>BS!N17-BS!M17</f>
        <v>0</v>
      </c>
      <c r="N15" s="249">
        <f>BS!O17-BS!N17</f>
        <v>-5.3442985498023177E-2</v>
      </c>
      <c r="O15" s="249">
        <f>BS!P17-BS!O17</f>
        <v>-0.10635154114106804</v>
      </c>
      <c r="P15" s="249">
        <f>BS!Q17-BS!P17</f>
        <v>-0.12067560713173542</v>
      </c>
      <c r="Q15" s="249">
        <f>BS!R17-BS!Q17</f>
        <v>-0.13439480502043288</v>
      </c>
      <c r="R15" s="249">
        <f>BS!S17-BS!R17</f>
        <v>-0.14729821859041436</v>
      </c>
      <c r="S15" s="249">
        <f>BS!T17-BS!S17</f>
        <v>-0.15919350549919464</v>
      </c>
      <c r="T15" s="249">
        <f>BS!U17-BS!T17</f>
        <v>-0.16991151823555484</v>
      </c>
      <c r="U15" s="68"/>
    </row>
    <row r="16" spans="1:32">
      <c r="A16" s="68"/>
      <c r="B16" s="378" t="s">
        <v>245</v>
      </c>
      <c r="C16" s="249">
        <f>0.080293+0.091407</f>
        <v>0.17170000000000002</v>
      </c>
      <c r="D16" s="249">
        <f>0.058103+4.0805</f>
        <v>4.1386029999999998</v>
      </c>
      <c r="E16" s="249">
        <v>1.1826110000000001</v>
      </c>
      <c r="F16" s="249">
        <f>11.773185+0.372</f>
        <v>12.145185</v>
      </c>
      <c r="G16" s="249">
        <f>15.308-1.664</f>
        <v>13.644</v>
      </c>
      <c r="H16" s="249">
        <f>(BS!I18-BS!H18)+(BS!I20-BS!H20)+(BS!I21-BS!H21)</f>
        <v>-2.6351659355000052</v>
      </c>
      <c r="I16" s="249">
        <f>(BS!J18-BS!I18)+(BS!J20-BS!I20)+(BS!J21-BS!I21)</f>
        <v>0.90181668129000059</v>
      </c>
      <c r="J16" s="249">
        <f>(BS!K18-BS!J18)+(BS!K20-BS!J20)+(BS!K21-BS!J21)</f>
        <v>0.52620202712385122</v>
      </c>
      <c r="K16" s="249">
        <f>(BS!L18-BS!K18)+(BS!L20-BS!K20)+(BS!L21-BS!K21)</f>
        <v>0.13453930492187993</v>
      </c>
      <c r="L16" s="249">
        <f>(BS!M18-BS!L18)+(BS!M20-BS!L20)+(BS!M21-BS!L21)</f>
        <v>6.794234898554663E-2</v>
      </c>
      <c r="M16" s="249">
        <f>(BS!N18-BS!M18)+(BS!N20-BS!M20)+(BS!N21-BS!M21)</f>
        <v>0</v>
      </c>
      <c r="N16" s="249">
        <f>(BS!O18-BS!N18)+(BS!O20-BS!N20)+(BS!O21-BS!N21)</f>
        <v>-0.23360667213410835</v>
      </c>
      <c r="O16" s="249">
        <f>(BS!P18-BS!O18)+(BS!P20-BS!O20)+(BS!P21-BS!O21)</f>
        <v>-0.46487727754687569</v>
      </c>
      <c r="P16" s="249">
        <f>(BS!Q18-BS!P18)+(BS!Q20-BS!P20)+(BS!Q21-BS!P21)</f>
        <v>-0.52748974869395227</v>
      </c>
      <c r="Q16" s="249">
        <f>(BS!R18-BS!Q18)+(BS!R20-BS!Q20)+(BS!R21-BS!Q21)</f>
        <v>-0.5874582578119032</v>
      </c>
      <c r="R16" s="249">
        <f>(BS!S18-BS!R18)+(BS!S20-BS!R20)+(BS!S21-BS!R21)</f>
        <v>-0.64386086098167539</v>
      </c>
      <c r="S16" s="249">
        <f>(BS!T18-BS!S18)+(BS!T20-BS!S20)+(BS!T21-BS!S21)</f>
        <v>-0.69585680325445765</v>
      </c>
      <c r="T16" s="249">
        <f>(BS!U18-BS!T18)+(BS!U20-BS!T20)+(BS!U21-BS!T21)</f>
        <v>-0.74270671749296469</v>
      </c>
      <c r="U16" s="68"/>
    </row>
    <row r="17" spans="1:21">
      <c r="A17" s="68"/>
      <c r="B17" s="378" t="s">
        <v>55</v>
      </c>
      <c r="C17" s="249">
        <v>0</v>
      </c>
      <c r="D17" s="249">
        <v>0</v>
      </c>
      <c r="E17" s="249">
        <v>0</v>
      </c>
      <c r="F17" s="249">
        <v>0</v>
      </c>
      <c r="G17" s="249">
        <v>0</v>
      </c>
      <c r="H17" s="249">
        <f>(BS!I19-BS!H19)+(BS!I24-BS!H24)</f>
        <v>0</v>
      </c>
      <c r="I17" s="249">
        <f>(BS!J19-BS!I19)+(BS!J24-BS!I24)</f>
        <v>14.628869361552777</v>
      </c>
      <c r="J17" s="249">
        <f>(BS!K19-BS!J19)+(BS!K24-BS!J24)</f>
        <v>25.538929382684056</v>
      </c>
      <c r="K17" s="249">
        <f>(BS!L19-BS!K19)+(BS!L24-BS!K24)</f>
        <v>9.1311597223512226</v>
      </c>
      <c r="L17" s="249">
        <f>(BS!M19-BS!L19)+(BS!M24-BS!L24)</f>
        <v>12.494581146457493</v>
      </c>
      <c r="M17" s="249">
        <f>(BS!N19-BS!M19)+(BS!N24-BS!M24)</f>
        <v>16.475329318698005</v>
      </c>
      <c r="N17" s="249">
        <f>(BS!O19-BS!N19)+(BS!O24-BS!N24)</f>
        <v>-10.990836683817591</v>
      </c>
      <c r="O17" s="249">
        <f>(BS!P19-BS!O19)+(BS!P24-BS!O24)</f>
        <v>-4.3889195486266921</v>
      </c>
      <c r="P17" s="249">
        <f>(BS!Q19-BS!P19)+(BS!Q24-BS!P24)</f>
        <v>-6.5103229106854972</v>
      </c>
      <c r="Q17" s="249">
        <f>(BS!R19-BS!Q19)+(BS!R24-BS!Q24)</f>
        <v>-3.5383475627195047</v>
      </c>
      <c r="R17" s="249">
        <f>(BS!S19-BS!R19)+(BS!S24-BS!R24)</f>
        <v>1.545714680665828</v>
      </c>
      <c r="S17" s="249">
        <f>(BS!T19-BS!S19)+(BS!T24-BS!S24)</f>
        <v>1.5827083329516363</v>
      </c>
      <c r="T17" s="249">
        <f>(BS!U19-BS!T19)+(BS!U24-BS!T24)</f>
        <v>1.620568180409153</v>
      </c>
      <c r="U17" s="68"/>
    </row>
    <row r="18" spans="1:21">
      <c r="A18" s="68"/>
      <c r="B18" s="378" t="s">
        <v>114</v>
      </c>
      <c r="C18" s="251">
        <v>0</v>
      </c>
      <c r="D18" s="251">
        <v>0</v>
      </c>
      <c r="E18" s="251">
        <v>-5.7000000000000003E-5</v>
      </c>
      <c r="F18" s="251">
        <v>-1.1320840000000001</v>
      </c>
      <c r="G18" s="249">
        <v>0.629</v>
      </c>
      <c r="H18" s="249">
        <v>0</v>
      </c>
      <c r="I18" s="249">
        <v>0</v>
      </c>
      <c r="J18" s="249">
        <v>0</v>
      </c>
      <c r="K18" s="249">
        <v>0</v>
      </c>
      <c r="L18" s="249">
        <v>0</v>
      </c>
      <c r="M18" s="249">
        <v>0</v>
      </c>
      <c r="N18" s="249">
        <v>0</v>
      </c>
      <c r="O18" s="249">
        <v>0</v>
      </c>
      <c r="P18" s="249">
        <v>0</v>
      </c>
      <c r="Q18" s="249">
        <v>0</v>
      </c>
      <c r="R18" s="249">
        <v>0</v>
      </c>
      <c r="S18" s="249">
        <v>0</v>
      </c>
      <c r="T18" s="249">
        <v>0</v>
      </c>
      <c r="U18" s="68"/>
    </row>
    <row r="19" spans="1:21" ht="13.5" customHeight="1">
      <c r="A19" s="68"/>
      <c r="B19" s="380" t="s">
        <v>254</v>
      </c>
      <c r="C19" s="252">
        <f t="shared" ref="C19:T19" si="0">SUM(C5:C18)</f>
        <v>-0.51718600000000015</v>
      </c>
      <c r="D19" s="252">
        <f t="shared" si="0"/>
        <v>-4.0097680000000011</v>
      </c>
      <c r="E19" s="252">
        <f t="shared" si="0"/>
        <v>-13.796025</v>
      </c>
      <c r="F19" s="252">
        <f t="shared" si="0"/>
        <v>-48.020695000000003</v>
      </c>
      <c r="G19" s="252">
        <f t="shared" si="0"/>
        <v>-157.38099999999997</v>
      </c>
      <c r="H19" s="252">
        <f t="shared" si="0"/>
        <v>-179.68813893409003</v>
      </c>
      <c r="I19" s="252">
        <f t="shared" si="0"/>
        <v>-108.06077883970023</v>
      </c>
      <c r="J19" s="252">
        <f t="shared" si="0"/>
        <v>34.924732382437575</v>
      </c>
      <c r="K19" s="252">
        <f t="shared" si="0"/>
        <v>450.15682137412267</v>
      </c>
      <c r="L19" s="252">
        <f t="shared" si="0"/>
        <v>786.18318609303731</v>
      </c>
      <c r="M19" s="252">
        <f t="shared" si="0"/>
        <v>893.82306773341361</v>
      </c>
      <c r="N19" s="252">
        <f t="shared" si="0"/>
        <v>787.48047576803219</v>
      </c>
      <c r="O19" s="252">
        <f t="shared" si="0"/>
        <v>734.12975390506915</v>
      </c>
      <c r="P19" s="252">
        <f t="shared" si="0"/>
        <v>664.99798526911104</v>
      </c>
      <c r="Q19" s="252">
        <f t="shared" si="0"/>
        <v>626.33669784438553</v>
      </c>
      <c r="R19" s="252">
        <f t="shared" si="0"/>
        <v>651.79345147341985</v>
      </c>
      <c r="S19" s="252">
        <f t="shared" si="0"/>
        <v>686.110363407975</v>
      </c>
      <c r="T19" s="252">
        <f t="shared" si="0"/>
        <v>722.24530440769161</v>
      </c>
      <c r="U19" s="68"/>
    </row>
    <row r="20" spans="1:21" ht="9" customHeight="1">
      <c r="A20" s="68"/>
      <c r="B20" s="381"/>
      <c r="C20" s="249"/>
      <c r="D20" s="249"/>
      <c r="E20" s="249"/>
      <c r="F20" s="249"/>
      <c r="G20" s="249"/>
      <c r="H20" s="249"/>
      <c r="I20" s="249"/>
      <c r="J20" s="249"/>
      <c r="K20" s="249"/>
      <c r="L20" s="249"/>
      <c r="M20" s="249"/>
      <c r="N20" s="249"/>
      <c r="O20" s="249"/>
      <c r="P20" s="249"/>
      <c r="Q20" s="249"/>
      <c r="R20" s="249"/>
      <c r="S20" s="249"/>
      <c r="T20" s="249"/>
      <c r="U20" s="68"/>
    </row>
    <row r="21" spans="1:21">
      <c r="A21" s="68"/>
      <c r="B21" s="377" t="s">
        <v>255</v>
      </c>
      <c r="C21" s="249"/>
      <c r="D21" s="249"/>
      <c r="E21" s="249"/>
      <c r="F21" s="249"/>
      <c r="G21" s="249"/>
      <c r="H21" s="249"/>
      <c r="I21" s="249"/>
      <c r="J21" s="249"/>
      <c r="K21" s="249"/>
      <c r="L21" s="249"/>
      <c r="M21" s="249"/>
      <c r="N21" s="249"/>
      <c r="O21" s="249"/>
      <c r="P21" s="249"/>
      <c r="Q21" s="249"/>
      <c r="R21" s="249"/>
      <c r="S21" s="249"/>
      <c r="T21" s="249"/>
      <c r="U21" s="68"/>
    </row>
    <row r="22" spans="1:21">
      <c r="A22" s="68"/>
      <c r="B22" s="381"/>
      <c r="C22" s="249"/>
      <c r="D22" s="249"/>
      <c r="E22" s="249"/>
      <c r="F22" s="249"/>
      <c r="G22" s="249"/>
      <c r="H22" s="249"/>
      <c r="I22" s="249"/>
      <c r="J22" s="249"/>
      <c r="K22" s="249"/>
      <c r="L22" s="249"/>
      <c r="M22" s="249"/>
      <c r="N22" s="249"/>
      <c r="O22" s="249"/>
      <c r="P22" s="249"/>
      <c r="Q22" s="249"/>
      <c r="R22" s="249"/>
      <c r="S22" s="249"/>
      <c r="T22" s="249"/>
      <c r="U22" s="68"/>
    </row>
    <row r="23" spans="1:21">
      <c r="A23" s="68"/>
      <c r="B23" s="382" t="s">
        <v>246</v>
      </c>
      <c r="C23" s="249">
        <v>-2.2279999999999999E-3</v>
      </c>
      <c r="D23" s="249">
        <v>-2.9284000000000001E-2</v>
      </c>
      <c r="E23" s="249">
        <v>-0.221003</v>
      </c>
      <c r="F23" s="249">
        <v>-19.182085000000001</v>
      </c>
      <c r="G23" s="249">
        <v>-32.046999999999997</v>
      </c>
      <c r="H23" s="249">
        <f>-BS!I75</f>
        <v>-20.14118925</v>
      </c>
      <c r="I23" s="249">
        <f>-BS!J75</f>
        <v>-24.137634446562082</v>
      </c>
      <c r="J23" s="249">
        <f>-BS!K75</f>
        <v>-24.636249896465259</v>
      </c>
      <c r="K23" s="249">
        <f>-BS!L75</f>
        <v>-20.54123269441169</v>
      </c>
      <c r="L23" s="249">
        <f>-BS!M75</f>
        <v>-19.310481129076734</v>
      </c>
      <c r="M23" s="249">
        <f>-BS!N75</f>
        <v>-21.741352481039879</v>
      </c>
      <c r="N23" s="249">
        <f>-BS!O75</f>
        <v>-20.183409674377788</v>
      </c>
      <c r="O23" s="249">
        <f>-BS!P75</f>
        <v>-20.963037566433091</v>
      </c>
      <c r="P23" s="249">
        <f>-BS!Q75</f>
        <v>-22.55151591544551</v>
      </c>
      <c r="Q23" s="249">
        <f>-BS!R75</f>
        <v>-23.484640989286344</v>
      </c>
      <c r="R23" s="249">
        <f>-BS!S75</f>
        <v>-24.171625291804489</v>
      </c>
      <c r="S23" s="249">
        <f>-BS!T75</f>
        <v>-28.606308900194886</v>
      </c>
      <c r="T23" s="249">
        <f>-BS!U75</f>
        <v>-33.273894864843179</v>
      </c>
      <c r="U23" s="68"/>
    </row>
    <row r="24" spans="1:21" outlineLevel="1">
      <c r="A24" s="68"/>
      <c r="B24" s="382" t="s">
        <v>247</v>
      </c>
      <c r="C24" s="249">
        <v>0</v>
      </c>
      <c r="D24" s="249">
        <v>0</v>
      </c>
      <c r="E24" s="249">
        <v>0</v>
      </c>
      <c r="F24" s="249">
        <v>0</v>
      </c>
      <c r="G24" s="249">
        <v>0</v>
      </c>
      <c r="H24" s="249">
        <v>0</v>
      </c>
      <c r="I24" s="249">
        <v>0</v>
      </c>
      <c r="J24" s="249">
        <v>0</v>
      </c>
      <c r="K24" s="249">
        <v>0</v>
      </c>
      <c r="L24" s="249">
        <v>0</v>
      </c>
      <c r="M24" s="249">
        <v>0</v>
      </c>
      <c r="N24" s="249">
        <v>0</v>
      </c>
      <c r="O24" s="249">
        <v>0</v>
      </c>
      <c r="P24" s="249">
        <v>0</v>
      </c>
      <c r="Q24" s="249">
        <v>0</v>
      </c>
      <c r="R24" s="249">
        <v>0</v>
      </c>
      <c r="S24" s="249">
        <v>0</v>
      </c>
      <c r="T24" s="249">
        <v>0</v>
      </c>
      <c r="U24" s="68"/>
    </row>
    <row r="25" spans="1:21" outlineLevel="1">
      <c r="A25" s="68"/>
      <c r="B25" s="382" t="s">
        <v>248</v>
      </c>
      <c r="C25" s="249">
        <v>0</v>
      </c>
      <c r="D25" s="249">
        <v>0</v>
      </c>
      <c r="E25" s="249">
        <v>0</v>
      </c>
      <c r="F25" s="249">
        <v>0</v>
      </c>
      <c r="G25" s="249">
        <v>0</v>
      </c>
      <c r="H25" s="249">
        <v>0</v>
      </c>
      <c r="I25" s="249">
        <v>0</v>
      </c>
      <c r="J25" s="249">
        <v>0</v>
      </c>
      <c r="K25" s="249">
        <v>0</v>
      </c>
      <c r="L25" s="249">
        <v>0</v>
      </c>
      <c r="M25" s="249">
        <v>0</v>
      </c>
      <c r="N25" s="249">
        <v>0</v>
      </c>
      <c r="O25" s="249">
        <v>0</v>
      </c>
      <c r="P25" s="249">
        <v>0</v>
      </c>
      <c r="Q25" s="249">
        <v>0</v>
      </c>
      <c r="R25" s="249">
        <v>0</v>
      </c>
      <c r="S25" s="249">
        <v>0</v>
      </c>
      <c r="T25" s="249">
        <v>0</v>
      </c>
      <c r="U25" s="68"/>
    </row>
    <row r="26" spans="1:21" outlineLevel="1">
      <c r="A26" s="68"/>
      <c r="B26" s="382" t="s">
        <v>249</v>
      </c>
      <c r="C26" s="249">
        <v>0</v>
      </c>
      <c r="D26" s="249">
        <v>0</v>
      </c>
      <c r="E26" s="249">
        <v>0</v>
      </c>
      <c r="F26" s="249">
        <v>0</v>
      </c>
      <c r="G26" s="249">
        <v>0</v>
      </c>
      <c r="H26" s="249">
        <v>0</v>
      </c>
      <c r="I26" s="249">
        <v>0</v>
      </c>
      <c r="J26" s="249">
        <v>0</v>
      </c>
      <c r="K26" s="249">
        <v>0</v>
      </c>
      <c r="L26" s="249">
        <v>0</v>
      </c>
      <c r="M26" s="249">
        <v>0</v>
      </c>
      <c r="N26" s="249">
        <v>0</v>
      </c>
      <c r="O26" s="249">
        <v>0</v>
      </c>
      <c r="P26" s="249">
        <v>0</v>
      </c>
      <c r="Q26" s="249">
        <v>0</v>
      </c>
      <c r="R26" s="249">
        <v>0</v>
      </c>
      <c r="S26" s="249">
        <v>0</v>
      </c>
      <c r="T26" s="249">
        <v>0</v>
      </c>
      <c r="U26" s="68"/>
    </row>
    <row r="27" spans="1:21" ht="13.5" customHeight="1">
      <c r="A27" s="68"/>
      <c r="B27" s="380" t="s">
        <v>256</v>
      </c>
      <c r="C27" s="252">
        <f t="shared" ref="C27" si="1">SUM(C23:C26)</f>
        <v>-2.2279999999999999E-3</v>
      </c>
      <c r="D27" s="252">
        <f t="shared" ref="D27:K27" si="2">SUM(D23:D26)</f>
        <v>-2.9284000000000001E-2</v>
      </c>
      <c r="E27" s="252">
        <f t="shared" si="2"/>
        <v>-0.221003</v>
      </c>
      <c r="F27" s="252">
        <f t="shared" si="2"/>
        <v>-19.182085000000001</v>
      </c>
      <c r="G27" s="252">
        <f t="shared" si="2"/>
        <v>-32.046999999999997</v>
      </c>
      <c r="H27" s="252">
        <f t="shared" si="2"/>
        <v>-20.14118925</v>
      </c>
      <c r="I27" s="252">
        <f t="shared" si="2"/>
        <v>-24.137634446562082</v>
      </c>
      <c r="J27" s="252">
        <f t="shared" si="2"/>
        <v>-24.636249896465259</v>
      </c>
      <c r="K27" s="252">
        <f t="shared" si="2"/>
        <v>-20.54123269441169</v>
      </c>
      <c r="L27" s="252">
        <f t="shared" ref="L27:M27" si="3">SUM(L23:L26)</f>
        <v>-19.310481129076734</v>
      </c>
      <c r="M27" s="252">
        <f t="shared" si="3"/>
        <v>-21.741352481039879</v>
      </c>
      <c r="N27" s="252">
        <f t="shared" ref="N27:T27" si="4">SUM(N23:N26)</f>
        <v>-20.183409674377788</v>
      </c>
      <c r="O27" s="252">
        <f t="shared" si="4"/>
        <v>-20.963037566433091</v>
      </c>
      <c r="P27" s="252">
        <f t="shared" si="4"/>
        <v>-22.55151591544551</v>
      </c>
      <c r="Q27" s="252">
        <f t="shared" si="4"/>
        <v>-23.484640989286344</v>
      </c>
      <c r="R27" s="252">
        <f t="shared" si="4"/>
        <v>-24.171625291804489</v>
      </c>
      <c r="S27" s="252">
        <f t="shared" si="4"/>
        <v>-28.606308900194886</v>
      </c>
      <c r="T27" s="252">
        <f t="shared" si="4"/>
        <v>-33.273894864843179</v>
      </c>
      <c r="U27" s="68"/>
    </row>
    <row r="28" spans="1:21" ht="9" customHeight="1">
      <c r="A28" s="68"/>
      <c r="B28" s="381"/>
      <c r="C28" s="249"/>
      <c r="D28" s="249"/>
      <c r="E28" s="249"/>
      <c r="F28" s="249"/>
      <c r="G28" s="249"/>
      <c r="H28" s="249"/>
      <c r="I28" s="249"/>
      <c r="J28" s="249"/>
      <c r="K28" s="249"/>
      <c r="L28" s="249"/>
      <c r="M28" s="249"/>
      <c r="N28" s="249"/>
      <c r="O28" s="249"/>
      <c r="P28" s="249"/>
      <c r="Q28" s="249"/>
      <c r="R28" s="249"/>
      <c r="S28" s="249"/>
      <c r="T28" s="249"/>
      <c r="U28" s="68"/>
    </row>
    <row r="29" spans="1:21">
      <c r="A29" s="68"/>
      <c r="B29" s="377" t="s">
        <v>257</v>
      </c>
      <c r="C29" s="249"/>
      <c r="D29" s="249"/>
      <c r="E29" s="249"/>
      <c r="F29" s="249"/>
      <c r="G29" s="249"/>
      <c r="H29" s="249"/>
      <c r="I29" s="249"/>
      <c r="J29" s="249"/>
      <c r="K29" s="249"/>
      <c r="L29" s="249"/>
      <c r="M29" s="249"/>
      <c r="N29" s="249"/>
      <c r="O29" s="249"/>
      <c r="P29" s="249"/>
      <c r="Q29" s="249"/>
      <c r="R29" s="249"/>
      <c r="S29" s="249"/>
      <c r="T29" s="249"/>
      <c r="U29" s="68"/>
    </row>
    <row r="30" spans="1:21">
      <c r="A30" s="68"/>
      <c r="B30" s="381"/>
      <c r="C30" s="249"/>
      <c r="D30" s="249"/>
      <c r="E30" s="249"/>
      <c r="F30" s="249"/>
      <c r="G30" s="249"/>
      <c r="H30" s="249"/>
      <c r="I30" s="249"/>
      <c r="J30" s="249"/>
      <c r="K30" s="249"/>
      <c r="L30" s="249"/>
      <c r="M30" s="249"/>
      <c r="N30" s="249"/>
      <c r="O30" s="249"/>
      <c r="P30" s="249"/>
      <c r="Q30" s="249"/>
      <c r="R30" s="249"/>
      <c r="S30" s="249"/>
      <c r="T30" s="249"/>
      <c r="U30" s="68"/>
    </row>
    <row r="31" spans="1:21" ht="12" customHeight="1">
      <c r="A31" s="68"/>
      <c r="B31" s="382" t="s">
        <v>258</v>
      </c>
      <c r="C31" s="253">
        <v>0</v>
      </c>
      <c r="D31" s="253">
        <v>0</v>
      </c>
      <c r="E31" s="253">
        <f>0.520606+0.341</f>
        <v>0.86160600000000009</v>
      </c>
      <c r="F31" s="253">
        <f>0.429714+0.05335</f>
        <v>0.48306399999999999</v>
      </c>
      <c r="G31" s="253">
        <v>3.6890000000000001</v>
      </c>
      <c r="H31" s="253">
        <f t="shared" ref="H31:T31" si="5">H72+H77</f>
        <v>-10.140815843418439</v>
      </c>
      <c r="I31" s="253">
        <f t="shared" si="5"/>
        <v>-10.578915279887013</v>
      </c>
      <c r="J31" s="253">
        <f t="shared" si="5"/>
        <v>-11.738532046413303</v>
      </c>
      <c r="K31" s="253">
        <f t="shared" si="5"/>
        <v>-14.998299734411706</v>
      </c>
      <c r="L31" s="253">
        <f t="shared" si="5"/>
        <v>-18.487451745047593</v>
      </c>
      <c r="M31" s="253">
        <f t="shared" si="5"/>
        <v>-18.077332241362143</v>
      </c>
      <c r="N31" s="253">
        <f t="shared" si="5"/>
        <v>-15.292433569756239</v>
      </c>
      <c r="O31" s="253">
        <f t="shared" si="5"/>
        <v>-13.440086270944933</v>
      </c>
      <c r="P31" s="253">
        <f t="shared" si="5"/>
        <v>-11.549337089986764</v>
      </c>
      <c r="Q31" s="253">
        <f t="shared" si="5"/>
        <v>-10.018538583548489</v>
      </c>
      <c r="R31" s="253">
        <f t="shared" si="5"/>
        <v>-8.8224440280958305</v>
      </c>
      <c r="S31" s="253">
        <f t="shared" si="5"/>
        <v>-7.5004660258485494</v>
      </c>
      <c r="T31" s="253">
        <f t="shared" si="5"/>
        <v>-5.967521708957026</v>
      </c>
      <c r="U31" s="68"/>
    </row>
    <row r="32" spans="1:21" ht="12" customHeight="1">
      <c r="A32" s="68"/>
      <c r="B32" s="382" t="s">
        <v>259</v>
      </c>
      <c r="C32" s="249">
        <v>0</v>
      </c>
      <c r="D32" s="249">
        <f>2+4.500034</f>
        <v>6.5000340000000003</v>
      </c>
      <c r="E32" s="249">
        <f>2.5+5.00002+64.787549</f>
        <v>72.287569000000005</v>
      </c>
      <c r="F32" s="249">
        <v>246.489901</v>
      </c>
      <c r="G32" s="249">
        <v>269.86900000000003</v>
      </c>
      <c r="H32" s="249">
        <f t="shared" ref="H32:T32" si="6">H71</f>
        <v>432.40345919999999</v>
      </c>
      <c r="I32" s="249">
        <f t="shared" si="6"/>
        <v>0</v>
      </c>
      <c r="J32" s="249">
        <f t="shared" si="6"/>
        <v>0</v>
      </c>
      <c r="K32" s="249">
        <f t="shared" si="6"/>
        <v>0</v>
      </c>
      <c r="L32" s="249">
        <f t="shared" si="6"/>
        <v>0</v>
      </c>
      <c r="M32" s="249">
        <f t="shared" si="6"/>
        <v>0</v>
      </c>
      <c r="N32" s="249">
        <f t="shared" si="6"/>
        <v>0</v>
      </c>
      <c r="O32" s="249">
        <f t="shared" si="6"/>
        <v>0</v>
      </c>
      <c r="P32" s="249">
        <f t="shared" si="6"/>
        <v>0</v>
      </c>
      <c r="Q32" s="249">
        <f t="shared" si="6"/>
        <v>0</v>
      </c>
      <c r="R32" s="249">
        <f t="shared" si="6"/>
        <v>0</v>
      </c>
      <c r="S32" s="249">
        <f t="shared" si="6"/>
        <v>0</v>
      </c>
      <c r="T32" s="249">
        <f t="shared" si="6"/>
        <v>0</v>
      </c>
      <c r="U32" s="68"/>
    </row>
    <row r="33" spans="1:21" ht="12" customHeight="1">
      <c r="A33" s="68"/>
      <c r="B33" s="382" t="s">
        <v>114</v>
      </c>
      <c r="C33" s="249">
        <v>0.1</v>
      </c>
      <c r="D33" s="249">
        <f>1-0.35</f>
        <v>0.65</v>
      </c>
      <c r="E33" s="249">
        <v>0</v>
      </c>
      <c r="F33" s="249">
        <f>-1.592206</f>
        <v>-1.592206</v>
      </c>
      <c r="G33" s="249">
        <v>-0.443</v>
      </c>
      <c r="H33" s="249">
        <v>0</v>
      </c>
      <c r="I33" s="249">
        <v>0</v>
      </c>
      <c r="J33" s="249">
        <v>0</v>
      </c>
      <c r="K33" s="249">
        <v>0</v>
      </c>
      <c r="L33" s="249">
        <v>0</v>
      </c>
      <c r="M33" s="249">
        <v>0</v>
      </c>
      <c r="N33" s="249">
        <v>0</v>
      </c>
      <c r="O33" s="249">
        <v>0</v>
      </c>
      <c r="P33" s="249">
        <v>0</v>
      </c>
      <c r="Q33" s="249">
        <v>0</v>
      </c>
      <c r="R33" s="249">
        <v>0</v>
      </c>
      <c r="S33" s="249">
        <v>0</v>
      </c>
      <c r="T33" s="249">
        <v>0</v>
      </c>
      <c r="U33" s="68"/>
    </row>
    <row r="34" spans="1:21" ht="13.5" customHeight="1">
      <c r="A34" s="68"/>
      <c r="B34" s="380" t="s">
        <v>250</v>
      </c>
      <c r="C34" s="252">
        <f t="shared" ref="C34" si="7">SUM(C31:C33)</f>
        <v>0.1</v>
      </c>
      <c r="D34" s="252">
        <f t="shared" ref="D34:K34" si="8">SUM(D31:D33)</f>
        <v>7.1500340000000007</v>
      </c>
      <c r="E34" s="252">
        <f t="shared" si="8"/>
        <v>73.149175</v>
      </c>
      <c r="F34" s="252">
        <f t="shared" si="8"/>
        <v>245.38075900000001</v>
      </c>
      <c r="G34" s="252">
        <f t="shared" si="8"/>
        <v>273.11500000000007</v>
      </c>
      <c r="H34" s="252">
        <f t="shared" si="8"/>
        <v>422.26264335658152</v>
      </c>
      <c r="I34" s="252">
        <f t="shared" si="8"/>
        <v>-10.578915279887013</v>
      </c>
      <c r="J34" s="252">
        <f t="shared" si="8"/>
        <v>-11.738532046413303</v>
      </c>
      <c r="K34" s="252">
        <f t="shared" si="8"/>
        <v>-14.998299734411706</v>
      </c>
      <c r="L34" s="252">
        <f t="shared" ref="L34:M34" si="9">SUM(L31:L33)</f>
        <v>-18.487451745047593</v>
      </c>
      <c r="M34" s="252">
        <f t="shared" si="9"/>
        <v>-18.077332241362143</v>
      </c>
      <c r="N34" s="252">
        <f t="shared" ref="N34:T34" si="10">SUM(N31:N33)</f>
        <v>-15.292433569756239</v>
      </c>
      <c r="O34" s="252">
        <f t="shared" si="10"/>
        <v>-13.440086270944933</v>
      </c>
      <c r="P34" s="252">
        <f t="shared" si="10"/>
        <v>-11.549337089986764</v>
      </c>
      <c r="Q34" s="252">
        <f t="shared" si="10"/>
        <v>-10.018538583548489</v>
      </c>
      <c r="R34" s="252">
        <f t="shared" si="10"/>
        <v>-8.8224440280958305</v>
      </c>
      <c r="S34" s="252">
        <f t="shared" si="10"/>
        <v>-7.5004660258485494</v>
      </c>
      <c r="T34" s="252">
        <f t="shared" si="10"/>
        <v>-5.967521708957026</v>
      </c>
      <c r="U34" s="68"/>
    </row>
    <row r="35" spans="1:21" ht="9" customHeight="1">
      <c r="A35" s="68"/>
      <c r="B35" s="381"/>
      <c r="C35" s="254"/>
      <c r="D35" s="254"/>
      <c r="E35" s="254"/>
      <c r="F35" s="254"/>
      <c r="G35" s="254"/>
      <c r="H35" s="254"/>
      <c r="I35" s="254"/>
      <c r="J35" s="254"/>
      <c r="K35" s="254"/>
      <c r="L35" s="254"/>
      <c r="M35" s="254"/>
      <c r="N35" s="254"/>
      <c r="O35" s="254"/>
      <c r="P35" s="254"/>
      <c r="Q35" s="254"/>
      <c r="R35" s="254"/>
      <c r="S35" s="254"/>
      <c r="T35" s="254"/>
      <c r="U35" s="68"/>
    </row>
    <row r="36" spans="1:21" ht="13.5" customHeight="1">
      <c r="A36" s="68"/>
      <c r="B36" s="383" t="s">
        <v>260</v>
      </c>
      <c r="C36" s="255">
        <f>C34+C27+C19</f>
        <v>-0.41941400000000012</v>
      </c>
      <c r="D36" s="255">
        <f>D34+D27+D19</f>
        <v>3.1109819999999999</v>
      </c>
      <c r="E36" s="255">
        <f>E34+E27+E19</f>
        <v>59.132147000000003</v>
      </c>
      <c r="F36" s="255">
        <f>F34+F27+F19</f>
        <v>178.17797899999999</v>
      </c>
      <c r="G36" s="255">
        <f t="shared" ref="G36:T36" si="11">G34+G27+G19</f>
        <v>83.687000000000097</v>
      </c>
      <c r="H36" s="255">
        <f t="shared" si="11"/>
        <v>222.43331517249146</v>
      </c>
      <c r="I36" s="255">
        <f t="shared" si="11"/>
        <v>-142.77732856614932</v>
      </c>
      <c r="J36" s="255">
        <f t="shared" si="11"/>
        <v>-1.4500495604409878</v>
      </c>
      <c r="K36" s="255">
        <f t="shared" si="11"/>
        <v>414.61728894529926</v>
      </c>
      <c r="L36" s="255">
        <f t="shared" si="11"/>
        <v>748.38525321891302</v>
      </c>
      <c r="M36" s="255">
        <f t="shared" si="11"/>
        <v>854.00438301101156</v>
      </c>
      <c r="N36" s="255">
        <f t="shared" si="11"/>
        <v>752.00463252389818</v>
      </c>
      <c r="O36" s="255">
        <f t="shared" si="11"/>
        <v>699.72663006769108</v>
      </c>
      <c r="P36" s="255">
        <f t="shared" si="11"/>
        <v>630.89713226367871</v>
      </c>
      <c r="Q36" s="255">
        <f t="shared" si="11"/>
        <v>592.8335182715507</v>
      </c>
      <c r="R36" s="255">
        <f t="shared" si="11"/>
        <v>618.79938215351956</v>
      </c>
      <c r="S36" s="255">
        <f t="shared" si="11"/>
        <v>650.00358848193162</v>
      </c>
      <c r="T36" s="255">
        <f t="shared" si="11"/>
        <v>683.00388783389144</v>
      </c>
      <c r="U36" s="68"/>
    </row>
    <row r="37" spans="1:21" ht="13.5" customHeight="1">
      <c r="A37" s="68"/>
      <c r="B37" s="383" t="s">
        <v>261</v>
      </c>
      <c r="C37" s="262">
        <v>0.41941400000000001</v>
      </c>
      <c r="D37" s="255">
        <f>+C41</f>
        <v>0</v>
      </c>
      <c r="E37" s="255">
        <f>+D41</f>
        <v>3.1109819999999999</v>
      </c>
      <c r="F37" s="255">
        <v>62.251860000000001</v>
      </c>
      <c r="G37" s="255">
        <v>240.43</v>
      </c>
      <c r="H37" s="255">
        <f t="shared" ref="H37:T37" si="12">+G41</f>
        <v>324.11700000000008</v>
      </c>
      <c r="I37" s="255">
        <f t="shared" si="12"/>
        <v>546.55031517249154</v>
      </c>
      <c r="J37" s="255">
        <f t="shared" si="12"/>
        <v>403.77298660634222</v>
      </c>
      <c r="K37" s="255">
        <f t="shared" si="12"/>
        <v>402.3229370459012</v>
      </c>
      <c r="L37" s="255">
        <f t="shared" si="12"/>
        <v>816.94022599120046</v>
      </c>
      <c r="M37" s="255">
        <f t="shared" si="12"/>
        <v>1565.3254792101134</v>
      </c>
      <c r="N37" s="255">
        <f t="shared" si="12"/>
        <v>2419.329862221125</v>
      </c>
      <c r="O37" s="255">
        <f t="shared" si="12"/>
        <v>3171.3344947450232</v>
      </c>
      <c r="P37" s="255">
        <f t="shared" si="12"/>
        <v>3871.0611248127143</v>
      </c>
      <c r="Q37" s="255">
        <f t="shared" si="12"/>
        <v>4501.9582570763932</v>
      </c>
      <c r="R37" s="255">
        <f t="shared" si="12"/>
        <v>5094.7917753479442</v>
      </c>
      <c r="S37" s="255">
        <f t="shared" si="12"/>
        <v>5713.5911575014634</v>
      </c>
      <c r="T37" s="255">
        <f t="shared" si="12"/>
        <v>6363.5947459833951</v>
      </c>
      <c r="U37" s="68"/>
    </row>
    <row r="38" spans="1:21" ht="9" customHeight="1">
      <c r="A38" s="68"/>
      <c r="B38" s="383"/>
      <c r="C38" s="255"/>
      <c r="D38" s="255"/>
      <c r="E38" s="255"/>
      <c r="F38" s="255"/>
      <c r="G38" s="255"/>
      <c r="H38" s="255"/>
      <c r="I38" s="255"/>
      <c r="J38" s="255"/>
      <c r="K38" s="255"/>
      <c r="L38" s="255"/>
      <c r="M38" s="255"/>
      <c r="N38" s="255"/>
      <c r="O38" s="255"/>
      <c r="P38" s="255"/>
      <c r="Q38" s="255"/>
      <c r="R38" s="255"/>
      <c r="S38" s="255"/>
      <c r="T38" s="255"/>
      <c r="U38" s="68"/>
    </row>
    <row r="39" spans="1:21">
      <c r="A39" s="68"/>
      <c r="B39" s="384" t="s">
        <v>262</v>
      </c>
      <c r="C39" s="256">
        <f t="shared" ref="C39" si="13">SUM(C36:C37)</f>
        <v>0</v>
      </c>
      <c r="D39" s="256">
        <f t="shared" ref="D39:K39" si="14">SUM(D36:D37)</f>
        <v>3.1109819999999999</v>
      </c>
      <c r="E39" s="256">
        <f t="shared" ref="E39" si="15">SUM(E36:E37)</f>
        <v>62.243129000000003</v>
      </c>
      <c r="F39" s="256">
        <f t="shared" ref="F39" si="16">SUM(F36:F37)</f>
        <v>240.42983899999999</v>
      </c>
      <c r="G39" s="256">
        <f t="shared" si="14"/>
        <v>324.11700000000008</v>
      </c>
      <c r="H39" s="256">
        <f t="shared" si="14"/>
        <v>546.55031517249154</v>
      </c>
      <c r="I39" s="256">
        <f t="shared" si="14"/>
        <v>403.77298660634222</v>
      </c>
      <c r="J39" s="256">
        <f t="shared" si="14"/>
        <v>402.3229370459012</v>
      </c>
      <c r="K39" s="256">
        <f t="shared" si="14"/>
        <v>816.94022599120046</v>
      </c>
      <c r="L39" s="256">
        <f t="shared" ref="L39:M39" si="17">SUM(L36:L37)</f>
        <v>1565.3254792101134</v>
      </c>
      <c r="M39" s="256">
        <f t="shared" si="17"/>
        <v>2419.329862221125</v>
      </c>
      <c r="N39" s="256">
        <f t="shared" ref="N39:T39" si="18">SUM(N36:N37)</f>
        <v>3171.3344947450232</v>
      </c>
      <c r="O39" s="256">
        <f t="shared" si="18"/>
        <v>3871.0611248127143</v>
      </c>
      <c r="P39" s="256">
        <f t="shared" si="18"/>
        <v>4501.9582570763932</v>
      </c>
      <c r="Q39" s="256">
        <f t="shared" si="18"/>
        <v>5094.7917753479442</v>
      </c>
      <c r="R39" s="256">
        <f t="shared" si="18"/>
        <v>5713.5911575014634</v>
      </c>
      <c r="S39" s="256">
        <f t="shared" si="18"/>
        <v>6363.5947459833951</v>
      </c>
      <c r="T39" s="256">
        <f t="shared" si="18"/>
        <v>7046.5986338172861</v>
      </c>
      <c r="U39" s="68"/>
    </row>
    <row r="40" spans="1:21">
      <c r="A40" s="66"/>
      <c r="B40" s="385" t="s">
        <v>234</v>
      </c>
      <c r="C40" s="254">
        <f>BS!D5</f>
        <v>0</v>
      </c>
      <c r="D40" s="254">
        <f>BS!E5</f>
        <v>0</v>
      </c>
      <c r="E40" s="254">
        <f>BS!F5</f>
        <v>0</v>
      </c>
      <c r="F40" s="254">
        <f>BS!G5</f>
        <v>0</v>
      </c>
      <c r="G40" s="254">
        <f>BS!H5</f>
        <v>0</v>
      </c>
      <c r="H40" s="254">
        <f>BS!I5</f>
        <v>0</v>
      </c>
      <c r="I40" s="254">
        <f>BS!J5</f>
        <v>0</v>
      </c>
      <c r="J40" s="254">
        <f>BS!K5</f>
        <v>0</v>
      </c>
      <c r="K40" s="254">
        <f>BS!L5</f>
        <v>0</v>
      </c>
      <c r="L40" s="254">
        <f>BS!M5</f>
        <v>0</v>
      </c>
      <c r="M40" s="254">
        <f>BS!N5</f>
        <v>0</v>
      </c>
      <c r="N40" s="254">
        <f>BS!O5</f>
        <v>0</v>
      </c>
      <c r="O40" s="254">
        <f>BS!P5</f>
        <v>0</v>
      </c>
      <c r="P40" s="254">
        <f>BS!Q5</f>
        <v>0</v>
      </c>
      <c r="Q40" s="254">
        <f>BS!R5</f>
        <v>0</v>
      </c>
      <c r="R40" s="254">
        <f>BS!S5</f>
        <v>0</v>
      </c>
      <c r="S40" s="254">
        <f>BS!T5</f>
        <v>0</v>
      </c>
      <c r="T40" s="254">
        <f>BS!U5</f>
        <v>0</v>
      </c>
      <c r="U40" s="66"/>
    </row>
    <row r="41" spans="1:21">
      <c r="A41" s="66"/>
      <c r="B41" s="386" t="s">
        <v>263</v>
      </c>
      <c r="C41" s="257">
        <f t="shared" ref="C41" si="19">C40+C39</f>
        <v>0</v>
      </c>
      <c r="D41" s="257">
        <f t="shared" ref="D41:L41" si="20">D40+D39</f>
        <v>3.1109819999999999</v>
      </c>
      <c r="E41" s="257">
        <f t="shared" ref="E41" si="21">E40+E39</f>
        <v>62.243129000000003</v>
      </c>
      <c r="F41" s="257">
        <f t="shared" ref="F41" si="22">F40+F39</f>
        <v>240.42983899999999</v>
      </c>
      <c r="G41" s="257">
        <f t="shared" si="20"/>
        <v>324.11700000000008</v>
      </c>
      <c r="H41" s="257">
        <f t="shared" si="20"/>
        <v>546.55031517249154</v>
      </c>
      <c r="I41" s="257">
        <f t="shared" si="20"/>
        <v>403.77298660634222</v>
      </c>
      <c r="J41" s="257">
        <f t="shared" si="20"/>
        <v>402.3229370459012</v>
      </c>
      <c r="K41" s="257">
        <f t="shared" si="20"/>
        <v>816.94022599120046</v>
      </c>
      <c r="L41" s="257">
        <f t="shared" si="20"/>
        <v>1565.3254792101134</v>
      </c>
      <c r="M41" s="257">
        <f t="shared" ref="M41:T41" si="23">M40+M39</f>
        <v>2419.329862221125</v>
      </c>
      <c r="N41" s="257">
        <f t="shared" si="23"/>
        <v>3171.3344947450232</v>
      </c>
      <c r="O41" s="257">
        <f t="shared" si="23"/>
        <v>3871.0611248127143</v>
      </c>
      <c r="P41" s="257">
        <f t="shared" si="23"/>
        <v>4501.9582570763932</v>
      </c>
      <c r="Q41" s="257">
        <f t="shared" si="23"/>
        <v>5094.7917753479442</v>
      </c>
      <c r="R41" s="257">
        <f t="shared" si="23"/>
        <v>5713.5911575014634</v>
      </c>
      <c r="S41" s="257">
        <f t="shared" si="23"/>
        <v>6363.5947459833951</v>
      </c>
      <c r="T41" s="257">
        <f t="shared" si="23"/>
        <v>7046.5986338172861</v>
      </c>
      <c r="U41" s="66"/>
    </row>
    <row r="42" spans="1:21">
      <c r="A42" s="66"/>
      <c r="B42" s="438"/>
      <c r="C42" s="75"/>
      <c r="D42" s="75"/>
      <c r="E42" s="75"/>
      <c r="F42" s="75"/>
      <c r="G42" s="75"/>
      <c r="H42" s="75"/>
      <c r="I42" s="75"/>
      <c r="J42" s="75"/>
      <c r="K42" s="75"/>
      <c r="L42" s="75"/>
      <c r="M42" s="75"/>
      <c r="N42" s="75"/>
      <c r="O42" s="75"/>
      <c r="P42" s="75"/>
      <c r="Q42" s="75"/>
      <c r="R42" s="75"/>
      <c r="S42" s="75"/>
      <c r="T42" s="75"/>
      <c r="U42" s="66"/>
    </row>
    <row r="43" spans="1:21">
      <c r="A43" s="66"/>
      <c r="B43" s="423" t="s">
        <v>118</v>
      </c>
      <c r="C43" s="161">
        <f>C39-BS!D4</f>
        <v>0</v>
      </c>
      <c r="D43" s="161">
        <f>D39-BS!E4</f>
        <v>-8.7310000000000443E-3</v>
      </c>
      <c r="E43" s="161">
        <f>E39-BS!F4</f>
        <v>-8.7309999999973797E-3</v>
      </c>
      <c r="F43" s="95">
        <f>F39-BS!G4</f>
        <v>0</v>
      </c>
      <c r="G43" s="95">
        <f>G39-BS!H4</f>
        <v>0</v>
      </c>
      <c r="H43" s="95">
        <f>H39-BS!I4</f>
        <v>0</v>
      </c>
      <c r="I43" s="95">
        <f>I39-BS!J4</f>
        <v>0</v>
      </c>
      <c r="J43" s="95">
        <f>J39-BS!K4</f>
        <v>0</v>
      </c>
      <c r="K43" s="95">
        <f>K39-BS!L4</f>
        <v>0</v>
      </c>
      <c r="L43" s="95">
        <f>L39-BS!M4</f>
        <v>0</v>
      </c>
      <c r="M43" s="95">
        <f>M39-BS!N4</f>
        <v>0</v>
      </c>
      <c r="N43" s="95">
        <f>N39-BS!O4</f>
        <v>0</v>
      </c>
      <c r="O43" s="95">
        <f>O39-BS!P4</f>
        <v>0</v>
      </c>
      <c r="P43" s="95">
        <f>P39-BS!Q4</f>
        <v>0</v>
      </c>
      <c r="Q43" s="95">
        <f>Q39-BS!R4</f>
        <v>0</v>
      </c>
      <c r="R43" s="95">
        <f>R39-BS!S4</f>
        <v>0</v>
      </c>
      <c r="S43" s="95">
        <f>S39-BS!T4</f>
        <v>0</v>
      </c>
      <c r="T43" s="95">
        <f>T39-BS!U4</f>
        <v>0</v>
      </c>
      <c r="U43" s="66"/>
    </row>
    <row r="44" spans="1:21" ht="12.75" customHeight="1">
      <c r="A44" s="66"/>
      <c r="B44" s="439"/>
      <c r="C44" s="69"/>
      <c r="D44" s="69"/>
      <c r="E44" s="69"/>
      <c r="F44" s="69"/>
      <c r="G44" s="69"/>
      <c r="H44" s="69"/>
      <c r="I44" s="69"/>
      <c r="J44" s="69"/>
      <c r="K44" s="69"/>
      <c r="L44" s="69"/>
      <c r="M44" s="69"/>
      <c r="N44" s="69"/>
      <c r="O44" s="69"/>
      <c r="P44" s="69"/>
      <c r="Q44" s="69"/>
      <c r="R44" s="69"/>
      <c r="S44" s="69"/>
      <c r="T44" s="69"/>
      <c r="U44" s="66"/>
    </row>
    <row r="45" spans="1:21" ht="13.5" customHeight="1">
      <c r="A45" s="66"/>
      <c r="B45" s="440" t="s">
        <v>272</v>
      </c>
      <c r="C45" s="69"/>
      <c r="D45" s="69"/>
      <c r="E45" s="69"/>
      <c r="F45" s="69"/>
      <c r="G45" s="69"/>
      <c r="H45" s="69"/>
      <c r="I45" s="69"/>
      <c r="J45" s="69"/>
      <c r="K45" s="69"/>
      <c r="L45" s="69"/>
      <c r="M45" s="69"/>
      <c r="N45" s="69"/>
      <c r="O45" s="69"/>
      <c r="P45" s="69"/>
      <c r="Q45" s="69"/>
      <c r="R45" s="69"/>
      <c r="S45" s="69"/>
      <c r="T45" s="69"/>
      <c r="U45" s="66"/>
    </row>
    <row r="46" spans="1:21">
      <c r="A46" s="66"/>
      <c r="B46" s="66"/>
      <c r="C46" s="70"/>
      <c r="D46" s="70"/>
      <c r="E46" s="69"/>
      <c r="F46" s="69"/>
      <c r="G46" s="69"/>
      <c r="H46" s="69"/>
      <c r="I46" s="69"/>
      <c r="J46" s="69"/>
      <c r="K46" s="69"/>
      <c r="L46" s="69"/>
      <c r="M46" s="69"/>
      <c r="N46" s="69"/>
      <c r="O46" s="69"/>
      <c r="P46" s="69"/>
      <c r="Q46" s="69"/>
      <c r="R46" s="69"/>
      <c r="S46" s="69"/>
      <c r="T46" s="69"/>
      <c r="U46" s="66"/>
    </row>
    <row r="47" spans="1:21">
      <c r="A47" s="66"/>
      <c r="B47" s="112" t="s">
        <v>177</v>
      </c>
      <c r="C47" s="157">
        <v>0.1</v>
      </c>
      <c r="D47" s="157"/>
      <c r="E47" s="158"/>
      <c r="F47" s="158"/>
      <c r="G47" s="158"/>
      <c r="H47" s="158"/>
      <c r="I47" s="158"/>
      <c r="J47" s="158"/>
      <c r="K47" s="158"/>
      <c r="L47" s="158"/>
      <c r="M47" s="158"/>
      <c r="N47" s="158"/>
      <c r="O47" s="158"/>
      <c r="P47" s="158"/>
      <c r="Q47" s="158"/>
      <c r="R47" s="158"/>
      <c r="S47" s="158"/>
      <c r="T47" s="158"/>
      <c r="U47" s="66"/>
    </row>
    <row r="48" spans="1:21">
      <c r="A48" s="66"/>
      <c r="B48" s="441" t="s">
        <v>29</v>
      </c>
      <c r="C48" s="164"/>
      <c r="D48" s="164" t="str">
        <f>_xll.TR($AF$1,"AVG(TR.Priceclose)","sdate=#1 edate=#2 Curn=#3 Null=-",,DATE(D$2,1,1),DATE(D$2,12,31),$AF$2)</f>
        <v>-</v>
      </c>
      <c r="E48" s="164" t="str">
        <f>_xll.TR($AF$1,"AVG(TR.Priceclose)","sdate=#1 edate=#2 Curn=#3 Null=-",,DATE(E$2,1,1),DATE(E$2,12,31),$AF$2)</f>
        <v>-</v>
      </c>
      <c r="F48" s="347">
        <f>_xll.TR($AF$1,"AVG(TR.Priceclose)","sdate=#1 edate=#2 Curn=#3 Null=-",,DATE(F$2,1,1),DATE(F$2,12,31),$AF$2)</f>
        <v>38.687608888888903</v>
      </c>
      <c r="G48" s="159">
        <f t="shared" ref="G48:L48" si="24">F48*(1+$C$47)</f>
        <v>42.556369777777796</v>
      </c>
      <c r="H48" s="159">
        <f t="shared" si="24"/>
        <v>46.812006755555579</v>
      </c>
      <c r="I48" s="159">
        <f t="shared" si="24"/>
        <v>51.493207431111138</v>
      </c>
      <c r="J48" s="159">
        <f t="shared" si="24"/>
        <v>56.642528174222257</v>
      </c>
      <c r="K48" s="159">
        <f t="shared" si="24"/>
        <v>62.306780991644487</v>
      </c>
      <c r="L48" s="159">
        <f t="shared" si="24"/>
        <v>68.537459090808937</v>
      </c>
      <c r="M48" s="159">
        <f t="shared" ref="M48" si="25">L48*(1+$C$47)</f>
        <v>75.391204999889837</v>
      </c>
      <c r="N48" s="159">
        <f t="shared" ref="N48" si="26">M48*(1+$C$47)</f>
        <v>82.930325499878833</v>
      </c>
      <c r="O48" s="159">
        <f t="shared" ref="O48" si="27">N48*(1+$C$47)</f>
        <v>91.223358049866718</v>
      </c>
      <c r="P48" s="159">
        <f t="shared" ref="P48" si="28">O48*(1+$C$47)</f>
        <v>100.34569385485339</v>
      </c>
      <c r="Q48" s="159">
        <f t="shared" ref="Q48" si="29">P48*(1+$C$47)</f>
        <v>110.38026324033875</v>
      </c>
      <c r="R48" s="159">
        <f t="shared" ref="R48" si="30">Q48*(1+$C$47)</f>
        <v>121.41828956437263</v>
      </c>
      <c r="S48" s="159">
        <f t="shared" ref="S48" si="31">R48*(1+$C$47)</f>
        <v>133.56011852080991</v>
      </c>
      <c r="T48" s="160">
        <f t="shared" ref="T48" si="32">S48*(1+$C$47)</f>
        <v>146.9161303728909</v>
      </c>
      <c r="U48" s="66"/>
    </row>
    <row r="49" spans="1:21">
      <c r="A49" s="67"/>
      <c r="B49" s="442" t="s">
        <v>30</v>
      </c>
      <c r="C49" s="165"/>
      <c r="D49" s="165">
        <v>0</v>
      </c>
      <c r="E49" s="165">
        <v>0.47320200000000001</v>
      </c>
      <c r="F49" s="165">
        <v>1.748875</v>
      </c>
      <c r="G49" s="129">
        <f t="shared" ref="G49:L49" si="33">F49-F53-F55+F61</f>
        <v>2.5771109999999999</v>
      </c>
      <c r="H49" s="129">
        <f t="shared" si="33"/>
        <v>3.7975847938366094</v>
      </c>
      <c r="I49" s="129">
        <f t="shared" si="33"/>
        <v>5.5960532031329047</v>
      </c>
      <c r="J49" s="129">
        <f t="shared" si="33"/>
        <v>8.2462441663235175</v>
      </c>
      <c r="K49" s="129">
        <f t="shared" si="33"/>
        <v>12.151518290168347</v>
      </c>
      <c r="L49" s="129">
        <f t="shared" si="33"/>
        <v>17.906260568819409</v>
      </c>
      <c r="M49" s="129">
        <f t="shared" ref="M49" si="34">L49-L53-L55+L61</f>
        <v>26.386346125807023</v>
      </c>
      <c r="N49" s="129">
        <f t="shared" ref="N49" si="35">M49-M53-M55+M61</f>
        <v>38.882448917518218</v>
      </c>
      <c r="O49" s="129">
        <f t="shared" ref="O49" si="36">N49-N53-N55+N61</f>
        <v>57.296483060409869</v>
      </c>
      <c r="P49" s="129">
        <f t="shared" ref="P49" si="37">O49-O53-O55+O61</f>
        <v>84.431075266268849</v>
      </c>
      <c r="Q49" s="129">
        <f t="shared" ref="Q49" si="38">P49-P53-P55+P61</f>
        <v>124.41612625861161</v>
      </c>
      <c r="R49" s="129">
        <f t="shared" ref="R49" si="39">Q49-Q53-Q55+Q61</f>
        <v>183.33738406601779</v>
      </c>
      <c r="S49" s="129">
        <f t="shared" ref="S49" si="40">R49-R53-R55+R61</f>
        <v>270.16269841341386</v>
      </c>
      <c r="T49" s="130">
        <f t="shared" ref="T49" si="41">S49-S53-S55+S61</f>
        <v>398.10693266865349</v>
      </c>
      <c r="U49" s="67"/>
    </row>
    <row r="50" spans="1:21">
      <c r="A50" s="67"/>
      <c r="B50" s="442" t="s">
        <v>178</v>
      </c>
      <c r="C50" s="165"/>
      <c r="D50" s="166">
        <v>0.25792199999999998</v>
      </c>
      <c r="E50" s="166">
        <v>0.16836000000000001</v>
      </c>
      <c r="F50" s="166">
        <v>0.70411100000000004</v>
      </c>
      <c r="G50" s="129">
        <f t="shared" ref="G50:K50" si="42">G49*G51</f>
        <v>1.0375654082315775</v>
      </c>
      <c r="H50" s="129">
        <f t="shared" si="42"/>
        <v>1.5289378753616407</v>
      </c>
      <c r="I50" s="129">
        <f t="shared" si="42"/>
        <v>2.2530155768200202</v>
      </c>
      <c r="J50" s="129">
        <f t="shared" si="42"/>
        <v>3.3200035601139128</v>
      </c>
      <c r="K50" s="129">
        <f t="shared" si="42"/>
        <v>4.8922980171874642</v>
      </c>
      <c r="L50" s="129">
        <f t="shared" ref="L50:M50" si="43">L49*L51</f>
        <v>7.2092030793350039</v>
      </c>
      <c r="M50" s="129">
        <f t="shared" si="43"/>
        <v>10.623353045236573</v>
      </c>
      <c r="N50" s="129">
        <f t="shared" ref="N50:T50" si="44">N49*N51</f>
        <v>15.654383526417082</v>
      </c>
      <c r="O50" s="129">
        <f t="shared" si="44"/>
        <v>23.068020289699525</v>
      </c>
      <c r="P50" s="129">
        <f t="shared" si="44"/>
        <v>33.992623164495939</v>
      </c>
      <c r="Q50" s="129">
        <f t="shared" si="44"/>
        <v>50.090923065443384</v>
      </c>
      <c r="R50" s="129">
        <f t="shared" si="44"/>
        <v>73.813090605164959</v>
      </c>
      <c r="S50" s="129">
        <f t="shared" si="44"/>
        <v>108.76965348728027</v>
      </c>
      <c r="T50" s="130">
        <f t="shared" si="44"/>
        <v>160.2810209238844</v>
      </c>
      <c r="U50" s="67"/>
    </row>
    <row r="51" spans="1:21">
      <c r="A51" s="67"/>
      <c r="B51" s="443" t="s">
        <v>31</v>
      </c>
      <c r="C51" s="167"/>
      <c r="D51" s="167" t="str">
        <f t="shared" ref="D51" si="45">IF(ISERROR(D50/D49), "NM", (D50/D49))</f>
        <v>NM</v>
      </c>
      <c r="E51" s="167">
        <f t="shared" ref="E51:F51" si="46">IF(ISERROR(E50/E49), "NM", (E50/E49))</f>
        <v>0.3557888597258676</v>
      </c>
      <c r="F51" s="167">
        <f t="shared" si="46"/>
        <v>0.40260796226145384</v>
      </c>
      <c r="G51" s="122">
        <f t="shared" ref="G51:L51" si="47">F51</f>
        <v>0.40260796226145384</v>
      </c>
      <c r="H51" s="122">
        <f t="shared" si="47"/>
        <v>0.40260796226145384</v>
      </c>
      <c r="I51" s="122">
        <f t="shared" si="47"/>
        <v>0.40260796226145384</v>
      </c>
      <c r="J51" s="122">
        <f t="shared" si="47"/>
        <v>0.40260796226145384</v>
      </c>
      <c r="K51" s="122">
        <f t="shared" si="47"/>
        <v>0.40260796226145384</v>
      </c>
      <c r="L51" s="122">
        <f t="shared" si="47"/>
        <v>0.40260796226145384</v>
      </c>
      <c r="M51" s="122">
        <f t="shared" ref="M51" si="48">L51</f>
        <v>0.40260796226145384</v>
      </c>
      <c r="N51" s="122">
        <f t="shared" ref="N51" si="49">M51</f>
        <v>0.40260796226145384</v>
      </c>
      <c r="O51" s="122">
        <f t="shared" ref="O51" si="50">N51</f>
        <v>0.40260796226145384</v>
      </c>
      <c r="P51" s="122">
        <f t="shared" ref="P51" si="51">O51</f>
        <v>0.40260796226145384</v>
      </c>
      <c r="Q51" s="122">
        <f t="shared" ref="Q51" si="52">P51</f>
        <v>0.40260796226145384</v>
      </c>
      <c r="R51" s="122">
        <f t="shared" ref="R51" si="53">Q51</f>
        <v>0.40260796226145384</v>
      </c>
      <c r="S51" s="122">
        <f t="shared" ref="S51" si="54">R51</f>
        <v>0.40260796226145384</v>
      </c>
      <c r="T51" s="126">
        <f t="shared" ref="T51" si="55">S51</f>
        <v>0.40260796226145384</v>
      </c>
      <c r="U51" s="67"/>
    </row>
    <row r="52" spans="1:21">
      <c r="A52" s="67"/>
      <c r="B52" s="444" t="s">
        <v>179</v>
      </c>
      <c r="C52" s="168"/>
      <c r="D52" s="169">
        <v>2.5099999999999998</v>
      </c>
      <c r="E52" s="169">
        <v>2.4700000000000002</v>
      </c>
      <c r="F52" s="169">
        <v>14.86</v>
      </c>
      <c r="G52" s="127">
        <f t="shared" ref="G52:L52" si="56">F52*(1+$C$47)</f>
        <v>16.346</v>
      </c>
      <c r="H52" s="127">
        <f t="shared" si="56"/>
        <v>17.980600000000003</v>
      </c>
      <c r="I52" s="127">
        <f t="shared" si="56"/>
        <v>19.778660000000006</v>
      </c>
      <c r="J52" s="127">
        <f t="shared" si="56"/>
        <v>21.756526000000008</v>
      </c>
      <c r="K52" s="127">
        <f t="shared" si="56"/>
        <v>23.932178600000011</v>
      </c>
      <c r="L52" s="127">
        <f t="shared" si="56"/>
        <v>26.325396460000015</v>
      </c>
      <c r="M52" s="127">
        <f t="shared" ref="M52" si="57">L52*(1+$C$47)</f>
        <v>28.95793610600002</v>
      </c>
      <c r="N52" s="127">
        <f t="shared" ref="N52" si="58">M52*(1+$C$47)</f>
        <v>31.853729716600025</v>
      </c>
      <c r="O52" s="127">
        <f t="shared" ref="O52" si="59">N52*(1+$C$47)</f>
        <v>35.03910268826003</v>
      </c>
      <c r="P52" s="127">
        <f t="shared" ref="P52" si="60">O52*(1+$C$47)</f>
        <v>38.543012957086034</v>
      </c>
      <c r="Q52" s="127">
        <f t="shared" ref="Q52" si="61">P52*(1+$C$47)</f>
        <v>42.397314252794644</v>
      </c>
      <c r="R52" s="127">
        <f t="shared" ref="R52" si="62">Q52*(1+$C$47)</f>
        <v>46.637045678074109</v>
      </c>
      <c r="S52" s="127">
        <f t="shared" ref="S52" si="63">R52*(1+$C$47)</f>
        <v>51.300750245881524</v>
      </c>
      <c r="T52" s="128">
        <f t="shared" ref="T52" si="64">S52*(1+$C$47)</f>
        <v>56.430825270469683</v>
      </c>
      <c r="U52" s="67"/>
    </row>
    <row r="53" spans="1:21">
      <c r="A53" s="67"/>
      <c r="B53" s="445" t="s">
        <v>32</v>
      </c>
      <c r="C53" s="165"/>
      <c r="D53" s="165">
        <v>2.8289999999999999E-2</v>
      </c>
      <c r="E53" s="165">
        <v>1.7801999999999998E-2</v>
      </c>
      <c r="F53" s="165">
        <v>6.1275000000000003E-2</v>
      </c>
      <c r="G53" s="129">
        <f t="shared" ref="G53:K53" si="65">G49*G54</f>
        <v>9.0293746851547424E-2</v>
      </c>
      <c r="H53" s="129">
        <f t="shared" si="65"/>
        <v>0.13305525451638239</v>
      </c>
      <c r="I53" s="129">
        <f t="shared" si="65"/>
        <v>0.19606784934427487</v>
      </c>
      <c r="J53" s="129">
        <f t="shared" si="65"/>
        <v>0.28892208493544336</v>
      </c>
      <c r="K53" s="129">
        <f t="shared" si="65"/>
        <v>0.42575042997930984</v>
      </c>
      <c r="L53" s="129">
        <f t="shared" ref="L53:M53" si="66">L49*L54</f>
        <v>0.62737823821279926</v>
      </c>
      <c r="M53" s="129">
        <f t="shared" si="66"/>
        <v>0.92449337937749998</v>
      </c>
      <c r="N53" s="129">
        <f t="shared" ref="N53:T53" si="67">N49*N54</f>
        <v>1.3623169508517925</v>
      </c>
      <c r="O53" s="129">
        <f t="shared" si="67"/>
        <v>2.0074859549862709</v>
      </c>
      <c r="P53" s="129">
        <f t="shared" si="67"/>
        <v>2.9581954896379807</v>
      </c>
      <c r="Q53" s="129">
        <f t="shared" si="67"/>
        <v>4.3591440992045891</v>
      </c>
      <c r="R53" s="129">
        <f t="shared" si="67"/>
        <v>6.4235569772826757</v>
      </c>
      <c r="S53" s="129">
        <f t="shared" si="67"/>
        <v>9.4656389652101698</v>
      </c>
      <c r="T53" s="130">
        <f t="shared" si="67"/>
        <v>13.948396711755695</v>
      </c>
      <c r="U53" s="67"/>
    </row>
    <row r="54" spans="1:21">
      <c r="A54" s="67"/>
      <c r="B54" s="443" t="s">
        <v>33</v>
      </c>
      <c r="C54" s="170"/>
      <c r="D54" s="170" t="str">
        <f t="shared" ref="D54" si="68">IF(ISERROR(D53/D49), "NM", (D53/D49))</f>
        <v>NM</v>
      </c>
      <c r="E54" s="170">
        <f t="shared" ref="E54:F54" si="69">IF(ISERROR(E53/E49), "NM", (E53/E49))</f>
        <v>3.7620297462817143E-2</v>
      </c>
      <c r="F54" s="170">
        <f t="shared" si="69"/>
        <v>3.5036809377456936E-2</v>
      </c>
      <c r="G54" s="122">
        <f t="shared" ref="G54:L54" si="70">F54</f>
        <v>3.5036809377456936E-2</v>
      </c>
      <c r="H54" s="122">
        <f t="shared" si="70"/>
        <v>3.5036809377456936E-2</v>
      </c>
      <c r="I54" s="122">
        <f t="shared" si="70"/>
        <v>3.5036809377456936E-2</v>
      </c>
      <c r="J54" s="122">
        <f t="shared" si="70"/>
        <v>3.5036809377456936E-2</v>
      </c>
      <c r="K54" s="122">
        <f t="shared" si="70"/>
        <v>3.5036809377456936E-2</v>
      </c>
      <c r="L54" s="122">
        <f t="shared" si="70"/>
        <v>3.5036809377456936E-2</v>
      </c>
      <c r="M54" s="122">
        <f t="shared" ref="M54" si="71">L54</f>
        <v>3.5036809377456936E-2</v>
      </c>
      <c r="N54" s="122">
        <f t="shared" ref="N54" si="72">M54</f>
        <v>3.5036809377456936E-2</v>
      </c>
      <c r="O54" s="122">
        <f t="shared" ref="O54" si="73">N54</f>
        <v>3.5036809377456936E-2</v>
      </c>
      <c r="P54" s="122">
        <f t="shared" ref="P54" si="74">O54</f>
        <v>3.5036809377456936E-2</v>
      </c>
      <c r="Q54" s="122">
        <f t="shared" ref="Q54" si="75">P54</f>
        <v>3.5036809377456936E-2</v>
      </c>
      <c r="R54" s="122">
        <f t="shared" ref="R54" si="76">Q54</f>
        <v>3.5036809377456936E-2</v>
      </c>
      <c r="S54" s="122">
        <f t="shared" ref="S54" si="77">R54</f>
        <v>3.5036809377456936E-2</v>
      </c>
      <c r="T54" s="126">
        <f t="shared" ref="T54" si="78">S54</f>
        <v>3.5036809377456936E-2</v>
      </c>
      <c r="U54" s="67"/>
    </row>
    <row r="55" spans="1:21">
      <c r="A55" s="67"/>
      <c r="B55" s="445" t="s">
        <v>34</v>
      </c>
      <c r="C55" s="171"/>
      <c r="D55" s="171">
        <v>0</v>
      </c>
      <c r="E55" s="171">
        <v>0.20699999999999999</v>
      </c>
      <c r="F55" s="171">
        <v>8.4126999999999993E-2</v>
      </c>
      <c r="G55" s="111">
        <f t="shared" ref="G55:K55" si="79">G49*G56</f>
        <v>0.12396804637095275</v>
      </c>
      <c r="H55" s="111">
        <f t="shared" si="79"/>
        <v>0.18267710153732683</v>
      </c>
      <c r="I55" s="111">
        <f t="shared" si="79"/>
        <v>0.26918971785860163</v>
      </c>
      <c r="J55" s="111">
        <f t="shared" si="79"/>
        <v>0.39667316588109419</v>
      </c>
      <c r="K55" s="111">
        <f t="shared" si="79"/>
        <v>0.584530500577224</v>
      </c>
      <c r="L55" s="111">
        <f t="shared" ref="L55:M55" si="80">L49*L56</f>
        <v>0.86135371760307078</v>
      </c>
      <c r="M55" s="111">
        <f t="shared" si="80"/>
        <v>1.2692754716750869</v>
      </c>
      <c r="N55" s="111">
        <f t="shared" ref="N55:T55" si="81">N49*N56</f>
        <v>1.8703816911351898</v>
      </c>
      <c r="O55" s="111">
        <f t="shared" si="81"/>
        <v>2.756161092372583</v>
      </c>
      <c r="P55" s="111">
        <f t="shared" si="81"/>
        <v>4.0614298156960329</v>
      </c>
      <c r="Q55" s="111">
        <f t="shared" si="81"/>
        <v>5.9848505203392008</v>
      </c>
      <c r="R55" s="111">
        <f t="shared" si="81"/>
        <v>8.8191689567990164</v>
      </c>
      <c r="S55" s="111">
        <f t="shared" si="81"/>
        <v>12.995770040411847</v>
      </c>
      <c r="T55" s="131">
        <f t="shared" si="81"/>
        <v>19.150334886493209</v>
      </c>
      <c r="U55" s="67"/>
    </row>
    <row r="56" spans="1:21">
      <c r="A56" s="67"/>
      <c r="B56" s="443" t="s">
        <v>39</v>
      </c>
      <c r="C56" s="170"/>
      <c r="D56" s="170" t="str">
        <f t="shared" ref="D56" si="82">IF(ISERROR(D55/D49), "NM", (D55/D49))</f>
        <v>NM</v>
      </c>
      <c r="E56" s="170">
        <f t="shared" ref="E56:F56" si="83">IF(ISERROR(E55/E49), "NM", (E55/E49))</f>
        <v>0.43744531933508307</v>
      </c>
      <c r="F56" s="170">
        <f t="shared" si="83"/>
        <v>4.8103495103995426E-2</v>
      </c>
      <c r="G56" s="122">
        <f t="shared" ref="G56:L56" si="84">F56</f>
        <v>4.8103495103995426E-2</v>
      </c>
      <c r="H56" s="122">
        <f t="shared" si="84"/>
        <v>4.8103495103995426E-2</v>
      </c>
      <c r="I56" s="122">
        <f t="shared" si="84"/>
        <v>4.8103495103995426E-2</v>
      </c>
      <c r="J56" s="122">
        <f t="shared" si="84"/>
        <v>4.8103495103995426E-2</v>
      </c>
      <c r="K56" s="122">
        <f t="shared" si="84"/>
        <v>4.8103495103995426E-2</v>
      </c>
      <c r="L56" s="122">
        <f t="shared" si="84"/>
        <v>4.8103495103995426E-2</v>
      </c>
      <c r="M56" s="122">
        <f t="shared" ref="M56" si="85">L56</f>
        <v>4.8103495103995426E-2</v>
      </c>
      <c r="N56" s="122">
        <f t="shared" ref="N56" si="86">M56</f>
        <v>4.8103495103995426E-2</v>
      </c>
      <c r="O56" s="122">
        <f t="shared" ref="O56" si="87">N56</f>
        <v>4.8103495103995426E-2</v>
      </c>
      <c r="P56" s="122">
        <f t="shared" ref="P56" si="88">O56</f>
        <v>4.8103495103995426E-2</v>
      </c>
      <c r="Q56" s="122">
        <f t="shared" ref="Q56" si="89">P56</f>
        <v>4.8103495103995426E-2</v>
      </c>
      <c r="R56" s="122">
        <f t="shared" ref="R56" si="90">Q56</f>
        <v>4.8103495103995426E-2</v>
      </c>
      <c r="S56" s="122">
        <f t="shared" ref="S56" si="91">R56</f>
        <v>4.8103495103995426E-2</v>
      </c>
      <c r="T56" s="126">
        <f t="shared" ref="T56" si="92">S56</f>
        <v>4.8103495103995426E-2</v>
      </c>
      <c r="U56" s="67"/>
    </row>
    <row r="57" spans="1:21">
      <c r="A57" s="67"/>
      <c r="B57" s="444" t="s">
        <v>35</v>
      </c>
      <c r="C57" s="168"/>
      <c r="D57" s="168">
        <v>2.4900000000000002</v>
      </c>
      <c r="E57" s="168">
        <v>15.04</v>
      </c>
      <c r="F57" s="168">
        <v>22.01</v>
      </c>
      <c r="G57" s="127">
        <f t="shared" ref="G57:L57" si="93">F57*(1+$C$47)</f>
        <v>24.211000000000002</v>
      </c>
      <c r="H57" s="127">
        <f t="shared" si="93"/>
        <v>26.632100000000005</v>
      </c>
      <c r="I57" s="127">
        <f t="shared" si="93"/>
        <v>29.295310000000008</v>
      </c>
      <c r="J57" s="127">
        <f t="shared" si="93"/>
        <v>32.224841000000012</v>
      </c>
      <c r="K57" s="127">
        <f t="shared" si="93"/>
        <v>35.447325100000015</v>
      </c>
      <c r="L57" s="127">
        <f t="shared" si="93"/>
        <v>38.992057610000018</v>
      </c>
      <c r="M57" s="127">
        <f t="shared" ref="M57" si="94">L57*(1+$C$47)</f>
        <v>42.891263371000022</v>
      </c>
      <c r="N57" s="127">
        <f t="shared" ref="N57" si="95">M57*(1+$C$47)</f>
        <v>47.18038970810003</v>
      </c>
      <c r="O57" s="127">
        <f t="shared" ref="O57" si="96">N57*(1+$C$47)</f>
        <v>51.898428678910037</v>
      </c>
      <c r="P57" s="127">
        <f t="shared" ref="P57" si="97">O57*(1+$C$47)</f>
        <v>57.088271546801046</v>
      </c>
      <c r="Q57" s="127">
        <f t="shared" ref="Q57" si="98">P57*(1+$C$47)</f>
        <v>62.797098701481154</v>
      </c>
      <c r="R57" s="127">
        <f t="shared" ref="R57" si="99">Q57*(1+$C$47)</f>
        <v>69.076808571629272</v>
      </c>
      <c r="S57" s="127">
        <f t="shared" ref="S57" si="100">R57*(1+$C$47)</f>
        <v>75.984489428792202</v>
      </c>
      <c r="T57" s="128">
        <f t="shared" ref="T57" si="101">S57*(1+$C$47)</f>
        <v>83.582938371671432</v>
      </c>
      <c r="U57" s="67"/>
    </row>
    <row r="58" spans="1:21">
      <c r="A58" s="67"/>
      <c r="B58" s="443" t="s">
        <v>180</v>
      </c>
      <c r="C58" s="170"/>
      <c r="D58" s="170">
        <f>+IS!L95</f>
        <v>0.34</v>
      </c>
      <c r="E58" s="170">
        <f>+IS!Q95</f>
        <v>0.37310000000000004</v>
      </c>
      <c r="F58" s="170">
        <f>+IS!V95</f>
        <v>0.36969999999999997</v>
      </c>
      <c r="G58" s="97">
        <f>IS!AA95</f>
        <v>0.35</v>
      </c>
      <c r="H58" s="97">
        <f>IS!AF95</f>
        <v>0.35</v>
      </c>
      <c r="I58" s="97">
        <f>IS!AK95</f>
        <v>0.35</v>
      </c>
      <c r="J58" s="97">
        <f>IS!AP95</f>
        <v>0.35</v>
      </c>
      <c r="K58" s="97">
        <f>IS!AU95</f>
        <v>0.35</v>
      </c>
      <c r="L58" s="97">
        <f>IS!AZ95</f>
        <v>0.35</v>
      </c>
      <c r="M58" s="97">
        <f>IS!AW95</f>
        <v>0</v>
      </c>
      <c r="N58" s="97">
        <f>IS!BB95</f>
        <v>0</v>
      </c>
      <c r="O58" s="97">
        <f>IS!AY95</f>
        <v>0</v>
      </c>
      <c r="P58" s="97">
        <f>IS!BD95</f>
        <v>0</v>
      </c>
      <c r="Q58" s="97">
        <f>IS!BA95</f>
        <v>0</v>
      </c>
      <c r="R58" s="97">
        <f>IS!BF95</f>
        <v>0</v>
      </c>
      <c r="S58" s="97">
        <f>IS!BC95</f>
        <v>0</v>
      </c>
      <c r="T58" s="132">
        <f>IS!BH95</f>
        <v>0</v>
      </c>
      <c r="U58" s="67"/>
    </row>
    <row r="59" spans="1:21">
      <c r="A59" s="67"/>
      <c r="B59" s="445" t="s">
        <v>36</v>
      </c>
      <c r="C59" s="172"/>
      <c r="D59" s="172">
        <f t="shared" ref="D59:K59" si="102">D55*D57/1000</f>
        <v>0</v>
      </c>
      <c r="E59" s="172">
        <f t="shared" ref="E59:F59" si="103">E55*E57/1000</f>
        <v>3.1132799999999995E-3</v>
      </c>
      <c r="F59" s="172">
        <f t="shared" si="103"/>
        <v>1.8516352700000001E-3</v>
      </c>
      <c r="G59" s="121">
        <f t="shared" si="102"/>
        <v>3.0013903706871373E-3</v>
      </c>
      <c r="H59" s="121">
        <f t="shared" si="102"/>
        <v>4.8650748358522421E-3</v>
      </c>
      <c r="I59" s="121">
        <f t="shared" si="102"/>
        <v>7.8859962334802726E-3</v>
      </c>
      <c r="J59" s="121">
        <f t="shared" si="102"/>
        <v>1.278272969948489E-2</v>
      </c>
      <c r="K59" s="121">
        <f t="shared" si="102"/>
        <v>2.0720042684826606E-2</v>
      </c>
      <c r="L59" s="121">
        <f t="shared" ref="L59:M59" si="104">L55*L57/1000</f>
        <v>3.3585953779366622E-2</v>
      </c>
      <c r="M59" s="121">
        <f t="shared" si="104"/>
        <v>5.4440828545966435E-2</v>
      </c>
      <c r="N59" s="121">
        <f t="shared" ref="N59:T59" si="105">N55*N57/1000</f>
        <v>8.8245337090653436E-2</v>
      </c>
      <c r="O59" s="121">
        <f t="shared" si="105"/>
        <v>0.14304042988008528</v>
      </c>
      <c r="P59" s="121">
        <f t="shared" si="105"/>
        <v>0.23186000818672925</v>
      </c>
      <c r="Q59" s="121">
        <f t="shared" si="105"/>
        <v>0.37583124883935165</v>
      </c>
      <c r="R59" s="121">
        <f t="shared" si="105"/>
        <v>0.60920004578966114</v>
      </c>
      <c r="S59" s="121">
        <f t="shared" si="105"/>
        <v>0.98747695125468837</v>
      </c>
      <c r="T59" s="133">
        <f t="shared" si="105"/>
        <v>1.6006412606146312</v>
      </c>
      <c r="U59" s="67"/>
    </row>
    <row r="60" spans="1:21">
      <c r="A60" s="67"/>
      <c r="B60" s="445" t="s">
        <v>37</v>
      </c>
      <c r="C60" s="171"/>
      <c r="D60" s="171" t="e">
        <f t="shared" ref="D60:L60" si="106">((D48-D57)*D55)*D58/1000</f>
        <v>#VALUE!</v>
      </c>
      <c r="E60" s="171" t="e">
        <f t="shared" ref="E60:F60" si="107">((E48-E57)*E55)*E58/1000</f>
        <v>#VALUE!</v>
      </c>
      <c r="F60" s="171">
        <f t="shared" si="107"/>
        <v>5.1870285394745713E-4</v>
      </c>
      <c r="G60" s="111">
        <f t="shared" si="106"/>
        <v>7.9598387795634142E-4</v>
      </c>
      <c r="H60" s="111">
        <f t="shared" si="106"/>
        <v>1.2902424063894445E-3</v>
      </c>
      <c r="I60" s="111">
        <f t="shared" si="106"/>
        <v>2.0914060112872438E-3</v>
      </c>
      <c r="J60" s="111">
        <f t="shared" si="106"/>
        <v>3.390044446212524E-3</v>
      </c>
      <c r="K60" s="111">
        <f t="shared" si="106"/>
        <v>5.495059919151184E-3</v>
      </c>
      <c r="L60" s="111">
        <f t="shared" si="106"/>
        <v>8.907164491249512E-3</v>
      </c>
      <c r="M60" s="111">
        <f t="shared" ref="M60:T60" si="108">((M48-M57)*M55)*M58/1000</f>
        <v>0</v>
      </c>
      <c r="N60" s="111">
        <f t="shared" si="108"/>
        <v>0</v>
      </c>
      <c r="O60" s="111">
        <f t="shared" si="108"/>
        <v>0</v>
      </c>
      <c r="P60" s="111">
        <f t="shared" si="108"/>
        <v>0</v>
      </c>
      <c r="Q60" s="111">
        <f t="shared" si="108"/>
        <v>0</v>
      </c>
      <c r="R60" s="111">
        <f t="shared" si="108"/>
        <v>0</v>
      </c>
      <c r="S60" s="111">
        <f t="shared" si="108"/>
        <v>0</v>
      </c>
      <c r="T60" s="131">
        <f t="shared" si="108"/>
        <v>0</v>
      </c>
      <c r="U60" s="67"/>
    </row>
    <row r="61" spans="1:21">
      <c r="A61" s="67"/>
      <c r="B61" s="445" t="s">
        <v>38</v>
      </c>
      <c r="C61" s="165"/>
      <c r="D61" s="165">
        <v>0.50149200000000005</v>
      </c>
      <c r="E61" s="165">
        <v>1.5004770000000001</v>
      </c>
      <c r="F61" s="165">
        <v>0.973638</v>
      </c>
      <c r="G61" s="129">
        <f t="shared" ref="G61:K61" si="109">G49*G62</f>
        <v>1.4347355870591096</v>
      </c>
      <c r="H61" s="129">
        <f t="shared" si="109"/>
        <v>2.1142007653500046</v>
      </c>
      <c r="I61" s="129">
        <f t="shared" si="109"/>
        <v>3.1154485303934907</v>
      </c>
      <c r="J61" s="129">
        <f t="shared" si="109"/>
        <v>4.5908693746613665</v>
      </c>
      <c r="K61" s="129">
        <f t="shared" si="109"/>
        <v>6.7650232092075937</v>
      </c>
      <c r="L61" s="129">
        <f t="shared" ref="L61:M61" si="110">L49*L62</f>
        <v>9.9688175128034846</v>
      </c>
      <c r="M61" s="129">
        <f t="shared" si="110"/>
        <v>14.689871642763778</v>
      </c>
      <c r="N61" s="129">
        <f t="shared" ref="N61:T61" si="111">N49*N62</f>
        <v>21.646732784878626</v>
      </c>
      <c r="O61" s="129">
        <f t="shared" si="111"/>
        <v>31.898239253217842</v>
      </c>
      <c r="P61" s="129">
        <f t="shared" si="111"/>
        <v>47.004676297676781</v>
      </c>
      <c r="Q61" s="129">
        <f t="shared" si="111"/>
        <v>69.265252426949957</v>
      </c>
      <c r="R61" s="129">
        <f t="shared" si="111"/>
        <v>102.06804028147778</v>
      </c>
      <c r="S61" s="129">
        <f t="shared" si="111"/>
        <v>150.40564326086169</v>
      </c>
      <c r="T61" s="130">
        <f t="shared" si="111"/>
        <v>221.6350726665099</v>
      </c>
      <c r="U61" s="67"/>
    </row>
    <row r="62" spans="1:21">
      <c r="A62" s="67"/>
      <c r="B62" s="446" t="s">
        <v>39</v>
      </c>
      <c r="C62" s="173"/>
      <c r="D62" s="173" t="e">
        <f>D61/D49</f>
        <v>#DIV/0!</v>
      </c>
      <c r="E62" s="173">
        <f t="shared" ref="E62:F62" si="112">E61/E49</f>
        <v>3.1709016445408094</v>
      </c>
      <c r="F62" s="173">
        <f t="shared" si="112"/>
        <v>0.5567224644414267</v>
      </c>
      <c r="G62" s="134">
        <f t="shared" ref="G62:L62" si="113">F62</f>
        <v>0.5567224644414267</v>
      </c>
      <c r="H62" s="134">
        <f t="shared" si="113"/>
        <v>0.5567224644414267</v>
      </c>
      <c r="I62" s="134">
        <f t="shared" si="113"/>
        <v>0.5567224644414267</v>
      </c>
      <c r="J62" s="134">
        <f t="shared" si="113"/>
        <v>0.5567224644414267</v>
      </c>
      <c r="K62" s="134">
        <f t="shared" si="113"/>
        <v>0.5567224644414267</v>
      </c>
      <c r="L62" s="134">
        <f t="shared" si="113"/>
        <v>0.5567224644414267</v>
      </c>
      <c r="M62" s="134">
        <f t="shared" ref="M62" si="114">L62</f>
        <v>0.5567224644414267</v>
      </c>
      <c r="N62" s="134">
        <f t="shared" ref="N62" si="115">M62</f>
        <v>0.5567224644414267</v>
      </c>
      <c r="O62" s="134">
        <f t="shared" ref="O62" si="116">N62</f>
        <v>0.5567224644414267</v>
      </c>
      <c r="P62" s="134">
        <f t="shared" ref="P62" si="117">O62</f>
        <v>0.5567224644414267</v>
      </c>
      <c r="Q62" s="134">
        <f t="shared" ref="Q62" si="118">P62</f>
        <v>0.5567224644414267</v>
      </c>
      <c r="R62" s="134">
        <f t="shared" ref="R62" si="119">Q62</f>
        <v>0.5567224644414267</v>
      </c>
      <c r="S62" s="134">
        <f t="shared" ref="S62" si="120">R62</f>
        <v>0.5567224644414267</v>
      </c>
      <c r="T62" s="271">
        <f t="shared" ref="T62" si="121">S62</f>
        <v>0.5567224644414267</v>
      </c>
      <c r="U62" s="67"/>
    </row>
    <row r="63" spans="1:21">
      <c r="A63" s="67"/>
      <c r="B63" s="443"/>
      <c r="C63" s="113"/>
      <c r="D63" s="113"/>
      <c r="E63" s="113"/>
      <c r="F63" s="113"/>
      <c r="G63" s="113"/>
      <c r="H63" s="113"/>
      <c r="I63" s="113"/>
      <c r="J63" s="113"/>
      <c r="K63" s="113"/>
      <c r="L63" s="113"/>
      <c r="M63" s="113"/>
      <c r="N63" s="113"/>
      <c r="O63" s="113"/>
      <c r="P63" s="113"/>
      <c r="Q63" s="113"/>
      <c r="R63" s="113"/>
      <c r="S63" s="113"/>
      <c r="T63" s="113"/>
      <c r="U63" s="67"/>
    </row>
    <row r="64" spans="1:21">
      <c r="A64" s="67"/>
      <c r="B64" s="447" t="s">
        <v>181</v>
      </c>
      <c r="C64" s="114"/>
      <c r="D64" s="114">
        <f t="shared" ref="D64:E64" si="122">+D49-D53-D55+D61</f>
        <v>0.47320200000000007</v>
      </c>
      <c r="E64" s="114">
        <f t="shared" si="122"/>
        <v>1.748877</v>
      </c>
      <c r="F64" s="114">
        <f>+F49-F53-F55+F61</f>
        <v>2.5771109999999999</v>
      </c>
      <c r="G64" s="114"/>
      <c r="H64" s="114"/>
      <c r="I64" s="114"/>
      <c r="J64" s="114"/>
      <c r="K64" s="114"/>
      <c r="L64" s="114"/>
      <c r="M64" s="114"/>
      <c r="N64" s="114"/>
      <c r="O64" s="114"/>
      <c r="P64" s="114"/>
      <c r="Q64" s="114"/>
      <c r="R64" s="114"/>
      <c r="S64" s="114"/>
      <c r="T64" s="114"/>
      <c r="U64" s="67"/>
    </row>
    <row r="65" spans="1:21">
      <c r="A65" s="67"/>
      <c r="B65" s="447" t="s">
        <v>182</v>
      </c>
      <c r="C65" s="114"/>
      <c r="D65" s="114">
        <v>0.47320200000000001</v>
      </c>
      <c r="E65" s="114">
        <v>1.748877</v>
      </c>
      <c r="F65" s="114">
        <v>2.5771109999999999</v>
      </c>
      <c r="G65" s="114"/>
      <c r="H65" s="114"/>
      <c r="I65" s="114"/>
      <c r="J65" s="114"/>
      <c r="K65" s="114"/>
      <c r="L65" s="114"/>
      <c r="M65" s="114"/>
      <c r="N65" s="114"/>
      <c r="O65" s="114"/>
      <c r="P65" s="114"/>
      <c r="Q65" s="114"/>
      <c r="R65" s="114"/>
      <c r="S65" s="114"/>
      <c r="T65" s="114"/>
      <c r="U65" s="67"/>
    </row>
    <row r="66" spans="1:21">
      <c r="A66" s="67"/>
      <c r="B66" s="447"/>
      <c r="C66" s="114"/>
      <c r="D66" s="114"/>
      <c r="E66" s="114"/>
      <c r="F66" s="114"/>
      <c r="G66" s="114"/>
      <c r="H66" s="114"/>
      <c r="I66" s="114"/>
      <c r="J66" s="114"/>
      <c r="K66" s="114"/>
      <c r="L66" s="114"/>
      <c r="M66" s="114"/>
      <c r="N66" s="114"/>
      <c r="O66" s="114"/>
      <c r="P66" s="114"/>
      <c r="Q66" s="114"/>
      <c r="R66" s="114"/>
      <c r="S66" s="114"/>
      <c r="T66" s="114"/>
      <c r="U66" s="67"/>
    </row>
    <row r="67" spans="1:21">
      <c r="A67" s="67"/>
      <c r="B67" s="423" t="s">
        <v>118</v>
      </c>
      <c r="C67" s="115"/>
      <c r="D67" s="115">
        <f t="shared" ref="D67:E67" si="123">+D64-D65</f>
        <v>0</v>
      </c>
      <c r="E67" s="115">
        <f t="shared" si="123"/>
        <v>0</v>
      </c>
      <c r="F67" s="115">
        <f>+F64-F65</f>
        <v>0</v>
      </c>
      <c r="G67" s="115"/>
      <c r="H67" s="115"/>
      <c r="I67" s="115"/>
      <c r="J67" s="115"/>
      <c r="K67" s="115"/>
      <c r="L67" s="115"/>
      <c r="M67" s="115"/>
      <c r="N67" s="115"/>
      <c r="O67" s="115"/>
      <c r="P67" s="115"/>
      <c r="Q67" s="115"/>
      <c r="R67" s="115"/>
      <c r="S67" s="115"/>
      <c r="T67" s="115"/>
      <c r="U67" s="67"/>
    </row>
    <row r="68" spans="1:21">
      <c r="A68" s="67"/>
      <c r="B68" s="447"/>
      <c r="C68" s="114"/>
      <c r="D68" s="114"/>
      <c r="E68" s="114"/>
      <c r="F68" s="114"/>
      <c r="G68" s="114"/>
      <c r="H68" s="114"/>
      <c r="I68" s="114"/>
      <c r="J68" s="114"/>
      <c r="K68" s="114"/>
      <c r="L68" s="114"/>
      <c r="M68" s="114"/>
      <c r="N68" s="114"/>
      <c r="O68" s="114"/>
      <c r="P68" s="114"/>
      <c r="Q68" s="114"/>
      <c r="R68" s="114"/>
      <c r="S68" s="114"/>
      <c r="T68" s="114"/>
      <c r="U68" s="67"/>
    </row>
    <row r="69" spans="1:21">
      <c r="A69" s="67"/>
      <c r="B69" s="441" t="s">
        <v>203</v>
      </c>
      <c r="C69" s="174"/>
      <c r="D69" s="174" t="str">
        <f>D48</f>
        <v>-</v>
      </c>
      <c r="E69" s="174" t="str">
        <f t="shared" ref="E69:F69" si="124">E48</f>
        <v>-</v>
      </c>
      <c r="F69" s="174">
        <f t="shared" si="124"/>
        <v>38.687608888888903</v>
      </c>
      <c r="G69" s="149">
        <v>66</v>
      </c>
      <c r="H69" s="149">
        <v>102</v>
      </c>
      <c r="I69" s="149"/>
      <c r="J69" s="149"/>
      <c r="K69" s="149"/>
      <c r="L69" s="149"/>
      <c r="M69" s="149"/>
      <c r="N69" s="149"/>
      <c r="O69" s="149"/>
      <c r="P69" s="149"/>
      <c r="Q69" s="149"/>
      <c r="R69" s="149"/>
      <c r="S69" s="149"/>
      <c r="T69" s="150"/>
      <c r="U69" s="67"/>
    </row>
    <row r="70" spans="1:21">
      <c r="A70" s="67"/>
      <c r="B70" s="445" t="s">
        <v>40</v>
      </c>
      <c r="C70" s="171"/>
      <c r="D70" s="171">
        <v>4.1399999999999999E-2</v>
      </c>
      <c r="E70" s="153">
        <v>0</v>
      </c>
      <c r="F70" s="153">
        <f>5.277941+4.597645+0.456043</f>
        <v>10.331629</v>
      </c>
      <c r="G70" s="152">
        <v>4.1112500000000001</v>
      </c>
      <c r="H70" s="152">
        <f>3.9216+0.58824</f>
        <v>4.5098400000000005</v>
      </c>
      <c r="I70" s="192"/>
      <c r="J70" s="192">
        <v>0</v>
      </c>
      <c r="K70" s="192">
        <v>0</v>
      </c>
      <c r="L70" s="192">
        <v>0</v>
      </c>
      <c r="M70" s="192">
        <v>0</v>
      </c>
      <c r="N70" s="192">
        <v>0</v>
      </c>
      <c r="O70" s="192">
        <v>0</v>
      </c>
      <c r="P70" s="192">
        <v>0</v>
      </c>
      <c r="Q70" s="192">
        <v>0</v>
      </c>
      <c r="R70" s="192">
        <v>0</v>
      </c>
      <c r="S70" s="192">
        <v>0</v>
      </c>
      <c r="T70" s="151">
        <v>0</v>
      </c>
      <c r="U70" s="67"/>
    </row>
    <row r="71" spans="1:21">
      <c r="A71" s="67"/>
      <c r="B71" s="445" t="s">
        <v>41</v>
      </c>
      <c r="C71" s="153"/>
      <c r="D71" s="153">
        <v>0.102296</v>
      </c>
      <c r="E71" s="153">
        <v>0</v>
      </c>
      <c r="F71" s="153">
        <f>95.348158+148.319207+1.032864</f>
        <v>244.70022900000001</v>
      </c>
      <c r="G71" s="152">
        <f>G70*G69*0.94</f>
        <v>255.06195000000002</v>
      </c>
      <c r="H71" s="192">
        <f>H69*H70*0.94</f>
        <v>432.40345919999999</v>
      </c>
      <c r="I71" s="192"/>
      <c r="J71" s="192">
        <v>0</v>
      </c>
      <c r="K71" s="192">
        <v>0</v>
      </c>
      <c r="L71" s="192">
        <v>0</v>
      </c>
      <c r="M71" s="192">
        <v>0</v>
      </c>
      <c r="N71" s="192">
        <v>0</v>
      </c>
      <c r="O71" s="192">
        <v>0</v>
      </c>
      <c r="P71" s="192">
        <v>0</v>
      </c>
      <c r="Q71" s="192">
        <v>0</v>
      </c>
      <c r="R71" s="192">
        <v>0</v>
      </c>
      <c r="S71" s="192">
        <v>0</v>
      </c>
      <c r="T71" s="151">
        <v>0</v>
      </c>
      <c r="U71" s="67"/>
    </row>
    <row r="72" spans="1:21">
      <c r="A72" s="67"/>
      <c r="B72" s="445" t="s">
        <v>183</v>
      </c>
      <c r="C72" s="153"/>
      <c r="D72" s="153">
        <v>0</v>
      </c>
      <c r="E72" s="153">
        <v>0.52058499999999996</v>
      </c>
      <c r="F72" s="153">
        <v>0.42970700000000001</v>
      </c>
      <c r="G72" s="153">
        <f t="shared" ref="G72:L72" si="125">G59</f>
        <v>3.0013903706871373E-3</v>
      </c>
      <c r="H72" s="153">
        <f>(H59*0.95)</f>
        <v>4.6218210940596298E-3</v>
      </c>
      <c r="I72" s="153">
        <f t="shared" si="125"/>
        <v>7.8859962334802726E-3</v>
      </c>
      <c r="J72" s="153">
        <f t="shared" si="125"/>
        <v>1.278272969948489E-2</v>
      </c>
      <c r="K72" s="153">
        <f t="shared" si="125"/>
        <v>2.0720042684826606E-2</v>
      </c>
      <c r="L72" s="153">
        <f t="shared" si="125"/>
        <v>3.3585953779366622E-2</v>
      </c>
      <c r="M72" s="153">
        <f t="shared" ref="M72:T72" si="126">M59</f>
        <v>5.4440828545966435E-2</v>
      </c>
      <c r="N72" s="153">
        <f t="shared" si="126"/>
        <v>8.8245337090653436E-2</v>
      </c>
      <c r="O72" s="153">
        <f t="shared" si="126"/>
        <v>0.14304042988008528</v>
      </c>
      <c r="P72" s="153">
        <f t="shared" si="126"/>
        <v>0.23186000818672925</v>
      </c>
      <c r="Q72" s="153">
        <f t="shared" si="126"/>
        <v>0.37583124883935165</v>
      </c>
      <c r="R72" s="153">
        <f t="shared" si="126"/>
        <v>0.60920004578966114</v>
      </c>
      <c r="S72" s="153">
        <f t="shared" si="126"/>
        <v>0.98747695125468837</v>
      </c>
      <c r="T72" s="154">
        <f t="shared" si="126"/>
        <v>1.6006412606146312</v>
      </c>
      <c r="U72" s="67"/>
    </row>
    <row r="73" spans="1:21">
      <c r="A73" s="67"/>
      <c r="B73" s="445" t="s">
        <v>184</v>
      </c>
      <c r="C73" s="171"/>
      <c r="D73" s="171">
        <v>1.999919</v>
      </c>
      <c r="E73" s="171">
        <v>0.34098600000000001</v>
      </c>
      <c r="F73" s="171">
        <v>5.3348E-2</v>
      </c>
      <c r="G73" s="192">
        <v>0</v>
      </c>
      <c r="H73" s="192">
        <v>0</v>
      </c>
      <c r="I73" s="192">
        <v>0</v>
      </c>
      <c r="J73" s="192">
        <v>0</v>
      </c>
      <c r="K73" s="192">
        <v>0</v>
      </c>
      <c r="L73" s="192">
        <v>0</v>
      </c>
      <c r="M73" s="192">
        <v>0</v>
      </c>
      <c r="N73" s="192">
        <v>0</v>
      </c>
      <c r="O73" s="192">
        <v>0</v>
      </c>
      <c r="P73" s="192">
        <v>0</v>
      </c>
      <c r="Q73" s="192">
        <v>0</v>
      </c>
      <c r="R73" s="192">
        <v>0</v>
      </c>
      <c r="S73" s="192">
        <v>0</v>
      </c>
      <c r="T73" s="151">
        <v>0</v>
      </c>
      <c r="U73" s="67"/>
    </row>
    <row r="74" spans="1:21">
      <c r="A74" s="67"/>
      <c r="B74" s="445" t="s">
        <v>42</v>
      </c>
      <c r="C74" s="171"/>
      <c r="D74" s="171">
        <v>0</v>
      </c>
      <c r="E74" s="171">
        <v>0</v>
      </c>
      <c r="F74" s="171">
        <v>0</v>
      </c>
      <c r="G74" s="192">
        <v>0</v>
      </c>
      <c r="H74" s="192">
        <v>0</v>
      </c>
      <c r="I74" s="192">
        <v>0</v>
      </c>
      <c r="J74" s="192">
        <v>0</v>
      </c>
      <c r="K74" s="192">
        <v>0</v>
      </c>
      <c r="L74" s="192">
        <v>0</v>
      </c>
      <c r="M74" s="192">
        <v>0</v>
      </c>
      <c r="N74" s="192">
        <v>0</v>
      </c>
      <c r="O74" s="192">
        <v>0</v>
      </c>
      <c r="P74" s="192">
        <v>0</v>
      </c>
      <c r="Q74" s="192">
        <v>0</v>
      </c>
      <c r="R74" s="192">
        <v>0</v>
      </c>
      <c r="S74" s="192">
        <v>0</v>
      </c>
      <c r="T74" s="151">
        <v>0</v>
      </c>
      <c r="U74" s="67"/>
    </row>
    <row r="75" spans="1:21">
      <c r="A75" s="67"/>
      <c r="B75" s="445" t="s">
        <v>43</v>
      </c>
      <c r="C75" s="153"/>
      <c r="D75" s="153">
        <v>0</v>
      </c>
      <c r="E75" s="153">
        <v>0</v>
      </c>
      <c r="F75" s="153">
        <v>0</v>
      </c>
      <c r="G75" s="152">
        <v>0</v>
      </c>
      <c r="H75" s="152">
        <v>0</v>
      </c>
      <c r="I75" s="152">
        <v>0</v>
      </c>
      <c r="J75" s="152">
        <v>0</v>
      </c>
      <c r="K75" s="152">
        <v>0</v>
      </c>
      <c r="L75" s="152">
        <v>0</v>
      </c>
      <c r="M75" s="152">
        <v>0</v>
      </c>
      <c r="N75" s="152">
        <v>0</v>
      </c>
      <c r="O75" s="152">
        <v>0</v>
      </c>
      <c r="P75" s="152">
        <v>0</v>
      </c>
      <c r="Q75" s="152">
        <v>0</v>
      </c>
      <c r="R75" s="152">
        <v>0</v>
      </c>
      <c r="S75" s="152">
        <v>0</v>
      </c>
      <c r="T75" s="155">
        <v>0</v>
      </c>
      <c r="U75" s="67"/>
    </row>
    <row r="76" spans="1:21">
      <c r="A76" s="67"/>
      <c r="B76" s="445" t="s">
        <v>185</v>
      </c>
      <c r="C76" s="153"/>
      <c r="D76" s="153">
        <f>IS!L63</f>
        <v>7.1978980000000004</v>
      </c>
      <c r="E76" s="153">
        <f>IS!Q63</f>
        <v>24.931128999999999</v>
      </c>
      <c r="F76" s="153">
        <f>IS!V63</f>
        <v>26.785769999999999</v>
      </c>
      <c r="G76" s="94">
        <f>IS!AA63</f>
        <v>30.885000000000002</v>
      </c>
      <c r="H76" s="94">
        <f>IS!AF63</f>
        <v>28.986964755749998</v>
      </c>
      <c r="I76" s="94">
        <f>IS!AK63</f>
        <v>30.248003646058553</v>
      </c>
      <c r="J76" s="94">
        <f>IS!AP63</f>
        <v>33.575185074607965</v>
      </c>
      <c r="K76" s="94">
        <f>IS!AU63</f>
        <v>42.911485077418668</v>
      </c>
      <c r="L76" s="94">
        <f>IS!AZ63</f>
        <v>52.91725056807703</v>
      </c>
      <c r="M76" s="94">
        <f>IS!BE63</f>
        <v>51.805065914023174</v>
      </c>
      <c r="N76" s="94">
        <f>IS!BJ63</f>
        <v>43.944796876705411</v>
      </c>
      <c r="O76" s="94">
        <f>IS!BO63</f>
        <v>38.808933430928626</v>
      </c>
      <c r="P76" s="94">
        <f>IS!BT63</f>
        <v>33.660563137638555</v>
      </c>
      <c r="Q76" s="94">
        <f>IS!BY63</f>
        <v>29.698199521108119</v>
      </c>
      <c r="R76" s="94">
        <f>IS!CD63</f>
        <v>26.947554496815695</v>
      </c>
      <c r="S76" s="94">
        <f>IS!CI63</f>
        <v>24.251265648866394</v>
      </c>
      <c r="T76" s="93">
        <f>IS!CN63</f>
        <v>21.623322770204737</v>
      </c>
      <c r="U76" s="67"/>
    </row>
    <row r="77" spans="1:21">
      <c r="A77" s="67"/>
      <c r="B77" s="445" t="s">
        <v>186</v>
      </c>
      <c r="C77" s="94"/>
      <c r="D77" s="94">
        <f>-IS!L56</f>
        <v>0</v>
      </c>
      <c r="E77" s="94">
        <f>-IS!Q56</f>
        <v>0</v>
      </c>
      <c r="F77" s="94">
        <f>-IS!V56</f>
        <v>0</v>
      </c>
      <c r="G77" s="94">
        <f>-IS!AA56</f>
        <v>-10.809749999999999</v>
      </c>
      <c r="H77" s="94">
        <f>-IS!AF56</f>
        <v>-10.1454376645125</v>
      </c>
      <c r="I77" s="94">
        <f>-IS!AK56</f>
        <v>-10.586801276120493</v>
      </c>
      <c r="J77" s="94">
        <f>-IS!AP56</f>
        <v>-11.751314776112787</v>
      </c>
      <c r="K77" s="94">
        <f>-IS!AU56</f>
        <v>-15.019019777096533</v>
      </c>
      <c r="L77" s="94">
        <f>-IS!AZ56</f>
        <v>-18.521037698826959</v>
      </c>
      <c r="M77" s="94">
        <f>-IS!BE56</f>
        <v>-18.13177306990811</v>
      </c>
      <c r="N77" s="94">
        <f>-IS!BJ56</f>
        <v>-15.380678906846892</v>
      </c>
      <c r="O77" s="94">
        <f>-IS!BO56</f>
        <v>-13.583126700825018</v>
      </c>
      <c r="P77" s="94">
        <f>-IS!BT56</f>
        <v>-11.781197098173493</v>
      </c>
      <c r="Q77" s="94">
        <f>-IS!BY56</f>
        <v>-10.394369832387842</v>
      </c>
      <c r="R77" s="94">
        <f>-IS!CD56</f>
        <v>-9.4316440738854919</v>
      </c>
      <c r="S77" s="94">
        <f>-IS!CI56</f>
        <v>-8.4879429771032378</v>
      </c>
      <c r="T77" s="93">
        <f>-IS!CN56</f>
        <v>-7.5681629695716577</v>
      </c>
      <c r="U77" s="67"/>
    </row>
    <row r="78" spans="1:21">
      <c r="A78" s="67"/>
      <c r="B78" s="445" t="s">
        <v>124</v>
      </c>
      <c r="C78" s="192"/>
      <c r="D78" s="111">
        <f>0.612815+0.503411+4.499921</f>
        <v>5.6161469999999998</v>
      </c>
      <c r="E78" s="111">
        <f>64.78724+4.999999+2.499899</f>
        <v>72.287137999999999</v>
      </c>
      <c r="F78" s="111">
        <v>-8.92E-4</v>
      </c>
      <c r="G78" s="192">
        <v>0</v>
      </c>
      <c r="H78" s="192">
        <v>0</v>
      </c>
      <c r="I78" s="192">
        <v>0</v>
      </c>
      <c r="J78" s="192">
        <v>0</v>
      </c>
      <c r="K78" s="192">
        <v>0</v>
      </c>
      <c r="L78" s="192">
        <v>0</v>
      </c>
      <c r="M78" s="192">
        <v>0</v>
      </c>
      <c r="N78" s="192">
        <v>0</v>
      </c>
      <c r="O78" s="192">
        <v>0</v>
      </c>
      <c r="P78" s="192">
        <v>0</v>
      </c>
      <c r="Q78" s="192">
        <v>0</v>
      </c>
      <c r="R78" s="192">
        <v>0</v>
      </c>
      <c r="S78" s="192">
        <v>0</v>
      </c>
      <c r="T78" s="151">
        <v>0</v>
      </c>
      <c r="U78" s="67"/>
    </row>
    <row r="79" spans="1:21">
      <c r="A79" s="67"/>
      <c r="B79" s="448" t="s">
        <v>44</v>
      </c>
      <c r="C79" s="175"/>
      <c r="D79" s="175">
        <f t="shared" ref="D79:K79" si="127">+D71+D75+D76+D78+D72+D73+D77</f>
        <v>14.916259999999999</v>
      </c>
      <c r="E79" s="175">
        <f t="shared" si="127"/>
        <v>98.079837999999995</v>
      </c>
      <c r="F79" s="175">
        <f t="shared" si="127"/>
        <v>271.96816200000001</v>
      </c>
      <c r="G79" s="156">
        <f t="shared" si="127"/>
        <v>275.14020139037069</v>
      </c>
      <c r="H79" s="156">
        <f t="shared" si="127"/>
        <v>451.2496081123316</v>
      </c>
      <c r="I79" s="156">
        <f t="shared" si="127"/>
        <v>19.66908836617154</v>
      </c>
      <c r="J79" s="156">
        <f t="shared" si="127"/>
        <v>21.836653028194668</v>
      </c>
      <c r="K79" s="156">
        <f t="shared" si="127"/>
        <v>27.913185343006965</v>
      </c>
      <c r="L79" s="156">
        <f t="shared" ref="L79:M79" si="128">+L71+L75+L76+L78+L72+L73+L77</f>
        <v>34.429798823029437</v>
      </c>
      <c r="M79" s="156">
        <f t="shared" si="128"/>
        <v>33.727733672661032</v>
      </c>
      <c r="N79" s="156">
        <f t="shared" ref="N79:T79" si="129">+N71+N75+N76+N78+N72+N73+N77</f>
        <v>28.652363306949173</v>
      </c>
      <c r="O79" s="156">
        <f t="shared" si="129"/>
        <v>25.368847159983694</v>
      </c>
      <c r="P79" s="156">
        <f t="shared" si="129"/>
        <v>22.11122604765179</v>
      </c>
      <c r="Q79" s="156">
        <f t="shared" si="129"/>
        <v>19.679660937559628</v>
      </c>
      <c r="R79" s="156">
        <f t="shared" si="129"/>
        <v>18.125110468719861</v>
      </c>
      <c r="S79" s="156">
        <f t="shared" si="129"/>
        <v>16.750799623017844</v>
      </c>
      <c r="T79" s="272">
        <f t="shared" si="129"/>
        <v>15.655801061247709</v>
      </c>
      <c r="U79" s="67"/>
    </row>
    <row r="80" spans="1:21">
      <c r="A80" s="67"/>
      <c r="B80" s="449"/>
      <c r="C80" s="116"/>
      <c r="D80" s="116"/>
      <c r="E80" s="116"/>
      <c r="F80" s="116"/>
      <c r="G80" s="116"/>
      <c r="H80" s="116"/>
      <c r="I80" s="116"/>
      <c r="J80" s="116"/>
      <c r="K80" s="116"/>
      <c r="L80" s="116"/>
      <c r="M80" s="116"/>
      <c r="N80" s="116"/>
      <c r="O80" s="116"/>
      <c r="P80" s="116"/>
      <c r="Q80" s="116"/>
      <c r="R80" s="116"/>
      <c r="S80" s="116"/>
      <c r="T80" s="116"/>
      <c r="U80" s="67"/>
    </row>
    <row r="81" spans="1:21">
      <c r="A81" s="67"/>
      <c r="B81" s="423" t="s">
        <v>118</v>
      </c>
      <c r="C81" s="117"/>
      <c r="D81" s="115">
        <f>+BS!E31-BS!D31-CF!D79</f>
        <v>-1.9399999999869522E-4</v>
      </c>
      <c r="E81" s="115">
        <f>+BS!F31-BS!E31-CF!E79</f>
        <v>-9.0000000000145519E-5</v>
      </c>
      <c r="F81" s="115">
        <f>+BS!G31-BS!F31-CF!F79</f>
        <v>0</v>
      </c>
      <c r="G81" s="117"/>
      <c r="H81" s="117"/>
      <c r="I81" s="117"/>
      <c r="J81" s="117"/>
      <c r="K81" s="117"/>
      <c r="L81" s="117"/>
      <c r="M81" s="117"/>
      <c r="N81" s="117"/>
      <c r="O81" s="117"/>
      <c r="P81" s="117"/>
      <c r="Q81" s="117"/>
      <c r="R81" s="117"/>
      <c r="S81" s="117"/>
      <c r="T81" s="117"/>
      <c r="U81" s="67"/>
    </row>
    <row r="82" spans="1:21">
      <c r="A82" s="67"/>
      <c r="B82" s="450"/>
      <c r="C82" s="118"/>
      <c r="D82" s="118"/>
      <c r="E82" s="118"/>
      <c r="F82" s="118"/>
      <c r="G82" s="118"/>
      <c r="H82" s="118"/>
      <c r="I82" s="118"/>
      <c r="J82" s="118"/>
      <c r="K82" s="118"/>
      <c r="L82" s="118"/>
      <c r="M82" s="118"/>
      <c r="N82" s="118"/>
      <c r="O82" s="118"/>
      <c r="P82" s="118"/>
      <c r="Q82" s="118"/>
      <c r="R82" s="118"/>
      <c r="S82" s="118"/>
      <c r="T82" s="118"/>
      <c r="U82" s="67"/>
    </row>
    <row r="83" spans="1:21">
      <c r="A83" s="67"/>
      <c r="B83" s="442" t="s">
        <v>45</v>
      </c>
      <c r="C83" s="119"/>
      <c r="D83" s="119"/>
      <c r="E83" s="119"/>
      <c r="F83" s="119"/>
      <c r="G83" s="119"/>
      <c r="H83" s="119"/>
      <c r="I83" s="119"/>
      <c r="J83" s="119"/>
      <c r="K83" s="119"/>
      <c r="L83" s="119"/>
      <c r="M83" s="119"/>
      <c r="N83" s="119"/>
      <c r="O83" s="119"/>
      <c r="P83" s="119"/>
      <c r="Q83" s="119"/>
      <c r="R83" s="119"/>
      <c r="S83" s="119"/>
      <c r="T83" s="119"/>
      <c r="U83" s="67"/>
    </row>
    <row r="84" spans="1:21">
      <c r="A84" s="67"/>
      <c r="B84" s="442" t="s">
        <v>46</v>
      </c>
      <c r="C84" s="120">
        <v>7.0611730000000001</v>
      </c>
      <c r="D84" s="120">
        <v>6.4720930000000001</v>
      </c>
      <c r="E84" s="120">
        <v>6.8170929999999998</v>
      </c>
      <c r="F84" s="120">
        <v>27.700054000000002</v>
      </c>
      <c r="G84" s="120"/>
      <c r="H84" s="120"/>
      <c r="I84" s="120"/>
      <c r="J84" s="120"/>
      <c r="K84" s="120"/>
      <c r="L84" s="120"/>
      <c r="M84" s="120"/>
      <c r="N84" s="120"/>
      <c r="O84" s="120"/>
      <c r="P84" s="120"/>
      <c r="Q84" s="120"/>
      <c r="R84" s="120"/>
      <c r="S84" s="120"/>
      <c r="T84" s="120"/>
      <c r="U84" s="67"/>
    </row>
    <row r="85" spans="1:21">
      <c r="A85" s="67"/>
      <c r="B85" s="445" t="s">
        <v>47</v>
      </c>
      <c r="C85" s="120">
        <f>IS!G51</f>
        <v>6.2289219999999998</v>
      </c>
      <c r="D85" s="120">
        <f>IS!L51</f>
        <v>6.916404</v>
      </c>
      <c r="E85" s="120">
        <f>IS!Q51</f>
        <v>7.087618</v>
      </c>
      <c r="F85" s="120">
        <f>IS!V51</f>
        <v>22.647583000000001</v>
      </c>
      <c r="G85" s="120"/>
      <c r="H85" s="120"/>
      <c r="I85" s="120"/>
      <c r="J85" s="120"/>
      <c r="K85" s="120"/>
      <c r="L85" s="120"/>
      <c r="M85" s="120"/>
      <c r="N85" s="120"/>
      <c r="O85" s="120"/>
      <c r="P85" s="120"/>
      <c r="Q85" s="120"/>
      <c r="R85" s="120"/>
      <c r="S85" s="120"/>
      <c r="T85" s="120"/>
      <c r="U85" s="67"/>
    </row>
    <row r="86" spans="1:21">
      <c r="A86" s="67"/>
      <c r="B86" s="445" t="s">
        <v>48</v>
      </c>
      <c r="C86" s="120">
        <f>IS!G52</f>
        <v>6.2289219999999998</v>
      </c>
      <c r="D86" s="120">
        <f>IS!L52</f>
        <v>6.916404</v>
      </c>
      <c r="E86" s="120">
        <f>IS!Q52</f>
        <v>7.087618</v>
      </c>
      <c r="F86" s="120">
        <f>IS!V52</f>
        <v>22.647583000000001</v>
      </c>
      <c r="G86" s="120"/>
      <c r="H86" s="120"/>
      <c r="I86" s="120"/>
      <c r="J86" s="120"/>
      <c r="K86" s="120"/>
      <c r="L86" s="120"/>
      <c r="M86" s="120"/>
      <c r="N86" s="120"/>
      <c r="O86" s="120"/>
      <c r="P86" s="120"/>
      <c r="Q86" s="120"/>
      <c r="R86" s="120"/>
      <c r="S86" s="120"/>
      <c r="T86" s="120"/>
      <c r="U86" s="67"/>
    </row>
    <row r="87" spans="1:21">
      <c r="A87" s="67"/>
      <c r="B87" s="66"/>
      <c r="C87" s="71"/>
      <c r="D87" s="71"/>
      <c r="E87" s="71"/>
      <c r="F87" s="71"/>
      <c r="G87" s="71"/>
      <c r="H87" s="71"/>
      <c r="I87" s="71"/>
      <c r="J87" s="71"/>
      <c r="K87" s="71"/>
      <c r="L87" s="71"/>
      <c r="M87" s="71"/>
      <c r="N87" s="71"/>
      <c r="O87" s="71"/>
      <c r="P87" s="71"/>
      <c r="Q87" s="71"/>
      <c r="R87" s="71"/>
      <c r="S87" s="71"/>
      <c r="T87" s="71"/>
      <c r="U87" s="67"/>
    </row>
    <row r="88" spans="1:21">
      <c r="A88" s="67"/>
      <c r="B88" s="66"/>
      <c r="C88" s="71"/>
      <c r="D88" s="71"/>
      <c r="E88" s="71"/>
      <c r="F88" s="71"/>
      <c r="G88" s="71"/>
      <c r="H88" s="71"/>
      <c r="I88" s="71"/>
      <c r="J88" s="71"/>
      <c r="K88" s="71"/>
      <c r="L88" s="71"/>
      <c r="M88" s="71"/>
      <c r="N88" s="67"/>
      <c r="O88" s="67"/>
      <c r="P88" s="67"/>
      <c r="Q88" s="67"/>
      <c r="R88" s="67"/>
      <c r="S88" s="67"/>
      <c r="T88" s="67"/>
      <c r="U88" s="67"/>
    </row>
    <row r="89" spans="1:21">
      <c r="A89" s="67"/>
      <c r="B89" s="66"/>
      <c r="C89" s="71"/>
      <c r="D89" s="71"/>
      <c r="E89" s="71"/>
      <c r="F89" s="71"/>
      <c r="G89" s="71"/>
      <c r="H89" s="71"/>
      <c r="I89" s="71"/>
      <c r="J89" s="71"/>
      <c r="K89" s="71"/>
      <c r="L89" s="71"/>
      <c r="M89" s="71"/>
      <c r="N89" s="67"/>
      <c r="O89" s="67"/>
      <c r="P89" s="67"/>
      <c r="Q89" s="67"/>
      <c r="R89" s="67"/>
      <c r="S89" s="67"/>
      <c r="T89" s="67"/>
      <c r="U89" s="67"/>
    </row>
    <row r="90" spans="1:21">
      <c r="A90" s="67"/>
      <c r="B90" s="66"/>
      <c r="C90" s="71"/>
      <c r="D90" s="71"/>
      <c r="E90" s="71"/>
      <c r="F90" s="71"/>
      <c r="G90" s="71"/>
      <c r="H90" s="71"/>
      <c r="I90" s="71"/>
      <c r="J90" s="71"/>
      <c r="K90" s="71"/>
      <c r="L90" s="71"/>
      <c r="M90" s="71"/>
      <c r="N90" s="67"/>
      <c r="O90" s="67"/>
      <c r="P90" s="67"/>
      <c r="Q90" s="67"/>
      <c r="R90" s="67"/>
      <c r="S90" s="67"/>
      <c r="T90" s="67"/>
      <c r="U90" s="67"/>
    </row>
    <row r="91" spans="1:21">
      <c r="A91" s="67"/>
      <c r="B91" s="66"/>
      <c r="C91" s="71"/>
      <c r="D91" s="71"/>
      <c r="E91" s="71"/>
      <c r="F91" s="71"/>
      <c r="G91" s="71"/>
      <c r="H91" s="71"/>
      <c r="I91" s="71"/>
      <c r="J91" s="71"/>
      <c r="K91" s="71"/>
      <c r="L91" s="71"/>
      <c r="M91" s="71"/>
      <c r="N91" s="67"/>
      <c r="O91" s="67"/>
      <c r="P91" s="67"/>
      <c r="Q91" s="67"/>
      <c r="R91" s="67"/>
      <c r="S91" s="67"/>
      <c r="T91" s="67"/>
      <c r="U91" s="67"/>
    </row>
    <row r="92" spans="1:21">
      <c r="A92" s="67"/>
      <c r="B92" s="66"/>
      <c r="C92" s="71"/>
      <c r="D92" s="71"/>
      <c r="E92" s="71"/>
      <c r="F92" s="71"/>
      <c r="G92" s="71"/>
      <c r="H92" s="71"/>
      <c r="I92" s="71"/>
      <c r="J92" s="71"/>
      <c r="K92" s="71"/>
      <c r="L92" s="71"/>
      <c r="M92" s="71"/>
      <c r="N92" s="67"/>
      <c r="O92" s="67"/>
      <c r="P92" s="67"/>
      <c r="Q92" s="67"/>
      <c r="R92" s="67"/>
      <c r="S92" s="67"/>
      <c r="T92" s="67"/>
      <c r="U92" s="67"/>
    </row>
    <row r="93" spans="1:21">
      <c r="A93" s="67"/>
      <c r="B93" s="66"/>
      <c r="C93" s="71"/>
      <c r="D93" s="71"/>
      <c r="E93" s="71"/>
      <c r="F93" s="71"/>
      <c r="G93" s="71"/>
      <c r="H93" s="71"/>
      <c r="I93" s="71"/>
      <c r="J93" s="71"/>
      <c r="K93" s="71"/>
      <c r="L93" s="71"/>
      <c r="M93" s="71"/>
      <c r="N93" s="67"/>
      <c r="O93" s="67"/>
      <c r="P93" s="67"/>
      <c r="Q93" s="67"/>
      <c r="R93" s="67"/>
      <c r="S93" s="67"/>
      <c r="T93" s="67"/>
      <c r="U93" s="67"/>
    </row>
    <row r="94" spans="1:21">
      <c r="A94" s="67"/>
      <c r="B94" s="66"/>
      <c r="C94" s="71"/>
      <c r="D94" s="71"/>
      <c r="E94" s="71"/>
      <c r="F94" s="71"/>
      <c r="G94" s="71"/>
      <c r="H94" s="71"/>
      <c r="I94" s="71"/>
      <c r="J94" s="71"/>
      <c r="K94" s="71"/>
      <c r="L94" s="71"/>
      <c r="M94" s="71"/>
      <c r="N94" s="67"/>
      <c r="O94" s="67"/>
      <c r="P94" s="67"/>
      <c r="Q94" s="67"/>
      <c r="R94" s="67"/>
      <c r="S94" s="67"/>
      <c r="T94" s="67"/>
      <c r="U94" s="67"/>
    </row>
    <row r="95" spans="1:21">
      <c r="A95" s="67"/>
      <c r="B95" s="66"/>
      <c r="C95" s="71"/>
      <c r="D95" s="71"/>
      <c r="E95" s="71"/>
      <c r="F95" s="71"/>
      <c r="G95" s="71"/>
      <c r="H95" s="71"/>
      <c r="I95" s="71"/>
      <c r="J95" s="71"/>
      <c r="K95" s="71"/>
      <c r="L95" s="71"/>
      <c r="M95" s="71"/>
      <c r="N95" s="67"/>
      <c r="O95" s="67"/>
      <c r="P95" s="67"/>
      <c r="Q95" s="67"/>
      <c r="R95" s="67"/>
      <c r="S95" s="67"/>
      <c r="T95" s="67"/>
      <c r="U95" s="67"/>
    </row>
    <row r="96" spans="1:21">
      <c r="A96" s="67"/>
      <c r="B96" s="66"/>
      <c r="C96" s="71"/>
      <c r="D96" s="71"/>
      <c r="E96" s="71"/>
      <c r="F96" s="71"/>
      <c r="G96" s="71"/>
      <c r="H96" s="71"/>
      <c r="I96" s="71"/>
      <c r="J96" s="71"/>
      <c r="K96" s="71"/>
      <c r="L96" s="71"/>
      <c r="M96" s="71"/>
      <c r="N96" s="67"/>
      <c r="O96" s="67"/>
      <c r="P96" s="67"/>
      <c r="Q96" s="67"/>
      <c r="R96" s="67"/>
      <c r="S96" s="67"/>
      <c r="T96" s="67"/>
      <c r="U96" s="67"/>
    </row>
    <row r="97" spans="1:21">
      <c r="A97" s="67"/>
      <c r="B97" s="66"/>
      <c r="C97" s="71"/>
      <c r="D97" s="71"/>
      <c r="E97" s="71"/>
      <c r="F97" s="71"/>
      <c r="G97" s="71"/>
      <c r="H97" s="71"/>
      <c r="I97" s="71"/>
      <c r="J97" s="71"/>
      <c r="K97" s="71"/>
      <c r="L97" s="71"/>
      <c r="M97" s="71"/>
      <c r="N97" s="67"/>
      <c r="O97" s="67"/>
      <c r="P97" s="67"/>
      <c r="Q97" s="67"/>
      <c r="R97" s="67"/>
      <c r="S97" s="67"/>
      <c r="T97" s="67"/>
      <c r="U97" s="67"/>
    </row>
    <row r="98" spans="1:21">
      <c r="A98" s="67"/>
      <c r="B98" s="66"/>
      <c r="C98" s="71"/>
      <c r="D98" s="71"/>
      <c r="E98" s="71"/>
      <c r="F98" s="71"/>
      <c r="G98" s="71"/>
      <c r="H98" s="71"/>
      <c r="I98" s="71"/>
      <c r="J98" s="71"/>
      <c r="K98" s="71"/>
      <c r="L98" s="71"/>
      <c r="M98" s="71"/>
      <c r="N98" s="67"/>
      <c r="O98" s="67"/>
      <c r="P98" s="67"/>
      <c r="Q98" s="67"/>
      <c r="R98" s="67"/>
      <c r="S98" s="67"/>
      <c r="T98" s="67"/>
      <c r="U98" s="67"/>
    </row>
    <row r="99" spans="1:21">
      <c r="A99" s="67"/>
      <c r="B99" s="66"/>
      <c r="C99" s="71"/>
      <c r="D99" s="71"/>
      <c r="E99" s="71"/>
      <c r="F99" s="71"/>
      <c r="G99" s="71"/>
      <c r="H99" s="71"/>
      <c r="I99" s="71"/>
      <c r="J99" s="71"/>
      <c r="K99" s="71"/>
      <c r="L99" s="71"/>
      <c r="M99" s="71"/>
      <c r="N99" s="67"/>
      <c r="O99" s="67"/>
      <c r="P99" s="67"/>
      <c r="Q99" s="67"/>
      <c r="R99" s="67"/>
      <c r="S99" s="67"/>
      <c r="T99" s="67"/>
      <c r="U99" s="67"/>
    </row>
    <row r="100" spans="1:21">
      <c r="A100" s="67"/>
      <c r="B100" s="66"/>
      <c r="C100" s="71"/>
      <c r="D100" s="71"/>
      <c r="E100" s="71"/>
      <c r="F100" s="71"/>
      <c r="G100" s="71"/>
      <c r="H100" s="71"/>
      <c r="I100" s="71"/>
      <c r="J100" s="71"/>
      <c r="K100" s="71"/>
      <c r="L100" s="71"/>
      <c r="M100" s="71"/>
      <c r="N100" s="67"/>
      <c r="O100" s="67"/>
      <c r="P100" s="67"/>
      <c r="Q100" s="67"/>
      <c r="R100" s="67"/>
      <c r="S100" s="67"/>
      <c r="T100" s="67"/>
      <c r="U100" s="67"/>
    </row>
    <row r="101" spans="1:21">
      <c r="A101" s="67"/>
      <c r="B101" s="66"/>
      <c r="C101" s="71"/>
      <c r="D101" s="71"/>
      <c r="E101" s="71"/>
      <c r="F101" s="71"/>
      <c r="G101" s="71"/>
      <c r="H101" s="71"/>
      <c r="I101" s="71"/>
      <c r="J101" s="71"/>
      <c r="K101" s="71"/>
      <c r="L101" s="71"/>
      <c r="M101" s="71"/>
      <c r="N101" s="67"/>
      <c r="O101" s="67"/>
      <c r="P101" s="67"/>
      <c r="Q101" s="67"/>
      <c r="R101" s="67"/>
      <c r="S101" s="67"/>
      <c r="T101" s="67"/>
      <c r="U101" s="67"/>
    </row>
    <row r="102" spans="1:21">
      <c r="A102" s="67"/>
      <c r="B102" s="66"/>
      <c r="C102" s="71"/>
      <c r="D102" s="71"/>
      <c r="E102" s="71"/>
      <c r="F102" s="71"/>
      <c r="G102" s="71"/>
      <c r="H102" s="71"/>
      <c r="I102" s="71"/>
      <c r="J102" s="71"/>
      <c r="K102" s="71"/>
      <c r="L102" s="71"/>
      <c r="M102" s="71"/>
      <c r="N102" s="67"/>
      <c r="O102" s="67"/>
      <c r="P102" s="67"/>
      <c r="Q102" s="67"/>
      <c r="R102" s="67"/>
      <c r="S102" s="67"/>
      <c r="T102" s="67"/>
      <c r="U102" s="67"/>
    </row>
    <row r="103" spans="1:21">
      <c r="A103" s="67"/>
      <c r="B103" s="66"/>
      <c r="C103" s="71"/>
      <c r="D103" s="71"/>
      <c r="E103" s="71"/>
      <c r="F103" s="71"/>
      <c r="G103" s="71"/>
      <c r="H103" s="71"/>
      <c r="I103" s="71"/>
      <c r="J103" s="71"/>
      <c r="K103" s="71"/>
      <c r="L103" s="71"/>
      <c r="M103" s="71"/>
      <c r="N103" s="67"/>
      <c r="O103" s="67"/>
      <c r="P103" s="67"/>
      <c r="Q103" s="67"/>
      <c r="R103" s="67"/>
      <c r="S103" s="67"/>
      <c r="T103" s="67"/>
      <c r="U103" s="67"/>
    </row>
    <row r="104" spans="1:21">
      <c r="A104" s="67"/>
      <c r="B104" s="66"/>
      <c r="C104" s="71"/>
      <c r="D104" s="71"/>
      <c r="E104" s="71"/>
      <c r="F104" s="71"/>
      <c r="G104" s="71"/>
      <c r="H104" s="71"/>
      <c r="I104" s="71"/>
      <c r="J104" s="71"/>
      <c r="K104" s="71"/>
      <c r="L104" s="71"/>
      <c r="M104" s="71"/>
      <c r="N104" s="67"/>
      <c r="O104" s="67"/>
      <c r="P104" s="67"/>
      <c r="Q104" s="67"/>
      <c r="R104" s="67"/>
      <c r="S104" s="67"/>
      <c r="T104" s="67"/>
      <c r="U104" s="67"/>
    </row>
    <row r="105" spans="1:21">
      <c r="A105" s="67"/>
      <c r="B105" s="66"/>
      <c r="C105" s="71"/>
      <c r="D105" s="71"/>
      <c r="E105" s="71"/>
      <c r="F105" s="71"/>
      <c r="G105" s="71"/>
      <c r="H105" s="71"/>
      <c r="I105" s="71"/>
      <c r="J105" s="71"/>
      <c r="K105" s="71"/>
      <c r="L105" s="71"/>
      <c r="M105" s="71"/>
      <c r="N105" s="67"/>
      <c r="O105" s="67"/>
      <c r="P105" s="67"/>
      <c r="Q105" s="67"/>
      <c r="R105" s="67"/>
      <c r="S105" s="67"/>
      <c r="T105" s="67"/>
      <c r="U105" s="67"/>
    </row>
    <row r="106" spans="1:21">
      <c r="A106" s="67"/>
      <c r="B106" s="66"/>
      <c r="C106" s="71"/>
      <c r="D106" s="71"/>
      <c r="E106" s="71"/>
      <c r="F106" s="71"/>
      <c r="G106" s="71"/>
      <c r="H106" s="71"/>
      <c r="I106" s="71"/>
      <c r="J106" s="71"/>
      <c r="K106" s="71"/>
      <c r="L106" s="71"/>
      <c r="M106" s="71"/>
      <c r="N106" s="67"/>
      <c r="O106" s="67"/>
      <c r="P106" s="67"/>
      <c r="Q106" s="67"/>
      <c r="R106" s="67"/>
      <c r="S106" s="67"/>
      <c r="T106" s="67"/>
      <c r="U106" s="67"/>
    </row>
    <row r="107" spans="1:21">
      <c r="B107"/>
    </row>
  </sheetData>
  <phoneticPr fontId="3" type="noConversion"/>
  <pageMargins left="0" right="0" top="0" bottom="0" header="0" footer="0"/>
  <pageSetup paperSize="5" scale="44"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2:CJ310"/>
  <sheetViews>
    <sheetView zoomScale="85" zoomScaleNormal="85" workbookViewId="0">
      <pane xSplit="2" topLeftCell="BX1" activePane="topRight" state="frozen"/>
      <selection activeCell="A70" sqref="A70"/>
      <selection pane="topRight" activeCell="BX1" sqref="BX1"/>
    </sheetView>
  </sheetViews>
  <sheetFormatPr defaultRowHeight="12.75" outlineLevelRow="2" outlineLevelCol="1"/>
  <cols>
    <col min="1" max="1" width="2" style="295" customWidth="1"/>
    <col min="2" max="2" width="48.42578125" style="295" customWidth="1"/>
    <col min="3" max="42" width="9.85546875" style="295" hidden="1" customWidth="1" outlineLevel="1"/>
    <col min="43" max="52" width="10.28515625" style="295" hidden="1" customWidth="1" outlineLevel="1"/>
    <col min="53" max="74" width="12.140625" style="295" hidden="1" customWidth="1" outlineLevel="1"/>
    <col min="75" max="75" width="10.140625" style="295" hidden="1" customWidth="1" collapsed="1"/>
    <col min="76" max="88" width="10.140625" style="295" customWidth="1"/>
    <col min="89" max="16384" width="9.140625" style="295"/>
  </cols>
  <sheetData>
    <row r="2" spans="2:88">
      <c r="B2" s="294" t="s">
        <v>325</v>
      </c>
      <c r="C2" s="294"/>
      <c r="D2" s="294"/>
      <c r="E2" s="294"/>
      <c r="F2" s="294"/>
      <c r="G2" s="294"/>
      <c r="H2" s="294"/>
      <c r="I2" s="294"/>
      <c r="J2" s="294"/>
      <c r="K2" s="294"/>
      <c r="L2" s="294"/>
      <c r="M2" s="294"/>
      <c r="N2" s="294"/>
      <c r="O2" s="294"/>
      <c r="P2" s="294"/>
      <c r="Q2" s="294"/>
      <c r="R2" s="294"/>
      <c r="S2" s="294"/>
      <c r="T2" s="294"/>
      <c r="U2" s="294"/>
      <c r="V2" s="294"/>
      <c r="W2" s="294"/>
      <c r="X2" s="294"/>
      <c r="Y2" s="294"/>
      <c r="Z2" s="294"/>
      <c r="AA2" s="294"/>
      <c r="AB2" s="294"/>
      <c r="AC2" s="294"/>
      <c r="AD2" s="294"/>
      <c r="AE2" s="294"/>
      <c r="AF2" s="294"/>
      <c r="AG2" s="294"/>
      <c r="AH2" s="294"/>
      <c r="AI2" s="294"/>
      <c r="AJ2" s="294"/>
      <c r="AK2" s="294"/>
      <c r="AL2" s="294"/>
      <c r="AM2" s="294"/>
      <c r="AN2" s="294"/>
      <c r="AO2" s="294"/>
      <c r="AP2" s="294"/>
      <c r="AQ2" s="294"/>
      <c r="AR2" s="294"/>
      <c r="AS2" s="294"/>
      <c r="AT2" s="294"/>
      <c r="AU2" s="294"/>
      <c r="AV2" s="294"/>
      <c r="AW2" s="294"/>
      <c r="AX2" s="294"/>
      <c r="AY2" s="294"/>
      <c r="AZ2" s="294"/>
      <c r="BA2" s="294"/>
      <c r="BB2" s="294"/>
      <c r="BC2" s="294"/>
      <c r="BD2" s="294"/>
      <c r="BE2" s="294"/>
      <c r="BF2" s="294"/>
      <c r="BG2" s="294"/>
      <c r="BH2" s="294"/>
      <c r="BI2" s="294"/>
      <c r="BJ2" s="294"/>
      <c r="BK2" s="294"/>
      <c r="BL2" s="294"/>
      <c r="BM2" s="294"/>
      <c r="BN2" s="294"/>
      <c r="BO2" s="294"/>
      <c r="BP2" s="294"/>
      <c r="BQ2" s="294"/>
      <c r="BR2" s="294"/>
      <c r="BS2" s="294"/>
      <c r="BT2" s="294"/>
      <c r="BU2" s="294"/>
      <c r="BV2" s="294"/>
      <c r="BW2" s="294"/>
      <c r="BX2" s="294"/>
      <c r="BY2" s="294"/>
      <c r="BZ2" s="294"/>
      <c r="CA2" s="294"/>
      <c r="CB2" s="294"/>
      <c r="CC2" s="294"/>
      <c r="CD2" s="294"/>
      <c r="CE2" s="294"/>
      <c r="CF2" s="294"/>
    </row>
    <row r="3" spans="2:88">
      <c r="B3" s="296" t="s">
        <v>326</v>
      </c>
      <c r="C3" s="328"/>
      <c r="D3" s="328"/>
      <c r="E3" s="328"/>
      <c r="F3" s="328"/>
      <c r="G3" s="328"/>
      <c r="H3" s="328"/>
      <c r="I3" s="328"/>
      <c r="J3" s="328"/>
      <c r="K3" s="328"/>
      <c r="L3" s="328"/>
      <c r="M3" s="328"/>
      <c r="N3" s="328"/>
      <c r="O3" s="328"/>
      <c r="P3" s="328"/>
      <c r="Q3" s="328"/>
      <c r="R3" s="328"/>
      <c r="S3" s="328"/>
      <c r="T3" s="328"/>
      <c r="U3" s="328"/>
      <c r="V3" s="328"/>
      <c r="W3" s="328"/>
      <c r="X3" s="328"/>
      <c r="Y3" s="328"/>
      <c r="Z3" s="328"/>
      <c r="AA3" s="328"/>
      <c r="AB3" s="328"/>
      <c r="AC3" s="328"/>
      <c r="AD3" s="328"/>
      <c r="AE3" s="328"/>
      <c r="AF3" s="328"/>
      <c r="AG3" s="328"/>
      <c r="AH3" s="328"/>
      <c r="AI3" s="328"/>
      <c r="AJ3" s="328"/>
      <c r="AK3" s="328"/>
      <c r="AL3" s="328"/>
      <c r="AM3" s="328"/>
      <c r="AN3" s="328"/>
      <c r="AO3" s="328"/>
      <c r="AP3" s="328"/>
      <c r="AQ3" s="328"/>
      <c r="AR3" s="328"/>
      <c r="AS3" s="328"/>
      <c r="AT3" s="328"/>
      <c r="AU3" s="328"/>
      <c r="AV3" s="328"/>
      <c r="AW3" s="328"/>
      <c r="AX3" s="328"/>
      <c r="AY3" s="328"/>
      <c r="AZ3" s="328"/>
      <c r="BA3" s="328"/>
      <c r="BB3" s="328"/>
      <c r="BC3" s="328"/>
      <c r="BD3" s="328"/>
      <c r="BE3" s="328"/>
      <c r="BF3" s="328"/>
      <c r="BG3" s="328"/>
      <c r="BH3" s="328"/>
      <c r="BI3" s="328"/>
      <c r="BJ3" s="328"/>
      <c r="BK3" s="328"/>
      <c r="BL3" s="328"/>
      <c r="BM3" s="328"/>
      <c r="BN3" s="328"/>
      <c r="BO3" s="328"/>
      <c r="BP3" s="328"/>
      <c r="BQ3" s="328"/>
      <c r="BR3" s="328"/>
      <c r="BW3" s="297">
        <f>DCF!D30</f>
        <v>2</v>
      </c>
      <c r="BY3" s="298" t="s">
        <v>327</v>
      </c>
      <c r="BZ3" s="299">
        <f>DCF!D22</f>
        <v>129.4039898722512</v>
      </c>
      <c r="CC3" s="361" t="s">
        <v>413</v>
      </c>
      <c r="CD3" s="362"/>
      <c r="CE3" s="363">
        <v>2</v>
      </c>
    </row>
    <row r="5" spans="2:88" hidden="1" outlineLevel="1">
      <c r="B5" s="300" t="s">
        <v>328</v>
      </c>
      <c r="C5" s="301">
        <v>1945</v>
      </c>
      <c r="D5" s="301">
        <v>1946</v>
      </c>
      <c r="E5" s="301">
        <v>1947</v>
      </c>
      <c r="F5" s="301">
        <v>1948</v>
      </c>
      <c r="G5" s="301">
        <v>1949</v>
      </c>
      <c r="H5" s="301">
        <v>1950</v>
      </c>
      <c r="I5" s="301">
        <v>1951</v>
      </c>
      <c r="J5" s="301">
        <v>1952</v>
      </c>
      <c r="K5" s="301">
        <v>1953</v>
      </c>
      <c r="L5" s="301">
        <v>1954</v>
      </c>
      <c r="M5" s="301">
        <v>1955</v>
      </c>
      <c r="N5" s="301">
        <v>1956</v>
      </c>
      <c r="O5" s="301">
        <v>1957</v>
      </c>
      <c r="P5" s="301">
        <v>1958</v>
      </c>
      <c r="Q5" s="301">
        <v>1959</v>
      </c>
      <c r="R5" s="301">
        <v>1960</v>
      </c>
      <c r="S5" s="301">
        <v>1961</v>
      </c>
      <c r="T5" s="301">
        <v>1962</v>
      </c>
      <c r="U5" s="301">
        <v>1963</v>
      </c>
      <c r="V5" s="301">
        <v>1964</v>
      </c>
      <c r="W5" s="301">
        <v>1965</v>
      </c>
      <c r="X5" s="301">
        <v>1966</v>
      </c>
      <c r="Y5" s="301">
        <v>1967</v>
      </c>
      <c r="Z5" s="301">
        <v>1968</v>
      </c>
      <c r="AA5" s="301">
        <v>1969</v>
      </c>
      <c r="AB5" s="301">
        <v>1970</v>
      </c>
      <c r="AC5" s="301">
        <v>1971</v>
      </c>
      <c r="AD5" s="301">
        <v>1972</v>
      </c>
      <c r="AE5" s="301">
        <v>1973</v>
      </c>
      <c r="AF5" s="301">
        <v>1974</v>
      </c>
      <c r="AG5" s="301">
        <v>1975</v>
      </c>
      <c r="AH5" s="301">
        <v>1976</v>
      </c>
      <c r="AI5" s="301">
        <v>1977</v>
      </c>
      <c r="AJ5" s="301">
        <v>1978</v>
      </c>
      <c r="AK5" s="301">
        <v>1979</v>
      </c>
      <c r="AL5" s="301">
        <v>1980</v>
      </c>
      <c r="AM5" s="301">
        <v>1981</v>
      </c>
      <c r="AN5" s="301">
        <v>1982</v>
      </c>
      <c r="AO5" s="301">
        <v>1983</v>
      </c>
      <c r="AP5" s="301">
        <v>1984</v>
      </c>
      <c r="AQ5" s="301">
        <v>1985</v>
      </c>
      <c r="AR5" s="301">
        <v>1986</v>
      </c>
      <c r="AS5" s="301">
        <v>1987</v>
      </c>
      <c r="AT5" s="301">
        <v>1988</v>
      </c>
      <c r="AU5" s="301">
        <v>1989</v>
      </c>
      <c r="AV5" s="301">
        <v>1990</v>
      </c>
      <c r="AW5" s="301">
        <v>1991</v>
      </c>
      <c r="AX5" s="301">
        <v>1992</v>
      </c>
      <c r="AY5" s="301">
        <v>1993</v>
      </c>
      <c r="AZ5" s="301">
        <v>1994</v>
      </c>
      <c r="BA5" s="301">
        <v>1995</v>
      </c>
      <c r="BB5" s="301">
        <v>1996</v>
      </c>
      <c r="BC5" s="301">
        <v>1997</v>
      </c>
      <c r="BD5" s="301">
        <v>1998</v>
      </c>
      <c r="BE5" s="301">
        <v>1999</v>
      </c>
      <c r="BF5" s="301">
        <v>2000</v>
      </c>
      <c r="BG5" s="301">
        <v>2001</v>
      </c>
      <c r="BH5" s="301">
        <v>2002</v>
      </c>
      <c r="BI5" s="301">
        <v>2003</v>
      </c>
      <c r="BJ5" s="301">
        <v>2004</v>
      </c>
      <c r="BK5" s="301">
        <v>2005</v>
      </c>
      <c r="BL5" s="301">
        <v>2006</v>
      </c>
      <c r="BM5" s="301">
        <v>2007</v>
      </c>
      <c r="BN5" s="301">
        <v>2008</v>
      </c>
      <c r="BO5" s="301">
        <v>2009</v>
      </c>
      <c r="BP5" s="301">
        <v>2010</v>
      </c>
      <c r="BQ5" s="301">
        <v>2011</v>
      </c>
      <c r="BR5" s="301">
        <v>2012</v>
      </c>
      <c r="BS5" s="301">
        <v>2013</v>
      </c>
      <c r="BT5" s="301">
        <v>2014</v>
      </c>
      <c r="BU5" s="301">
        <v>2015</v>
      </c>
      <c r="BV5" s="301">
        <v>2016</v>
      </c>
      <c r="BW5" s="301">
        <v>2017</v>
      </c>
      <c r="BX5" s="301">
        <v>2018</v>
      </c>
      <c r="BY5" s="301">
        <v>2019</v>
      </c>
      <c r="BZ5" s="301">
        <v>2020</v>
      </c>
      <c r="CA5" s="301">
        <v>2021</v>
      </c>
      <c r="CB5" s="301">
        <v>2022</v>
      </c>
      <c r="CC5" s="301">
        <v>2023</v>
      </c>
      <c r="CD5" s="301">
        <v>2024</v>
      </c>
      <c r="CE5" s="301">
        <v>2025</v>
      </c>
      <c r="CF5" s="301">
        <v>2026</v>
      </c>
      <c r="CG5" s="301">
        <v>2027</v>
      </c>
      <c r="CH5" s="301">
        <v>2028</v>
      </c>
      <c r="CI5" s="301">
        <v>2029</v>
      </c>
      <c r="CJ5" s="302">
        <v>2030</v>
      </c>
    </row>
    <row r="6" spans="2:88" hidden="1" outlineLevel="1">
      <c r="B6" s="303" t="s">
        <v>58</v>
      </c>
      <c r="C6" s="304"/>
      <c r="D6" s="304"/>
      <c r="E6" s="304"/>
      <c r="F6" s="304"/>
      <c r="G6" s="304"/>
      <c r="H6" s="304"/>
      <c r="I6" s="304"/>
      <c r="J6" s="304"/>
      <c r="K6" s="304"/>
      <c r="L6" s="304"/>
      <c r="M6" s="304"/>
      <c r="N6" s="304"/>
      <c r="O6" s="304"/>
      <c r="P6" s="304"/>
      <c r="Q6" s="304"/>
      <c r="R6" s="304"/>
      <c r="S6" s="304"/>
      <c r="T6" s="304"/>
      <c r="U6" s="304"/>
      <c r="V6" s="304"/>
      <c r="W6" s="304"/>
      <c r="X6" s="304"/>
      <c r="Y6" s="304"/>
      <c r="Z6" s="304"/>
      <c r="AA6" s="304"/>
      <c r="AB6" s="304"/>
      <c r="AC6" s="304"/>
      <c r="AD6" s="304"/>
      <c r="AE6" s="304"/>
      <c r="AF6" s="304"/>
      <c r="AG6" s="304"/>
      <c r="AH6" s="304"/>
      <c r="AI6" s="304"/>
      <c r="AJ6" s="304"/>
      <c r="AK6" s="304"/>
      <c r="AL6" s="304"/>
      <c r="AM6" s="304"/>
      <c r="AN6" s="304"/>
      <c r="AO6" s="304"/>
      <c r="AP6" s="304"/>
      <c r="AQ6" s="304"/>
      <c r="AR6" s="304"/>
      <c r="AS6" s="304"/>
      <c r="AT6" s="304"/>
      <c r="AU6" s="304"/>
      <c r="AV6" s="304"/>
      <c r="AW6" s="304"/>
      <c r="AX6" s="304"/>
      <c r="AY6" s="304"/>
      <c r="AZ6" s="304"/>
      <c r="BA6" s="304"/>
      <c r="BB6" s="304"/>
      <c r="BC6" s="304"/>
      <c r="BD6" s="304"/>
      <c r="BE6" s="304"/>
      <c r="BF6" s="304"/>
      <c r="BG6" s="304"/>
      <c r="BH6" s="304"/>
      <c r="BI6" s="304"/>
      <c r="BJ6" s="304"/>
      <c r="BK6" s="304"/>
      <c r="BL6" s="304"/>
      <c r="BM6" s="304"/>
      <c r="BN6" s="304"/>
      <c r="BO6" s="304"/>
      <c r="BP6" s="304"/>
      <c r="BQ6" s="304"/>
      <c r="BR6" s="304"/>
      <c r="BS6" s="304"/>
      <c r="BT6" s="304"/>
      <c r="BU6" s="304"/>
      <c r="BV6" s="305"/>
      <c r="BW6" s="306">
        <v>0</v>
      </c>
      <c r="BX6" s="306">
        <f>BY7</f>
        <v>0.1</v>
      </c>
      <c r="BY6" s="306">
        <v>0.35</v>
      </c>
      <c r="BZ6" s="306">
        <v>0.65</v>
      </c>
      <c r="CA6" s="306">
        <v>0.8</v>
      </c>
      <c r="CB6" s="306">
        <v>0.9</v>
      </c>
      <c r="CC6" s="306">
        <v>0.95</v>
      </c>
      <c r="CD6" s="306">
        <f>CC6</f>
        <v>0.95</v>
      </c>
      <c r="CE6" s="306">
        <f t="shared" ref="CE6:CJ6" si="0">CD6</f>
        <v>0.95</v>
      </c>
      <c r="CF6" s="306">
        <f t="shared" si="0"/>
        <v>0.95</v>
      </c>
      <c r="CG6" s="306">
        <f t="shared" si="0"/>
        <v>0.95</v>
      </c>
      <c r="CH6" s="306">
        <f t="shared" si="0"/>
        <v>0.95</v>
      </c>
      <c r="CI6" s="306">
        <f t="shared" si="0"/>
        <v>0.95</v>
      </c>
      <c r="CJ6" s="306">
        <f t="shared" si="0"/>
        <v>0.95</v>
      </c>
    </row>
    <row r="7" spans="2:88" hidden="1" outlineLevel="1">
      <c r="B7" s="303" t="s">
        <v>59</v>
      </c>
      <c r="C7" s="304"/>
      <c r="D7" s="304"/>
      <c r="E7" s="304"/>
      <c r="F7" s="304"/>
      <c r="G7" s="304"/>
      <c r="H7" s="304"/>
      <c r="I7" s="304"/>
      <c r="J7" s="304"/>
      <c r="K7" s="304"/>
      <c r="L7" s="304"/>
      <c r="M7" s="304"/>
      <c r="N7" s="304"/>
      <c r="O7" s="304"/>
      <c r="P7" s="304"/>
      <c r="Q7" s="304"/>
      <c r="R7" s="304"/>
      <c r="S7" s="304"/>
      <c r="T7" s="304"/>
      <c r="U7" s="304"/>
      <c r="V7" s="304"/>
      <c r="W7" s="304"/>
      <c r="X7" s="304"/>
      <c r="Y7" s="304"/>
      <c r="Z7" s="304"/>
      <c r="AA7" s="304"/>
      <c r="AB7" s="304"/>
      <c r="AC7" s="304"/>
      <c r="AD7" s="304"/>
      <c r="AE7" s="304"/>
      <c r="AF7" s="304"/>
      <c r="AG7" s="304"/>
      <c r="AH7" s="304"/>
      <c r="AI7" s="304"/>
      <c r="AJ7" s="304"/>
      <c r="AK7" s="304"/>
      <c r="AL7" s="304"/>
      <c r="AM7" s="304"/>
      <c r="AN7" s="304"/>
      <c r="AO7" s="304"/>
      <c r="AP7" s="304"/>
      <c r="AQ7" s="304"/>
      <c r="AR7" s="304"/>
      <c r="AS7" s="304"/>
      <c r="AT7" s="304"/>
      <c r="AU7" s="304"/>
      <c r="AV7" s="304"/>
      <c r="AW7" s="304"/>
      <c r="AX7" s="304"/>
      <c r="AY7" s="304"/>
      <c r="AZ7" s="304"/>
      <c r="BA7" s="304"/>
      <c r="BB7" s="304"/>
      <c r="BC7" s="304"/>
      <c r="BD7" s="304"/>
      <c r="BE7" s="304"/>
      <c r="BF7" s="304"/>
      <c r="BG7" s="304"/>
      <c r="BH7" s="304"/>
      <c r="BI7" s="304"/>
      <c r="BJ7" s="304"/>
      <c r="BK7" s="304"/>
      <c r="BL7" s="304"/>
      <c r="BM7" s="304"/>
      <c r="BN7" s="304"/>
      <c r="BO7" s="304"/>
      <c r="BP7" s="304"/>
      <c r="BQ7" s="304"/>
      <c r="BR7" s="304"/>
      <c r="BS7" s="304"/>
      <c r="BT7" s="304"/>
      <c r="BU7" s="304"/>
      <c r="BV7" s="305"/>
      <c r="BW7" s="306">
        <v>0</v>
      </c>
      <c r="BX7" s="306">
        <v>0</v>
      </c>
      <c r="BY7" s="306">
        <v>0.1</v>
      </c>
      <c r="BZ7" s="306">
        <v>0.35</v>
      </c>
      <c r="CA7" s="306">
        <v>0.6</v>
      </c>
      <c r="CB7" s="306">
        <v>0.75</v>
      </c>
      <c r="CC7" s="306">
        <v>0.85</v>
      </c>
      <c r="CD7" s="306">
        <v>0.9</v>
      </c>
      <c r="CE7" s="306">
        <v>0.92500000000000004</v>
      </c>
      <c r="CF7" s="306">
        <v>0.95</v>
      </c>
      <c r="CG7" s="306">
        <f t="shared" ref="CG7:CJ7" si="1">CF7</f>
        <v>0.95</v>
      </c>
      <c r="CH7" s="306">
        <f t="shared" si="1"/>
        <v>0.95</v>
      </c>
      <c r="CI7" s="306">
        <f t="shared" si="1"/>
        <v>0.95</v>
      </c>
      <c r="CJ7" s="306">
        <f t="shared" si="1"/>
        <v>0.95</v>
      </c>
    </row>
    <row r="8" spans="2:88" hidden="1" outlineLevel="1">
      <c r="B8" s="307" t="s">
        <v>60</v>
      </c>
      <c r="C8" s="304"/>
      <c r="D8" s="304"/>
      <c r="E8" s="304"/>
      <c r="F8" s="304"/>
      <c r="G8" s="304"/>
      <c r="H8" s="304"/>
      <c r="I8" s="304"/>
      <c r="J8" s="304"/>
      <c r="K8" s="304"/>
      <c r="L8" s="304"/>
      <c r="M8" s="304"/>
      <c r="N8" s="304"/>
      <c r="O8" s="304"/>
      <c r="P8" s="304"/>
      <c r="Q8" s="304"/>
      <c r="R8" s="304"/>
      <c r="S8" s="304"/>
      <c r="T8" s="304"/>
      <c r="U8" s="304"/>
      <c r="V8" s="304"/>
      <c r="W8" s="304"/>
      <c r="X8" s="304"/>
      <c r="Y8" s="304"/>
      <c r="Z8" s="304"/>
      <c r="AA8" s="304"/>
      <c r="AB8" s="304"/>
      <c r="AC8" s="304"/>
      <c r="AD8" s="304"/>
      <c r="AE8" s="304"/>
      <c r="AF8" s="304"/>
      <c r="AG8" s="304"/>
      <c r="AH8" s="304"/>
      <c r="AI8" s="304"/>
      <c r="AJ8" s="304"/>
      <c r="AK8" s="304"/>
      <c r="AL8" s="304"/>
      <c r="AM8" s="304"/>
      <c r="AN8" s="304"/>
      <c r="AO8" s="304"/>
      <c r="AP8" s="304"/>
      <c r="AQ8" s="304"/>
      <c r="AR8" s="304"/>
      <c r="AS8" s="304"/>
      <c r="AT8" s="304"/>
      <c r="AU8" s="304"/>
      <c r="AV8" s="304"/>
      <c r="AW8" s="304"/>
      <c r="AX8" s="304"/>
      <c r="AY8" s="304"/>
      <c r="AZ8" s="304"/>
      <c r="BA8" s="304"/>
      <c r="BB8" s="304"/>
      <c r="BC8" s="304"/>
      <c r="BD8" s="304"/>
      <c r="BE8" s="304"/>
      <c r="BF8" s="304"/>
      <c r="BG8" s="304"/>
      <c r="BH8" s="304"/>
      <c r="BI8" s="304"/>
      <c r="BJ8" s="304"/>
      <c r="BK8" s="304"/>
      <c r="BL8" s="304"/>
      <c r="BM8" s="304"/>
      <c r="BN8" s="304"/>
      <c r="BO8" s="304"/>
      <c r="BP8" s="304"/>
      <c r="BQ8" s="304"/>
      <c r="BR8" s="304"/>
      <c r="BS8" s="304"/>
      <c r="BT8" s="304"/>
      <c r="BU8" s="304"/>
      <c r="BV8" s="305"/>
      <c r="BW8" s="306">
        <v>0</v>
      </c>
      <c r="BX8" s="306">
        <v>0</v>
      </c>
      <c r="BY8" s="306">
        <v>0</v>
      </c>
      <c r="BZ8" s="306">
        <v>0</v>
      </c>
      <c r="CA8" s="306">
        <v>0</v>
      </c>
      <c r="CB8" s="306">
        <v>0</v>
      </c>
      <c r="CC8" s="306">
        <v>0</v>
      </c>
      <c r="CD8" s="306">
        <v>0</v>
      </c>
      <c r="CE8" s="306">
        <v>0</v>
      </c>
      <c r="CF8" s="306">
        <v>0</v>
      </c>
      <c r="CG8" s="306">
        <v>0</v>
      </c>
      <c r="CH8" s="306">
        <v>0</v>
      </c>
      <c r="CI8" s="306">
        <v>0</v>
      </c>
      <c r="CJ8" s="306">
        <v>0</v>
      </c>
    </row>
    <row r="9" spans="2:88" hidden="1" outlineLevel="1">
      <c r="B9" s="308"/>
      <c r="C9" s="304"/>
      <c r="D9" s="304"/>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4"/>
      <c r="AH9" s="304"/>
      <c r="AI9" s="304"/>
      <c r="AJ9" s="304"/>
      <c r="AK9" s="304"/>
      <c r="AL9" s="304"/>
      <c r="AM9" s="304"/>
      <c r="AN9" s="304"/>
      <c r="AO9" s="304"/>
      <c r="AP9" s="304"/>
      <c r="AQ9" s="304"/>
      <c r="AR9" s="304"/>
      <c r="AS9" s="304"/>
      <c r="AT9" s="304"/>
      <c r="AU9" s="304"/>
      <c r="AV9" s="304"/>
      <c r="AW9" s="304"/>
      <c r="AX9" s="304"/>
      <c r="AY9" s="304"/>
      <c r="AZ9" s="304"/>
      <c r="BA9" s="304"/>
      <c r="BB9" s="304"/>
      <c r="BC9" s="304"/>
      <c r="BD9" s="304"/>
      <c r="BE9" s="304"/>
      <c r="BF9" s="304"/>
      <c r="BG9" s="304"/>
      <c r="BH9" s="304"/>
      <c r="BI9" s="304"/>
      <c r="BJ9" s="304"/>
      <c r="BK9" s="304"/>
      <c r="BL9" s="304"/>
      <c r="BM9" s="304"/>
      <c r="BN9" s="304"/>
      <c r="BO9" s="304"/>
      <c r="BP9" s="304"/>
      <c r="BQ9" s="304"/>
      <c r="BR9" s="304"/>
      <c r="BS9" s="304"/>
      <c r="BT9" s="304"/>
      <c r="BU9" s="304"/>
      <c r="BV9" s="309"/>
      <c r="BW9" s="309"/>
      <c r="BX9" s="305"/>
      <c r="BY9" s="305"/>
      <c r="BZ9" s="305"/>
      <c r="CA9" s="305"/>
      <c r="CB9" s="305"/>
      <c r="CC9" s="305"/>
      <c r="CD9" s="305"/>
      <c r="CE9" s="305"/>
      <c r="CF9" s="305"/>
      <c r="CG9" s="305"/>
      <c r="CH9" s="305"/>
      <c r="CI9" s="305"/>
      <c r="CJ9" s="305"/>
    </row>
    <row r="10" spans="2:88" hidden="1" outlineLevel="2">
      <c r="B10" s="300" t="s">
        <v>352</v>
      </c>
      <c r="C10" s="301">
        <v>1945</v>
      </c>
      <c r="D10" s="301">
        <v>1946</v>
      </c>
      <c r="E10" s="301">
        <v>1947</v>
      </c>
      <c r="F10" s="301">
        <v>1948</v>
      </c>
      <c r="G10" s="301">
        <v>1949</v>
      </c>
      <c r="H10" s="301">
        <v>1950</v>
      </c>
      <c r="I10" s="301">
        <v>1951</v>
      </c>
      <c r="J10" s="301">
        <v>1952</v>
      </c>
      <c r="K10" s="301">
        <v>1953</v>
      </c>
      <c r="L10" s="301">
        <v>1954</v>
      </c>
      <c r="M10" s="301">
        <v>1955</v>
      </c>
      <c r="N10" s="301">
        <v>1956</v>
      </c>
      <c r="O10" s="301">
        <v>1957</v>
      </c>
      <c r="P10" s="301">
        <v>1958</v>
      </c>
      <c r="Q10" s="301">
        <v>1959</v>
      </c>
      <c r="R10" s="301">
        <v>1960</v>
      </c>
      <c r="S10" s="301">
        <v>1961</v>
      </c>
      <c r="T10" s="301">
        <v>1962</v>
      </c>
      <c r="U10" s="301">
        <v>1963</v>
      </c>
      <c r="V10" s="301">
        <v>1964</v>
      </c>
      <c r="W10" s="301">
        <v>1965</v>
      </c>
      <c r="X10" s="301">
        <v>1966</v>
      </c>
      <c r="Y10" s="301">
        <v>1967</v>
      </c>
      <c r="Z10" s="301">
        <v>1968</v>
      </c>
      <c r="AA10" s="301">
        <v>1969</v>
      </c>
      <c r="AB10" s="301">
        <v>1970</v>
      </c>
      <c r="AC10" s="301">
        <v>1971</v>
      </c>
      <c r="AD10" s="301">
        <v>1972</v>
      </c>
      <c r="AE10" s="301">
        <v>1973</v>
      </c>
      <c r="AF10" s="301">
        <v>1974</v>
      </c>
      <c r="AG10" s="301">
        <v>1975</v>
      </c>
      <c r="AH10" s="301">
        <v>1976</v>
      </c>
      <c r="AI10" s="301">
        <v>1977</v>
      </c>
      <c r="AJ10" s="301">
        <v>1978</v>
      </c>
      <c r="AK10" s="301">
        <v>1979</v>
      </c>
      <c r="AL10" s="301">
        <v>1980</v>
      </c>
      <c r="AM10" s="301">
        <v>1981</v>
      </c>
      <c r="AN10" s="301">
        <v>1982</v>
      </c>
      <c r="AO10" s="301">
        <v>1983</v>
      </c>
      <c r="AP10" s="301">
        <v>1984</v>
      </c>
      <c r="AQ10" s="301">
        <v>1985</v>
      </c>
      <c r="AR10" s="301">
        <v>1986</v>
      </c>
      <c r="AS10" s="301">
        <v>1987</v>
      </c>
      <c r="AT10" s="301">
        <v>1988</v>
      </c>
      <c r="AU10" s="301">
        <v>1989</v>
      </c>
      <c r="AV10" s="301">
        <v>1990</v>
      </c>
      <c r="AW10" s="301">
        <v>1991</v>
      </c>
      <c r="AX10" s="301">
        <v>1992</v>
      </c>
      <c r="AY10" s="301">
        <v>1993</v>
      </c>
      <c r="AZ10" s="301">
        <v>1994</v>
      </c>
      <c r="BA10" s="301">
        <v>1995</v>
      </c>
      <c r="BB10" s="301">
        <v>1996</v>
      </c>
      <c r="BC10" s="301">
        <v>1997</v>
      </c>
      <c r="BD10" s="301">
        <v>1998</v>
      </c>
      <c r="BE10" s="301">
        <v>1999</v>
      </c>
      <c r="BF10" s="301">
        <v>2000</v>
      </c>
      <c r="BG10" s="301">
        <v>2001</v>
      </c>
      <c r="BH10" s="301">
        <v>2002</v>
      </c>
      <c r="BI10" s="301">
        <v>2003</v>
      </c>
      <c r="BJ10" s="301">
        <v>2004</v>
      </c>
      <c r="BK10" s="301">
        <v>2005</v>
      </c>
      <c r="BL10" s="301">
        <v>2006</v>
      </c>
      <c r="BM10" s="301">
        <v>2007</v>
      </c>
      <c r="BN10" s="301">
        <v>2008</v>
      </c>
      <c r="BO10" s="301">
        <v>2009</v>
      </c>
      <c r="BP10" s="301">
        <v>2010</v>
      </c>
      <c r="BQ10" s="301">
        <v>2011</v>
      </c>
      <c r="BR10" s="301">
        <v>2012</v>
      </c>
      <c r="BS10" s="301">
        <v>2013</v>
      </c>
      <c r="BT10" s="301">
        <v>2014</v>
      </c>
      <c r="BU10" s="301">
        <v>2015</v>
      </c>
      <c r="BV10" s="301">
        <v>2016</v>
      </c>
      <c r="BW10" s="301">
        <v>2017</v>
      </c>
      <c r="BX10" s="301">
        <v>2018</v>
      </c>
      <c r="BY10" s="301">
        <v>2019</v>
      </c>
      <c r="BZ10" s="301">
        <v>2020</v>
      </c>
      <c r="CA10" s="301">
        <v>2021</v>
      </c>
      <c r="CB10" s="301">
        <v>2022</v>
      </c>
      <c r="CC10" s="301">
        <v>2023</v>
      </c>
      <c r="CD10" s="301">
        <v>2024</v>
      </c>
      <c r="CE10" s="301">
        <v>2025</v>
      </c>
      <c r="CF10" s="301">
        <v>2026</v>
      </c>
      <c r="CG10" s="301">
        <v>2027</v>
      </c>
      <c r="CH10" s="301">
        <v>2028</v>
      </c>
      <c r="CI10" s="301">
        <v>2029</v>
      </c>
      <c r="CJ10" s="302">
        <v>2030</v>
      </c>
    </row>
    <row r="11" spans="2:88" hidden="1" outlineLevel="2">
      <c r="B11" s="303" t="s">
        <v>58</v>
      </c>
      <c r="C11" s="304"/>
      <c r="D11" s="304"/>
      <c r="E11" s="304"/>
      <c r="F11" s="304"/>
      <c r="G11" s="304"/>
      <c r="H11" s="304"/>
      <c r="I11" s="304"/>
      <c r="J11" s="304"/>
      <c r="K11" s="304"/>
      <c r="L11" s="304"/>
      <c r="M11" s="304"/>
      <c r="N11" s="304"/>
      <c r="O11" s="304"/>
      <c r="P11" s="304"/>
      <c r="Q11" s="304"/>
      <c r="R11" s="304"/>
      <c r="S11" s="304"/>
      <c r="T11" s="304"/>
      <c r="U11" s="304"/>
      <c r="V11" s="304"/>
      <c r="W11" s="304"/>
      <c r="X11" s="304"/>
      <c r="Y11" s="304"/>
      <c r="Z11" s="304"/>
      <c r="AA11" s="304"/>
      <c r="AB11" s="304"/>
      <c r="AC11" s="304"/>
      <c r="AD11" s="304"/>
      <c r="AE11" s="304"/>
      <c r="AF11" s="304"/>
      <c r="AG11" s="304"/>
      <c r="AH11" s="304"/>
      <c r="AI11" s="304"/>
      <c r="AJ11" s="304"/>
      <c r="AK11" s="304"/>
      <c r="AL11" s="304"/>
      <c r="AM11" s="304"/>
      <c r="AN11" s="304"/>
      <c r="AO11" s="304"/>
      <c r="AP11" s="304"/>
      <c r="AQ11" s="304"/>
      <c r="AR11" s="304"/>
      <c r="AS11" s="304"/>
      <c r="AT11" s="304"/>
      <c r="AU11" s="304"/>
      <c r="AV11" s="304"/>
      <c r="AW11" s="304"/>
      <c r="AX11" s="304"/>
      <c r="AY11" s="304"/>
      <c r="AZ11" s="304"/>
      <c r="BA11" s="304"/>
      <c r="BB11" s="304"/>
      <c r="BC11" s="304"/>
      <c r="BD11" s="304"/>
      <c r="BE11" s="304"/>
      <c r="BF11" s="304"/>
      <c r="BG11" s="304"/>
      <c r="BH11" s="304"/>
      <c r="BI11" s="304"/>
      <c r="BJ11" s="304"/>
      <c r="BK11" s="304"/>
      <c r="BL11" s="304"/>
      <c r="BM11" s="304"/>
      <c r="BN11" s="304"/>
      <c r="BO11" s="304"/>
      <c r="BP11" s="304"/>
      <c r="BQ11" s="304"/>
      <c r="BR11" s="304"/>
      <c r="BS11" s="304"/>
      <c r="BT11" s="304"/>
      <c r="BU11" s="304"/>
      <c r="BV11" s="305"/>
      <c r="BW11" s="306">
        <v>0</v>
      </c>
      <c r="BX11" s="306">
        <v>0</v>
      </c>
      <c r="BY11" s="306">
        <v>0</v>
      </c>
      <c r="BZ11" s="306">
        <v>0</v>
      </c>
      <c r="CA11" s="306">
        <v>0</v>
      </c>
      <c r="CB11" s="306">
        <v>0</v>
      </c>
      <c r="CC11" s="306">
        <v>0</v>
      </c>
      <c r="CD11" s="306">
        <v>0</v>
      </c>
      <c r="CE11" s="306">
        <v>0</v>
      </c>
      <c r="CF11" s="306">
        <v>0</v>
      </c>
      <c r="CG11" s="306">
        <v>0</v>
      </c>
      <c r="CH11" s="306">
        <v>0</v>
      </c>
      <c r="CI11" s="306">
        <v>0</v>
      </c>
      <c r="CJ11" s="306">
        <v>0</v>
      </c>
    </row>
    <row r="12" spans="2:88" hidden="1" outlineLevel="2">
      <c r="B12" s="303" t="s">
        <v>59</v>
      </c>
      <c r="C12" s="304"/>
      <c r="D12" s="304"/>
      <c r="E12" s="304"/>
      <c r="F12" s="304"/>
      <c r="G12" s="304"/>
      <c r="H12" s="304"/>
      <c r="I12" s="304"/>
      <c r="J12" s="304"/>
      <c r="K12" s="304"/>
      <c r="L12" s="304"/>
      <c r="M12" s="304"/>
      <c r="N12" s="304"/>
      <c r="O12" s="304"/>
      <c r="P12" s="304"/>
      <c r="Q12" s="304"/>
      <c r="R12" s="304"/>
      <c r="S12" s="304"/>
      <c r="T12" s="304"/>
      <c r="U12" s="304"/>
      <c r="V12" s="304"/>
      <c r="W12" s="304"/>
      <c r="X12" s="304"/>
      <c r="Y12" s="304"/>
      <c r="Z12" s="304"/>
      <c r="AA12" s="304"/>
      <c r="AB12" s="304"/>
      <c r="AC12" s="304"/>
      <c r="AD12" s="304"/>
      <c r="AE12" s="304"/>
      <c r="AF12" s="304"/>
      <c r="AG12" s="304"/>
      <c r="AH12" s="304"/>
      <c r="AI12" s="304"/>
      <c r="AJ12" s="304"/>
      <c r="AK12" s="304"/>
      <c r="AL12" s="304"/>
      <c r="AM12" s="304"/>
      <c r="AN12" s="304"/>
      <c r="AO12" s="304"/>
      <c r="AP12" s="304"/>
      <c r="AQ12" s="304"/>
      <c r="AR12" s="304"/>
      <c r="AS12" s="304"/>
      <c r="AT12" s="304"/>
      <c r="AU12" s="304"/>
      <c r="AV12" s="304"/>
      <c r="AW12" s="304"/>
      <c r="AX12" s="304"/>
      <c r="AY12" s="304"/>
      <c r="AZ12" s="304"/>
      <c r="BA12" s="304"/>
      <c r="BB12" s="304"/>
      <c r="BC12" s="304"/>
      <c r="BD12" s="304"/>
      <c r="BE12" s="304"/>
      <c r="BF12" s="304"/>
      <c r="BG12" s="304"/>
      <c r="BH12" s="304"/>
      <c r="BI12" s="304"/>
      <c r="BJ12" s="304"/>
      <c r="BK12" s="304"/>
      <c r="BL12" s="304"/>
      <c r="BM12" s="304"/>
      <c r="BN12" s="304"/>
      <c r="BO12" s="304"/>
      <c r="BP12" s="304"/>
      <c r="BQ12" s="304"/>
      <c r="BR12" s="304"/>
      <c r="BS12" s="304"/>
      <c r="BT12" s="304"/>
      <c r="BU12" s="304"/>
      <c r="BV12" s="305"/>
      <c r="BW12" s="306">
        <v>0</v>
      </c>
      <c r="BX12" s="306">
        <v>0</v>
      </c>
      <c r="BY12" s="306">
        <v>0</v>
      </c>
      <c r="BZ12" s="306">
        <v>0</v>
      </c>
      <c r="CA12" s="306">
        <v>0</v>
      </c>
      <c r="CB12" s="306">
        <v>0</v>
      </c>
      <c r="CC12" s="306">
        <v>0</v>
      </c>
      <c r="CD12" s="306">
        <v>0</v>
      </c>
      <c r="CE12" s="306">
        <v>0</v>
      </c>
      <c r="CF12" s="306">
        <v>0</v>
      </c>
      <c r="CG12" s="306">
        <v>0</v>
      </c>
      <c r="CH12" s="306">
        <v>0</v>
      </c>
      <c r="CI12" s="306">
        <v>0</v>
      </c>
      <c r="CJ12" s="306">
        <v>0</v>
      </c>
    </row>
    <row r="13" spans="2:88" hidden="1" outlineLevel="2">
      <c r="B13" s="307" t="s">
        <v>60</v>
      </c>
      <c r="C13" s="304"/>
      <c r="D13" s="304"/>
      <c r="E13" s="304"/>
      <c r="F13" s="304"/>
      <c r="G13" s="304"/>
      <c r="H13" s="304"/>
      <c r="I13" s="304"/>
      <c r="J13" s="304"/>
      <c r="K13" s="304"/>
      <c r="L13" s="304"/>
      <c r="M13" s="304"/>
      <c r="N13" s="304"/>
      <c r="O13" s="304"/>
      <c r="P13" s="304"/>
      <c r="Q13" s="304"/>
      <c r="R13" s="304"/>
      <c r="S13" s="304"/>
      <c r="T13" s="304"/>
      <c r="U13" s="304"/>
      <c r="V13" s="304"/>
      <c r="W13" s="304"/>
      <c r="X13" s="304"/>
      <c r="Y13" s="304"/>
      <c r="Z13" s="304"/>
      <c r="AA13" s="304"/>
      <c r="AB13" s="304"/>
      <c r="AC13" s="304"/>
      <c r="AD13" s="304"/>
      <c r="AE13" s="304"/>
      <c r="AF13" s="304"/>
      <c r="AG13" s="304"/>
      <c r="AH13" s="304"/>
      <c r="AI13" s="304"/>
      <c r="AJ13" s="304"/>
      <c r="AK13" s="304"/>
      <c r="AL13" s="304"/>
      <c r="AM13" s="304"/>
      <c r="AN13" s="304"/>
      <c r="AO13" s="304"/>
      <c r="AP13" s="304"/>
      <c r="AQ13" s="304"/>
      <c r="AR13" s="304"/>
      <c r="AS13" s="304"/>
      <c r="AT13" s="304"/>
      <c r="AU13" s="304"/>
      <c r="AV13" s="304"/>
      <c r="AW13" s="304"/>
      <c r="AX13" s="304"/>
      <c r="AY13" s="304"/>
      <c r="AZ13" s="304"/>
      <c r="BA13" s="304"/>
      <c r="BB13" s="304"/>
      <c r="BC13" s="304"/>
      <c r="BD13" s="304"/>
      <c r="BE13" s="304"/>
      <c r="BF13" s="304"/>
      <c r="BG13" s="304"/>
      <c r="BH13" s="304"/>
      <c r="BI13" s="304"/>
      <c r="BJ13" s="304"/>
      <c r="BK13" s="304"/>
      <c r="BL13" s="304"/>
      <c r="BM13" s="304"/>
      <c r="BN13" s="304"/>
      <c r="BO13" s="304"/>
      <c r="BP13" s="304"/>
      <c r="BQ13" s="304"/>
      <c r="BR13" s="304"/>
      <c r="BS13" s="304"/>
      <c r="BT13" s="304"/>
      <c r="BU13" s="304"/>
      <c r="BV13" s="305"/>
      <c r="BW13" s="306">
        <v>0</v>
      </c>
      <c r="BX13" s="306">
        <v>0</v>
      </c>
      <c r="BY13" s="306">
        <v>0</v>
      </c>
      <c r="BZ13" s="306">
        <v>0</v>
      </c>
      <c r="CA13" s="306">
        <v>0</v>
      </c>
      <c r="CB13" s="306">
        <v>0</v>
      </c>
      <c r="CC13" s="306">
        <v>0</v>
      </c>
      <c r="CD13" s="306">
        <v>0</v>
      </c>
      <c r="CE13" s="306">
        <v>0</v>
      </c>
      <c r="CF13" s="306">
        <v>0</v>
      </c>
      <c r="CG13" s="306">
        <v>0</v>
      </c>
      <c r="CH13" s="306">
        <v>0</v>
      </c>
      <c r="CI13" s="306">
        <v>0</v>
      </c>
      <c r="CJ13" s="306">
        <v>0</v>
      </c>
    </row>
    <row r="14" spans="2:88" hidden="1" outlineLevel="2">
      <c r="B14" s="308"/>
      <c r="C14" s="304"/>
      <c r="D14" s="304"/>
      <c r="E14" s="304"/>
      <c r="F14" s="304"/>
      <c r="G14" s="304"/>
      <c r="H14" s="304"/>
      <c r="I14" s="304"/>
      <c r="J14" s="304"/>
      <c r="K14" s="304"/>
      <c r="L14" s="304"/>
      <c r="M14" s="304"/>
      <c r="N14" s="304"/>
      <c r="O14" s="304"/>
      <c r="P14" s="304"/>
      <c r="Q14" s="304"/>
      <c r="R14" s="304"/>
      <c r="S14" s="304"/>
      <c r="T14" s="304"/>
      <c r="U14" s="304"/>
      <c r="V14" s="304"/>
      <c r="W14" s="304"/>
      <c r="X14" s="304"/>
      <c r="Y14" s="304"/>
      <c r="Z14" s="304"/>
      <c r="AA14" s="304"/>
      <c r="AB14" s="304"/>
      <c r="AC14" s="304"/>
      <c r="AD14" s="304"/>
      <c r="AE14" s="304"/>
      <c r="AF14" s="304"/>
      <c r="AG14" s="304"/>
      <c r="AH14" s="304"/>
      <c r="AI14" s="304"/>
      <c r="AJ14" s="304"/>
      <c r="AK14" s="304"/>
      <c r="AL14" s="304"/>
      <c r="AM14" s="304"/>
      <c r="AN14" s="304"/>
      <c r="AO14" s="304"/>
      <c r="AP14" s="304"/>
      <c r="AQ14" s="304"/>
      <c r="AR14" s="304"/>
      <c r="AS14" s="304"/>
      <c r="AT14" s="304"/>
      <c r="AU14" s="304"/>
      <c r="AV14" s="304"/>
      <c r="AW14" s="304"/>
      <c r="AX14" s="304"/>
      <c r="AY14" s="304"/>
      <c r="AZ14" s="304"/>
      <c r="BA14" s="304"/>
      <c r="BB14" s="304"/>
      <c r="BC14" s="304"/>
      <c r="BD14" s="304"/>
      <c r="BE14" s="304"/>
      <c r="BF14" s="304"/>
      <c r="BG14" s="304"/>
      <c r="BH14" s="304"/>
      <c r="BI14" s="304"/>
      <c r="BJ14" s="304"/>
      <c r="BK14" s="304"/>
      <c r="BL14" s="304"/>
      <c r="BM14" s="304"/>
      <c r="BN14" s="304"/>
      <c r="BO14" s="304"/>
      <c r="BP14" s="304"/>
      <c r="BQ14" s="304"/>
      <c r="BR14" s="304"/>
      <c r="BS14" s="304"/>
      <c r="BT14" s="304"/>
      <c r="BU14" s="304"/>
      <c r="BV14" s="309"/>
      <c r="BW14" s="309"/>
      <c r="BX14" s="305"/>
      <c r="BY14" s="305"/>
      <c r="BZ14" s="305"/>
      <c r="CA14" s="305"/>
      <c r="CB14" s="305"/>
      <c r="CC14" s="305"/>
      <c r="CD14" s="305"/>
      <c r="CE14" s="305"/>
      <c r="CF14" s="305"/>
      <c r="CG14" s="305"/>
      <c r="CH14" s="305"/>
      <c r="CI14" s="305"/>
      <c r="CJ14" s="305"/>
    </row>
    <row r="15" spans="2:88" hidden="1" outlineLevel="1" collapsed="1">
      <c r="B15" s="300" t="s">
        <v>381</v>
      </c>
      <c r="C15" s="301">
        <v>1945</v>
      </c>
      <c r="D15" s="301">
        <v>1946</v>
      </c>
      <c r="E15" s="301">
        <v>1947</v>
      </c>
      <c r="F15" s="301">
        <v>1948</v>
      </c>
      <c r="G15" s="301">
        <v>1949</v>
      </c>
      <c r="H15" s="301">
        <v>1950</v>
      </c>
      <c r="I15" s="301">
        <v>1951</v>
      </c>
      <c r="J15" s="301">
        <v>1952</v>
      </c>
      <c r="K15" s="301">
        <v>1953</v>
      </c>
      <c r="L15" s="301">
        <v>1954</v>
      </c>
      <c r="M15" s="301">
        <v>1955</v>
      </c>
      <c r="N15" s="301">
        <v>1956</v>
      </c>
      <c r="O15" s="301">
        <v>1957</v>
      </c>
      <c r="P15" s="301">
        <v>1958</v>
      </c>
      <c r="Q15" s="301">
        <v>1959</v>
      </c>
      <c r="R15" s="301">
        <v>1960</v>
      </c>
      <c r="S15" s="301">
        <v>1961</v>
      </c>
      <c r="T15" s="301">
        <v>1962</v>
      </c>
      <c r="U15" s="301">
        <v>1963</v>
      </c>
      <c r="V15" s="301">
        <v>1964</v>
      </c>
      <c r="W15" s="301">
        <v>1965</v>
      </c>
      <c r="X15" s="301">
        <v>1966</v>
      </c>
      <c r="Y15" s="301">
        <v>1967</v>
      </c>
      <c r="Z15" s="301">
        <v>1968</v>
      </c>
      <c r="AA15" s="301">
        <v>1969</v>
      </c>
      <c r="AB15" s="301">
        <v>1970</v>
      </c>
      <c r="AC15" s="301">
        <v>1971</v>
      </c>
      <c r="AD15" s="301">
        <v>1972</v>
      </c>
      <c r="AE15" s="301">
        <v>1973</v>
      </c>
      <c r="AF15" s="301">
        <v>1974</v>
      </c>
      <c r="AG15" s="301">
        <v>1975</v>
      </c>
      <c r="AH15" s="301">
        <v>1976</v>
      </c>
      <c r="AI15" s="301">
        <v>1977</v>
      </c>
      <c r="AJ15" s="301">
        <v>1978</v>
      </c>
      <c r="AK15" s="301">
        <v>1979</v>
      </c>
      <c r="AL15" s="301">
        <v>1980</v>
      </c>
      <c r="AM15" s="301">
        <v>1981</v>
      </c>
      <c r="AN15" s="301">
        <v>1982</v>
      </c>
      <c r="AO15" s="301">
        <v>1983</v>
      </c>
      <c r="AP15" s="301">
        <v>1984</v>
      </c>
      <c r="AQ15" s="301">
        <v>1985</v>
      </c>
      <c r="AR15" s="301">
        <v>1986</v>
      </c>
      <c r="AS15" s="301">
        <v>1987</v>
      </c>
      <c r="AT15" s="301">
        <v>1988</v>
      </c>
      <c r="AU15" s="301">
        <v>1989</v>
      </c>
      <c r="AV15" s="301">
        <v>1990</v>
      </c>
      <c r="AW15" s="301">
        <v>1991</v>
      </c>
      <c r="AX15" s="301">
        <v>1992</v>
      </c>
      <c r="AY15" s="301">
        <v>1993</v>
      </c>
      <c r="AZ15" s="301">
        <v>1994</v>
      </c>
      <c r="BA15" s="301">
        <v>1995</v>
      </c>
      <c r="BB15" s="301">
        <v>1996</v>
      </c>
      <c r="BC15" s="301">
        <v>1997</v>
      </c>
      <c r="BD15" s="301">
        <v>1998</v>
      </c>
      <c r="BE15" s="301">
        <v>1999</v>
      </c>
      <c r="BF15" s="301">
        <v>2000</v>
      </c>
      <c r="BG15" s="301">
        <v>2001</v>
      </c>
      <c r="BH15" s="301">
        <v>2002</v>
      </c>
      <c r="BI15" s="301">
        <v>2003</v>
      </c>
      <c r="BJ15" s="301">
        <v>2004</v>
      </c>
      <c r="BK15" s="301">
        <v>2005</v>
      </c>
      <c r="BL15" s="301">
        <v>2006</v>
      </c>
      <c r="BM15" s="301">
        <v>2007</v>
      </c>
      <c r="BN15" s="301">
        <v>2008</v>
      </c>
      <c r="BO15" s="301">
        <v>2009</v>
      </c>
      <c r="BP15" s="301">
        <v>2010</v>
      </c>
      <c r="BQ15" s="301">
        <v>2011</v>
      </c>
      <c r="BR15" s="301">
        <v>2012</v>
      </c>
      <c r="BS15" s="301">
        <v>2013</v>
      </c>
      <c r="BT15" s="301">
        <v>2014</v>
      </c>
      <c r="BU15" s="301">
        <v>2015</v>
      </c>
      <c r="BV15" s="301">
        <v>2016</v>
      </c>
      <c r="BW15" s="301">
        <v>2017</v>
      </c>
      <c r="BX15" s="301">
        <v>2018</v>
      </c>
      <c r="BY15" s="301">
        <v>2019</v>
      </c>
      <c r="BZ15" s="301">
        <v>2020</v>
      </c>
      <c r="CA15" s="301">
        <v>2021</v>
      </c>
      <c r="CB15" s="301">
        <v>2022</v>
      </c>
      <c r="CC15" s="301">
        <v>2023</v>
      </c>
      <c r="CD15" s="301">
        <v>2024</v>
      </c>
      <c r="CE15" s="301">
        <v>2025</v>
      </c>
      <c r="CF15" s="301">
        <v>2026</v>
      </c>
      <c r="CG15" s="301">
        <v>2027</v>
      </c>
      <c r="CH15" s="301">
        <v>2028</v>
      </c>
      <c r="CI15" s="301">
        <v>2029</v>
      </c>
      <c r="CJ15" s="302">
        <v>2030</v>
      </c>
    </row>
    <row r="16" spans="2:88" hidden="1" outlineLevel="1">
      <c r="B16" s="303" t="s">
        <v>58</v>
      </c>
      <c r="C16" s="304"/>
      <c r="D16" s="304"/>
      <c r="E16" s="304"/>
      <c r="F16" s="304"/>
      <c r="G16" s="304"/>
      <c r="H16" s="304"/>
      <c r="I16" s="304"/>
      <c r="J16" s="304"/>
      <c r="K16" s="304"/>
      <c r="L16" s="304"/>
      <c r="M16" s="304"/>
      <c r="N16" s="304"/>
      <c r="O16" s="304"/>
      <c r="P16" s="304"/>
      <c r="Q16" s="304"/>
      <c r="R16" s="304"/>
      <c r="S16" s="304"/>
      <c r="T16" s="304"/>
      <c r="U16" s="304"/>
      <c r="V16" s="304"/>
      <c r="W16" s="304"/>
      <c r="X16" s="304"/>
      <c r="Y16" s="304"/>
      <c r="Z16" s="304"/>
      <c r="AA16" s="304"/>
      <c r="AB16" s="304"/>
      <c r="AC16" s="304"/>
      <c r="AD16" s="304"/>
      <c r="AE16" s="304"/>
      <c r="AF16" s="304"/>
      <c r="AG16" s="304"/>
      <c r="AH16" s="304"/>
      <c r="AI16" s="304"/>
      <c r="AJ16" s="304"/>
      <c r="AK16" s="304"/>
      <c r="AL16" s="304"/>
      <c r="AM16" s="304"/>
      <c r="AN16" s="304"/>
      <c r="AO16" s="304"/>
      <c r="AP16" s="304"/>
      <c r="AQ16" s="304"/>
      <c r="AR16" s="304"/>
      <c r="AS16" s="304"/>
      <c r="AT16" s="304"/>
      <c r="AU16" s="304"/>
      <c r="AV16" s="304"/>
      <c r="AW16" s="304"/>
      <c r="AX16" s="304"/>
      <c r="AY16" s="304"/>
      <c r="AZ16" s="304"/>
      <c r="BA16" s="304"/>
      <c r="BB16" s="304"/>
      <c r="BC16" s="304"/>
      <c r="BD16" s="304"/>
      <c r="BE16" s="304"/>
      <c r="BF16" s="304"/>
      <c r="BG16" s="304"/>
      <c r="BH16" s="304"/>
      <c r="BI16" s="304"/>
      <c r="BJ16" s="304"/>
      <c r="BK16" s="304"/>
      <c r="BL16" s="304"/>
      <c r="BM16" s="304"/>
      <c r="BN16" s="304"/>
      <c r="BO16" s="304"/>
      <c r="BP16" s="304"/>
      <c r="BQ16" s="304"/>
      <c r="BR16" s="304"/>
      <c r="BS16" s="304"/>
      <c r="BT16" s="304"/>
      <c r="BU16" s="304"/>
      <c r="BV16" s="305"/>
      <c r="BW16" s="306">
        <f>BW6*0.35</f>
        <v>0</v>
      </c>
      <c r="BX16" s="306">
        <f>BX6*0.5</f>
        <v>0.05</v>
      </c>
      <c r="BY16" s="306">
        <f>BY6*0.85</f>
        <v>0.29749999999999999</v>
      </c>
      <c r="BZ16" s="306">
        <f>BZ6*0.9</f>
        <v>0.58500000000000008</v>
      </c>
      <c r="CA16" s="306">
        <f t="shared" ref="CA16:CC16" si="2">CA6*0.9</f>
        <v>0.72000000000000008</v>
      </c>
      <c r="CB16" s="306">
        <f t="shared" si="2"/>
        <v>0.81</v>
      </c>
      <c r="CC16" s="306">
        <f t="shared" si="2"/>
        <v>0.85499999999999998</v>
      </c>
      <c r="CD16" s="306">
        <v>0.88</v>
      </c>
      <c r="CE16" s="306">
        <v>0.9</v>
      </c>
      <c r="CF16" s="306">
        <v>0.91500000000000004</v>
      </c>
      <c r="CG16" s="306">
        <v>0.93</v>
      </c>
      <c r="CH16" s="306">
        <v>0.95</v>
      </c>
      <c r="CI16" s="306">
        <f>CH16</f>
        <v>0.95</v>
      </c>
      <c r="CJ16" s="306">
        <f>CI16</f>
        <v>0.95</v>
      </c>
    </row>
    <row r="17" spans="2:88" hidden="1" outlineLevel="1">
      <c r="B17" s="303" t="s">
        <v>59</v>
      </c>
      <c r="C17" s="304"/>
      <c r="D17" s="304"/>
      <c r="E17" s="304"/>
      <c r="F17" s="304"/>
      <c r="G17" s="304"/>
      <c r="H17" s="304"/>
      <c r="I17" s="304"/>
      <c r="J17" s="304"/>
      <c r="K17" s="304"/>
      <c r="L17" s="304"/>
      <c r="M17" s="304"/>
      <c r="N17" s="304"/>
      <c r="O17" s="304"/>
      <c r="P17" s="304"/>
      <c r="Q17" s="304"/>
      <c r="R17" s="304"/>
      <c r="S17" s="304"/>
      <c r="T17" s="304"/>
      <c r="U17" s="304"/>
      <c r="V17" s="304"/>
      <c r="W17" s="304"/>
      <c r="X17" s="304"/>
      <c r="Y17" s="304"/>
      <c r="Z17" s="304"/>
      <c r="AA17" s="304"/>
      <c r="AB17" s="304"/>
      <c r="AC17" s="304"/>
      <c r="AD17" s="304"/>
      <c r="AE17" s="304"/>
      <c r="AF17" s="304"/>
      <c r="AG17" s="304"/>
      <c r="AH17" s="304"/>
      <c r="AI17" s="304"/>
      <c r="AJ17" s="304"/>
      <c r="AK17" s="304"/>
      <c r="AL17" s="304"/>
      <c r="AM17" s="304"/>
      <c r="AN17" s="304"/>
      <c r="AO17" s="304"/>
      <c r="AP17" s="304"/>
      <c r="AQ17" s="304"/>
      <c r="AR17" s="304"/>
      <c r="AS17" s="304"/>
      <c r="AT17" s="304"/>
      <c r="AU17" s="304"/>
      <c r="AV17" s="304"/>
      <c r="AW17" s="304"/>
      <c r="AX17" s="304"/>
      <c r="AY17" s="304"/>
      <c r="AZ17" s="304"/>
      <c r="BA17" s="304"/>
      <c r="BB17" s="304"/>
      <c r="BC17" s="304"/>
      <c r="BD17" s="304"/>
      <c r="BE17" s="304"/>
      <c r="BF17" s="304"/>
      <c r="BG17" s="304"/>
      <c r="BH17" s="304"/>
      <c r="BI17" s="304"/>
      <c r="BJ17" s="304"/>
      <c r="BK17" s="304"/>
      <c r="BL17" s="304"/>
      <c r="BM17" s="304"/>
      <c r="BN17" s="304"/>
      <c r="BO17" s="304"/>
      <c r="BP17" s="304"/>
      <c r="BQ17" s="304"/>
      <c r="BR17" s="304"/>
      <c r="BS17" s="304"/>
      <c r="BT17" s="304"/>
      <c r="BU17" s="304"/>
      <c r="BV17" s="305"/>
      <c r="BW17" s="306">
        <f>BW7*0.35</f>
        <v>0</v>
      </c>
      <c r="BX17" s="306">
        <f>BX7*0.5</f>
        <v>0</v>
      </c>
      <c r="BY17" s="306">
        <f>BY7*0.8</f>
        <v>8.0000000000000016E-2</v>
      </c>
      <c r="BZ17" s="306">
        <f>BZ7*0.85</f>
        <v>0.29749999999999999</v>
      </c>
      <c r="CA17" s="306">
        <f t="shared" ref="CA17:CJ17" si="3">CA7*0.85</f>
        <v>0.51</v>
      </c>
      <c r="CB17" s="306">
        <f t="shared" si="3"/>
        <v>0.63749999999999996</v>
      </c>
      <c r="CC17" s="306">
        <f t="shared" si="3"/>
        <v>0.72249999999999992</v>
      </c>
      <c r="CD17" s="306">
        <f t="shared" si="3"/>
        <v>0.76500000000000001</v>
      </c>
      <c r="CE17" s="306">
        <f t="shared" si="3"/>
        <v>0.78625</v>
      </c>
      <c r="CF17" s="306">
        <f t="shared" si="3"/>
        <v>0.8075</v>
      </c>
      <c r="CG17" s="306">
        <f t="shared" si="3"/>
        <v>0.8075</v>
      </c>
      <c r="CH17" s="306">
        <f t="shared" si="3"/>
        <v>0.8075</v>
      </c>
      <c r="CI17" s="306">
        <f t="shared" si="3"/>
        <v>0.8075</v>
      </c>
      <c r="CJ17" s="306">
        <f t="shared" si="3"/>
        <v>0.8075</v>
      </c>
    </row>
    <row r="18" spans="2:88" hidden="1" outlineLevel="1">
      <c r="B18" s="307" t="s">
        <v>60</v>
      </c>
      <c r="C18" s="304"/>
      <c r="D18" s="304"/>
      <c r="E18" s="304"/>
      <c r="F18" s="304"/>
      <c r="G18" s="304"/>
      <c r="H18" s="304"/>
      <c r="I18" s="304"/>
      <c r="J18" s="304"/>
      <c r="K18" s="304"/>
      <c r="L18" s="304"/>
      <c r="M18" s="304"/>
      <c r="N18" s="304"/>
      <c r="O18" s="304"/>
      <c r="P18" s="304"/>
      <c r="Q18" s="304"/>
      <c r="R18" s="304"/>
      <c r="S18" s="304"/>
      <c r="T18" s="304"/>
      <c r="U18" s="304"/>
      <c r="V18" s="304"/>
      <c r="W18" s="304"/>
      <c r="X18" s="304"/>
      <c r="Y18" s="304"/>
      <c r="Z18" s="304"/>
      <c r="AA18" s="304"/>
      <c r="AB18" s="304"/>
      <c r="AC18" s="304"/>
      <c r="AD18" s="304"/>
      <c r="AE18" s="304"/>
      <c r="AF18" s="304"/>
      <c r="AG18" s="304"/>
      <c r="AH18" s="304"/>
      <c r="AI18" s="304"/>
      <c r="AJ18" s="304"/>
      <c r="AK18" s="304"/>
      <c r="AL18" s="304"/>
      <c r="AM18" s="304"/>
      <c r="AN18" s="304"/>
      <c r="AO18" s="304"/>
      <c r="AP18" s="304"/>
      <c r="AQ18" s="304"/>
      <c r="AR18" s="304"/>
      <c r="AS18" s="304"/>
      <c r="AT18" s="304"/>
      <c r="AU18" s="304"/>
      <c r="AV18" s="304"/>
      <c r="AW18" s="304"/>
      <c r="AX18" s="304"/>
      <c r="AY18" s="304"/>
      <c r="AZ18" s="304"/>
      <c r="BA18" s="304"/>
      <c r="BB18" s="304"/>
      <c r="BC18" s="304"/>
      <c r="BD18" s="304"/>
      <c r="BE18" s="304"/>
      <c r="BF18" s="304"/>
      <c r="BG18" s="304"/>
      <c r="BH18" s="304"/>
      <c r="BI18" s="304"/>
      <c r="BJ18" s="304"/>
      <c r="BK18" s="304"/>
      <c r="BL18" s="304"/>
      <c r="BM18" s="304"/>
      <c r="BN18" s="304"/>
      <c r="BO18" s="304"/>
      <c r="BP18" s="304"/>
      <c r="BQ18" s="304"/>
      <c r="BR18" s="304"/>
      <c r="BS18" s="304"/>
      <c r="BT18" s="304"/>
      <c r="BU18" s="304"/>
      <c r="BV18" s="305"/>
      <c r="BW18" s="306">
        <f>BW8*0.5</f>
        <v>0</v>
      </c>
      <c r="BX18" s="306">
        <f>BX8*0.5</f>
        <v>0</v>
      </c>
      <c r="BY18" s="306">
        <f>BY8*0.85</f>
        <v>0</v>
      </c>
      <c r="BZ18" s="306">
        <f t="shared" ref="BZ18:CJ18" si="4">BZ8*0.85</f>
        <v>0</v>
      </c>
      <c r="CA18" s="306">
        <f t="shared" si="4"/>
        <v>0</v>
      </c>
      <c r="CB18" s="306">
        <f t="shared" si="4"/>
        <v>0</v>
      </c>
      <c r="CC18" s="306">
        <f t="shared" si="4"/>
        <v>0</v>
      </c>
      <c r="CD18" s="306">
        <f t="shared" si="4"/>
        <v>0</v>
      </c>
      <c r="CE18" s="306">
        <f t="shared" si="4"/>
        <v>0</v>
      </c>
      <c r="CF18" s="306">
        <f t="shared" si="4"/>
        <v>0</v>
      </c>
      <c r="CG18" s="306">
        <f t="shared" si="4"/>
        <v>0</v>
      </c>
      <c r="CH18" s="306">
        <f t="shared" si="4"/>
        <v>0</v>
      </c>
      <c r="CI18" s="306">
        <f t="shared" si="4"/>
        <v>0</v>
      </c>
      <c r="CJ18" s="306">
        <f t="shared" si="4"/>
        <v>0</v>
      </c>
    </row>
    <row r="19" spans="2:88" hidden="1" outlineLevel="1"/>
    <row r="20" spans="2:88" hidden="1" outlineLevel="2">
      <c r="B20" s="300" t="s">
        <v>382</v>
      </c>
      <c r="C20" s="301">
        <v>1945</v>
      </c>
      <c r="D20" s="301">
        <v>1946</v>
      </c>
      <c r="E20" s="301">
        <v>1947</v>
      </c>
      <c r="F20" s="301">
        <v>1948</v>
      </c>
      <c r="G20" s="301">
        <v>1949</v>
      </c>
      <c r="H20" s="301">
        <v>1950</v>
      </c>
      <c r="I20" s="301">
        <v>1951</v>
      </c>
      <c r="J20" s="301">
        <v>1952</v>
      </c>
      <c r="K20" s="301">
        <v>1953</v>
      </c>
      <c r="L20" s="301">
        <v>1954</v>
      </c>
      <c r="M20" s="301">
        <v>1955</v>
      </c>
      <c r="N20" s="301">
        <v>1956</v>
      </c>
      <c r="O20" s="301">
        <v>1957</v>
      </c>
      <c r="P20" s="301">
        <v>1958</v>
      </c>
      <c r="Q20" s="301">
        <v>1959</v>
      </c>
      <c r="R20" s="301">
        <v>1960</v>
      </c>
      <c r="S20" s="301">
        <v>1961</v>
      </c>
      <c r="T20" s="301">
        <v>1962</v>
      </c>
      <c r="U20" s="301">
        <v>1963</v>
      </c>
      <c r="V20" s="301">
        <v>1964</v>
      </c>
      <c r="W20" s="301">
        <v>1965</v>
      </c>
      <c r="X20" s="301">
        <v>1966</v>
      </c>
      <c r="Y20" s="301">
        <v>1967</v>
      </c>
      <c r="Z20" s="301">
        <v>1968</v>
      </c>
      <c r="AA20" s="301">
        <v>1969</v>
      </c>
      <c r="AB20" s="301">
        <v>1970</v>
      </c>
      <c r="AC20" s="301">
        <v>1971</v>
      </c>
      <c r="AD20" s="301">
        <v>1972</v>
      </c>
      <c r="AE20" s="301">
        <v>1973</v>
      </c>
      <c r="AF20" s="301">
        <v>1974</v>
      </c>
      <c r="AG20" s="301">
        <v>1975</v>
      </c>
      <c r="AH20" s="301">
        <v>1976</v>
      </c>
      <c r="AI20" s="301">
        <v>1977</v>
      </c>
      <c r="AJ20" s="301">
        <v>1978</v>
      </c>
      <c r="AK20" s="301">
        <v>1979</v>
      </c>
      <c r="AL20" s="301">
        <v>1980</v>
      </c>
      <c r="AM20" s="301">
        <v>1981</v>
      </c>
      <c r="AN20" s="301">
        <v>1982</v>
      </c>
      <c r="AO20" s="301">
        <v>1983</v>
      </c>
      <c r="AP20" s="301">
        <v>1984</v>
      </c>
      <c r="AQ20" s="301">
        <v>1985</v>
      </c>
      <c r="AR20" s="301">
        <v>1986</v>
      </c>
      <c r="AS20" s="301">
        <v>1987</v>
      </c>
      <c r="AT20" s="301">
        <v>1988</v>
      </c>
      <c r="AU20" s="301">
        <v>1989</v>
      </c>
      <c r="AV20" s="301">
        <v>1990</v>
      </c>
      <c r="AW20" s="301">
        <v>1991</v>
      </c>
      <c r="AX20" s="301">
        <v>1992</v>
      </c>
      <c r="AY20" s="301">
        <v>1993</v>
      </c>
      <c r="AZ20" s="301">
        <v>1994</v>
      </c>
      <c r="BA20" s="301">
        <v>1995</v>
      </c>
      <c r="BB20" s="301">
        <v>1996</v>
      </c>
      <c r="BC20" s="301">
        <v>1997</v>
      </c>
      <c r="BD20" s="301">
        <v>1998</v>
      </c>
      <c r="BE20" s="301">
        <v>1999</v>
      </c>
      <c r="BF20" s="301">
        <v>2000</v>
      </c>
      <c r="BG20" s="301">
        <v>2001</v>
      </c>
      <c r="BH20" s="301">
        <v>2002</v>
      </c>
      <c r="BI20" s="301">
        <v>2003</v>
      </c>
      <c r="BJ20" s="301">
        <v>2004</v>
      </c>
      <c r="BK20" s="301">
        <v>2005</v>
      </c>
      <c r="BL20" s="301">
        <v>2006</v>
      </c>
      <c r="BM20" s="301">
        <v>2007</v>
      </c>
      <c r="BN20" s="301">
        <v>2008</v>
      </c>
      <c r="BO20" s="301">
        <v>2009</v>
      </c>
      <c r="BP20" s="301">
        <v>2010</v>
      </c>
      <c r="BQ20" s="301">
        <v>2011</v>
      </c>
      <c r="BR20" s="301">
        <v>2012</v>
      </c>
      <c r="BS20" s="301">
        <v>2013</v>
      </c>
      <c r="BT20" s="301">
        <v>2014</v>
      </c>
      <c r="BU20" s="301">
        <v>2015</v>
      </c>
      <c r="BV20" s="301">
        <v>2016</v>
      </c>
      <c r="BW20" s="301">
        <v>2017</v>
      </c>
      <c r="BX20" s="301">
        <v>2018</v>
      </c>
      <c r="BY20" s="301">
        <v>2019</v>
      </c>
      <c r="BZ20" s="301">
        <v>2020</v>
      </c>
      <c r="CA20" s="301">
        <v>2021</v>
      </c>
      <c r="CB20" s="301">
        <v>2022</v>
      </c>
      <c r="CC20" s="301">
        <v>2023</v>
      </c>
      <c r="CD20" s="301">
        <v>2024</v>
      </c>
      <c r="CE20" s="301">
        <v>2025</v>
      </c>
      <c r="CF20" s="301">
        <v>2026</v>
      </c>
      <c r="CG20" s="301">
        <v>2027</v>
      </c>
      <c r="CH20" s="301">
        <v>2028</v>
      </c>
      <c r="CI20" s="301">
        <v>2029</v>
      </c>
      <c r="CJ20" s="302">
        <v>2030</v>
      </c>
    </row>
    <row r="21" spans="2:88" hidden="1" outlineLevel="2">
      <c r="B21" s="303" t="s">
        <v>58</v>
      </c>
      <c r="C21" s="304"/>
      <c r="D21" s="304"/>
      <c r="E21" s="304"/>
      <c r="F21" s="304"/>
      <c r="G21" s="304"/>
      <c r="H21" s="304"/>
      <c r="I21" s="304"/>
      <c r="J21" s="304"/>
      <c r="K21" s="304"/>
      <c r="L21" s="304"/>
      <c r="M21" s="304"/>
      <c r="N21" s="304"/>
      <c r="O21" s="304"/>
      <c r="P21" s="304"/>
      <c r="Q21" s="304"/>
      <c r="R21" s="304"/>
      <c r="S21" s="304"/>
      <c r="T21" s="304"/>
      <c r="U21" s="304"/>
      <c r="V21" s="304"/>
      <c r="W21" s="304"/>
      <c r="X21" s="304"/>
      <c r="Y21" s="304"/>
      <c r="Z21" s="304"/>
      <c r="AA21" s="304"/>
      <c r="AB21" s="304"/>
      <c r="AC21" s="304"/>
      <c r="AD21" s="304"/>
      <c r="AE21" s="304"/>
      <c r="AF21" s="304"/>
      <c r="AG21" s="304"/>
      <c r="AH21" s="304"/>
      <c r="AI21" s="304"/>
      <c r="AJ21" s="304"/>
      <c r="AK21" s="304"/>
      <c r="AL21" s="304"/>
      <c r="AM21" s="304"/>
      <c r="AN21" s="304"/>
      <c r="AO21" s="304"/>
      <c r="AP21" s="304"/>
      <c r="AQ21" s="304"/>
      <c r="AR21" s="304"/>
      <c r="AS21" s="304"/>
      <c r="AT21" s="304"/>
      <c r="AU21" s="304"/>
      <c r="AV21" s="304"/>
      <c r="AW21" s="304"/>
      <c r="AX21" s="304"/>
      <c r="AY21" s="304"/>
      <c r="AZ21" s="304"/>
      <c r="BA21" s="304"/>
      <c r="BB21" s="304"/>
      <c r="BC21" s="304"/>
      <c r="BD21" s="304"/>
      <c r="BE21" s="304"/>
      <c r="BF21" s="304"/>
      <c r="BG21" s="304"/>
      <c r="BH21" s="304"/>
      <c r="BI21" s="304"/>
      <c r="BJ21" s="304"/>
      <c r="BK21" s="304"/>
      <c r="BL21" s="304"/>
      <c r="BM21" s="304"/>
      <c r="BN21" s="304"/>
      <c r="BO21" s="304"/>
      <c r="BP21" s="304"/>
      <c r="BQ21" s="304"/>
      <c r="BR21" s="304"/>
      <c r="BS21" s="304"/>
      <c r="BT21" s="304"/>
      <c r="BU21" s="304"/>
      <c r="BV21" s="305"/>
      <c r="BW21" s="306">
        <v>0</v>
      </c>
      <c r="BX21" s="306">
        <v>0</v>
      </c>
      <c r="BY21" s="306">
        <v>0</v>
      </c>
      <c r="BZ21" s="306">
        <v>0</v>
      </c>
      <c r="CA21" s="306">
        <v>0</v>
      </c>
      <c r="CB21" s="306">
        <v>0</v>
      </c>
      <c r="CC21" s="306">
        <v>0</v>
      </c>
      <c r="CD21" s="306">
        <v>0</v>
      </c>
      <c r="CE21" s="306">
        <v>0</v>
      </c>
      <c r="CF21" s="306">
        <v>0</v>
      </c>
      <c r="CG21" s="306">
        <v>0</v>
      </c>
      <c r="CH21" s="306">
        <v>0</v>
      </c>
      <c r="CI21" s="306">
        <v>0</v>
      </c>
      <c r="CJ21" s="306">
        <v>0</v>
      </c>
    </row>
    <row r="22" spans="2:88" hidden="1" outlineLevel="2">
      <c r="B22" s="303" t="s">
        <v>59</v>
      </c>
      <c r="C22" s="304"/>
      <c r="D22" s="304"/>
      <c r="E22" s="304"/>
      <c r="F22" s="304"/>
      <c r="G22" s="304"/>
      <c r="H22" s="304"/>
      <c r="I22" s="304"/>
      <c r="J22" s="304"/>
      <c r="K22" s="304"/>
      <c r="L22" s="304"/>
      <c r="M22" s="304"/>
      <c r="N22" s="304"/>
      <c r="O22" s="304"/>
      <c r="P22" s="304"/>
      <c r="Q22" s="304"/>
      <c r="R22" s="304"/>
      <c r="S22" s="304"/>
      <c r="T22" s="304"/>
      <c r="U22" s="304"/>
      <c r="V22" s="304"/>
      <c r="W22" s="304"/>
      <c r="X22" s="304"/>
      <c r="Y22" s="304"/>
      <c r="Z22" s="304"/>
      <c r="AA22" s="304"/>
      <c r="AB22" s="304"/>
      <c r="AC22" s="304"/>
      <c r="AD22" s="304"/>
      <c r="AE22" s="304"/>
      <c r="AF22" s="304"/>
      <c r="AG22" s="304"/>
      <c r="AH22" s="304"/>
      <c r="AI22" s="304"/>
      <c r="AJ22" s="304"/>
      <c r="AK22" s="304"/>
      <c r="AL22" s="304"/>
      <c r="AM22" s="304"/>
      <c r="AN22" s="304"/>
      <c r="AO22" s="304"/>
      <c r="AP22" s="304"/>
      <c r="AQ22" s="304"/>
      <c r="AR22" s="304"/>
      <c r="AS22" s="304"/>
      <c r="AT22" s="304"/>
      <c r="AU22" s="304"/>
      <c r="AV22" s="304"/>
      <c r="AW22" s="304"/>
      <c r="AX22" s="304"/>
      <c r="AY22" s="304"/>
      <c r="AZ22" s="304"/>
      <c r="BA22" s="304"/>
      <c r="BB22" s="304"/>
      <c r="BC22" s="304"/>
      <c r="BD22" s="304"/>
      <c r="BE22" s="304"/>
      <c r="BF22" s="304"/>
      <c r="BG22" s="304"/>
      <c r="BH22" s="304"/>
      <c r="BI22" s="304"/>
      <c r="BJ22" s="304"/>
      <c r="BK22" s="304"/>
      <c r="BL22" s="304"/>
      <c r="BM22" s="304"/>
      <c r="BN22" s="304"/>
      <c r="BO22" s="304"/>
      <c r="BP22" s="304"/>
      <c r="BQ22" s="304"/>
      <c r="BR22" s="304"/>
      <c r="BS22" s="304"/>
      <c r="BT22" s="304"/>
      <c r="BU22" s="304"/>
      <c r="BV22" s="305"/>
      <c r="BW22" s="306">
        <v>0</v>
      </c>
      <c r="BX22" s="306">
        <v>0</v>
      </c>
      <c r="BY22" s="306">
        <v>0</v>
      </c>
      <c r="BZ22" s="306">
        <v>0</v>
      </c>
      <c r="CA22" s="306">
        <v>0</v>
      </c>
      <c r="CB22" s="306">
        <v>0</v>
      </c>
      <c r="CC22" s="306">
        <v>0</v>
      </c>
      <c r="CD22" s="306">
        <v>0</v>
      </c>
      <c r="CE22" s="306">
        <v>0</v>
      </c>
      <c r="CF22" s="306">
        <v>0</v>
      </c>
      <c r="CG22" s="306">
        <v>0</v>
      </c>
      <c r="CH22" s="306">
        <v>0</v>
      </c>
      <c r="CI22" s="306">
        <v>0</v>
      </c>
      <c r="CJ22" s="306">
        <v>0</v>
      </c>
    </row>
    <row r="23" spans="2:88" hidden="1" outlineLevel="2">
      <c r="B23" s="307" t="s">
        <v>60</v>
      </c>
      <c r="C23" s="304"/>
      <c r="D23" s="304"/>
      <c r="E23" s="304"/>
      <c r="F23" s="304"/>
      <c r="G23" s="304"/>
      <c r="H23" s="304"/>
      <c r="I23" s="304"/>
      <c r="J23" s="304"/>
      <c r="K23" s="304"/>
      <c r="L23" s="304"/>
      <c r="M23" s="304"/>
      <c r="N23" s="304"/>
      <c r="O23" s="304"/>
      <c r="P23" s="304"/>
      <c r="Q23" s="304"/>
      <c r="R23" s="304"/>
      <c r="S23" s="304"/>
      <c r="T23" s="304"/>
      <c r="U23" s="304"/>
      <c r="V23" s="304"/>
      <c r="W23" s="304"/>
      <c r="X23" s="304"/>
      <c r="Y23" s="304"/>
      <c r="Z23" s="304"/>
      <c r="AA23" s="304"/>
      <c r="AB23" s="304"/>
      <c r="AC23" s="304"/>
      <c r="AD23" s="304"/>
      <c r="AE23" s="304"/>
      <c r="AF23" s="304"/>
      <c r="AG23" s="304"/>
      <c r="AH23" s="304"/>
      <c r="AI23" s="304"/>
      <c r="AJ23" s="304"/>
      <c r="AK23" s="304"/>
      <c r="AL23" s="304"/>
      <c r="AM23" s="304"/>
      <c r="AN23" s="304"/>
      <c r="AO23" s="304"/>
      <c r="AP23" s="304"/>
      <c r="AQ23" s="304"/>
      <c r="AR23" s="304"/>
      <c r="AS23" s="304"/>
      <c r="AT23" s="304"/>
      <c r="AU23" s="304"/>
      <c r="AV23" s="304"/>
      <c r="AW23" s="304"/>
      <c r="AX23" s="304"/>
      <c r="AY23" s="304"/>
      <c r="AZ23" s="304"/>
      <c r="BA23" s="304"/>
      <c r="BB23" s="304"/>
      <c r="BC23" s="304"/>
      <c r="BD23" s="304"/>
      <c r="BE23" s="304"/>
      <c r="BF23" s="304"/>
      <c r="BG23" s="304"/>
      <c r="BH23" s="304"/>
      <c r="BI23" s="304"/>
      <c r="BJ23" s="304"/>
      <c r="BK23" s="304"/>
      <c r="BL23" s="304"/>
      <c r="BM23" s="304"/>
      <c r="BN23" s="304"/>
      <c r="BO23" s="304"/>
      <c r="BP23" s="304"/>
      <c r="BQ23" s="304"/>
      <c r="BR23" s="304"/>
      <c r="BS23" s="304"/>
      <c r="BT23" s="304"/>
      <c r="BU23" s="304"/>
      <c r="BV23" s="305"/>
      <c r="BW23" s="306">
        <v>0</v>
      </c>
      <c r="BX23" s="306">
        <v>0</v>
      </c>
      <c r="BY23" s="306">
        <v>0</v>
      </c>
      <c r="BZ23" s="306">
        <v>0</v>
      </c>
      <c r="CA23" s="306">
        <v>0</v>
      </c>
      <c r="CB23" s="306">
        <v>0</v>
      </c>
      <c r="CC23" s="306">
        <v>0</v>
      </c>
      <c r="CD23" s="306">
        <v>0</v>
      </c>
      <c r="CE23" s="306">
        <v>0</v>
      </c>
      <c r="CF23" s="306">
        <v>0</v>
      </c>
      <c r="CG23" s="306">
        <v>0</v>
      </c>
      <c r="CH23" s="306">
        <v>0</v>
      </c>
      <c r="CI23" s="306">
        <v>0</v>
      </c>
      <c r="CJ23" s="306">
        <v>0</v>
      </c>
    </row>
    <row r="24" spans="2:88" hidden="1" outlineLevel="2">
      <c r="B24" s="308"/>
      <c r="C24" s="304"/>
      <c r="D24" s="304"/>
      <c r="E24" s="304"/>
      <c r="F24" s="304"/>
      <c r="G24" s="304"/>
      <c r="H24" s="304"/>
      <c r="I24" s="304"/>
      <c r="J24" s="304"/>
      <c r="K24" s="304"/>
      <c r="L24" s="304"/>
      <c r="M24" s="304"/>
      <c r="N24" s="304"/>
      <c r="O24" s="304"/>
      <c r="P24" s="304"/>
      <c r="Q24" s="304"/>
      <c r="R24" s="304"/>
      <c r="S24" s="304"/>
      <c r="T24" s="304"/>
      <c r="U24" s="304"/>
      <c r="V24" s="304"/>
      <c r="W24" s="304"/>
      <c r="X24" s="304"/>
      <c r="Y24" s="304"/>
      <c r="Z24" s="304"/>
      <c r="AA24" s="304"/>
      <c r="AB24" s="304"/>
      <c r="AC24" s="304"/>
      <c r="AD24" s="304"/>
      <c r="AE24" s="304"/>
      <c r="AF24" s="304"/>
      <c r="AG24" s="304"/>
      <c r="AH24" s="304"/>
      <c r="AI24" s="304"/>
      <c r="AJ24" s="304"/>
      <c r="AK24" s="304"/>
      <c r="AL24" s="304"/>
      <c r="AM24" s="304"/>
      <c r="AN24" s="304"/>
      <c r="AO24" s="304"/>
      <c r="AP24" s="304"/>
      <c r="AQ24" s="304"/>
      <c r="AR24" s="304"/>
      <c r="AS24" s="304"/>
      <c r="AT24" s="304"/>
      <c r="AU24" s="304"/>
      <c r="AV24" s="304"/>
      <c r="AW24" s="304"/>
      <c r="AX24" s="304"/>
      <c r="AY24" s="304"/>
      <c r="AZ24" s="304"/>
      <c r="BA24" s="304"/>
      <c r="BB24" s="304"/>
      <c r="BC24" s="304"/>
      <c r="BD24" s="304"/>
      <c r="BE24" s="304"/>
      <c r="BF24" s="304"/>
      <c r="BG24" s="304"/>
      <c r="BH24" s="304"/>
      <c r="BI24" s="304"/>
      <c r="BJ24" s="304"/>
      <c r="BK24" s="304"/>
      <c r="BL24" s="304"/>
      <c r="BM24" s="304"/>
      <c r="BN24" s="304"/>
      <c r="BO24" s="304"/>
      <c r="BP24" s="304"/>
      <c r="BQ24" s="304"/>
      <c r="BR24" s="304"/>
      <c r="BS24" s="304"/>
      <c r="BT24" s="304"/>
      <c r="BU24" s="304"/>
      <c r="BV24" s="309"/>
      <c r="BW24" s="309"/>
      <c r="BX24" s="305"/>
      <c r="BY24" s="305"/>
      <c r="BZ24" s="305"/>
      <c r="CA24" s="305"/>
      <c r="CB24" s="305"/>
      <c r="CC24" s="305"/>
      <c r="CD24" s="305"/>
      <c r="CE24" s="305"/>
      <c r="CF24" s="305"/>
      <c r="CG24" s="305"/>
      <c r="CH24" s="305"/>
      <c r="CI24" s="305"/>
      <c r="CJ24" s="305"/>
    </row>
    <row r="25" spans="2:88" hidden="1" outlineLevel="1" collapsed="1">
      <c r="B25" s="300" t="s">
        <v>329</v>
      </c>
      <c r="C25" s="301">
        <v>1945</v>
      </c>
      <c r="D25" s="301">
        <v>1946</v>
      </c>
      <c r="E25" s="301">
        <v>1947</v>
      </c>
      <c r="F25" s="301">
        <v>1948</v>
      </c>
      <c r="G25" s="301">
        <v>1949</v>
      </c>
      <c r="H25" s="301">
        <v>1950</v>
      </c>
      <c r="I25" s="301">
        <v>1951</v>
      </c>
      <c r="J25" s="301">
        <v>1952</v>
      </c>
      <c r="K25" s="301">
        <v>1953</v>
      </c>
      <c r="L25" s="301">
        <v>1954</v>
      </c>
      <c r="M25" s="301">
        <v>1955</v>
      </c>
      <c r="N25" s="301">
        <v>1956</v>
      </c>
      <c r="O25" s="301">
        <v>1957</v>
      </c>
      <c r="P25" s="301">
        <v>1958</v>
      </c>
      <c r="Q25" s="301">
        <v>1959</v>
      </c>
      <c r="R25" s="301">
        <v>1960</v>
      </c>
      <c r="S25" s="301">
        <v>1961</v>
      </c>
      <c r="T25" s="301">
        <v>1962</v>
      </c>
      <c r="U25" s="301">
        <v>1963</v>
      </c>
      <c r="V25" s="301">
        <v>1964</v>
      </c>
      <c r="W25" s="301">
        <v>1965</v>
      </c>
      <c r="X25" s="301">
        <v>1966</v>
      </c>
      <c r="Y25" s="301">
        <v>1967</v>
      </c>
      <c r="Z25" s="301">
        <v>1968</v>
      </c>
      <c r="AA25" s="301">
        <v>1969</v>
      </c>
      <c r="AB25" s="301">
        <v>1970</v>
      </c>
      <c r="AC25" s="301">
        <v>1971</v>
      </c>
      <c r="AD25" s="301">
        <v>1972</v>
      </c>
      <c r="AE25" s="301">
        <v>1973</v>
      </c>
      <c r="AF25" s="301">
        <v>1974</v>
      </c>
      <c r="AG25" s="301">
        <v>1975</v>
      </c>
      <c r="AH25" s="301">
        <v>1976</v>
      </c>
      <c r="AI25" s="301">
        <v>1977</v>
      </c>
      <c r="AJ25" s="301">
        <v>1978</v>
      </c>
      <c r="AK25" s="301">
        <v>1979</v>
      </c>
      <c r="AL25" s="301">
        <v>1980</v>
      </c>
      <c r="AM25" s="301">
        <v>1981</v>
      </c>
      <c r="AN25" s="301">
        <v>1982</v>
      </c>
      <c r="AO25" s="301">
        <v>1983</v>
      </c>
      <c r="AP25" s="301">
        <v>1984</v>
      </c>
      <c r="AQ25" s="301">
        <v>1985</v>
      </c>
      <c r="AR25" s="301">
        <v>1986</v>
      </c>
      <c r="AS25" s="301">
        <v>1987</v>
      </c>
      <c r="AT25" s="301">
        <v>1988</v>
      </c>
      <c r="AU25" s="301">
        <v>1989</v>
      </c>
      <c r="AV25" s="301">
        <v>1990</v>
      </c>
      <c r="AW25" s="301">
        <v>1991</v>
      </c>
      <c r="AX25" s="301">
        <v>1992</v>
      </c>
      <c r="AY25" s="301">
        <v>1993</v>
      </c>
      <c r="AZ25" s="301">
        <v>1994</v>
      </c>
      <c r="BA25" s="301">
        <v>1995</v>
      </c>
      <c r="BB25" s="301">
        <v>1996</v>
      </c>
      <c r="BC25" s="301">
        <v>1997</v>
      </c>
      <c r="BD25" s="301">
        <v>1998</v>
      </c>
      <c r="BE25" s="301">
        <v>1999</v>
      </c>
      <c r="BF25" s="301">
        <v>2000</v>
      </c>
      <c r="BG25" s="301">
        <v>2001</v>
      </c>
      <c r="BH25" s="301">
        <v>2002</v>
      </c>
      <c r="BI25" s="301">
        <v>2003</v>
      </c>
      <c r="BJ25" s="301">
        <v>2004</v>
      </c>
      <c r="BK25" s="301">
        <v>2005</v>
      </c>
      <c r="BL25" s="301">
        <v>2006</v>
      </c>
      <c r="BM25" s="301">
        <v>2007</v>
      </c>
      <c r="BN25" s="301">
        <v>2008</v>
      </c>
      <c r="BO25" s="301">
        <v>2009</v>
      </c>
      <c r="BP25" s="301">
        <v>2010</v>
      </c>
      <c r="BQ25" s="301">
        <v>2011</v>
      </c>
      <c r="BR25" s="301">
        <v>2012</v>
      </c>
      <c r="BS25" s="301">
        <v>2013</v>
      </c>
      <c r="BT25" s="301">
        <v>2014</v>
      </c>
      <c r="BU25" s="301">
        <v>2015</v>
      </c>
      <c r="BV25" s="301">
        <v>2016</v>
      </c>
      <c r="BW25" s="301">
        <v>2017</v>
      </c>
      <c r="BX25" s="301">
        <v>2018</v>
      </c>
      <c r="BY25" s="301">
        <v>2019</v>
      </c>
      <c r="BZ25" s="301">
        <v>2020</v>
      </c>
      <c r="CA25" s="301">
        <v>2021</v>
      </c>
      <c r="CB25" s="301">
        <v>2022</v>
      </c>
      <c r="CC25" s="301">
        <v>2023</v>
      </c>
      <c r="CD25" s="301">
        <v>2024</v>
      </c>
      <c r="CE25" s="301">
        <v>2025</v>
      </c>
      <c r="CF25" s="301">
        <v>2026</v>
      </c>
      <c r="CG25" s="301">
        <v>2027</v>
      </c>
      <c r="CH25" s="301">
        <v>2028</v>
      </c>
      <c r="CI25" s="301">
        <v>2029</v>
      </c>
      <c r="CJ25" s="302">
        <v>2030</v>
      </c>
    </row>
    <row r="26" spans="2:88" hidden="1" outlineLevel="1">
      <c r="B26" s="303" t="s">
        <v>58</v>
      </c>
      <c r="C26" s="304"/>
      <c r="D26" s="304"/>
      <c r="E26" s="304"/>
      <c r="F26" s="304"/>
      <c r="G26" s="304"/>
      <c r="H26" s="304"/>
      <c r="I26" s="304"/>
      <c r="J26" s="304"/>
      <c r="K26" s="304"/>
      <c r="L26" s="304"/>
      <c r="M26" s="304"/>
      <c r="N26" s="304"/>
      <c r="O26" s="304"/>
      <c r="P26" s="304"/>
      <c r="Q26" s="304"/>
      <c r="R26" s="304"/>
      <c r="S26" s="304"/>
      <c r="T26" s="304"/>
      <c r="U26" s="304"/>
      <c r="V26" s="304"/>
      <c r="W26" s="304"/>
      <c r="X26" s="304"/>
      <c r="Y26" s="304"/>
      <c r="Z26" s="304"/>
      <c r="AA26" s="304"/>
      <c r="AB26" s="304"/>
      <c r="AC26" s="304"/>
      <c r="AD26" s="304"/>
      <c r="AE26" s="304"/>
      <c r="AF26" s="304"/>
      <c r="AG26" s="304"/>
      <c r="AH26" s="304"/>
      <c r="AI26" s="304"/>
      <c r="AJ26" s="304"/>
      <c r="AK26" s="304"/>
      <c r="AL26" s="304"/>
      <c r="AM26" s="304"/>
      <c r="AN26" s="304"/>
      <c r="AO26" s="304"/>
      <c r="AP26" s="304"/>
      <c r="AQ26" s="304"/>
      <c r="AR26" s="304"/>
      <c r="AS26" s="304"/>
      <c r="AT26" s="304"/>
      <c r="AU26" s="304"/>
      <c r="AV26" s="304"/>
      <c r="AW26" s="304"/>
      <c r="AX26" s="304"/>
      <c r="AY26" s="304"/>
      <c r="AZ26" s="304"/>
      <c r="BA26" s="304"/>
      <c r="BB26" s="304"/>
      <c r="BC26" s="304"/>
      <c r="BD26" s="304"/>
      <c r="BE26" s="304"/>
      <c r="BF26" s="304"/>
      <c r="BG26" s="304"/>
      <c r="BH26" s="304"/>
      <c r="BI26" s="304"/>
      <c r="BJ26" s="304"/>
      <c r="BK26" s="304"/>
      <c r="BL26" s="304"/>
      <c r="BM26" s="304"/>
      <c r="BN26" s="304"/>
      <c r="BO26" s="304"/>
      <c r="BP26" s="304"/>
      <c r="BQ26" s="304"/>
      <c r="BR26" s="304"/>
      <c r="BS26" s="304"/>
      <c r="BT26" s="304"/>
      <c r="BU26" s="304"/>
      <c r="BV26" s="305"/>
      <c r="BW26" s="306">
        <v>0</v>
      </c>
      <c r="BX26" s="306">
        <v>0</v>
      </c>
      <c r="BY26" s="306">
        <v>0</v>
      </c>
      <c r="BZ26" s="306">
        <v>0</v>
      </c>
      <c r="CA26" s="306">
        <f>BY6*0.9</f>
        <v>0.315</v>
      </c>
      <c r="CB26" s="306">
        <f t="shared" ref="CB26:CE26" si="5">BZ6*0.9</f>
        <v>0.58500000000000008</v>
      </c>
      <c r="CC26" s="306">
        <f t="shared" si="5"/>
        <v>0.72000000000000008</v>
      </c>
      <c r="CD26" s="306">
        <f t="shared" si="5"/>
        <v>0.81</v>
      </c>
      <c r="CE26" s="306">
        <f t="shared" si="5"/>
        <v>0.85499999999999998</v>
      </c>
      <c r="CF26" s="306">
        <v>0.88</v>
      </c>
      <c r="CG26" s="306">
        <v>0.9</v>
      </c>
      <c r="CH26" s="306">
        <v>0.9</v>
      </c>
      <c r="CI26" s="306">
        <v>0.9</v>
      </c>
      <c r="CJ26" s="306">
        <v>0.9</v>
      </c>
    </row>
    <row r="27" spans="2:88" hidden="1" outlineLevel="1">
      <c r="B27" s="303" t="s">
        <v>59</v>
      </c>
      <c r="C27" s="304"/>
      <c r="D27" s="304"/>
      <c r="E27" s="304"/>
      <c r="F27" s="304"/>
      <c r="G27" s="304"/>
      <c r="H27" s="304"/>
      <c r="I27" s="304"/>
      <c r="J27" s="304"/>
      <c r="K27" s="304"/>
      <c r="L27" s="304"/>
      <c r="M27" s="304"/>
      <c r="N27" s="304"/>
      <c r="O27" s="304"/>
      <c r="P27" s="304"/>
      <c r="Q27" s="304"/>
      <c r="R27" s="304"/>
      <c r="S27" s="304"/>
      <c r="T27" s="304"/>
      <c r="U27" s="304"/>
      <c r="V27" s="304"/>
      <c r="W27" s="304"/>
      <c r="X27" s="304"/>
      <c r="Y27" s="304"/>
      <c r="Z27" s="304"/>
      <c r="AA27" s="304"/>
      <c r="AB27" s="304"/>
      <c r="AC27" s="304"/>
      <c r="AD27" s="304"/>
      <c r="AE27" s="304"/>
      <c r="AF27" s="304"/>
      <c r="AG27" s="304"/>
      <c r="AH27" s="304"/>
      <c r="AI27" s="304"/>
      <c r="AJ27" s="304"/>
      <c r="AK27" s="304"/>
      <c r="AL27" s="304"/>
      <c r="AM27" s="304"/>
      <c r="AN27" s="304"/>
      <c r="AO27" s="304"/>
      <c r="AP27" s="304"/>
      <c r="AQ27" s="304"/>
      <c r="AR27" s="304"/>
      <c r="AS27" s="304"/>
      <c r="AT27" s="304"/>
      <c r="AU27" s="304"/>
      <c r="AV27" s="304"/>
      <c r="AW27" s="304"/>
      <c r="AX27" s="304"/>
      <c r="AY27" s="304"/>
      <c r="AZ27" s="304"/>
      <c r="BA27" s="304"/>
      <c r="BB27" s="304"/>
      <c r="BC27" s="304"/>
      <c r="BD27" s="304"/>
      <c r="BE27" s="304"/>
      <c r="BF27" s="304"/>
      <c r="BG27" s="304"/>
      <c r="BH27" s="304"/>
      <c r="BI27" s="304"/>
      <c r="BJ27" s="304"/>
      <c r="BK27" s="304"/>
      <c r="BL27" s="304"/>
      <c r="BM27" s="304"/>
      <c r="BN27" s="304"/>
      <c r="BO27" s="304"/>
      <c r="BP27" s="304"/>
      <c r="BQ27" s="304"/>
      <c r="BR27" s="304"/>
      <c r="BS27" s="304"/>
      <c r="BT27" s="304"/>
      <c r="BU27" s="304"/>
      <c r="BV27" s="305"/>
      <c r="BW27" s="306">
        <v>0</v>
      </c>
      <c r="BX27" s="306">
        <v>0</v>
      </c>
      <c r="BY27" s="306">
        <v>0</v>
      </c>
      <c r="BZ27" s="306">
        <v>0</v>
      </c>
      <c r="CA27" s="306">
        <f>BY7*0.8</f>
        <v>8.0000000000000016E-2</v>
      </c>
      <c r="CB27" s="306">
        <f t="shared" ref="CB27:CH27" si="6">BZ7*0.8</f>
        <v>0.27999999999999997</v>
      </c>
      <c r="CC27" s="306">
        <f t="shared" si="6"/>
        <v>0.48</v>
      </c>
      <c r="CD27" s="306">
        <f t="shared" si="6"/>
        <v>0.60000000000000009</v>
      </c>
      <c r="CE27" s="306">
        <f t="shared" si="6"/>
        <v>0.68</v>
      </c>
      <c r="CF27" s="306">
        <f t="shared" si="6"/>
        <v>0.72000000000000008</v>
      </c>
      <c r="CG27" s="306">
        <f t="shared" si="6"/>
        <v>0.7400000000000001</v>
      </c>
      <c r="CH27" s="306">
        <f t="shared" si="6"/>
        <v>0.76</v>
      </c>
      <c r="CI27" s="306">
        <v>0.78</v>
      </c>
      <c r="CJ27" s="306">
        <v>0.8</v>
      </c>
    </row>
    <row r="28" spans="2:88" hidden="1" outlineLevel="1">
      <c r="B28" s="307" t="s">
        <v>60</v>
      </c>
      <c r="C28" s="304"/>
      <c r="D28" s="304"/>
      <c r="E28" s="304"/>
      <c r="F28" s="304"/>
      <c r="G28" s="304"/>
      <c r="H28" s="304"/>
      <c r="I28" s="304"/>
      <c r="J28" s="304"/>
      <c r="K28" s="304"/>
      <c r="L28" s="304"/>
      <c r="M28" s="304"/>
      <c r="N28" s="304"/>
      <c r="O28" s="304"/>
      <c r="P28" s="304"/>
      <c r="Q28" s="304"/>
      <c r="R28" s="304"/>
      <c r="S28" s="304"/>
      <c r="T28" s="304"/>
      <c r="U28" s="304"/>
      <c r="V28" s="304"/>
      <c r="W28" s="304"/>
      <c r="X28" s="304"/>
      <c r="Y28" s="304"/>
      <c r="Z28" s="304"/>
      <c r="AA28" s="304"/>
      <c r="AB28" s="304"/>
      <c r="AC28" s="304"/>
      <c r="AD28" s="304"/>
      <c r="AE28" s="304"/>
      <c r="AF28" s="304"/>
      <c r="AG28" s="304"/>
      <c r="AH28" s="304"/>
      <c r="AI28" s="304"/>
      <c r="AJ28" s="304"/>
      <c r="AK28" s="304"/>
      <c r="AL28" s="304"/>
      <c r="AM28" s="304"/>
      <c r="AN28" s="304"/>
      <c r="AO28" s="304"/>
      <c r="AP28" s="304"/>
      <c r="AQ28" s="304"/>
      <c r="AR28" s="304"/>
      <c r="AS28" s="304"/>
      <c r="AT28" s="304"/>
      <c r="AU28" s="304"/>
      <c r="AV28" s="304"/>
      <c r="AW28" s="304"/>
      <c r="AX28" s="304"/>
      <c r="AY28" s="304"/>
      <c r="AZ28" s="304"/>
      <c r="BA28" s="304"/>
      <c r="BB28" s="304"/>
      <c r="BC28" s="304"/>
      <c r="BD28" s="304"/>
      <c r="BE28" s="304"/>
      <c r="BF28" s="304"/>
      <c r="BG28" s="304"/>
      <c r="BH28" s="304"/>
      <c r="BI28" s="304"/>
      <c r="BJ28" s="304"/>
      <c r="BK28" s="304"/>
      <c r="BL28" s="304"/>
      <c r="BM28" s="304"/>
      <c r="BN28" s="304"/>
      <c r="BO28" s="304"/>
      <c r="BP28" s="304"/>
      <c r="BQ28" s="304"/>
      <c r="BR28" s="304"/>
      <c r="BS28" s="304"/>
      <c r="BT28" s="304"/>
      <c r="BU28" s="304"/>
      <c r="BV28" s="305"/>
      <c r="BW28" s="306">
        <v>0</v>
      </c>
      <c r="BX28" s="306">
        <v>0</v>
      </c>
      <c r="BY28" s="306">
        <v>0</v>
      </c>
      <c r="BZ28" s="306">
        <v>0</v>
      </c>
      <c r="CA28" s="306">
        <f t="shared" ref="CA28:CJ28" si="7">BY8*0.75</f>
        <v>0</v>
      </c>
      <c r="CB28" s="306">
        <f t="shared" si="7"/>
        <v>0</v>
      </c>
      <c r="CC28" s="306">
        <f t="shared" si="7"/>
        <v>0</v>
      </c>
      <c r="CD28" s="306">
        <f t="shared" si="7"/>
        <v>0</v>
      </c>
      <c r="CE28" s="306">
        <f t="shared" si="7"/>
        <v>0</v>
      </c>
      <c r="CF28" s="306">
        <f t="shared" si="7"/>
        <v>0</v>
      </c>
      <c r="CG28" s="306">
        <f t="shared" si="7"/>
        <v>0</v>
      </c>
      <c r="CH28" s="306">
        <f t="shared" si="7"/>
        <v>0</v>
      </c>
      <c r="CI28" s="306">
        <f t="shared" si="7"/>
        <v>0</v>
      </c>
      <c r="CJ28" s="306">
        <f t="shared" si="7"/>
        <v>0</v>
      </c>
    </row>
    <row r="29" spans="2:88" hidden="1" outlineLevel="1">
      <c r="B29" s="308"/>
      <c r="C29" s="304"/>
      <c r="D29" s="304"/>
      <c r="E29" s="304"/>
      <c r="F29" s="304"/>
      <c r="G29" s="304"/>
      <c r="H29" s="304"/>
      <c r="I29" s="304"/>
      <c r="J29" s="304"/>
      <c r="K29" s="304"/>
      <c r="L29" s="304"/>
      <c r="M29" s="304"/>
      <c r="N29" s="304"/>
      <c r="O29" s="304"/>
      <c r="P29" s="304"/>
      <c r="Q29" s="304"/>
      <c r="R29" s="304"/>
      <c r="S29" s="304"/>
      <c r="T29" s="304"/>
      <c r="U29" s="304"/>
      <c r="V29" s="304"/>
      <c r="W29" s="304"/>
      <c r="X29" s="304"/>
      <c r="Y29" s="304"/>
      <c r="Z29" s="304"/>
      <c r="AA29" s="304"/>
      <c r="AB29" s="304"/>
      <c r="AC29" s="304"/>
      <c r="AD29" s="304"/>
      <c r="AE29" s="304"/>
      <c r="AF29" s="304"/>
      <c r="AG29" s="304"/>
      <c r="AH29" s="304"/>
      <c r="AI29" s="304"/>
      <c r="AJ29" s="304"/>
      <c r="AK29" s="304"/>
      <c r="AL29" s="304"/>
      <c r="AM29" s="304"/>
      <c r="AN29" s="304"/>
      <c r="AO29" s="304"/>
      <c r="AP29" s="304"/>
      <c r="AQ29" s="304"/>
      <c r="AR29" s="304"/>
      <c r="AS29" s="304"/>
      <c r="AT29" s="304"/>
      <c r="AU29" s="304"/>
      <c r="AV29" s="304"/>
      <c r="AW29" s="304"/>
      <c r="AX29" s="304"/>
      <c r="AY29" s="304"/>
      <c r="AZ29" s="304"/>
      <c r="BA29" s="304"/>
      <c r="BB29" s="304"/>
      <c r="BC29" s="304"/>
      <c r="BD29" s="304"/>
      <c r="BE29" s="304"/>
      <c r="BF29" s="304"/>
      <c r="BG29" s="304"/>
      <c r="BH29" s="304"/>
      <c r="BI29" s="304"/>
      <c r="BJ29" s="304"/>
      <c r="BK29" s="304"/>
      <c r="BL29" s="304"/>
      <c r="BM29" s="304"/>
      <c r="BN29" s="304"/>
      <c r="BO29" s="304"/>
      <c r="BP29" s="304"/>
      <c r="BQ29" s="304"/>
      <c r="BR29" s="304"/>
      <c r="BS29" s="304"/>
      <c r="BT29" s="304"/>
      <c r="BU29" s="304"/>
      <c r="BV29" s="309"/>
      <c r="BW29" s="309"/>
      <c r="BX29" s="305"/>
      <c r="BY29" s="305"/>
      <c r="BZ29" s="305"/>
      <c r="CA29" s="305"/>
      <c r="CB29" s="305"/>
      <c r="CC29" s="305"/>
      <c r="CD29" s="305"/>
      <c r="CE29" s="305"/>
      <c r="CF29" s="305"/>
      <c r="CG29" s="305"/>
      <c r="CH29" s="305"/>
      <c r="CI29" s="305"/>
      <c r="CJ29" s="305"/>
    </row>
    <row r="30" spans="2:88" hidden="1" outlineLevel="2">
      <c r="B30" s="300" t="s">
        <v>372</v>
      </c>
      <c r="C30" s="301">
        <v>1945</v>
      </c>
      <c r="D30" s="301">
        <v>1946</v>
      </c>
      <c r="E30" s="301">
        <v>1947</v>
      </c>
      <c r="F30" s="301">
        <v>1948</v>
      </c>
      <c r="G30" s="301">
        <v>1949</v>
      </c>
      <c r="H30" s="301">
        <v>1950</v>
      </c>
      <c r="I30" s="301">
        <v>1951</v>
      </c>
      <c r="J30" s="301">
        <v>1952</v>
      </c>
      <c r="K30" s="301">
        <v>1953</v>
      </c>
      <c r="L30" s="301">
        <v>1954</v>
      </c>
      <c r="M30" s="301">
        <v>1955</v>
      </c>
      <c r="N30" s="301">
        <v>1956</v>
      </c>
      <c r="O30" s="301">
        <v>1957</v>
      </c>
      <c r="P30" s="301">
        <v>1958</v>
      </c>
      <c r="Q30" s="301">
        <v>1959</v>
      </c>
      <c r="R30" s="301">
        <v>1960</v>
      </c>
      <c r="S30" s="301">
        <v>1961</v>
      </c>
      <c r="T30" s="301">
        <v>1962</v>
      </c>
      <c r="U30" s="301">
        <v>1963</v>
      </c>
      <c r="V30" s="301">
        <v>1964</v>
      </c>
      <c r="W30" s="301">
        <v>1965</v>
      </c>
      <c r="X30" s="301">
        <v>1966</v>
      </c>
      <c r="Y30" s="301">
        <v>1967</v>
      </c>
      <c r="Z30" s="301">
        <v>1968</v>
      </c>
      <c r="AA30" s="301">
        <v>1969</v>
      </c>
      <c r="AB30" s="301">
        <v>1970</v>
      </c>
      <c r="AC30" s="301">
        <v>1971</v>
      </c>
      <c r="AD30" s="301">
        <v>1972</v>
      </c>
      <c r="AE30" s="301">
        <v>1973</v>
      </c>
      <c r="AF30" s="301">
        <v>1974</v>
      </c>
      <c r="AG30" s="301">
        <v>1975</v>
      </c>
      <c r="AH30" s="301">
        <v>1976</v>
      </c>
      <c r="AI30" s="301">
        <v>1977</v>
      </c>
      <c r="AJ30" s="301">
        <v>1978</v>
      </c>
      <c r="AK30" s="301">
        <v>1979</v>
      </c>
      <c r="AL30" s="301">
        <v>1980</v>
      </c>
      <c r="AM30" s="301">
        <v>1981</v>
      </c>
      <c r="AN30" s="301">
        <v>1982</v>
      </c>
      <c r="AO30" s="301">
        <v>1983</v>
      </c>
      <c r="AP30" s="301">
        <v>1984</v>
      </c>
      <c r="AQ30" s="301">
        <v>1985</v>
      </c>
      <c r="AR30" s="301">
        <v>1986</v>
      </c>
      <c r="AS30" s="301">
        <v>1987</v>
      </c>
      <c r="AT30" s="301">
        <v>1988</v>
      </c>
      <c r="AU30" s="301">
        <v>1989</v>
      </c>
      <c r="AV30" s="301">
        <v>1990</v>
      </c>
      <c r="AW30" s="301">
        <v>1991</v>
      </c>
      <c r="AX30" s="301">
        <v>1992</v>
      </c>
      <c r="AY30" s="301">
        <v>1993</v>
      </c>
      <c r="AZ30" s="301">
        <v>1994</v>
      </c>
      <c r="BA30" s="301">
        <v>1995</v>
      </c>
      <c r="BB30" s="301">
        <v>1996</v>
      </c>
      <c r="BC30" s="301">
        <v>1997</v>
      </c>
      <c r="BD30" s="301">
        <v>1998</v>
      </c>
      <c r="BE30" s="301">
        <v>1999</v>
      </c>
      <c r="BF30" s="301">
        <v>2000</v>
      </c>
      <c r="BG30" s="301">
        <v>2001</v>
      </c>
      <c r="BH30" s="301">
        <v>2002</v>
      </c>
      <c r="BI30" s="301">
        <v>2003</v>
      </c>
      <c r="BJ30" s="301">
        <v>2004</v>
      </c>
      <c r="BK30" s="301">
        <v>2005</v>
      </c>
      <c r="BL30" s="301">
        <v>2006</v>
      </c>
      <c r="BM30" s="301">
        <v>2007</v>
      </c>
      <c r="BN30" s="301">
        <v>2008</v>
      </c>
      <c r="BO30" s="301">
        <v>2009</v>
      </c>
      <c r="BP30" s="301">
        <v>2010</v>
      </c>
      <c r="BQ30" s="301">
        <v>2011</v>
      </c>
      <c r="BR30" s="301">
        <v>2012</v>
      </c>
      <c r="BS30" s="301">
        <v>2013</v>
      </c>
      <c r="BT30" s="301">
        <v>2014</v>
      </c>
      <c r="BU30" s="301">
        <v>2015</v>
      </c>
      <c r="BV30" s="301">
        <v>2016</v>
      </c>
      <c r="BW30" s="301">
        <v>2017</v>
      </c>
      <c r="BX30" s="301">
        <v>2018</v>
      </c>
      <c r="BY30" s="301">
        <v>2019</v>
      </c>
      <c r="BZ30" s="301">
        <v>2020</v>
      </c>
      <c r="CA30" s="301">
        <v>2021</v>
      </c>
      <c r="CB30" s="301">
        <v>2022</v>
      </c>
      <c r="CC30" s="301">
        <v>2023</v>
      </c>
      <c r="CD30" s="301">
        <v>2024</v>
      </c>
      <c r="CE30" s="301">
        <v>2025</v>
      </c>
      <c r="CF30" s="301">
        <v>2026</v>
      </c>
      <c r="CG30" s="301">
        <v>2027</v>
      </c>
      <c r="CH30" s="301">
        <v>2028</v>
      </c>
      <c r="CI30" s="301">
        <v>2029</v>
      </c>
      <c r="CJ30" s="302">
        <v>2030</v>
      </c>
    </row>
    <row r="31" spans="2:88" hidden="1" outlineLevel="2">
      <c r="B31" s="303" t="s">
        <v>58</v>
      </c>
      <c r="C31" s="304"/>
      <c r="D31" s="304"/>
      <c r="E31" s="304"/>
      <c r="F31" s="304"/>
      <c r="G31" s="304"/>
      <c r="H31" s="304"/>
      <c r="I31" s="304"/>
      <c r="J31" s="304"/>
      <c r="K31" s="304"/>
      <c r="L31" s="304"/>
      <c r="M31" s="304"/>
      <c r="N31" s="304"/>
      <c r="O31" s="304"/>
      <c r="P31" s="304"/>
      <c r="Q31" s="304"/>
      <c r="R31" s="304"/>
      <c r="S31" s="304"/>
      <c r="T31" s="304"/>
      <c r="U31" s="304"/>
      <c r="V31" s="304"/>
      <c r="W31" s="304"/>
      <c r="X31" s="304"/>
      <c r="Y31" s="304"/>
      <c r="Z31" s="304"/>
      <c r="AA31" s="304"/>
      <c r="AB31" s="304"/>
      <c r="AC31" s="304"/>
      <c r="AD31" s="304"/>
      <c r="AE31" s="304"/>
      <c r="AF31" s="304"/>
      <c r="AG31" s="304"/>
      <c r="AH31" s="304"/>
      <c r="AI31" s="304"/>
      <c r="AJ31" s="304"/>
      <c r="AK31" s="304"/>
      <c r="AL31" s="304"/>
      <c r="AM31" s="304"/>
      <c r="AN31" s="304"/>
      <c r="AO31" s="304"/>
      <c r="AP31" s="304"/>
      <c r="AQ31" s="304"/>
      <c r="AR31" s="304"/>
      <c r="AS31" s="304"/>
      <c r="AT31" s="304"/>
      <c r="AU31" s="304"/>
      <c r="AV31" s="304"/>
      <c r="AW31" s="304"/>
      <c r="AX31" s="304"/>
      <c r="AY31" s="304"/>
      <c r="AZ31" s="304"/>
      <c r="BA31" s="304"/>
      <c r="BB31" s="304"/>
      <c r="BC31" s="304"/>
      <c r="BD31" s="304"/>
      <c r="BE31" s="304"/>
      <c r="BF31" s="304"/>
      <c r="BG31" s="304"/>
      <c r="BH31" s="304"/>
      <c r="BI31" s="304"/>
      <c r="BJ31" s="304"/>
      <c r="BK31" s="304"/>
      <c r="BL31" s="304"/>
      <c r="BM31" s="304"/>
      <c r="BN31" s="304"/>
      <c r="BO31" s="304"/>
      <c r="BP31" s="304"/>
      <c r="BQ31" s="304"/>
      <c r="BR31" s="304"/>
      <c r="BS31" s="304"/>
      <c r="BT31" s="304"/>
      <c r="BU31" s="304"/>
      <c r="BV31" s="305"/>
      <c r="BW31" s="306">
        <v>0</v>
      </c>
      <c r="BX31" s="306">
        <v>0</v>
      </c>
      <c r="BY31" s="306">
        <v>0</v>
      </c>
      <c r="BZ31" s="306">
        <v>0</v>
      </c>
      <c r="CA31" s="306">
        <v>0</v>
      </c>
      <c r="CB31" s="306">
        <v>0</v>
      </c>
      <c r="CC31" s="306">
        <v>0</v>
      </c>
      <c r="CD31" s="306">
        <v>0</v>
      </c>
      <c r="CE31" s="306">
        <v>0</v>
      </c>
      <c r="CF31" s="306">
        <v>0</v>
      </c>
      <c r="CG31" s="306">
        <v>0</v>
      </c>
      <c r="CH31" s="306">
        <v>0</v>
      </c>
      <c r="CI31" s="306">
        <v>0</v>
      </c>
      <c r="CJ31" s="306">
        <v>0</v>
      </c>
    </row>
    <row r="32" spans="2:88" hidden="1" outlineLevel="2">
      <c r="B32" s="303" t="s">
        <v>59</v>
      </c>
      <c r="C32" s="304"/>
      <c r="D32" s="304"/>
      <c r="E32" s="304"/>
      <c r="F32" s="304"/>
      <c r="G32" s="304"/>
      <c r="H32" s="304"/>
      <c r="I32" s="304"/>
      <c r="J32" s="304"/>
      <c r="K32" s="304"/>
      <c r="L32" s="304"/>
      <c r="M32" s="304"/>
      <c r="N32" s="304"/>
      <c r="O32" s="304"/>
      <c r="P32" s="304"/>
      <c r="Q32" s="304"/>
      <c r="R32" s="304"/>
      <c r="S32" s="304"/>
      <c r="T32" s="304"/>
      <c r="U32" s="304"/>
      <c r="V32" s="304"/>
      <c r="W32" s="304"/>
      <c r="X32" s="304"/>
      <c r="Y32" s="304"/>
      <c r="Z32" s="304"/>
      <c r="AA32" s="304"/>
      <c r="AB32" s="304"/>
      <c r="AC32" s="304"/>
      <c r="AD32" s="304"/>
      <c r="AE32" s="304"/>
      <c r="AF32" s="304"/>
      <c r="AG32" s="304"/>
      <c r="AH32" s="304"/>
      <c r="AI32" s="304"/>
      <c r="AJ32" s="304"/>
      <c r="AK32" s="304"/>
      <c r="AL32" s="304"/>
      <c r="AM32" s="304"/>
      <c r="AN32" s="304"/>
      <c r="AO32" s="304"/>
      <c r="AP32" s="304"/>
      <c r="AQ32" s="304"/>
      <c r="AR32" s="304"/>
      <c r="AS32" s="304"/>
      <c r="AT32" s="304"/>
      <c r="AU32" s="304"/>
      <c r="AV32" s="304"/>
      <c r="AW32" s="304"/>
      <c r="AX32" s="304"/>
      <c r="AY32" s="304"/>
      <c r="AZ32" s="304"/>
      <c r="BA32" s="304"/>
      <c r="BB32" s="304"/>
      <c r="BC32" s="304"/>
      <c r="BD32" s="304"/>
      <c r="BE32" s="304"/>
      <c r="BF32" s="304"/>
      <c r="BG32" s="304"/>
      <c r="BH32" s="304"/>
      <c r="BI32" s="304"/>
      <c r="BJ32" s="304"/>
      <c r="BK32" s="304"/>
      <c r="BL32" s="304"/>
      <c r="BM32" s="304"/>
      <c r="BN32" s="304"/>
      <c r="BO32" s="304"/>
      <c r="BP32" s="304"/>
      <c r="BQ32" s="304"/>
      <c r="BR32" s="304"/>
      <c r="BS32" s="304"/>
      <c r="BT32" s="304"/>
      <c r="BU32" s="304"/>
      <c r="BV32" s="305"/>
      <c r="BW32" s="306">
        <v>0</v>
      </c>
      <c r="BX32" s="306">
        <v>0</v>
      </c>
      <c r="BY32" s="306">
        <v>0</v>
      </c>
      <c r="BZ32" s="306">
        <v>0</v>
      </c>
      <c r="CA32" s="306">
        <v>0</v>
      </c>
      <c r="CB32" s="306">
        <v>0</v>
      </c>
      <c r="CC32" s="306">
        <v>0</v>
      </c>
      <c r="CD32" s="306">
        <v>0</v>
      </c>
      <c r="CE32" s="306">
        <v>0</v>
      </c>
      <c r="CF32" s="306">
        <v>0</v>
      </c>
      <c r="CG32" s="306">
        <v>0</v>
      </c>
      <c r="CH32" s="306">
        <v>0</v>
      </c>
      <c r="CI32" s="306">
        <v>0</v>
      </c>
      <c r="CJ32" s="306">
        <v>0</v>
      </c>
    </row>
    <row r="33" spans="2:88" hidden="1" outlineLevel="2">
      <c r="B33" s="307" t="s">
        <v>60</v>
      </c>
      <c r="C33" s="304"/>
      <c r="D33" s="304"/>
      <c r="E33" s="304"/>
      <c r="F33" s="304"/>
      <c r="G33" s="304"/>
      <c r="H33" s="304"/>
      <c r="I33" s="304"/>
      <c r="J33" s="304"/>
      <c r="K33" s="304"/>
      <c r="L33" s="304"/>
      <c r="M33" s="304"/>
      <c r="N33" s="304"/>
      <c r="O33" s="304"/>
      <c r="P33" s="304"/>
      <c r="Q33" s="304"/>
      <c r="R33" s="304"/>
      <c r="S33" s="304"/>
      <c r="T33" s="304"/>
      <c r="U33" s="304"/>
      <c r="V33" s="304"/>
      <c r="W33" s="304"/>
      <c r="X33" s="304"/>
      <c r="Y33" s="304"/>
      <c r="Z33" s="304"/>
      <c r="AA33" s="304"/>
      <c r="AB33" s="304"/>
      <c r="AC33" s="304"/>
      <c r="AD33" s="304"/>
      <c r="AE33" s="304"/>
      <c r="AF33" s="304"/>
      <c r="AG33" s="304"/>
      <c r="AH33" s="304"/>
      <c r="AI33" s="304"/>
      <c r="AJ33" s="304"/>
      <c r="AK33" s="304"/>
      <c r="AL33" s="304"/>
      <c r="AM33" s="304"/>
      <c r="AN33" s="304"/>
      <c r="AO33" s="304"/>
      <c r="AP33" s="304"/>
      <c r="AQ33" s="304"/>
      <c r="AR33" s="304"/>
      <c r="AS33" s="304"/>
      <c r="AT33" s="304"/>
      <c r="AU33" s="304"/>
      <c r="AV33" s="304"/>
      <c r="AW33" s="304"/>
      <c r="AX33" s="304"/>
      <c r="AY33" s="304"/>
      <c r="AZ33" s="304"/>
      <c r="BA33" s="304"/>
      <c r="BB33" s="304"/>
      <c r="BC33" s="304"/>
      <c r="BD33" s="304"/>
      <c r="BE33" s="304"/>
      <c r="BF33" s="304"/>
      <c r="BG33" s="304"/>
      <c r="BH33" s="304"/>
      <c r="BI33" s="304"/>
      <c r="BJ33" s="304"/>
      <c r="BK33" s="304"/>
      <c r="BL33" s="304"/>
      <c r="BM33" s="304"/>
      <c r="BN33" s="304"/>
      <c r="BO33" s="304"/>
      <c r="BP33" s="304"/>
      <c r="BQ33" s="304"/>
      <c r="BR33" s="304"/>
      <c r="BS33" s="304"/>
      <c r="BT33" s="304"/>
      <c r="BU33" s="304"/>
      <c r="BV33" s="305"/>
      <c r="BW33" s="306">
        <v>0</v>
      </c>
      <c r="BX33" s="306">
        <v>0</v>
      </c>
      <c r="BY33" s="306">
        <v>0</v>
      </c>
      <c r="BZ33" s="306">
        <v>0</v>
      </c>
      <c r="CA33" s="306">
        <v>0</v>
      </c>
      <c r="CB33" s="306">
        <v>0</v>
      </c>
      <c r="CC33" s="306">
        <v>0</v>
      </c>
      <c r="CD33" s="306">
        <v>0</v>
      </c>
      <c r="CE33" s="306">
        <v>0</v>
      </c>
      <c r="CF33" s="306">
        <v>0</v>
      </c>
      <c r="CG33" s="306">
        <v>0</v>
      </c>
      <c r="CH33" s="306">
        <v>0</v>
      </c>
      <c r="CI33" s="306">
        <v>0</v>
      </c>
      <c r="CJ33" s="306">
        <v>0</v>
      </c>
    </row>
    <row r="34" spans="2:88" hidden="1" outlineLevel="2">
      <c r="B34" s="308"/>
      <c r="C34" s="304"/>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4"/>
      <c r="AF34" s="304"/>
      <c r="AG34" s="304"/>
      <c r="AH34" s="304"/>
      <c r="AI34" s="304"/>
      <c r="AJ34" s="304"/>
      <c r="AK34" s="304"/>
      <c r="AL34" s="304"/>
      <c r="AM34" s="304"/>
      <c r="AN34" s="304"/>
      <c r="AO34" s="304"/>
      <c r="AP34" s="304"/>
      <c r="AQ34" s="304"/>
      <c r="AR34" s="304"/>
      <c r="AS34" s="304"/>
      <c r="AT34" s="304"/>
      <c r="AU34" s="304"/>
      <c r="AV34" s="304"/>
      <c r="AW34" s="304"/>
      <c r="AX34" s="304"/>
      <c r="AY34" s="304"/>
      <c r="AZ34" s="304"/>
      <c r="BA34" s="304"/>
      <c r="BB34" s="304"/>
      <c r="BC34" s="304"/>
      <c r="BD34" s="304"/>
      <c r="BE34" s="304"/>
      <c r="BF34" s="304"/>
      <c r="BG34" s="304"/>
      <c r="BH34" s="304"/>
      <c r="BI34" s="304"/>
      <c r="BJ34" s="304"/>
      <c r="BK34" s="304"/>
      <c r="BL34" s="304"/>
      <c r="BM34" s="304"/>
      <c r="BN34" s="304"/>
      <c r="BO34" s="304"/>
      <c r="BP34" s="304"/>
      <c r="BQ34" s="304"/>
      <c r="BR34" s="304"/>
      <c r="BS34" s="304"/>
      <c r="BT34" s="304"/>
      <c r="BU34" s="304"/>
      <c r="BV34" s="309"/>
      <c r="BW34" s="309"/>
      <c r="BX34" s="305"/>
      <c r="BY34" s="305"/>
      <c r="BZ34" s="305"/>
      <c r="CA34" s="305"/>
      <c r="CB34" s="305"/>
      <c r="CC34" s="305"/>
      <c r="CD34" s="305"/>
      <c r="CE34" s="305"/>
      <c r="CF34" s="305"/>
      <c r="CG34" s="305"/>
      <c r="CH34" s="305"/>
      <c r="CI34" s="305"/>
      <c r="CJ34" s="305"/>
    </row>
    <row r="35" spans="2:88" hidden="1" outlineLevel="1" collapsed="1">
      <c r="B35" s="300" t="s">
        <v>384</v>
      </c>
      <c r="C35" s="301">
        <v>1945</v>
      </c>
      <c r="D35" s="301">
        <v>1946</v>
      </c>
      <c r="E35" s="301">
        <v>1947</v>
      </c>
      <c r="F35" s="301">
        <v>1948</v>
      </c>
      <c r="G35" s="301">
        <v>1949</v>
      </c>
      <c r="H35" s="301">
        <v>1950</v>
      </c>
      <c r="I35" s="301">
        <v>1951</v>
      </c>
      <c r="J35" s="301">
        <v>1952</v>
      </c>
      <c r="K35" s="301">
        <v>1953</v>
      </c>
      <c r="L35" s="301">
        <v>1954</v>
      </c>
      <c r="M35" s="301">
        <v>1955</v>
      </c>
      <c r="N35" s="301">
        <v>1956</v>
      </c>
      <c r="O35" s="301">
        <v>1957</v>
      </c>
      <c r="P35" s="301">
        <v>1958</v>
      </c>
      <c r="Q35" s="301">
        <v>1959</v>
      </c>
      <c r="R35" s="301">
        <v>1960</v>
      </c>
      <c r="S35" s="301">
        <v>1961</v>
      </c>
      <c r="T35" s="301">
        <v>1962</v>
      </c>
      <c r="U35" s="301">
        <v>1963</v>
      </c>
      <c r="V35" s="301">
        <v>1964</v>
      </c>
      <c r="W35" s="301">
        <v>1965</v>
      </c>
      <c r="X35" s="301">
        <v>1966</v>
      </c>
      <c r="Y35" s="301">
        <v>1967</v>
      </c>
      <c r="Z35" s="301">
        <v>1968</v>
      </c>
      <c r="AA35" s="301">
        <v>1969</v>
      </c>
      <c r="AB35" s="301">
        <v>1970</v>
      </c>
      <c r="AC35" s="301">
        <v>1971</v>
      </c>
      <c r="AD35" s="301">
        <v>1972</v>
      </c>
      <c r="AE35" s="301">
        <v>1973</v>
      </c>
      <c r="AF35" s="301">
        <v>1974</v>
      </c>
      <c r="AG35" s="301">
        <v>1975</v>
      </c>
      <c r="AH35" s="301">
        <v>1976</v>
      </c>
      <c r="AI35" s="301">
        <v>1977</v>
      </c>
      <c r="AJ35" s="301">
        <v>1978</v>
      </c>
      <c r="AK35" s="301">
        <v>1979</v>
      </c>
      <c r="AL35" s="301">
        <v>1980</v>
      </c>
      <c r="AM35" s="301">
        <v>1981</v>
      </c>
      <c r="AN35" s="301">
        <v>1982</v>
      </c>
      <c r="AO35" s="301">
        <v>1983</v>
      </c>
      <c r="AP35" s="301">
        <v>1984</v>
      </c>
      <c r="AQ35" s="301">
        <v>1985</v>
      </c>
      <c r="AR35" s="301">
        <v>1986</v>
      </c>
      <c r="AS35" s="301">
        <v>1987</v>
      </c>
      <c r="AT35" s="301">
        <v>1988</v>
      </c>
      <c r="AU35" s="301">
        <v>1989</v>
      </c>
      <c r="AV35" s="301">
        <v>1990</v>
      </c>
      <c r="AW35" s="301">
        <v>1991</v>
      </c>
      <c r="AX35" s="301">
        <v>1992</v>
      </c>
      <c r="AY35" s="301">
        <v>1993</v>
      </c>
      <c r="AZ35" s="301">
        <v>1994</v>
      </c>
      <c r="BA35" s="301">
        <v>1995</v>
      </c>
      <c r="BB35" s="301">
        <v>1996</v>
      </c>
      <c r="BC35" s="301">
        <v>1997</v>
      </c>
      <c r="BD35" s="301">
        <v>1998</v>
      </c>
      <c r="BE35" s="301">
        <v>1999</v>
      </c>
      <c r="BF35" s="301">
        <v>2000</v>
      </c>
      <c r="BG35" s="301">
        <v>2001</v>
      </c>
      <c r="BH35" s="301">
        <v>2002</v>
      </c>
      <c r="BI35" s="301">
        <v>2003</v>
      </c>
      <c r="BJ35" s="301">
        <v>2004</v>
      </c>
      <c r="BK35" s="301">
        <v>2005</v>
      </c>
      <c r="BL35" s="301">
        <v>2006</v>
      </c>
      <c r="BM35" s="301">
        <v>2007</v>
      </c>
      <c r="BN35" s="301">
        <v>2008</v>
      </c>
      <c r="BO35" s="301">
        <v>2009</v>
      </c>
      <c r="BP35" s="301">
        <v>2010</v>
      </c>
      <c r="BQ35" s="301">
        <v>2011</v>
      </c>
      <c r="BR35" s="301">
        <v>2012</v>
      </c>
      <c r="BS35" s="301">
        <v>2013</v>
      </c>
      <c r="BT35" s="301">
        <v>2014</v>
      </c>
      <c r="BU35" s="301">
        <v>2015</v>
      </c>
      <c r="BV35" s="301">
        <v>2016</v>
      </c>
      <c r="BW35" s="301">
        <v>2017</v>
      </c>
      <c r="BX35" s="301">
        <v>2018</v>
      </c>
      <c r="BY35" s="301">
        <v>2019</v>
      </c>
      <c r="BZ35" s="301">
        <v>2020</v>
      </c>
      <c r="CA35" s="301">
        <v>2021</v>
      </c>
      <c r="CB35" s="301">
        <v>2022</v>
      </c>
      <c r="CC35" s="301">
        <v>2023</v>
      </c>
      <c r="CD35" s="301">
        <v>2024</v>
      </c>
      <c r="CE35" s="301">
        <v>2025</v>
      </c>
      <c r="CF35" s="301">
        <v>2026</v>
      </c>
      <c r="CG35" s="301">
        <v>2027</v>
      </c>
      <c r="CH35" s="301">
        <v>2028</v>
      </c>
      <c r="CI35" s="301">
        <v>2029</v>
      </c>
      <c r="CJ35" s="302">
        <v>2030</v>
      </c>
    </row>
    <row r="36" spans="2:88" hidden="1" outlineLevel="1">
      <c r="B36" s="303" t="s">
        <v>58</v>
      </c>
      <c r="C36" s="304"/>
      <c r="D36" s="304"/>
      <c r="E36" s="304"/>
      <c r="F36" s="304"/>
      <c r="G36" s="304"/>
      <c r="H36" s="304"/>
      <c r="I36" s="304"/>
      <c r="J36" s="304"/>
      <c r="K36" s="304"/>
      <c r="L36" s="304"/>
      <c r="M36" s="304"/>
      <c r="N36" s="304"/>
      <c r="O36" s="304"/>
      <c r="P36" s="304"/>
      <c r="Q36" s="304"/>
      <c r="R36" s="304"/>
      <c r="S36" s="304"/>
      <c r="T36" s="304"/>
      <c r="U36" s="304"/>
      <c r="V36" s="304"/>
      <c r="W36" s="304"/>
      <c r="X36" s="304"/>
      <c r="Y36" s="304"/>
      <c r="Z36" s="304"/>
      <c r="AA36" s="304"/>
      <c r="AB36" s="304"/>
      <c r="AC36" s="304"/>
      <c r="AD36" s="304"/>
      <c r="AE36" s="304"/>
      <c r="AF36" s="304"/>
      <c r="AG36" s="304"/>
      <c r="AH36" s="304"/>
      <c r="AI36" s="304"/>
      <c r="AJ36" s="304"/>
      <c r="AK36" s="304"/>
      <c r="AL36" s="304"/>
      <c r="AM36" s="304"/>
      <c r="AN36" s="304"/>
      <c r="AO36" s="304"/>
      <c r="AP36" s="304"/>
      <c r="AQ36" s="304"/>
      <c r="AR36" s="304"/>
      <c r="AS36" s="304"/>
      <c r="AT36" s="304"/>
      <c r="AU36" s="304"/>
      <c r="AV36" s="304"/>
      <c r="AW36" s="304"/>
      <c r="AX36" s="304"/>
      <c r="AY36" s="304"/>
      <c r="AZ36" s="304"/>
      <c r="BA36" s="304"/>
      <c r="BB36" s="304"/>
      <c r="BC36" s="304"/>
      <c r="BD36" s="304"/>
      <c r="BE36" s="304"/>
      <c r="BF36" s="304"/>
      <c r="BG36" s="304"/>
      <c r="BH36" s="304"/>
      <c r="BI36" s="304"/>
      <c r="BJ36" s="304"/>
      <c r="BK36" s="304"/>
      <c r="BL36" s="304"/>
      <c r="BM36" s="304"/>
      <c r="BN36" s="304"/>
      <c r="BO36" s="304"/>
      <c r="BP36" s="304"/>
      <c r="BQ36" s="304"/>
      <c r="BR36" s="304"/>
      <c r="BS36" s="304"/>
      <c r="BT36" s="304"/>
      <c r="BU36" s="304"/>
      <c r="BV36" s="305"/>
      <c r="BW36" s="306">
        <f>BW26*0.75</f>
        <v>0</v>
      </c>
      <c r="BX36" s="306">
        <f t="shared" ref="BX36:BY36" si="8">BX26*0.75</f>
        <v>0</v>
      </c>
      <c r="BY36" s="306">
        <f t="shared" si="8"/>
        <v>0</v>
      </c>
      <c r="BZ36" s="306">
        <f>BZ26*0.8</f>
        <v>0</v>
      </c>
      <c r="CA36" s="306">
        <f>CA26*0.85</f>
        <v>0.26774999999999999</v>
      </c>
      <c r="CB36" s="306">
        <f>CB26*0.9</f>
        <v>0.52650000000000008</v>
      </c>
      <c r="CC36" s="306">
        <f t="shared" ref="CC36:CF36" si="9">CC26*0.9</f>
        <v>0.64800000000000013</v>
      </c>
      <c r="CD36" s="306">
        <f t="shared" si="9"/>
        <v>0.72900000000000009</v>
      </c>
      <c r="CE36" s="306">
        <f t="shared" si="9"/>
        <v>0.76949999999999996</v>
      </c>
      <c r="CF36" s="306">
        <f t="shared" si="9"/>
        <v>0.79200000000000004</v>
      </c>
      <c r="CG36" s="306">
        <v>0.81</v>
      </c>
      <c r="CH36" s="306">
        <v>0.83</v>
      </c>
      <c r="CI36" s="306">
        <v>0.85</v>
      </c>
      <c r="CJ36" s="306">
        <v>0.87</v>
      </c>
    </row>
    <row r="37" spans="2:88" hidden="1" outlineLevel="1">
      <c r="B37" s="303" t="s">
        <v>59</v>
      </c>
      <c r="C37" s="304"/>
      <c r="D37" s="304"/>
      <c r="E37" s="304"/>
      <c r="F37" s="304"/>
      <c r="G37" s="304"/>
      <c r="H37" s="304"/>
      <c r="I37" s="304"/>
      <c r="J37" s="304"/>
      <c r="K37" s="304"/>
      <c r="L37" s="304"/>
      <c r="M37" s="304"/>
      <c r="N37" s="304"/>
      <c r="O37" s="304"/>
      <c r="P37" s="304"/>
      <c r="Q37" s="304"/>
      <c r="R37" s="304"/>
      <c r="S37" s="304"/>
      <c r="T37" s="304"/>
      <c r="U37" s="304"/>
      <c r="V37" s="304"/>
      <c r="W37" s="304"/>
      <c r="X37" s="304"/>
      <c r="Y37" s="304"/>
      <c r="Z37" s="304"/>
      <c r="AA37" s="304"/>
      <c r="AB37" s="304"/>
      <c r="AC37" s="304"/>
      <c r="AD37" s="304"/>
      <c r="AE37" s="304"/>
      <c r="AF37" s="304"/>
      <c r="AG37" s="304"/>
      <c r="AH37" s="304"/>
      <c r="AI37" s="304"/>
      <c r="AJ37" s="304"/>
      <c r="AK37" s="304"/>
      <c r="AL37" s="304"/>
      <c r="AM37" s="304"/>
      <c r="AN37" s="304"/>
      <c r="AO37" s="304"/>
      <c r="AP37" s="304"/>
      <c r="AQ37" s="304"/>
      <c r="AR37" s="304"/>
      <c r="AS37" s="304"/>
      <c r="AT37" s="304"/>
      <c r="AU37" s="304"/>
      <c r="AV37" s="304"/>
      <c r="AW37" s="304"/>
      <c r="AX37" s="304"/>
      <c r="AY37" s="304"/>
      <c r="AZ37" s="304"/>
      <c r="BA37" s="304"/>
      <c r="BB37" s="304"/>
      <c r="BC37" s="304"/>
      <c r="BD37" s="304"/>
      <c r="BE37" s="304"/>
      <c r="BF37" s="304"/>
      <c r="BG37" s="304"/>
      <c r="BH37" s="304"/>
      <c r="BI37" s="304"/>
      <c r="BJ37" s="304"/>
      <c r="BK37" s="304"/>
      <c r="BL37" s="304"/>
      <c r="BM37" s="304"/>
      <c r="BN37" s="304"/>
      <c r="BO37" s="304"/>
      <c r="BP37" s="304"/>
      <c r="BQ37" s="304"/>
      <c r="BR37" s="304"/>
      <c r="BS37" s="304"/>
      <c r="BT37" s="304"/>
      <c r="BU37" s="304"/>
      <c r="BV37" s="305"/>
      <c r="BW37" s="306">
        <f t="shared" ref="BW37:BY37" si="10">BW27*0.75</f>
        <v>0</v>
      </c>
      <c r="BX37" s="306">
        <f t="shared" si="10"/>
        <v>0</v>
      </c>
      <c r="BY37" s="306">
        <f t="shared" si="10"/>
        <v>0</v>
      </c>
      <c r="BZ37" s="306">
        <f>BZ27*0.8</f>
        <v>0</v>
      </c>
      <c r="CA37" s="306">
        <f>CA27*0.85</f>
        <v>6.8000000000000005E-2</v>
      </c>
      <c r="CB37" s="306">
        <f t="shared" ref="CB37:CJ37" si="11">CB27*0.85</f>
        <v>0.23799999999999996</v>
      </c>
      <c r="CC37" s="306">
        <f t="shared" si="11"/>
        <v>0.40799999999999997</v>
      </c>
      <c r="CD37" s="306">
        <f t="shared" si="11"/>
        <v>0.51</v>
      </c>
      <c r="CE37" s="306">
        <f t="shared" si="11"/>
        <v>0.57800000000000007</v>
      </c>
      <c r="CF37" s="306">
        <f t="shared" si="11"/>
        <v>0.6120000000000001</v>
      </c>
      <c r="CG37" s="306">
        <f t="shared" si="11"/>
        <v>0.62900000000000011</v>
      </c>
      <c r="CH37" s="306">
        <f t="shared" si="11"/>
        <v>0.64600000000000002</v>
      </c>
      <c r="CI37" s="306">
        <f t="shared" si="11"/>
        <v>0.66300000000000003</v>
      </c>
      <c r="CJ37" s="306">
        <f t="shared" si="11"/>
        <v>0.68</v>
      </c>
    </row>
    <row r="38" spans="2:88" hidden="1" outlineLevel="1">
      <c r="B38" s="307" t="s">
        <v>60</v>
      </c>
      <c r="C38" s="304"/>
      <c r="D38" s="304"/>
      <c r="E38" s="304"/>
      <c r="F38" s="304"/>
      <c r="G38" s="304"/>
      <c r="H38" s="304"/>
      <c r="I38" s="304"/>
      <c r="J38" s="304"/>
      <c r="K38" s="304"/>
      <c r="L38" s="304"/>
      <c r="M38" s="304"/>
      <c r="N38" s="304"/>
      <c r="O38" s="304"/>
      <c r="P38" s="304"/>
      <c r="Q38" s="304"/>
      <c r="R38" s="304"/>
      <c r="S38" s="304"/>
      <c r="T38" s="304"/>
      <c r="U38" s="304"/>
      <c r="V38" s="304"/>
      <c r="W38" s="304"/>
      <c r="X38" s="304"/>
      <c r="Y38" s="304"/>
      <c r="Z38" s="304"/>
      <c r="AA38" s="304"/>
      <c r="AB38" s="304"/>
      <c r="AC38" s="304"/>
      <c r="AD38" s="304"/>
      <c r="AE38" s="304"/>
      <c r="AF38" s="304"/>
      <c r="AG38" s="304"/>
      <c r="AH38" s="304"/>
      <c r="AI38" s="304"/>
      <c r="AJ38" s="304"/>
      <c r="AK38" s="304"/>
      <c r="AL38" s="304"/>
      <c r="AM38" s="304"/>
      <c r="AN38" s="304"/>
      <c r="AO38" s="304"/>
      <c r="AP38" s="304"/>
      <c r="AQ38" s="304"/>
      <c r="AR38" s="304"/>
      <c r="AS38" s="304"/>
      <c r="AT38" s="304"/>
      <c r="AU38" s="304"/>
      <c r="AV38" s="304"/>
      <c r="AW38" s="304"/>
      <c r="AX38" s="304"/>
      <c r="AY38" s="304"/>
      <c r="AZ38" s="304"/>
      <c r="BA38" s="304"/>
      <c r="BB38" s="304"/>
      <c r="BC38" s="304"/>
      <c r="BD38" s="304"/>
      <c r="BE38" s="304"/>
      <c r="BF38" s="304"/>
      <c r="BG38" s="304"/>
      <c r="BH38" s="304"/>
      <c r="BI38" s="304"/>
      <c r="BJ38" s="304"/>
      <c r="BK38" s="304"/>
      <c r="BL38" s="304"/>
      <c r="BM38" s="304"/>
      <c r="BN38" s="304"/>
      <c r="BO38" s="304"/>
      <c r="BP38" s="304"/>
      <c r="BQ38" s="304"/>
      <c r="BR38" s="304"/>
      <c r="BS38" s="304"/>
      <c r="BT38" s="304"/>
      <c r="BU38" s="304"/>
      <c r="BV38" s="305"/>
      <c r="BW38" s="306">
        <f t="shared" ref="BW38:CJ38" si="12">BW28*0.75</f>
        <v>0</v>
      </c>
      <c r="BX38" s="306">
        <f t="shared" si="12"/>
        <v>0</v>
      </c>
      <c r="BY38" s="306">
        <f t="shared" si="12"/>
        <v>0</v>
      </c>
      <c r="BZ38" s="306">
        <f t="shared" ref="BZ38" si="13">BZ28*0.75</f>
        <v>0</v>
      </c>
      <c r="CA38" s="306">
        <f t="shared" si="12"/>
        <v>0</v>
      </c>
      <c r="CB38" s="306">
        <f t="shared" si="12"/>
        <v>0</v>
      </c>
      <c r="CC38" s="306">
        <f t="shared" si="12"/>
        <v>0</v>
      </c>
      <c r="CD38" s="306">
        <f t="shared" si="12"/>
        <v>0</v>
      </c>
      <c r="CE38" s="306">
        <f t="shared" si="12"/>
        <v>0</v>
      </c>
      <c r="CF38" s="306">
        <f t="shared" si="12"/>
        <v>0</v>
      </c>
      <c r="CG38" s="306">
        <f t="shared" si="12"/>
        <v>0</v>
      </c>
      <c r="CH38" s="306">
        <f t="shared" si="12"/>
        <v>0</v>
      </c>
      <c r="CI38" s="306">
        <f t="shared" si="12"/>
        <v>0</v>
      </c>
      <c r="CJ38" s="306">
        <f t="shared" si="12"/>
        <v>0</v>
      </c>
    </row>
    <row r="39" spans="2:88" hidden="1" outlineLevel="1"/>
    <row r="40" spans="2:88" hidden="1" outlineLevel="2">
      <c r="B40" s="300" t="s">
        <v>383</v>
      </c>
      <c r="C40" s="301">
        <v>1945</v>
      </c>
      <c r="D40" s="301">
        <v>1946</v>
      </c>
      <c r="E40" s="301">
        <v>1947</v>
      </c>
      <c r="F40" s="301">
        <v>1948</v>
      </c>
      <c r="G40" s="301">
        <v>1949</v>
      </c>
      <c r="H40" s="301">
        <v>1950</v>
      </c>
      <c r="I40" s="301">
        <v>1951</v>
      </c>
      <c r="J40" s="301">
        <v>1952</v>
      </c>
      <c r="K40" s="301">
        <v>1953</v>
      </c>
      <c r="L40" s="301">
        <v>1954</v>
      </c>
      <c r="M40" s="301">
        <v>1955</v>
      </c>
      <c r="N40" s="301">
        <v>1956</v>
      </c>
      <c r="O40" s="301">
        <v>1957</v>
      </c>
      <c r="P40" s="301">
        <v>1958</v>
      </c>
      <c r="Q40" s="301">
        <v>1959</v>
      </c>
      <c r="R40" s="301">
        <v>1960</v>
      </c>
      <c r="S40" s="301">
        <v>1961</v>
      </c>
      <c r="T40" s="301">
        <v>1962</v>
      </c>
      <c r="U40" s="301">
        <v>1963</v>
      </c>
      <c r="V40" s="301">
        <v>1964</v>
      </c>
      <c r="W40" s="301">
        <v>1965</v>
      </c>
      <c r="X40" s="301">
        <v>1966</v>
      </c>
      <c r="Y40" s="301">
        <v>1967</v>
      </c>
      <c r="Z40" s="301">
        <v>1968</v>
      </c>
      <c r="AA40" s="301">
        <v>1969</v>
      </c>
      <c r="AB40" s="301">
        <v>1970</v>
      </c>
      <c r="AC40" s="301">
        <v>1971</v>
      </c>
      <c r="AD40" s="301">
        <v>1972</v>
      </c>
      <c r="AE40" s="301">
        <v>1973</v>
      </c>
      <c r="AF40" s="301">
        <v>1974</v>
      </c>
      <c r="AG40" s="301">
        <v>1975</v>
      </c>
      <c r="AH40" s="301">
        <v>1976</v>
      </c>
      <c r="AI40" s="301">
        <v>1977</v>
      </c>
      <c r="AJ40" s="301">
        <v>1978</v>
      </c>
      <c r="AK40" s="301">
        <v>1979</v>
      </c>
      <c r="AL40" s="301">
        <v>1980</v>
      </c>
      <c r="AM40" s="301">
        <v>1981</v>
      </c>
      <c r="AN40" s="301">
        <v>1982</v>
      </c>
      <c r="AO40" s="301">
        <v>1983</v>
      </c>
      <c r="AP40" s="301">
        <v>1984</v>
      </c>
      <c r="AQ40" s="301">
        <v>1985</v>
      </c>
      <c r="AR40" s="301">
        <v>1986</v>
      </c>
      <c r="AS40" s="301">
        <v>1987</v>
      </c>
      <c r="AT40" s="301">
        <v>1988</v>
      </c>
      <c r="AU40" s="301">
        <v>1989</v>
      </c>
      <c r="AV40" s="301">
        <v>1990</v>
      </c>
      <c r="AW40" s="301">
        <v>1991</v>
      </c>
      <c r="AX40" s="301">
        <v>1992</v>
      </c>
      <c r="AY40" s="301">
        <v>1993</v>
      </c>
      <c r="AZ40" s="301">
        <v>1994</v>
      </c>
      <c r="BA40" s="301">
        <v>1995</v>
      </c>
      <c r="BB40" s="301">
        <v>1996</v>
      </c>
      <c r="BC40" s="301">
        <v>1997</v>
      </c>
      <c r="BD40" s="301">
        <v>1998</v>
      </c>
      <c r="BE40" s="301">
        <v>1999</v>
      </c>
      <c r="BF40" s="301">
        <v>2000</v>
      </c>
      <c r="BG40" s="301">
        <v>2001</v>
      </c>
      <c r="BH40" s="301">
        <v>2002</v>
      </c>
      <c r="BI40" s="301">
        <v>2003</v>
      </c>
      <c r="BJ40" s="301">
        <v>2004</v>
      </c>
      <c r="BK40" s="301">
        <v>2005</v>
      </c>
      <c r="BL40" s="301">
        <v>2006</v>
      </c>
      <c r="BM40" s="301">
        <v>2007</v>
      </c>
      <c r="BN40" s="301">
        <v>2008</v>
      </c>
      <c r="BO40" s="301">
        <v>2009</v>
      </c>
      <c r="BP40" s="301">
        <v>2010</v>
      </c>
      <c r="BQ40" s="301">
        <v>2011</v>
      </c>
      <c r="BR40" s="301">
        <v>2012</v>
      </c>
      <c r="BS40" s="301">
        <v>2013</v>
      </c>
      <c r="BT40" s="301">
        <v>2014</v>
      </c>
      <c r="BU40" s="301">
        <v>2015</v>
      </c>
      <c r="BV40" s="301">
        <v>2016</v>
      </c>
      <c r="BW40" s="301">
        <v>2017</v>
      </c>
      <c r="BX40" s="301">
        <v>2018</v>
      </c>
      <c r="BY40" s="301">
        <v>2019</v>
      </c>
      <c r="BZ40" s="301">
        <v>2020</v>
      </c>
      <c r="CA40" s="301">
        <v>2021</v>
      </c>
      <c r="CB40" s="301">
        <v>2022</v>
      </c>
      <c r="CC40" s="301">
        <v>2023</v>
      </c>
      <c r="CD40" s="301">
        <v>2024</v>
      </c>
      <c r="CE40" s="301">
        <v>2025</v>
      </c>
      <c r="CF40" s="301">
        <v>2026</v>
      </c>
      <c r="CG40" s="301">
        <v>2027</v>
      </c>
      <c r="CH40" s="301">
        <v>2028</v>
      </c>
      <c r="CI40" s="301">
        <v>2029</v>
      </c>
      <c r="CJ40" s="302">
        <v>2030</v>
      </c>
    </row>
    <row r="41" spans="2:88" hidden="1" outlineLevel="2">
      <c r="B41" s="303" t="s">
        <v>58</v>
      </c>
      <c r="C41" s="304"/>
      <c r="D41" s="304"/>
      <c r="E41" s="304"/>
      <c r="F41" s="304"/>
      <c r="G41" s="304"/>
      <c r="H41" s="304"/>
      <c r="I41" s="304"/>
      <c r="J41" s="304"/>
      <c r="K41" s="304"/>
      <c r="L41" s="304"/>
      <c r="M41" s="304"/>
      <c r="N41" s="304"/>
      <c r="O41" s="304"/>
      <c r="P41" s="304"/>
      <c r="Q41" s="304"/>
      <c r="R41" s="304"/>
      <c r="S41" s="304"/>
      <c r="T41" s="304"/>
      <c r="U41" s="304"/>
      <c r="V41" s="304"/>
      <c r="W41" s="304"/>
      <c r="X41" s="304"/>
      <c r="Y41" s="304"/>
      <c r="Z41" s="304"/>
      <c r="AA41" s="304"/>
      <c r="AB41" s="304"/>
      <c r="AC41" s="304"/>
      <c r="AD41" s="304"/>
      <c r="AE41" s="304"/>
      <c r="AF41" s="304"/>
      <c r="AG41" s="304"/>
      <c r="AH41" s="304"/>
      <c r="AI41" s="304"/>
      <c r="AJ41" s="304"/>
      <c r="AK41" s="304"/>
      <c r="AL41" s="304"/>
      <c r="AM41" s="304"/>
      <c r="AN41" s="304"/>
      <c r="AO41" s="304"/>
      <c r="AP41" s="304"/>
      <c r="AQ41" s="304"/>
      <c r="AR41" s="304"/>
      <c r="AS41" s="304"/>
      <c r="AT41" s="304"/>
      <c r="AU41" s="304"/>
      <c r="AV41" s="304"/>
      <c r="AW41" s="304"/>
      <c r="AX41" s="304"/>
      <c r="AY41" s="304"/>
      <c r="AZ41" s="304"/>
      <c r="BA41" s="304"/>
      <c r="BB41" s="304"/>
      <c r="BC41" s="304"/>
      <c r="BD41" s="304"/>
      <c r="BE41" s="304"/>
      <c r="BF41" s="304"/>
      <c r="BG41" s="304"/>
      <c r="BH41" s="304"/>
      <c r="BI41" s="304"/>
      <c r="BJ41" s="304"/>
      <c r="BK41" s="304"/>
      <c r="BL41" s="304"/>
      <c r="BM41" s="304"/>
      <c r="BN41" s="304"/>
      <c r="BO41" s="304"/>
      <c r="BP41" s="304"/>
      <c r="BQ41" s="304"/>
      <c r="BR41" s="304"/>
      <c r="BS41" s="304"/>
      <c r="BT41" s="304"/>
      <c r="BU41" s="304"/>
      <c r="BV41" s="305"/>
      <c r="BW41" s="306">
        <v>0</v>
      </c>
      <c r="BX41" s="306">
        <v>0</v>
      </c>
      <c r="BY41" s="306">
        <v>0</v>
      </c>
      <c r="BZ41" s="306">
        <v>0</v>
      </c>
      <c r="CA41" s="306">
        <v>0</v>
      </c>
      <c r="CB41" s="306">
        <v>0</v>
      </c>
      <c r="CC41" s="306">
        <v>0</v>
      </c>
      <c r="CD41" s="306">
        <v>0</v>
      </c>
      <c r="CE41" s="306">
        <v>0</v>
      </c>
      <c r="CF41" s="306">
        <v>0</v>
      </c>
      <c r="CG41" s="306">
        <v>0</v>
      </c>
      <c r="CH41" s="306">
        <v>0</v>
      </c>
      <c r="CI41" s="306">
        <v>0</v>
      </c>
      <c r="CJ41" s="306">
        <v>0</v>
      </c>
    </row>
    <row r="42" spans="2:88" hidden="1" outlineLevel="2">
      <c r="B42" s="303" t="s">
        <v>59</v>
      </c>
      <c r="C42" s="304"/>
      <c r="D42" s="304"/>
      <c r="E42" s="304"/>
      <c r="F42" s="304"/>
      <c r="G42" s="304"/>
      <c r="H42" s="304"/>
      <c r="I42" s="304"/>
      <c r="J42" s="304"/>
      <c r="K42" s="304"/>
      <c r="L42" s="304"/>
      <c r="M42" s="304"/>
      <c r="N42" s="304"/>
      <c r="O42" s="304"/>
      <c r="P42" s="304"/>
      <c r="Q42" s="304"/>
      <c r="R42" s="304"/>
      <c r="S42" s="304"/>
      <c r="T42" s="304"/>
      <c r="U42" s="304"/>
      <c r="V42" s="304"/>
      <c r="W42" s="304"/>
      <c r="X42" s="304"/>
      <c r="Y42" s="304"/>
      <c r="Z42" s="304"/>
      <c r="AA42" s="304"/>
      <c r="AB42" s="304"/>
      <c r="AC42" s="304"/>
      <c r="AD42" s="304"/>
      <c r="AE42" s="304"/>
      <c r="AF42" s="304"/>
      <c r="AG42" s="304"/>
      <c r="AH42" s="304"/>
      <c r="AI42" s="304"/>
      <c r="AJ42" s="304"/>
      <c r="AK42" s="304"/>
      <c r="AL42" s="304"/>
      <c r="AM42" s="304"/>
      <c r="AN42" s="304"/>
      <c r="AO42" s="304"/>
      <c r="AP42" s="304"/>
      <c r="AQ42" s="304"/>
      <c r="AR42" s="304"/>
      <c r="AS42" s="304"/>
      <c r="AT42" s="304"/>
      <c r="AU42" s="304"/>
      <c r="AV42" s="304"/>
      <c r="AW42" s="304"/>
      <c r="AX42" s="304"/>
      <c r="AY42" s="304"/>
      <c r="AZ42" s="304"/>
      <c r="BA42" s="304"/>
      <c r="BB42" s="304"/>
      <c r="BC42" s="304"/>
      <c r="BD42" s="304"/>
      <c r="BE42" s="304"/>
      <c r="BF42" s="304"/>
      <c r="BG42" s="304"/>
      <c r="BH42" s="304"/>
      <c r="BI42" s="304"/>
      <c r="BJ42" s="304"/>
      <c r="BK42" s="304"/>
      <c r="BL42" s="304"/>
      <c r="BM42" s="304"/>
      <c r="BN42" s="304"/>
      <c r="BO42" s="304"/>
      <c r="BP42" s="304"/>
      <c r="BQ42" s="304"/>
      <c r="BR42" s="304"/>
      <c r="BS42" s="304"/>
      <c r="BT42" s="304"/>
      <c r="BU42" s="304"/>
      <c r="BV42" s="305"/>
      <c r="BW42" s="306">
        <v>0</v>
      </c>
      <c r="BX42" s="306">
        <v>0</v>
      </c>
      <c r="BY42" s="306">
        <v>0</v>
      </c>
      <c r="BZ42" s="306">
        <v>0</v>
      </c>
      <c r="CA42" s="306">
        <v>0</v>
      </c>
      <c r="CB42" s="306">
        <v>0</v>
      </c>
      <c r="CC42" s="306">
        <v>0</v>
      </c>
      <c r="CD42" s="306">
        <v>0</v>
      </c>
      <c r="CE42" s="306">
        <v>0</v>
      </c>
      <c r="CF42" s="306">
        <v>0</v>
      </c>
      <c r="CG42" s="306">
        <v>0</v>
      </c>
      <c r="CH42" s="306">
        <v>0</v>
      </c>
      <c r="CI42" s="306">
        <v>0</v>
      </c>
      <c r="CJ42" s="306">
        <v>0</v>
      </c>
    </row>
    <row r="43" spans="2:88" hidden="1" outlineLevel="2">
      <c r="B43" s="307" t="s">
        <v>60</v>
      </c>
      <c r="C43" s="304"/>
      <c r="D43" s="304"/>
      <c r="E43" s="304"/>
      <c r="F43" s="304"/>
      <c r="G43" s="304"/>
      <c r="H43" s="304"/>
      <c r="I43" s="304"/>
      <c r="J43" s="304"/>
      <c r="K43" s="304"/>
      <c r="L43" s="304"/>
      <c r="M43" s="304"/>
      <c r="N43" s="304"/>
      <c r="O43" s="304"/>
      <c r="P43" s="304"/>
      <c r="Q43" s="304"/>
      <c r="R43" s="304"/>
      <c r="S43" s="304"/>
      <c r="T43" s="304"/>
      <c r="U43" s="304"/>
      <c r="V43" s="304"/>
      <c r="W43" s="304"/>
      <c r="X43" s="304"/>
      <c r="Y43" s="304"/>
      <c r="Z43" s="304"/>
      <c r="AA43" s="304"/>
      <c r="AB43" s="304"/>
      <c r="AC43" s="304"/>
      <c r="AD43" s="304"/>
      <c r="AE43" s="304"/>
      <c r="AF43" s="304"/>
      <c r="AG43" s="304"/>
      <c r="AH43" s="304"/>
      <c r="AI43" s="304"/>
      <c r="AJ43" s="304"/>
      <c r="AK43" s="304"/>
      <c r="AL43" s="304"/>
      <c r="AM43" s="304"/>
      <c r="AN43" s="304"/>
      <c r="AO43" s="304"/>
      <c r="AP43" s="304"/>
      <c r="AQ43" s="304"/>
      <c r="AR43" s="304"/>
      <c r="AS43" s="304"/>
      <c r="AT43" s="304"/>
      <c r="AU43" s="304"/>
      <c r="AV43" s="304"/>
      <c r="AW43" s="304"/>
      <c r="AX43" s="304"/>
      <c r="AY43" s="304"/>
      <c r="AZ43" s="304"/>
      <c r="BA43" s="304"/>
      <c r="BB43" s="304"/>
      <c r="BC43" s="304"/>
      <c r="BD43" s="304"/>
      <c r="BE43" s="304"/>
      <c r="BF43" s="304"/>
      <c r="BG43" s="304"/>
      <c r="BH43" s="304"/>
      <c r="BI43" s="304"/>
      <c r="BJ43" s="304"/>
      <c r="BK43" s="304"/>
      <c r="BL43" s="304"/>
      <c r="BM43" s="304"/>
      <c r="BN43" s="304"/>
      <c r="BO43" s="304"/>
      <c r="BP43" s="304"/>
      <c r="BQ43" s="304"/>
      <c r="BR43" s="304"/>
      <c r="BS43" s="304"/>
      <c r="BT43" s="304"/>
      <c r="BU43" s="304"/>
      <c r="BV43" s="305"/>
      <c r="BW43" s="306">
        <v>0</v>
      </c>
      <c r="BX43" s="306">
        <v>0</v>
      </c>
      <c r="BY43" s="306">
        <v>0</v>
      </c>
      <c r="BZ43" s="306">
        <v>0</v>
      </c>
      <c r="CA43" s="306">
        <v>0</v>
      </c>
      <c r="CB43" s="306">
        <v>0</v>
      </c>
      <c r="CC43" s="306">
        <v>0</v>
      </c>
      <c r="CD43" s="306">
        <v>0</v>
      </c>
      <c r="CE43" s="306">
        <v>0</v>
      </c>
      <c r="CF43" s="306">
        <v>0</v>
      </c>
      <c r="CG43" s="306">
        <v>0</v>
      </c>
      <c r="CH43" s="306">
        <v>0</v>
      </c>
      <c r="CI43" s="306">
        <v>0</v>
      </c>
      <c r="CJ43" s="306">
        <v>0</v>
      </c>
    </row>
    <row r="44" spans="2:88" hidden="1" outlineLevel="2">
      <c r="B44" s="308"/>
      <c r="C44" s="304"/>
      <c r="D44" s="304"/>
      <c r="E44" s="304"/>
      <c r="F44" s="304"/>
      <c r="G44" s="304"/>
      <c r="H44" s="304"/>
      <c r="I44" s="304"/>
      <c r="J44" s="304"/>
      <c r="K44" s="304"/>
      <c r="L44" s="304"/>
      <c r="M44" s="304"/>
      <c r="N44" s="304"/>
      <c r="O44" s="304"/>
      <c r="P44" s="304"/>
      <c r="Q44" s="304"/>
      <c r="R44" s="304"/>
      <c r="S44" s="304"/>
      <c r="T44" s="304"/>
      <c r="U44" s="304"/>
      <c r="V44" s="304"/>
      <c r="W44" s="304"/>
      <c r="X44" s="304"/>
      <c r="Y44" s="304"/>
      <c r="Z44" s="304"/>
      <c r="AA44" s="304"/>
      <c r="AB44" s="304"/>
      <c r="AC44" s="304"/>
      <c r="AD44" s="304"/>
      <c r="AE44" s="304"/>
      <c r="AF44" s="304"/>
      <c r="AG44" s="304"/>
      <c r="AH44" s="304"/>
      <c r="AI44" s="304"/>
      <c r="AJ44" s="304"/>
      <c r="AK44" s="304"/>
      <c r="AL44" s="304"/>
      <c r="AM44" s="304"/>
      <c r="AN44" s="304"/>
      <c r="AO44" s="304"/>
      <c r="AP44" s="304"/>
      <c r="AQ44" s="304"/>
      <c r="AR44" s="304"/>
      <c r="AS44" s="304"/>
      <c r="AT44" s="304"/>
      <c r="AU44" s="304"/>
      <c r="AV44" s="304"/>
      <c r="AW44" s="304"/>
      <c r="AX44" s="304"/>
      <c r="AY44" s="304"/>
      <c r="AZ44" s="304"/>
      <c r="BA44" s="304"/>
      <c r="BB44" s="304"/>
      <c r="BC44" s="304"/>
      <c r="BD44" s="304"/>
      <c r="BE44" s="304"/>
      <c r="BF44" s="304"/>
      <c r="BG44" s="304"/>
      <c r="BH44" s="304"/>
      <c r="BI44" s="304"/>
      <c r="BJ44" s="304"/>
      <c r="BK44" s="304"/>
      <c r="BL44" s="304"/>
      <c r="BM44" s="304"/>
      <c r="BN44" s="304"/>
      <c r="BO44" s="304"/>
      <c r="BP44" s="304"/>
      <c r="BQ44" s="304"/>
      <c r="BR44" s="304"/>
      <c r="BS44" s="304"/>
      <c r="BT44" s="304"/>
      <c r="BU44" s="304"/>
      <c r="BV44" s="309"/>
      <c r="BW44" s="309"/>
      <c r="BX44" s="305"/>
      <c r="BY44" s="305"/>
      <c r="BZ44" s="305"/>
      <c r="CA44" s="305"/>
      <c r="CB44" s="305"/>
      <c r="CC44" s="305"/>
      <c r="CD44" s="305"/>
      <c r="CE44" s="305"/>
      <c r="CF44" s="305"/>
      <c r="CG44" s="305"/>
      <c r="CH44" s="305"/>
      <c r="CI44" s="305"/>
      <c r="CJ44" s="305"/>
    </row>
    <row r="45" spans="2:88" hidden="1" outlineLevel="1" collapsed="1">
      <c r="B45" s="300" t="s">
        <v>330</v>
      </c>
      <c r="C45" s="301">
        <v>1945</v>
      </c>
      <c r="D45" s="301">
        <v>1946</v>
      </c>
      <c r="E45" s="301">
        <v>1947</v>
      </c>
      <c r="F45" s="301">
        <v>1948</v>
      </c>
      <c r="G45" s="301">
        <v>1949</v>
      </c>
      <c r="H45" s="301">
        <v>1950</v>
      </c>
      <c r="I45" s="301">
        <v>1951</v>
      </c>
      <c r="J45" s="301">
        <v>1952</v>
      </c>
      <c r="K45" s="301">
        <v>1953</v>
      </c>
      <c r="L45" s="301">
        <v>1954</v>
      </c>
      <c r="M45" s="301">
        <v>1955</v>
      </c>
      <c r="N45" s="301">
        <v>1956</v>
      </c>
      <c r="O45" s="301">
        <v>1957</v>
      </c>
      <c r="P45" s="301">
        <v>1958</v>
      </c>
      <c r="Q45" s="301">
        <v>1959</v>
      </c>
      <c r="R45" s="301">
        <v>1960</v>
      </c>
      <c r="S45" s="301">
        <v>1961</v>
      </c>
      <c r="T45" s="301">
        <v>1962</v>
      </c>
      <c r="U45" s="301">
        <v>1963</v>
      </c>
      <c r="V45" s="301">
        <v>1964</v>
      </c>
      <c r="W45" s="301">
        <v>1965</v>
      </c>
      <c r="X45" s="301">
        <v>1966</v>
      </c>
      <c r="Y45" s="301">
        <v>1967</v>
      </c>
      <c r="Z45" s="301">
        <v>1968</v>
      </c>
      <c r="AA45" s="301">
        <v>1969</v>
      </c>
      <c r="AB45" s="301">
        <v>1970</v>
      </c>
      <c r="AC45" s="301">
        <v>1971</v>
      </c>
      <c r="AD45" s="301">
        <v>1972</v>
      </c>
      <c r="AE45" s="301">
        <v>1973</v>
      </c>
      <c r="AF45" s="301">
        <v>1974</v>
      </c>
      <c r="AG45" s="301">
        <v>1975</v>
      </c>
      <c r="AH45" s="301">
        <v>1976</v>
      </c>
      <c r="AI45" s="301">
        <v>1977</v>
      </c>
      <c r="AJ45" s="301">
        <v>1978</v>
      </c>
      <c r="AK45" s="301">
        <v>1979</v>
      </c>
      <c r="AL45" s="301">
        <v>1980</v>
      </c>
      <c r="AM45" s="301">
        <v>1981</v>
      </c>
      <c r="AN45" s="301">
        <v>1982</v>
      </c>
      <c r="AO45" s="301">
        <v>1983</v>
      </c>
      <c r="AP45" s="301">
        <v>1984</v>
      </c>
      <c r="AQ45" s="301">
        <v>1985</v>
      </c>
      <c r="AR45" s="301">
        <v>1986</v>
      </c>
      <c r="AS45" s="301">
        <v>1987</v>
      </c>
      <c r="AT45" s="301">
        <v>1988</v>
      </c>
      <c r="AU45" s="301">
        <v>1989</v>
      </c>
      <c r="AV45" s="301">
        <v>1990</v>
      </c>
      <c r="AW45" s="301">
        <v>1991</v>
      </c>
      <c r="AX45" s="301">
        <v>1992</v>
      </c>
      <c r="AY45" s="301">
        <v>1993</v>
      </c>
      <c r="AZ45" s="301">
        <v>1994</v>
      </c>
      <c r="BA45" s="301">
        <v>1995</v>
      </c>
      <c r="BB45" s="301">
        <v>1996</v>
      </c>
      <c r="BC45" s="301">
        <v>1997</v>
      </c>
      <c r="BD45" s="301">
        <v>1998</v>
      </c>
      <c r="BE45" s="301">
        <v>1999</v>
      </c>
      <c r="BF45" s="301">
        <v>2000</v>
      </c>
      <c r="BG45" s="301">
        <v>2001</v>
      </c>
      <c r="BH45" s="301">
        <v>2002</v>
      </c>
      <c r="BI45" s="301">
        <v>2003</v>
      </c>
      <c r="BJ45" s="301">
        <v>2004</v>
      </c>
      <c r="BK45" s="301">
        <v>2005</v>
      </c>
      <c r="BL45" s="301">
        <v>2006</v>
      </c>
      <c r="BM45" s="301">
        <v>2007</v>
      </c>
      <c r="BN45" s="301">
        <v>2008</v>
      </c>
      <c r="BO45" s="301">
        <v>2009</v>
      </c>
      <c r="BP45" s="301">
        <v>2010</v>
      </c>
      <c r="BQ45" s="301">
        <v>2011</v>
      </c>
      <c r="BR45" s="301">
        <v>2012</v>
      </c>
      <c r="BS45" s="301">
        <v>2013</v>
      </c>
      <c r="BT45" s="301">
        <v>2014</v>
      </c>
      <c r="BU45" s="301">
        <v>2015</v>
      </c>
      <c r="BV45" s="301">
        <v>2016</v>
      </c>
      <c r="BW45" s="301">
        <v>2017</v>
      </c>
      <c r="BX45" s="301">
        <v>2018</v>
      </c>
      <c r="BY45" s="301">
        <v>2019</v>
      </c>
      <c r="BZ45" s="301">
        <v>2020</v>
      </c>
      <c r="CA45" s="301">
        <v>2021</v>
      </c>
      <c r="CB45" s="301">
        <v>2022</v>
      </c>
      <c r="CC45" s="301">
        <v>2023</v>
      </c>
      <c r="CD45" s="301">
        <v>2024</v>
      </c>
      <c r="CE45" s="301">
        <v>2025</v>
      </c>
      <c r="CF45" s="301">
        <v>2026</v>
      </c>
      <c r="CG45" s="301">
        <v>2027</v>
      </c>
      <c r="CH45" s="301">
        <v>2028</v>
      </c>
      <c r="CI45" s="301">
        <v>2029</v>
      </c>
      <c r="CJ45" s="302">
        <v>2030</v>
      </c>
    </row>
    <row r="46" spans="2:88" hidden="1" outlineLevel="1">
      <c r="B46" s="303" t="s">
        <v>58</v>
      </c>
      <c r="C46" s="304"/>
      <c r="D46" s="304"/>
      <c r="E46" s="304"/>
      <c r="F46" s="304"/>
      <c r="G46" s="304"/>
      <c r="H46" s="304"/>
      <c r="I46" s="304"/>
      <c r="J46" s="304"/>
      <c r="K46" s="304"/>
      <c r="L46" s="304"/>
      <c r="M46" s="304"/>
      <c r="N46" s="304"/>
      <c r="O46" s="304"/>
      <c r="P46" s="304"/>
      <c r="Q46" s="304"/>
      <c r="R46" s="304"/>
      <c r="S46" s="304"/>
      <c r="T46" s="304"/>
      <c r="U46" s="304"/>
      <c r="V46" s="304"/>
      <c r="W46" s="304"/>
      <c r="X46" s="304"/>
      <c r="Y46" s="304"/>
      <c r="Z46" s="304"/>
      <c r="AA46" s="304"/>
      <c r="AB46" s="304"/>
      <c r="AC46" s="304"/>
      <c r="AD46" s="304"/>
      <c r="AE46" s="304"/>
      <c r="AF46" s="304"/>
      <c r="AG46" s="304"/>
      <c r="AH46" s="304"/>
      <c r="AI46" s="304"/>
      <c r="AJ46" s="304"/>
      <c r="AK46" s="304"/>
      <c r="AL46" s="304"/>
      <c r="AM46" s="304"/>
      <c r="AN46" s="304"/>
      <c r="AO46" s="304"/>
      <c r="AP46" s="304"/>
      <c r="AQ46" s="304"/>
      <c r="AR46" s="304"/>
      <c r="AS46" s="304"/>
      <c r="AT46" s="304"/>
      <c r="AU46" s="304"/>
      <c r="AV46" s="304"/>
      <c r="AW46" s="304"/>
      <c r="AX46" s="304"/>
      <c r="AY46" s="304"/>
      <c r="AZ46" s="304"/>
      <c r="BA46" s="304"/>
      <c r="BB46" s="304"/>
      <c r="BC46" s="304"/>
      <c r="BD46" s="304"/>
      <c r="BE46" s="304"/>
      <c r="BF46" s="304"/>
      <c r="BG46" s="304"/>
      <c r="BH46" s="304"/>
      <c r="BI46" s="304"/>
      <c r="BJ46" s="304"/>
      <c r="BK46" s="304"/>
      <c r="BL46" s="304"/>
      <c r="BM46" s="304"/>
      <c r="BN46" s="304"/>
      <c r="BO46" s="304"/>
      <c r="BP46" s="304"/>
      <c r="BQ46" s="304"/>
      <c r="BR46" s="304"/>
      <c r="BS46" s="304"/>
      <c r="BT46" s="304"/>
      <c r="BU46" s="304"/>
      <c r="BV46" s="305"/>
      <c r="BW46" s="306">
        <v>0</v>
      </c>
      <c r="BX46" s="306">
        <v>0</v>
      </c>
      <c r="BY46" s="306">
        <v>0</v>
      </c>
      <c r="BZ46" s="306">
        <v>0</v>
      </c>
      <c r="CA46" s="306">
        <v>0</v>
      </c>
      <c r="CB46" s="306">
        <v>0</v>
      </c>
      <c r="CC46" s="306">
        <v>0</v>
      </c>
      <c r="CD46" s="306">
        <v>0</v>
      </c>
      <c r="CE46" s="306">
        <v>0</v>
      </c>
      <c r="CF46" s="306">
        <v>0</v>
      </c>
      <c r="CG46" s="306">
        <v>0</v>
      </c>
      <c r="CH46" s="306">
        <v>0</v>
      </c>
      <c r="CI46" s="306">
        <v>0</v>
      </c>
      <c r="CJ46" s="306">
        <v>0</v>
      </c>
    </row>
    <row r="47" spans="2:88" hidden="1" outlineLevel="1">
      <c r="B47" s="303" t="s">
        <v>59</v>
      </c>
      <c r="C47" s="304"/>
      <c r="D47" s="304"/>
      <c r="E47" s="304"/>
      <c r="F47" s="304"/>
      <c r="G47" s="304"/>
      <c r="H47" s="304"/>
      <c r="I47" s="304"/>
      <c r="J47" s="304"/>
      <c r="K47" s="304"/>
      <c r="L47" s="304"/>
      <c r="M47" s="304"/>
      <c r="N47" s="304"/>
      <c r="O47" s="304"/>
      <c r="P47" s="304"/>
      <c r="Q47" s="304"/>
      <c r="R47" s="304"/>
      <c r="S47" s="304"/>
      <c r="T47" s="304"/>
      <c r="U47" s="304"/>
      <c r="V47" s="304"/>
      <c r="W47" s="304"/>
      <c r="X47" s="304"/>
      <c r="Y47" s="304"/>
      <c r="Z47" s="304"/>
      <c r="AA47" s="304"/>
      <c r="AB47" s="304"/>
      <c r="AC47" s="304"/>
      <c r="AD47" s="304"/>
      <c r="AE47" s="304"/>
      <c r="AF47" s="304"/>
      <c r="AG47" s="304"/>
      <c r="AH47" s="304"/>
      <c r="AI47" s="304"/>
      <c r="AJ47" s="304"/>
      <c r="AK47" s="304"/>
      <c r="AL47" s="304"/>
      <c r="AM47" s="304"/>
      <c r="AN47" s="304"/>
      <c r="AO47" s="304"/>
      <c r="AP47" s="304"/>
      <c r="AQ47" s="304"/>
      <c r="AR47" s="304"/>
      <c r="AS47" s="304"/>
      <c r="AT47" s="304"/>
      <c r="AU47" s="304"/>
      <c r="AV47" s="304"/>
      <c r="AW47" s="304"/>
      <c r="AX47" s="304"/>
      <c r="AY47" s="304"/>
      <c r="AZ47" s="304"/>
      <c r="BA47" s="304"/>
      <c r="BB47" s="304"/>
      <c r="BC47" s="304"/>
      <c r="BD47" s="304"/>
      <c r="BE47" s="304"/>
      <c r="BF47" s="304"/>
      <c r="BG47" s="304"/>
      <c r="BH47" s="304"/>
      <c r="BI47" s="304"/>
      <c r="BJ47" s="304"/>
      <c r="BK47" s="304"/>
      <c r="BL47" s="304"/>
      <c r="BM47" s="304"/>
      <c r="BN47" s="304"/>
      <c r="BO47" s="304"/>
      <c r="BP47" s="304"/>
      <c r="BQ47" s="304"/>
      <c r="BR47" s="304"/>
      <c r="BS47" s="304"/>
      <c r="BT47" s="304"/>
      <c r="BU47" s="304"/>
      <c r="BV47" s="305"/>
      <c r="BW47" s="306">
        <v>0</v>
      </c>
      <c r="BX47" s="306">
        <v>0</v>
      </c>
      <c r="BY47" s="306">
        <v>0</v>
      </c>
      <c r="BZ47" s="306">
        <v>0</v>
      </c>
      <c r="CA47" s="306">
        <v>0</v>
      </c>
      <c r="CB47" s="306">
        <v>0</v>
      </c>
      <c r="CC47" s="306">
        <v>0</v>
      </c>
      <c r="CD47" s="306">
        <v>0</v>
      </c>
      <c r="CE47" s="306">
        <v>0</v>
      </c>
      <c r="CF47" s="306">
        <v>0</v>
      </c>
      <c r="CG47" s="306">
        <v>0</v>
      </c>
      <c r="CH47" s="306">
        <v>0</v>
      </c>
      <c r="CI47" s="306">
        <v>0</v>
      </c>
      <c r="CJ47" s="306">
        <v>0</v>
      </c>
    </row>
    <row r="48" spans="2:88" hidden="1" outlineLevel="1">
      <c r="B48" s="307" t="s">
        <v>60</v>
      </c>
      <c r="C48" s="304"/>
      <c r="D48" s="304"/>
      <c r="E48" s="304"/>
      <c r="F48" s="304"/>
      <c r="G48" s="304"/>
      <c r="H48" s="304"/>
      <c r="I48" s="304"/>
      <c r="J48" s="304"/>
      <c r="K48" s="304"/>
      <c r="L48" s="304"/>
      <c r="M48" s="304"/>
      <c r="N48" s="304"/>
      <c r="O48" s="304"/>
      <c r="P48" s="304"/>
      <c r="Q48" s="304"/>
      <c r="R48" s="304"/>
      <c r="S48" s="304"/>
      <c r="T48" s="304"/>
      <c r="U48" s="304"/>
      <c r="V48" s="304"/>
      <c r="W48" s="304"/>
      <c r="X48" s="304"/>
      <c r="Y48" s="304"/>
      <c r="Z48" s="304"/>
      <c r="AA48" s="304"/>
      <c r="AB48" s="304"/>
      <c r="AC48" s="304"/>
      <c r="AD48" s="304"/>
      <c r="AE48" s="304"/>
      <c r="AF48" s="304"/>
      <c r="AG48" s="304"/>
      <c r="AH48" s="304"/>
      <c r="AI48" s="304"/>
      <c r="AJ48" s="304"/>
      <c r="AK48" s="304"/>
      <c r="AL48" s="304"/>
      <c r="AM48" s="304"/>
      <c r="AN48" s="304"/>
      <c r="AO48" s="304"/>
      <c r="AP48" s="304"/>
      <c r="AQ48" s="304"/>
      <c r="AR48" s="304"/>
      <c r="AS48" s="304"/>
      <c r="AT48" s="304"/>
      <c r="AU48" s="304"/>
      <c r="AV48" s="304"/>
      <c r="AW48" s="304"/>
      <c r="AX48" s="304"/>
      <c r="AY48" s="304"/>
      <c r="AZ48" s="304"/>
      <c r="BA48" s="304"/>
      <c r="BB48" s="304"/>
      <c r="BC48" s="304"/>
      <c r="BD48" s="304"/>
      <c r="BE48" s="304"/>
      <c r="BF48" s="304"/>
      <c r="BG48" s="304"/>
      <c r="BH48" s="304"/>
      <c r="BI48" s="304"/>
      <c r="BJ48" s="304"/>
      <c r="BK48" s="304"/>
      <c r="BL48" s="304"/>
      <c r="BM48" s="304"/>
      <c r="BN48" s="304"/>
      <c r="BO48" s="304"/>
      <c r="BP48" s="304"/>
      <c r="BQ48" s="304"/>
      <c r="BR48" s="304"/>
      <c r="BS48" s="304"/>
      <c r="BT48" s="304"/>
      <c r="BU48" s="304"/>
      <c r="BV48" s="305"/>
      <c r="BW48" s="306">
        <v>0</v>
      </c>
      <c r="BX48" s="306">
        <v>0</v>
      </c>
      <c r="BY48" s="306">
        <v>0</v>
      </c>
      <c r="BZ48" s="306">
        <v>0</v>
      </c>
      <c r="CA48" s="306">
        <v>0</v>
      </c>
      <c r="CB48" s="306">
        <v>0</v>
      </c>
      <c r="CC48" s="306">
        <v>0</v>
      </c>
      <c r="CD48" s="306">
        <v>0</v>
      </c>
      <c r="CE48" s="306">
        <v>0</v>
      </c>
      <c r="CF48" s="306">
        <v>0</v>
      </c>
      <c r="CG48" s="306">
        <v>0</v>
      </c>
      <c r="CH48" s="306">
        <v>0</v>
      </c>
      <c r="CI48" s="306">
        <v>0</v>
      </c>
      <c r="CJ48" s="306">
        <v>0</v>
      </c>
    </row>
    <row r="49" spans="2:88" hidden="1" outlineLevel="1">
      <c r="B49" s="308"/>
      <c r="C49" s="304"/>
      <c r="D49" s="304"/>
      <c r="E49" s="304"/>
      <c r="F49" s="304"/>
      <c r="G49" s="304"/>
      <c r="H49" s="304"/>
      <c r="I49" s="304"/>
      <c r="J49" s="304"/>
      <c r="K49" s="304"/>
      <c r="L49" s="304"/>
      <c r="M49" s="304"/>
      <c r="N49" s="304"/>
      <c r="O49" s="304"/>
      <c r="P49" s="304"/>
      <c r="Q49" s="304"/>
      <c r="R49" s="304"/>
      <c r="S49" s="304"/>
      <c r="T49" s="304"/>
      <c r="U49" s="304"/>
      <c r="V49" s="304"/>
      <c r="W49" s="304"/>
      <c r="X49" s="304"/>
      <c r="Y49" s="304"/>
      <c r="Z49" s="304"/>
      <c r="AA49" s="304"/>
      <c r="AB49" s="304"/>
      <c r="AC49" s="304"/>
      <c r="AD49" s="304"/>
      <c r="AE49" s="304"/>
      <c r="AF49" s="304"/>
      <c r="AG49" s="304"/>
      <c r="AH49" s="304"/>
      <c r="AI49" s="304"/>
      <c r="AJ49" s="304"/>
      <c r="AK49" s="304"/>
      <c r="AL49" s="304"/>
      <c r="AM49" s="304"/>
      <c r="AN49" s="304"/>
      <c r="AO49" s="304"/>
      <c r="AP49" s="304"/>
      <c r="AQ49" s="304"/>
      <c r="AR49" s="304"/>
      <c r="AS49" s="304"/>
      <c r="AT49" s="304"/>
      <c r="AU49" s="304"/>
      <c r="AV49" s="304"/>
      <c r="AW49" s="304"/>
      <c r="AX49" s="304"/>
      <c r="AY49" s="304"/>
      <c r="AZ49" s="304"/>
      <c r="BA49" s="304"/>
      <c r="BB49" s="304"/>
      <c r="BC49" s="304"/>
      <c r="BD49" s="304"/>
      <c r="BE49" s="304"/>
      <c r="BF49" s="304"/>
      <c r="BG49" s="304"/>
      <c r="BH49" s="304"/>
      <c r="BI49" s="304"/>
      <c r="BJ49" s="304"/>
      <c r="BK49" s="304"/>
      <c r="BL49" s="304"/>
      <c r="BM49" s="304"/>
      <c r="BN49" s="304"/>
      <c r="BO49" s="304"/>
      <c r="BP49" s="304"/>
      <c r="BQ49" s="304"/>
      <c r="BR49" s="304"/>
      <c r="BS49" s="304"/>
      <c r="BT49" s="304"/>
      <c r="BU49" s="304"/>
      <c r="BV49" s="309"/>
      <c r="BW49" s="309"/>
      <c r="BX49" s="305"/>
      <c r="BY49" s="305"/>
      <c r="BZ49" s="305"/>
      <c r="CA49" s="305"/>
      <c r="CB49" s="305"/>
      <c r="CC49" s="305"/>
      <c r="CD49" s="305"/>
      <c r="CE49" s="305"/>
      <c r="CF49" s="305"/>
      <c r="CG49" s="305"/>
      <c r="CH49" s="305"/>
      <c r="CI49" s="305"/>
      <c r="CJ49" s="305"/>
    </row>
    <row r="50" spans="2:88" hidden="1" outlineLevel="2">
      <c r="B50" s="300" t="s">
        <v>374</v>
      </c>
      <c r="C50" s="301">
        <v>1945</v>
      </c>
      <c r="D50" s="301">
        <v>1946</v>
      </c>
      <c r="E50" s="301">
        <v>1947</v>
      </c>
      <c r="F50" s="301">
        <v>1948</v>
      </c>
      <c r="G50" s="301">
        <v>1949</v>
      </c>
      <c r="H50" s="301">
        <v>1950</v>
      </c>
      <c r="I50" s="301">
        <v>1951</v>
      </c>
      <c r="J50" s="301">
        <v>1952</v>
      </c>
      <c r="K50" s="301">
        <v>1953</v>
      </c>
      <c r="L50" s="301">
        <v>1954</v>
      </c>
      <c r="M50" s="301">
        <v>1955</v>
      </c>
      <c r="N50" s="301">
        <v>1956</v>
      </c>
      <c r="O50" s="301">
        <v>1957</v>
      </c>
      <c r="P50" s="301">
        <v>1958</v>
      </c>
      <c r="Q50" s="301">
        <v>1959</v>
      </c>
      <c r="R50" s="301">
        <v>1960</v>
      </c>
      <c r="S50" s="301">
        <v>1961</v>
      </c>
      <c r="T50" s="301">
        <v>1962</v>
      </c>
      <c r="U50" s="301">
        <v>1963</v>
      </c>
      <c r="V50" s="301">
        <v>1964</v>
      </c>
      <c r="W50" s="301">
        <v>1965</v>
      </c>
      <c r="X50" s="301">
        <v>1966</v>
      </c>
      <c r="Y50" s="301">
        <v>1967</v>
      </c>
      <c r="Z50" s="301">
        <v>1968</v>
      </c>
      <c r="AA50" s="301">
        <v>1969</v>
      </c>
      <c r="AB50" s="301">
        <v>1970</v>
      </c>
      <c r="AC50" s="301">
        <v>1971</v>
      </c>
      <c r="AD50" s="301">
        <v>1972</v>
      </c>
      <c r="AE50" s="301">
        <v>1973</v>
      </c>
      <c r="AF50" s="301">
        <v>1974</v>
      </c>
      <c r="AG50" s="301">
        <v>1975</v>
      </c>
      <c r="AH50" s="301">
        <v>1976</v>
      </c>
      <c r="AI50" s="301">
        <v>1977</v>
      </c>
      <c r="AJ50" s="301">
        <v>1978</v>
      </c>
      <c r="AK50" s="301">
        <v>1979</v>
      </c>
      <c r="AL50" s="301">
        <v>1980</v>
      </c>
      <c r="AM50" s="301">
        <v>1981</v>
      </c>
      <c r="AN50" s="301">
        <v>1982</v>
      </c>
      <c r="AO50" s="301">
        <v>1983</v>
      </c>
      <c r="AP50" s="301">
        <v>1984</v>
      </c>
      <c r="AQ50" s="301">
        <v>1985</v>
      </c>
      <c r="AR50" s="301">
        <v>1986</v>
      </c>
      <c r="AS50" s="301">
        <v>1987</v>
      </c>
      <c r="AT50" s="301">
        <v>1988</v>
      </c>
      <c r="AU50" s="301">
        <v>1989</v>
      </c>
      <c r="AV50" s="301">
        <v>1990</v>
      </c>
      <c r="AW50" s="301">
        <v>1991</v>
      </c>
      <c r="AX50" s="301">
        <v>1992</v>
      </c>
      <c r="AY50" s="301">
        <v>1993</v>
      </c>
      <c r="AZ50" s="301">
        <v>1994</v>
      </c>
      <c r="BA50" s="301">
        <v>1995</v>
      </c>
      <c r="BB50" s="301">
        <v>1996</v>
      </c>
      <c r="BC50" s="301">
        <v>1997</v>
      </c>
      <c r="BD50" s="301">
        <v>1998</v>
      </c>
      <c r="BE50" s="301">
        <v>1999</v>
      </c>
      <c r="BF50" s="301">
        <v>2000</v>
      </c>
      <c r="BG50" s="301">
        <v>2001</v>
      </c>
      <c r="BH50" s="301">
        <v>2002</v>
      </c>
      <c r="BI50" s="301">
        <v>2003</v>
      </c>
      <c r="BJ50" s="301">
        <v>2004</v>
      </c>
      <c r="BK50" s="301">
        <v>2005</v>
      </c>
      <c r="BL50" s="301">
        <v>2006</v>
      </c>
      <c r="BM50" s="301">
        <v>2007</v>
      </c>
      <c r="BN50" s="301">
        <v>2008</v>
      </c>
      <c r="BO50" s="301">
        <v>2009</v>
      </c>
      <c r="BP50" s="301">
        <v>2010</v>
      </c>
      <c r="BQ50" s="301">
        <v>2011</v>
      </c>
      <c r="BR50" s="301">
        <v>2012</v>
      </c>
      <c r="BS50" s="301">
        <v>2013</v>
      </c>
      <c r="BT50" s="301">
        <v>2014</v>
      </c>
      <c r="BU50" s="301">
        <v>2015</v>
      </c>
      <c r="BV50" s="301">
        <v>2016</v>
      </c>
      <c r="BW50" s="301">
        <v>2017</v>
      </c>
      <c r="BX50" s="301">
        <v>2018</v>
      </c>
      <c r="BY50" s="301">
        <v>2019</v>
      </c>
      <c r="BZ50" s="301">
        <v>2020</v>
      </c>
      <c r="CA50" s="301">
        <v>2021</v>
      </c>
      <c r="CB50" s="301">
        <v>2022</v>
      </c>
      <c r="CC50" s="301">
        <v>2023</v>
      </c>
      <c r="CD50" s="301">
        <v>2024</v>
      </c>
      <c r="CE50" s="301">
        <v>2025</v>
      </c>
      <c r="CF50" s="301">
        <v>2026</v>
      </c>
      <c r="CG50" s="301">
        <v>2027</v>
      </c>
      <c r="CH50" s="301">
        <v>2028</v>
      </c>
      <c r="CI50" s="301">
        <v>2029</v>
      </c>
      <c r="CJ50" s="302">
        <v>2030</v>
      </c>
    </row>
    <row r="51" spans="2:88" hidden="1" outlineLevel="2">
      <c r="B51" s="303" t="s">
        <v>58</v>
      </c>
      <c r="C51" s="304"/>
      <c r="D51" s="304"/>
      <c r="E51" s="304"/>
      <c r="F51" s="304"/>
      <c r="G51" s="304"/>
      <c r="H51" s="304"/>
      <c r="I51" s="304"/>
      <c r="J51" s="304"/>
      <c r="K51" s="304"/>
      <c r="L51" s="304"/>
      <c r="M51" s="304"/>
      <c r="N51" s="304"/>
      <c r="O51" s="304"/>
      <c r="P51" s="304"/>
      <c r="Q51" s="304"/>
      <c r="R51" s="304"/>
      <c r="S51" s="304"/>
      <c r="T51" s="304"/>
      <c r="U51" s="304"/>
      <c r="V51" s="304"/>
      <c r="W51" s="304"/>
      <c r="X51" s="304"/>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304"/>
      <c r="BC51" s="304"/>
      <c r="BD51" s="304"/>
      <c r="BE51" s="304"/>
      <c r="BF51" s="304"/>
      <c r="BG51" s="304"/>
      <c r="BH51" s="304"/>
      <c r="BI51" s="304"/>
      <c r="BJ51" s="304"/>
      <c r="BK51" s="304"/>
      <c r="BL51" s="304"/>
      <c r="BM51" s="304"/>
      <c r="BN51" s="304"/>
      <c r="BO51" s="304"/>
      <c r="BP51" s="304"/>
      <c r="BQ51" s="304"/>
      <c r="BR51" s="304"/>
      <c r="BS51" s="304"/>
      <c r="BT51" s="304"/>
      <c r="BU51" s="304"/>
      <c r="BV51" s="305"/>
      <c r="BW51" s="306">
        <v>0</v>
      </c>
      <c r="BX51" s="306">
        <v>0</v>
      </c>
      <c r="BY51" s="306">
        <v>0</v>
      </c>
      <c r="BZ51" s="306">
        <v>0</v>
      </c>
      <c r="CA51" s="306">
        <v>0</v>
      </c>
      <c r="CB51" s="306">
        <v>0</v>
      </c>
      <c r="CC51" s="306">
        <v>0</v>
      </c>
      <c r="CD51" s="306">
        <v>0</v>
      </c>
      <c r="CE51" s="306">
        <v>0</v>
      </c>
      <c r="CF51" s="306">
        <v>0</v>
      </c>
      <c r="CG51" s="306">
        <v>0</v>
      </c>
      <c r="CH51" s="306">
        <v>0</v>
      </c>
      <c r="CI51" s="306">
        <v>0</v>
      </c>
      <c r="CJ51" s="306">
        <v>0</v>
      </c>
    </row>
    <row r="52" spans="2:88" hidden="1" outlineLevel="2">
      <c r="B52" s="303" t="s">
        <v>59</v>
      </c>
      <c r="C52" s="304"/>
      <c r="D52" s="304"/>
      <c r="E52" s="304"/>
      <c r="F52" s="304"/>
      <c r="G52" s="304"/>
      <c r="H52" s="304"/>
      <c r="I52" s="304"/>
      <c r="J52" s="304"/>
      <c r="K52" s="304"/>
      <c r="L52" s="304"/>
      <c r="M52" s="304"/>
      <c r="N52" s="304"/>
      <c r="O52" s="304"/>
      <c r="P52" s="304"/>
      <c r="Q52" s="304"/>
      <c r="R52" s="304"/>
      <c r="S52" s="304"/>
      <c r="T52" s="304"/>
      <c r="U52" s="304"/>
      <c r="V52" s="304"/>
      <c r="W52" s="304"/>
      <c r="X52" s="304"/>
      <c r="Y52" s="304"/>
      <c r="Z52" s="304"/>
      <c r="AA52" s="304"/>
      <c r="AB52" s="304"/>
      <c r="AC52" s="304"/>
      <c r="AD52" s="304"/>
      <c r="AE52" s="304"/>
      <c r="AF52" s="304"/>
      <c r="AG52" s="304"/>
      <c r="AH52" s="304"/>
      <c r="AI52" s="304"/>
      <c r="AJ52" s="304"/>
      <c r="AK52" s="304"/>
      <c r="AL52" s="304"/>
      <c r="AM52" s="304"/>
      <c r="AN52" s="304"/>
      <c r="AO52" s="304"/>
      <c r="AP52" s="304"/>
      <c r="AQ52" s="304"/>
      <c r="AR52" s="304"/>
      <c r="AS52" s="304"/>
      <c r="AT52" s="304"/>
      <c r="AU52" s="304"/>
      <c r="AV52" s="304"/>
      <c r="AW52" s="304"/>
      <c r="AX52" s="304"/>
      <c r="AY52" s="304"/>
      <c r="AZ52" s="304"/>
      <c r="BA52" s="304"/>
      <c r="BB52" s="304"/>
      <c r="BC52" s="304"/>
      <c r="BD52" s="304"/>
      <c r="BE52" s="304"/>
      <c r="BF52" s="304"/>
      <c r="BG52" s="304"/>
      <c r="BH52" s="304"/>
      <c r="BI52" s="304"/>
      <c r="BJ52" s="304"/>
      <c r="BK52" s="304"/>
      <c r="BL52" s="304"/>
      <c r="BM52" s="304"/>
      <c r="BN52" s="304"/>
      <c r="BO52" s="304"/>
      <c r="BP52" s="304"/>
      <c r="BQ52" s="304"/>
      <c r="BR52" s="304"/>
      <c r="BS52" s="304"/>
      <c r="BT52" s="304"/>
      <c r="BU52" s="304"/>
      <c r="BV52" s="305"/>
      <c r="BW52" s="306">
        <v>0</v>
      </c>
      <c r="BX52" s="306">
        <v>0</v>
      </c>
      <c r="BY52" s="306">
        <v>0</v>
      </c>
      <c r="BZ52" s="306">
        <v>0</v>
      </c>
      <c r="CA52" s="306">
        <v>0</v>
      </c>
      <c r="CB52" s="306">
        <v>0</v>
      </c>
      <c r="CC52" s="306">
        <v>0</v>
      </c>
      <c r="CD52" s="306">
        <v>0</v>
      </c>
      <c r="CE52" s="306">
        <v>0</v>
      </c>
      <c r="CF52" s="306">
        <v>0</v>
      </c>
      <c r="CG52" s="306">
        <v>0</v>
      </c>
      <c r="CH52" s="306">
        <v>0</v>
      </c>
      <c r="CI52" s="306">
        <v>0</v>
      </c>
      <c r="CJ52" s="306">
        <v>0</v>
      </c>
    </row>
    <row r="53" spans="2:88" hidden="1" outlineLevel="2">
      <c r="B53" s="307" t="s">
        <v>60</v>
      </c>
      <c r="C53" s="304"/>
      <c r="D53" s="304"/>
      <c r="E53" s="304"/>
      <c r="F53" s="304"/>
      <c r="G53" s="304"/>
      <c r="H53" s="304"/>
      <c r="I53" s="304"/>
      <c r="J53" s="304"/>
      <c r="K53" s="304"/>
      <c r="L53" s="304"/>
      <c r="M53" s="304"/>
      <c r="N53" s="304"/>
      <c r="O53" s="304"/>
      <c r="P53" s="304"/>
      <c r="Q53" s="304"/>
      <c r="R53" s="304"/>
      <c r="S53" s="304"/>
      <c r="T53" s="304"/>
      <c r="U53" s="304"/>
      <c r="V53" s="304"/>
      <c r="W53" s="304"/>
      <c r="X53" s="304"/>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304"/>
      <c r="BC53" s="304"/>
      <c r="BD53" s="304"/>
      <c r="BE53" s="304"/>
      <c r="BF53" s="304"/>
      <c r="BG53" s="304"/>
      <c r="BH53" s="304"/>
      <c r="BI53" s="304"/>
      <c r="BJ53" s="304"/>
      <c r="BK53" s="304"/>
      <c r="BL53" s="304"/>
      <c r="BM53" s="304"/>
      <c r="BN53" s="304"/>
      <c r="BO53" s="304"/>
      <c r="BP53" s="304"/>
      <c r="BQ53" s="304"/>
      <c r="BR53" s="304"/>
      <c r="BS53" s="304"/>
      <c r="BT53" s="304"/>
      <c r="BU53" s="304"/>
      <c r="BV53" s="305"/>
      <c r="BW53" s="306">
        <v>0</v>
      </c>
      <c r="BX53" s="306">
        <v>0</v>
      </c>
      <c r="BY53" s="306">
        <v>0</v>
      </c>
      <c r="BZ53" s="306">
        <v>0</v>
      </c>
      <c r="CA53" s="306">
        <v>0</v>
      </c>
      <c r="CB53" s="306">
        <v>0</v>
      </c>
      <c r="CC53" s="306">
        <v>0</v>
      </c>
      <c r="CD53" s="306">
        <v>0</v>
      </c>
      <c r="CE53" s="306">
        <v>0</v>
      </c>
      <c r="CF53" s="306">
        <v>0</v>
      </c>
      <c r="CG53" s="306">
        <v>0</v>
      </c>
      <c r="CH53" s="306">
        <v>0</v>
      </c>
      <c r="CI53" s="306">
        <v>0</v>
      </c>
      <c r="CJ53" s="306">
        <v>0</v>
      </c>
    </row>
    <row r="54" spans="2:88" hidden="1" outlineLevel="2">
      <c r="B54" s="308"/>
      <c r="C54" s="304"/>
      <c r="D54" s="304"/>
      <c r="E54" s="304"/>
      <c r="F54" s="304"/>
      <c r="G54" s="304"/>
      <c r="H54" s="304"/>
      <c r="I54" s="304"/>
      <c r="J54" s="304"/>
      <c r="K54" s="304"/>
      <c r="L54" s="304"/>
      <c r="M54" s="304"/>
      <c r="N54" s="304"/>
      <c r="O54" s="304"/>
      <c r="P54" s="304"/>
      <c r="Q54" s="304"/>
      <c r="R54" s="304"/>
      <c r="S54" s="304"/>
      <c r="T54" s="304"/>
      <c r="U54" s="304"/>
      <c r="V54" s="304"/>
      <c r="W54" s="304"/>
      <c r="X54" s="304"/>
      <c r="Y54" s="304"/>
      <c r="Z54" s="304"/>
      <c r="AA54" s="304"/>
      <c r="AB54" s="304"/>
      <c r="AC54" s="304"/>
      <c r="AD54" s="304"/>
      <c r="AE54" s="304"/>
      <c r="AF54" s="304"/>
      <c r="AG54" s="304"/>
      <c r="AH54" s="304"/>
      <c r="AI54" s="304"/>
      <c r="AJ54" s="304"/>
      <c r="AK54" s="304"/>
      <c r="AL54" s="304"/>
      <c r="AM54" s="304"/>
      <c r="AN54" s="304"/>
      <c r="AO54" s="304"/>
      <c r="AP54" s="304"/>
      <c r="AQ54" s="304"/>
      <c r="AR54" s="304"/>
      <c r="AS54" s="304"/>
      <c r="AT54" s="304"/>
      <c r="AU54" s="304"/>
      <c r="AV54" s="304"/>
      <c r="AW54" s="304"/>
      <c r="AX54" s="304"/>
      <c r="AY54" s="304"/>
      <c r="AZ54" s="304"/>
      <c r="BA54" s="304"/>
      <c r="BB54" s="304"/>
      <c r="BC54" s="304"/>
      <c r="BD54" s="304"/>
      <c r="BE54" s="304"/>
      <c r="BF54" s="304"/>
      <c r="BG54" s="304"/>
      <c r="BH54" s="304"/>
      <c r="BI54" s="304"/>
      <c r="BJ54" s="304"/>
      <c r="BK54" s="304"/>
      <c r="BL54" s="304"/>
      <c r="BM54" s="304"/>
      <c r="BN54" s="304"/>
      <c r="BO54" s="304"/>
      <c r="BP54" s="304"/>
      <c r="BQ54" s="304"/>
      <c r="BR54" s="304"/>
      <c r="BS54" s="304"/>
      <c r="BT54" s="304"/>
      <c r="BU54" s="304"/>
      <c r="BV54" s="309"/>
      <c r="BW54" s="309"/>
      <c r="BX54" s="305"/>
      <c r="BY54" s="305"/>
      <c r="BZ54" s="305"/>
      <c r="CA54" s="305"/>
      <c r="CB54" s="305"/>
      <c r="CC54" s="305"/>
      <c r="CD54" s="305"/>
      <c r="CE54" s="305"/>
      <c r="CF54" s="305"/>
      <c r="CG54" s="305"/>
      <c r="CH54" s="305"/>
      <c r="CI54" s="305"/>
      <c r="CJ54" s="305"/>
    </row>
    <row r="55" spans="2:88" hidden="1" outlineLevel="1" collapsed="1">
      <c r="B55" s="300" t="s">
        <v>385</v>
      </c>
      <c r="C55" s="301">
        <v>1945</v>
      </c>
      <c r="D55" s="301">
        <v>1946</v>
      </c>
      <c r="E55" s="301">
        <v>1947</v>
      </c>
      <c r="F55" s="301">
        <v>1948</v>
      </c>
      <c r="G55" s="301">
        <v>1949</v>
      </c>
      <c r="H55" s="301">
        <v>1950</v>
      </c>
      <c r="I55" s="301">
        <v>1951</v>
      </c>
      <c r="J55" s="301">
        <v>1952</v>
      </c>
      <c r="K55" s="301">
        <v>1953</v>
      </c>
      <c r="L55" s="301">
        <v>1954</v>
      </c>
      <c r="M55" s="301">
        <v>1955</v>
      </c>
      <c r="N55" s="301">
        <v>1956</v>
      </c>
      <c r="O55" s="301">
        <v>1957</v>
      </c>
      <c r="P55" s="301">
        <v>1958</v>
      </c>
      <c r="Q55" s="301">
        <v>1959</v>
      </c>
      <c r="R55" s="301">
        <v>1960</v>
      </c>
      <c r="S55" s="301">
        <v>1961</v>
      </c>
      <c r="T55" s="301">
        <v>1962</v>
      </c>
      <c r="U55" s="301">
        <v>1963</v>
      </c>
      <c r="V55" s="301">
        <v>1964</v>
      </c>
      <c r="W55" s="301">
        <v>1965</v>
      </c>
      <c r="X55" s="301">
        <v>1966</v>
      </c>
      <c r="Y55" s="301">
        <v>1967</v>
      </c>
      <c r="Z55" s="301">
        <v>1968</v>
      </c>
      <c r="AA55" s="301">
        <v>1969</v>
      </c>
      <c r="AB55" s="301">
        <v>1970</v>
      </c>
      <c r="AC55" s="301">
        <v>1971</v>
      </c>
      <c r="AD55" s="301">
        <v>1972</v>
      </c>
      <c r="AE55" s="301">
        <v>1973</v>
      </c>
      <c r="AF55" s="301">
        <v>1974</v>
      </c>
      <c r="AG55" s="301">
        <v>1975</v>
      </c>
      <c r="AH55" s="301">
        <v>1976</v>
      </c>
      <c r="AI55" s="301">
        <v>1977</v>
      </c>
      <c r="AJ55" s="301">
        <v>1978</v>
      </c>
      <c r="AK55" s="301">
        <v>1979</v>
      </c>
      <c r="AL55" s="301">
        <v>1980</v>
      </c>
      <c r="AM55" s="301">
        <v>1981</v>
      </c>
      <c r="AN55" s="301">
        <v>1982</v>
      </c>
      <c r="AO55" s="301">
        <v>1983</v>
      </c>
      <c r="AP55" s="301">
        <v>1984</v>
      </c>
      <c r="AQ55" s="301">
        <v>1985</v>
      </c>
      <c r="AR55" s="301">
        <v>1986</v>
      </c>
      <c r="AS55" s="301">
        <v>1987</v>
      </c>
      <c r="AT55" s="301">
        <v>1988</v>
      </c>
      <c r="AU55" s="301">
        <v>1989</v>
      </c>
      <c r="AV55" s="301">
        <v>1990</v>
      </c>
      <c r="AW55" s="301">
        <v>1991</v>
      </c>
      <c r="AX55" s="301">
        <v>1992</v>
      </c>
      <c r="AY55" s="301">
        <v>1993</v>
      </c>
      <c r="AZ55" s="301">
        <v>1994</v>
      </c>
      <c r="BA55" s="301">
        <v>1995</v>
      </c>
      <c r="BB55" s="301">
        <v>1996</v>
      </c>
      <c r="BC55" s="301">
        <v>1997</v>
      </c>
      <c r="BD55" s="301">
        <v>1998</v>
      </c>
      <c r="BE55" s="301">
        <v>1999</v>
      </c>
      <c r="BF55" s="301">
        <v>2000</v>
      </c>
      <c r="BG55" s="301">
        <v>2001</v>
      </c>
      <c r="BH55" s="301">
        <v>2002</v>
      </c>
      <c r="BI55" s="301">
        <v>2003</v>
      </c>
      <c r="BJ55" s="301">
        <v>2004</v>
      </c>
      <c r="BK55" s="301">
        <v>2005</v>
      </c>
      <c r="BL55" s="301">
        <v>2006</v>
      </c>
      <c r="BM55" s="301">
        <v>2007</v>
      </c>
      <c r="BN55" s="301">
        <v>2008</v>
      </c>
      <c r="BO55" s="301">
        <v>2009</v>
      </c>
      <c r="BP55" s="301">
        <v>2010</v>
      </c>
      <c r="BQ55" s="301">
        <v>2011</v>
      </c>
      <c r="BR55" s="301">
        <v>2012</v>
      </c>
      <c r="BS55" s="301">
        <v>2013</v>
      </c>
      <c r="BT55" s="301">
        <v>2014</v>
      </c>
      <c r="BU55" s="301">
        <v>2015</v>
      </c>
      <c r="BV55" s="301">
        <v>2016</v>
      </c>
      <c r="BW55" s="301">
        <v>2017</v>
      </c>
      <c r="BX55" s="301">
        <v>2018</v>
      </c>
      <c r="BY55" s="301">
        <v>2019</v>
      </c>
      <c r="BZ55" s="301">
        <v>2020</v>
      </c>
      <c r="CA55" s="301">
        <v>2021</v>
      </c>
      <c r="CB55" s="301">
        <v>2022</v>
      </c>
      <c r="CC55" s="301">
        <v>2023</v>
      </c>
      <c r="CD55" s="301">
        <v>2024</v>
      </c>
      <c r="CE55" s="301">
        <v>2025</v>
      </c>
      <c r="CF55" s="301">
        <v>2026</v>
      </c>
      <c r="CG55" s="301">
        <v>2027</v>
      </c>
      <c r="CH55" s="301">
        <v>2028</v>
      </c>
      <c r="CI55" s="301">
        <v>2029</v>
      </c>
      <c r="CJ55" s="302">
        <v>2030</v>
      </c>
    </row>
    <row r="56" spans="2:88" hidden="1" outlineLevel="1">
      <c r="B56" s="303" t="s">
        <v>58</v>
      </c>
      <c r="C56" s="304"/>
      <c r="D56" s="304"/>
      <c r="E56" s="304"/>
      <c r="F56" s="304"/>
      <c r="G56" s="304"/>
      <c r="H56" s="304"/>
      <c r="I56" s="304"/>
      <c r="J56" s="304"/>
      <c r="K56" s="304"/>
      <c r="L56" s="304"/>
      <c r="M56" s="304"/>
      <c r="N56" s="304"/>
      <c r="O56" s="304"/>
      <c r="P56" s="304"/>
      <c r="Q56" s="304"/>
      <c r="R56" s="304"/>
      <c r="S56" s="304"/>
      <c r="T56" s="304"/>
      <c r="U56" s="304"/>
      <c r="V56" s="304"/>
      <c r="W56" s="304"/>
      <c r="X56" s="304"/>
      <c r="Y56" s="304"/>
      <c r="Z56" s="304"/>
      <c r="AA56" s="304"/>
      <c r="AB56" s="304"/>
      <c r="AC56" s="304"/>
      <c r="AD56" s="304"/>
      <c r="AE56" s="304"/>
      <c r="AF56" s="304"/>
      <c r="AG56" s="304"/>
      <c r="AH56" s="304"/>
      <c r="AI56" s="304"/>
      <c r="AJ56" s="304"/>
      <c r="AK56" s="304"/>
      <c r="AL56" s="304"/>
      <c r="AM56" s="304"/>
      <c r="AN56" s="304"/>
      <c r="AO56" s="304"/>
      <c r="AP56" s="304"/>
      <c r="AQ56" s="304"/>
      <c r="AR56" s="304"/>
      <c r="AS56" s="304"/>
      <c r="AT56" s="304"/>
      <c r="AU56" s="304"/>
      <c r="AV56" s="304"/>
      <c r="AW56" s="304"/>
      <c r="AX56" s="304"/>
      <c r="AY56" s="304"/>
      <c r="AZ56" s="304"/>
      <c r="BA56" s="304"/>
      <c r="BB56" s="304"/>
      <c r="BC56" s="304"/>
      <c r="BD56" s="304"/>
      <c r="BE56" s="304"/>
      <c r="BF56" s="304"/>
      <c r="BG56" s="304"/>
      <c r="BH56" s="304"/>
      <c r="BI56" s="304"/>
      <c r="BJ56" s="304"/>
      <c r="BK56" s="304"/>
      <c r="BL56" s="304"/>
      <c r="BM56" s="304"/>
      <c r="BN56" s="304"/>
      <c r="BO56" s="304"/>
      <c r="BP56" s="304"/>
      <c r="BQ56" s="304"/>
      <c r="BR56" s="304"/>
      <c r="BS56" s="304"/>
      <c r="BT56" s="304"/>
      <c r="BU56" s="304"/>
      <c r="BV56" s="305"/>
      <c r="BW56" s="306">
        <v>0</v>
      </c>
      <c r="BX56" s="306">
        <f>BX46*0.6</f>
        <v>0</v>
      </c>
      <c r="BY56" s="306">
        <f t="shared" ref="BY56" si="14">BY46*0.6</f>
        <v>0</v>
      </c>
      <c r="BZ56" s="306">
        <v>0</v>
      </c>
      <c r="CA56" s="306">
        <v>0</v>
      </c>
      <c r="CB56" s="306">
        <v>0</v>
      </c>
      <c r="CC56" s="306">
        <v>0</v>
      </c>
      <c r="CD56" s="306">
        <v>0</v>
      </c>
      <c r="CE56" s="306">
        <v>0</v>
      </c>
      <c r="CF56" s="306">
        <v>0</v>
      </c>
      <c r="CG56" s="306">
        <v>0</v>
      </c>
      <c r="CH56" s="306">
        <v>0</v>
      </c>
      <c r="CI56" s="306">
        <v>0</v>
      </c>
      <c r="CJ56" s="306">
        <v>0</v>
      </c>
    </row>
    <row r="57" spans="2:88" hidden="1" outlineLevel="1">
      <c r="B57" s="303" t="s">
        <v>59</v>
      </c>
      <c r="C57" s="304"/>
      <c r="D57" s="304"/>
      <c r="E57" s="304"/>
      <c r="F57" s="304"/>
      <c r="G57" s="304"/>
      <c r="H57" s="304"/>
      <c r="I57" s="304"/>
      <c r="J57" s="304"/>
      <c r="K57" s="304"/>
      <c r="L57" s="304"/>
      <c r="M57" s="304"/>
      <c r="N57" s="304"/>
      <c r="O57" s="304"/>
      <c r="P57" s="304"/>
      <c r="Q57" s="304"/>
      <c r="R57" s="304"/>
      <c r="S57" s="304"/>
      <c r="T57" s="304"/>
      <c r="U57" s="304"/>
      <c r="V57" s="304"/>
      <c r="W57" s="304"/>
      <c r="X57" s="304"/>
      <c r="Y57" s="304"/>
      <c r="Z57" s="304"/>
      <c r="AA57" s="304"/>
      <c r="AB57" s="304"/>
      <c r="AC57" s="304"/>
      <c r="AD57" s="304"/>
      <c r="AE57" s="304"/>
      <c r="AF57" s="304"/>
      <c r="AG57" s="304"/>
      <c r="AH57" s="304"/>
      <c r="AI57" s="304"/>
      <c r="AJ57" s="304"/>
      <c r="AK57" s="304"/>
      <c r="AL57" s="304"/>
      <c r="AM57" s="304"/>
      <c r="AN57" s="304"/>
      <c r="AO57" s="304"/>
      <c r="AP57" s="304"/>
      <c r="AQ57" s="304"/>
      <c r="AR57" s="304"/>
      <c r="AS57" s="304"/>
      <c r="AT57" s="304"/>
      <c r="AU57" s="304"/>
      <c r="AV57" s="304"/>
      <c r="AW57" s="304"/>
      <c r="AX57" s="304"/>
      <c r="AY57" s="304"/>
      <c r="AZ57" s="304"/>
      <c r="BA57" s="304"/>
      <c r="BB57" s="304"/>
      <c r="BC57" s="304"/>
      <c r="BD57" s="304"/>
      <c r="BE57" s="304"/>
      <c r="BF57" s="304"/>
      <c r="BG57" s="304"/>
      <c r="BH57" s="304"/>
      <c r="BI57" s="304"/>
      <c r="BJ57" s="304"/>
      <c r="BK57" s="304"/>
      <c r="BL57" s="304"/>
      <c r="BM57" s="304"/>
      <c r="BN57" s="304"/>
      <c r="BO57" s="304"/>
      <c r="BP57" s="304"/>
      <c r="BQ57" s="304"/>
      <c r="BR57" s="304"/>
      <c r="BS57" s="304"/>
      <c r="BT57" s="304"/>
      <c r="BU57" s="304"/>
      <c r="BV57" s="305"/>
      <c r="BW57" s="306">
        <v>0</v>
      </c>
      <c r="BX57" s="306">
        <f t="shared" ref="BX57:BY57" si="15">BX47*0.6</f>
        <v>0</v>
      </c>
      <c r="BY57" s="306">
        <f t="shared" si="15"/>
        <v>0</v>
      </c>
      <c r="BZ57" s="306">
        <v>0</v>
      </c>
      <c r="CA57" s="306">
        <v>0</v>
      </c>
      <c r="CB57" s="306">
        <v>0</v>
      </c>
      <c r="CC57" s="306">
        <v>0</v>
      </c>
      <c r="CD57" s="306">
        <v>0</v>
      </c>
      <c r="CE57" s="306">
        <v>0</v>
      </c>
      <c r="CF57" s="306">
        <v>0</v>
      </c>
      <c r="CG57" s="306">
        <v>0</v>
      </c>
      <c r="CH57" s="306">
        <v>0</v>
      </c>
      <c r="CI57" s="306">
        <v>0</v>
      </c>
      <c r="CJ57" s="306">
        <v>0</v>
      </c>
    </row>
    <row r="58" spans="2:88" hidden="1" outlineLevel="1">
      <c r="B58" s="307" t="s">
        <v>60</v>
      </c>
      <c r="C58" s="304"/>
      <c r="D58" s="304"/>
      <c r="E58" s="304"/>
      <c r="F58" s="304"/>
      <c r="G58" s="304"/>
      <c r="H58" s="304"/>
      <c r="I58" s="304"/>
      <c r="J58" s="304"/>
      <c r="K58" s="304"/>
      <c r="L58" s="304"/>
      <c r="M58" s="304"/>
      <c r="N58" s="304"/>
      <c r="O58" s="304"/>
      <c r="P58" s="304"/>
      <c r="Q58" s="304"/>
      <c r="R58" s="304"/>
      <c r="S58" s="304"/>
      <c r="T58" s="304"/>
      <c r="U58" s="304"/>
      <c r="V58" s="304"/>
      <c r="W58" s="304"/>
      <c r="X58" s="304"/>
      <c r="Y58" s="304"/>
      <c r="Z58" s="304"/>
      <c r="AA58" s="304"/>
      <c r="AB58" s="304"/>
      <c r="AC58" s="304"/>
      <c r="AD58" s="304"/>
      <c r="AE58" s="304"/>
      <c r="AF58" s="304"/>
      <c r="AG58" s="304"/>
      <c r="AH58" s="304"/>
      <c r="AI58" s="304"/>
      <c r="AJ58" s="304"/>
      <c r="AK58" s="304"/>
      <c r="AL58" s="304"/>
      <c r="AM58" s="304"/>
      <c r="AN58" s="304"/>
      <c r="AO58" s="304"/>
      <c r="AP58" s="304"/>
      <c r="AQ58" s="304"/>
      <c r="AR58" s="304"/>
      <c r="AS58" s="304"/>
      <c r="AT58" s="304"/>
      <c r="AU58" s="304"/>
      <c r="AV58" s="304"/>
      <c r="AW58" s="304"/>
      <c r="AX58" s="304"/>
      <c r="AY58" s="304"/>
      <c r="AZ58" s="304"/>
      <c r="BA58" s="304"/>
      <c r="BB58" s="304"/>
      <c r="BC58" s="304"/>
      <c r="BD58" s="304"/>
      <c r="BE58" s="304"/>
      <c r="BF58" s="304"/>
      <c r="BG58" s="304"/>
      <c r="BH58" s="304"/>
      <c r="BI58" s="304"/>
      <c r="BJ58" s="304"/>
      <c r="BK58" s="304"/>
      <c r="BL58" s="304"/>
      <c r="BM58" s="304"/>
      <c r="BN58" s="304"/>
      <c r="BO58" s="304"/>
      <c r="BP58" s="304"/>
      <c r="BQ58" s="304"/>
      <c r="BR58" s="304"/>
      <c r="BS58" s="304"/>
      <c r="BT58" s="304"/>
      <c r="BU58" s="304"/>
      <c r="BV58" s="305"/>
      <c r="BW58" s="306">
        <v>0</v>
      </c>
      <c r="BX58" s="306">
        <f t="shared" ref="BX58:BY58" si="16">BX48*0.6</f>
        <v>0</v>
      </c>
      <c r="BY58" s="306">
        <f t="shared" si="16"/>
        <v>0</v>
      </c>
      <c r="BZ58" s="306">
        <v>0</v>
      </c>
      <c r="CA58" s="306">
        <v>0</v>
      </c>
      <c r="CB58" s="306">
        <v>0</v>
      </c>
      <c r="CC58" s="306">
        <v>0</v>
      </c>
      <c r="CD58" s="306">
        <v>0</v>
      </c>
      <c r="CE58" s="306">
        <v>0</v>
      </c>
      <c r="CF58" s="306">
        <v>0</v>
      </c>
      <c r="CG58" s="306">
        <v>0</v>
      </c>
      <c r="CH58" s="306">
        <v>0</v>
      </c>
      <c r="CI58" s="306">
        <v>0</v>
      </c>
      <c r="CJ58" s="306">
        <v>0</v>
      </c>
    </row>
    <row r="59" spans="2:88" hidden="1" outlineLevel="1"/>
    <row r="60" spans="2:88" hidden="1" outlineLevel="2">
      <c r="B60" s="300" t="s">
        <v>386</v>
      </c>
      <c r="C60" s="301">
        <v>1945</v>
      </c>
      <c r="D60" s="301">
        <v>1946</v>
      </c>
      <c r="E60" s="301">
        <v>1947</v>
      </c>
      <c r="F60" s="301">
        <v>1948</v>
      </c>
      <c r="G60" s="301">
        <v>1949</v>
      </c>
      <c r="H60" s="301">
        <v>1950</v>
      </c>
      <c r="I60" s="301">
        <v>1951</v>
      </c>
      <c r="J60" s="301">
        <v>1952</v>
      </c>
      <c r="K60" s="301">
        <v>1953</v>
      </c>
      <c r="L60" s="301">
        <v>1954</v>
      </c>
      <c r="M60" s="301">
        <v>1955</v>
      </c>
      <c r="N60" s="301">
        <v>1956</v>
      </c>
      <c r="O60" s="301">
        <v>1957</v>
      </c>
      <c r="P60" s="301">
        <v>1958</v>
      </c>
      <c r="Q60" s="301">
        <v>1959</v>
      </c>
      <c r="R60" s="301">
        <v>1960</v>
      </c>
      <c r="S60" s="301">
        <v>1961</v>
      </c>
      <c r="T60" s="301">
        <v>1962</v>
      </c>
      <c r="U60" s="301">
        <v>1963</v>
      </c>
      <c r="V60" s="301">
        <v>1964</v>
      </c>
      <c r="W60" s="301">
        <v>1965</v>
      </c>
      <c r="X60" s="301">
        <v>1966</v>
      </c>
      <c r="Y60" s="301">
        <v>1967</v>
      </c>
      <c r="Z60" s="301">
        <v>1968</v>
      </c>
      <c r="AA60" s="301">
        <v>1969</v>
      </c>
      <c r="AB60" s="301">
        <v>1970</v>
      </c>
      <c r="AC60" s="301">
        <v>1971</v>
      </c>
      <c r="AD60" s="301">
        <v>1972</v>
      </c>
      <c r="AE60" s="301">
        <v>1973</v>
      </c>
      <c r="AF60" s="301">
        <v>1974</v>
      </c>
      <c r="AG60" s="301">
        <v>1975</v>
      </c>
      <c r="AH60" s="301">
        <v>1976</v>
      </c>
      <c r="AI60" s="301">
        <v>1977</v>
      </c>
      <c r="AJ60" s="301">
        <v>1978</v>
      </c>
      <c r="AK60" s="301">
        <v>1979</v>
      </c>
      <c r="AL60" s="301">
        <v>1980</v>
      </c>
      <c r="AM60" s="301">
        <v>1981</v>
      </c>
      <c r="AN60" s="301">
        <v>1982</v>
      </c>
      <c r="AO60" s="301">
        <v>1983</v>
      </c>
      <c r="AP60" s="301">
        <v>1984</v>
      </c>
      <c r="AQ60" s="301">
        <v>1985</v>
      </c>
      <c r="AR60" s="301">
        <v>1986</v>
      </c>
      <c r="AS60" s="301">
        <v>1987</v>
      </c>
      <c r="AT60" s="301">
        <v>1988</v>
      </c>
      <c r="AU60" s="301">
        <v>1989</v>
      </c>
      <c r="AV60" s="301">
        <v>1990</v>
      </c>
      <c r="AW60" s="301">
        <v>1991</v>
      </c>
      <c r="AX60" s="301">
        <v>1992</v>
      </c>
      <c r="AY60" s="301">
        <v>1993</v>
      </c>
      <c r="AZ60" s="301">
        <v>1994</v>
      </c>
      <c r="BA60" s="301">
        <v>1995</v>
      </c>
      <c r="BB60" s="301">
        <v>1996</v>
      </c>
      <c r="BC60" s="301">
        <v>1997</v>
      </c>
      <c r="BD60" s="301">
        <v>1998</v>
      </c>
      <c r="BE60" s="301">
        <v>1999</v>
      </c>
      <c r="BF60" s="301">
        <v>2000</v>
      </c>
      <c r="BG60" s="301">
        <v>2001</v>
      </c>
      <c r="BH60" s="301">
        <v>2002</v>
      </c>
      <c r="BI60" s="301">
        <v>2003</v>
      </c>
      <c r="BJ60" s="301">
        <v>2004</v>
      </c>
      <c r="BK60" s="301">
        <v>2005</v>
      </c>
      <c r="BL60" s="301">
        <v>2006</v>
      </c>
      <c r="BM60" s="301">
        <v>2007</v>
      </c>
      <c r="BN60" s="301">
        <v>2008</v>
      </c>
      <c r="BO60" s="301">
        <v>2009</v>
      </c>
      <c r="BP60" s="301">
        <v>2010</v>
      </c>
      <c r="BQ60" s="301">
        <v>2011</v>
      </c>
      <c r="BR60" s="301">
        <v>2012</v>
      </c>
      <c r="BS60" s="301">
        <v>2013</v>
      </c>
      <c r="BT60" s="301">
        <v>2014</v>
      </c>
      <c r="BU60" s="301">
        <v>2015</v>
      </c>
      <c r="BV60" s="301">
        <v>2016</v>
      </c>
      <c r="BW60" s="301">
        <v>2017</v>
      </c>
      <c r="BX60" s="301">
        <v>2018</v>
      </c>
      <c r="BY60" s="301">
        <v>2019</v>
      </c>
      <c r="BZ60" s="301">
        <v>2020</v>
      </c>
      <c r="CA60" s="301">
        <v>2021</v>
      </c>
      <c r="CB60" s="301">
        <v>2022</v>
      </c>
      <c r="CC60" s="301">
        <v>2023</v>
      </c>
      <c r="CD60" s="301">
        <v>2024</v>
      </c>
      <c r="CE60" s="301">
        <v>2025</v>
      </c>
      <c r="CF60" s="301">
        <v>2026</v>
      </c>
      <c r="CG60" s="301">
        <v>2027</v>
      </c>
      <c r="CH60" s="301">
        <v>2028</v>
      </c>
      <c r="CI60" s="301">
        <v>2029</v>
      </c>
      <c r="CJ60" s="302">
        <v>2030</v>
      </c>
    </row>
    <row r="61" spans="2:88" hidden="1" outlineLevel="2">
      <c r="B61" s="303" t="s">
        <v>58</v>
      </c>
      <c r="C61" s="304"/>
      <c r="D61" s="304"/>
      <c r="E61" s="304"/>
      <c r="F61" s="304"/>
      <c r="G61" s="304"/>
      <c r="H61" s="304"/>
      <c r="I61" s="304"/>
      <c r="J61" s="304"/>
      <c r="K61" s="304"/>
      <c r="L61" s="304"/>
      <c r="M61" s="304"/>
      <c r="N61" s="304"/>
      <c r="O61" s="304"/>
      <c r="P61" s="304"/>
      <c r="Q61" s="304"/>
      <c r="R61" s="304"/>
      <c r="S61" s="304"/>
      <c r="T61" s="304"/>
      <c r="U61" s="304"/>
      <c r="V61" s="304"/>
      <c r="W61" s="304"/>
      <c r="X61" s="304"/>
      <c r="Y61" s="304"/>
      <c r="Z61" s="304"/>
      <c r="AA61" s="304"/>
      <c r="AB61" s="304"/>
      <c r="AC61" s="304"/>
      <c r="AD61" s="304"/>
      <c r="AE61" s="304"/>
      <c r="AF61" s="304"/>
      <c r="AG61" s="304"/>
      <c r="AH61" s="304"/>
      <c r="AI61" s="304"/>
      <c r="AJ61" s="304"/>
      <c r="AK61" s="304"/>
      <c r="AL61" s="304"/>
      <c r="AM61" s="304"/>
      <c r="AN61" s="304"/>
      <c r="AO61" s="304"/>
      <c r="AP61" s="304"/>
      <c r="AQ61" s="304"/>
      <c r="AR61" s="304"/>
      <c r="AS61" s="304"/>
      <c r="AT61" s="304"/>
      <c r="AU61" s="304"/>
      <c r="AV61" s="304"/>
      <c r="AW61" s="304"/>
      <c r="AX61" s="304"/>
      <c r="AY61" s="304"/>
      <c r="AZ61" s="304"/>
      <c r="BA61" s="304"/>
      <c r="BB61" s="304"/>
      <c r="BC61" s="304"/>
      <c r="BD61" s="304"/>
      <c r="BE61" s="304"/>
      <c r="BF61" s="304"/>
      <c r="BG61" s="304"/>
      <c r="BH61" s="304"/>
      <c r="BI61" s="304"/>
      <c r="BJ61" s="304"/>
      <c r="BK61" s="304"/>
      <c r="BL61" s="304"/>
      <c r="BM61" s="304"/>
      <c r="BN61" s="304"/>
      <c r="BO61" s="304"/>
      <c r="BP61" s="304"/>
      <c r="BQ61" s="304"/>
      <c r="BR61" s="304"/>
      <c r="BS61" s="304"/>
      <c r="BT61" s="304"/>
      <c r="BU61" s="304"/>
      <c r="BV61" s="305"/>
      <c r="BW61" s="306">
        <v>0</v>
      </c>
      <c r="BX61" s="306">
        <v>0</v>
      </c>
      <c r="BY61" s="306">
        <v>0</v>
      </c>
      <c r="BZ61" s="306">
        <v>0</v>
      </c>
      <c r="CA61" s="306">
        <v>0</v>
      </c>
      <c r="CB61" s="306">
        <v>0</v>
      </c>
      <c r="CC61" s="306">
        <v>0</v>
      </c>
      <c r="CD61" s="306">
        <v>0</v>
      </c>
      <c r="CE61" s="306">
        <v>0</v>
      </c>
      <c r="CF61" s="306">
        <v>0</v>
      </c>
      <c r="CG61" s="306">
        <v>0</v>
      </c>
      <c r="CH61" s="306">
        <v>0</v>
      </c>
      <c r="CI61" s="306">
        <v>0</v>
      </c>
      <c r="CJ61" s="306">
        <v>0</v>
      </c>
    </row>
    <row r="62" spans="2:88" hidden="1" outlineLevel="2">
      <c r="B62" s="303" t="s">
        <v>59</v>
      </c>
      <c r="C62" s="304"/>
      <c r="D62" s="304"/>
      <c r="E62" s="304"/>
      <c r="F62" s="304"/>
      <c r="G62" s="304"/>
      <c r="H62" s="304"/>
      <c r="I62" s="304"/>
      <c r="J62" s="304"/>
      <c r="K62" s="304"/>
      <c r="L62" s="304"/>
      <c r="M62" s="304"/>
      <c r="N62" s="304"/>
      <c r="O62" s="304"/>
      <c r="P62" s="304"/>
      <c r="Q62" s="304"/>
      <c r="R62" s="304"/>
      <c r="S62" s="304"/>
      <c r="T62" s="304"/>
      <c r="U62" s="304"/>
      <c r="V62" s="304"/>
      <c r="W62" s="304"/>
      <c r="X62" s="304"/>
      <c r="Y62" s="304"/>
      <c r="Z62" s="304"/>
      <c r="AA62" s="304"/>
      <c r="AB62" s="304"/>
      <c r="AC62" s="304"/>
      <c r="AD62" s="304"/>
      <c r="AE62" s="304"/>
      <c r="AF62" s="304"/>
      <c r="AG62" s="304"/>
      <c r="AH62" s="304"/>
      <c r="AI62" s="304"/>
      <c r="AJ62" s="304"/>
      <c r="AK62" s="304"/>
      <c r="AL62" s="304"/>
      <c r="AM62" s="304"/>
      <c r="AN62" s="304"/>
      <c r="AO62" s="304"/>
      <c r="AP62" s="304"/>
      <c r="AQ62" s="304"/>
      <c r="AR62" s="304"/>
      <c r="AS62" s="304"/>
      <c r="AT62" s="304"/>
      <c r="AU62" s="304"/>
      <c r="AV62" s="304"/>
      <c r="AW62" s="304"/>
      <c r="AX62" s="304"/>
      <c r="AY62" s="304"/>
      <c r="AZ62" s="304"/>
      <c r="BA62" s="304"/>
      <c r="BB62" s="304"/>
      <c r="BC62" s="304"/>
      <c r="BD62" s="304"/>
      <c r="BE62" s="304"/>
      <c r="BF62" s="304"/>
      <c r="BG62" s="304"/>
      <c r="BH62" s="304"/>
      <c r="BI62" s="304"/>
      <c r="BJ62" s="304"/>
      <c r="BK62" s="304"/>
      <c r="BL62" s="304"/>
      <c r="BM62" s="304"/>
      <c r="BN62" s="304"/>
      <c r="BO62" s="304"/>
      <c r="BP62" s="304"/>
      <c r="BQ62" s="304"/>
      <c r="BR62" s="304"/>
      <c r="BS62" s="304"/>
      <c r="BT62" s="304"/>
      <c r="BU62" s="304"/>
      <c r="BV62" s="305"/>
      <c r="BW62" s="306">
        <v>0</v>
      </c>
      <c r="BX62" s="306">
        <v>0</v>
      </c>
      <c r="BY62" s="306">
        <v>0</v>
      </c>
      <c r="BZ62" s="306">
        <v>0</v>
      </c>
      <c r="CA62" s="306">
        <v>0</v>
      </c>
      <c r="CB62" s="306">
        <v>0</v>
      </c>
      <c r="CC62" s="306">
        <v>0</v>
      </c>
      <c r="CD62" s="306">
        <v>0</v>
      </c>
      <c r="CE62" s="306">
        <v>0</v>
      </c>
      <c r="CF62" s="306">
        <v>0</v>
      </c>
      <c r="CG62" s="306">
        <v>0</v>
      </c>
      <c r="CH62" s="306">
        <v>0</v>
      </c>
      <c r="CI62" s="306">
        <v>0</v>
      </c>
      <c r="CJ62" s="306">
        <v>0</v>
      </c>
    </row>
    <row r="63" spans="2:88" hidden="1" outlineLevel="2">
      <c r="B63" s="307" t="s">
        <v>60</v>
      </c>
      <c r="C63" s="304"/>
      <c r="D63" s="304"/>
      <c r="E63" s="304"/>
      <c r="F63" s="304"/>
      <c r="G63" s="304"/>
      <c r="H63" s="304"/>
      <c r="I63" s="304"/>
      <c r="J63" s="304"/>
      <c r="K63" s="304"/>
      <c r="L63" s="304"/>
      <c r="M63" s="304"/>
      <c r="N63" s="304"/>
      <c r="O63" s="304"/>
      <c r="P63" s="304"/>
      <c r="Q63" s="304"/>
      <c r="R63" s="304"/>
      <c r="S63" s="304"/>
      <c r="T63" s="304"/>
      <c r="U63" s="304"/>
      <c r="V63" s="304"/>
      <c r="W63" s="304"/>
      <c r="X63" s="304"/>
      <c r="Y63" s="304"/>
      <c r="Z63" s="304"/>
      <c r="AA63" s="304"/>
      <c r="AB63" s="304"/>
      <c r="AC63" s="304"/>
      <c r="AD63" s="304"/>
      <c r="AE63" s="304"/>
      <c r="AF63" s="304"/>
      <c r="AG63" s="304"/>
      <c r="AH63" s="304"/>
      <c r="AI63" s="304"/>
      <c r="AJ63" s="304"/>
      <c r="AK63" s="304"/>
      <c r="AL63" s="304"/>
      <c r="AM63" s="304"/>
      <c r="AN63" s="304"/>
      <c r="AO63" s="304"/>
      <c r="AP63" s="304"/>
      <c r="AQ63" s="304"/>
      <c r="AR63" s="304"/>
      <c r="AS63" s="304"/>
      <c r="AT63" s="304"/>
      <c r="AU63" s="304"/>
      <c r="AV63" s="304"/>
      <c r="AW63" s="304"/>
      <c r="AX63" s="304"/>
      <c r="AY63" s="304"/>
      <c r="AZ63" s="304"/>
      <c r="BA63" s="304"/>
      <c r="BB63" s="304"/>
      <c r="BC63" s="304"/>
      <c r="BD63" s="304"/>
      <c r="BE63" s="304"/>
      <c r="BF63" s="304"/>
      <c r="BG63" s="304"/>
      <c r="BH63" s="304"/>
      <c r="BI63" s="304"/>
      <c r="BJ63" s="304"/>
      <c r="BK63" s="304"/>
      <c r="BL63" s="304"/>
      <c r="BM63" s="304"/>
      <c r="BN63" s="304"/>
      <c r="BO63" s="304"/>
      <c r="BP63" s="304"/>
      <c r="BQ63" s="304"/>
      <c r="BR63" s="304"/>
      <c r="BS63" s="304"/>
      <c r="BT63" s="304"/>
      <c r="BU63" s="304"/>
      <c r="BV63" s="305"/>
      <c r="BW63" s="306">
        <v>0</v>
      </c>
      <c r="BX63" s="306">
        <v>0</v>
      </c>
      <c r="BY63" s="306">
        <v>0</v>
      </c>
      <c r="BZ63" s="306">
        <v>0</v>
      </c>
      <c r="CA63" s="306">
        <v>0</v>
      </c>
      <c r="CB63" s="306">
        <v>0</v>
      </c>
      <c r="CC63" s="306">
        <v>0</v>
      </c>
      <c r="CD63" s="306">
        <v>0</v>
      </c>
      <c r="CE63" s="306">
        <v>0</v>
      </c>
      <c r="CF63" s="306">
        <v>0</v>
      </c>
      <c r="CG63" s="306">
        <v>0</v>
      </c>
      <c r="CH63" s="306">
        <v>0</v>
      </c>
      <c r="CI63" s="306">
        <v>0</v>
      </c>
      <c r="CJ63" s="306">
        <v>0</v>
      </c>
    </row>
    <row r="64" spans="2:88" hidden="1" outlineLevel="2">
      <c r="B64" s="308"/>
      <c r="C64" s="304"/>
      <c r="D64" s="304"/>
      <c r="E64" s="304"/>
      <c r="F64" s="304"/>
      <c r="G64" s="304"/>
      <c r="H64" s="304"/>
      <c r="I64" s="304"/>
      <c r="J64" s="304"/>
      <c r="K64" s="304"/>
      <c r="L64" s="304"/>
      <c r="M64" s="304"/>
      <c r="N64" s="304"/>
      <c r="O64" s="304"/>
      <c r="P64" s="304"/>
      <c r="Q64" s="304"/>
      <c r="R64" s="304"/>
      <c r="S64" s="304"/>
      <c r="T64" s="304"/>
      <c r="U64" s="304"/>
      <c r="V64" s="304"/>
      <c r="W64" s="304"/>
      <c r="X64" s="304"/>
      <c r="Y64" s="304"/>
      <c r="Z64" s="304"/>
      <c r="AA64" s="304"/>
      <c r="AB64" s="304"/>
      <c r="AC64" s="304"/>
      <c r="AD64" s="304"/>
      <c r="AE64" s="304"/>
      <c r="AF64" s="304"/>
      <c r="AG64" s="304"/>
      <c r="AH64" s="304"/>
      <c r="AI64" s="304"/>
      <c r="AJ64" s="304"/>
      <c r="AK64" s="304"/>
      <c r="AL64" s="304"/>
      <c r="AM64" s="304"/>
      <c r="AN64" s="304"/>
      <c r="AO64" s="304"/>
      <c r="AP64" s="304"/>
      <c r="AQ64" s="304"/>
      <c r="AR64" s="304"/>
      <c r="AS64" s="304"/>
      <c r="AT64" s="304"/>
      <c r="AU64" s="304"/>
      <c r="AV64" s="304"/>
      <c r="AW64" s="304"/>
      <c r="AX64" s="304"/>
      <c r="AY64" s="304"/>
      <c r="AZ64" s="304"/>
      <c r="BA64" s="304"/>
      <c r="BB64" s="304"/>
      <c r="BC64" s="304"/>
      <c r="BD64" s="304"/>
      <c r="BE64" s="304"/>
      <c r="BF64" s="304"/>
      <c r="BG64" s="304"/>
      <c r="BH64" s="304"/>
      <c r="BI64" s="304"/>
      <c r="BJ64" s="304"/>
      <c r="BK64" s="304"/>
      <c r="BL64" s="304"/>
      <c r="BM64" s="304"/>
      <c r="BN64" s="304"/>
      <c r="BO64" s="304"/>
      <c r="BP64" s="304"/>
      <c r="BQ64" s="304"/>
      <c r="BR64" s="304"/>
      <c r="BS64" s="304"/>
      <c r="BT64" s="304"/>
      <c r="BU64" s="304"/>
      <c r="BV64" s="309"/>
      <c r="BW64" s="309"/>
      <c r="BX64" s="305"/>
      <c r="BY64" s="305"/>
      <c r="BZ64" s="305"/>
      <c r="CA64" s="305"/>
      <c r="CB64" s="305"/>
      <c r="CC64" s="305"/>
      <c r="CD64" s="305"/>
      <c r="CE64" s="305"/>
      <c r="CF64" s="305"/>
      <c r="CG64" s="305"/>
      <c r="CH64" s="305"/>
      <c r="CI64" s="305"/>
      <c r="CJ64" s="305"/>
    </row>
    <row r="65" spans="2:88" hidden="1" outlineLevel="1" collapsed="1">
      <c r="B65" s="300" t="s">
        <v>331</v>
      </c>
      <c r="C65" s="301">
        <v>1945</v>
      </c>
      <c r="D65" s="301">
        <v>1946</v>
      </c>
      <c r="E65" s="301">
        <v>1947</v>
      </c>
      <c r="F65" s="301">
        <v>1948</v>
      </c>
      <c r="G65" s="301">
        <v>1949</v>
      </c>
      <c r="H65" s="301">
        <v>1950</v>
      </c>
      <c r="I65" s="301">
        <v>1951</v>
      </c>
      <c r="J65" s="301">
        <v>1952</v>
      </c>
      <c r="K65" s="301">
        <v>1953</v>
      </c>
      <c r="L65" s="301">
        <v>1954</v>
      </c>
      <c r="M65" s="301">
        <v>1955</v>
      </c>
      <c r="N65" s="301">
        <v>1956</v>
      </c>
      <c r="O65" s="301">
        <v>1957</v>
      </c>
      <c r="P65" s="301">
        <v>1958</v>
      </c>
      <c r="Q65" s="301">
        <v>1959</v>
      </c>
      <c r="R65" s="301">
        <v>1960</v>
      </c>
      <c r="S65" s="301">
        <v>1961</v>
      </c>
      <c r="T65" s="301">
        <v>1962</v>
      </c>
      <c r="U65" s="301">
        <v>1963</v>
      </c>
      <c r="V65" s="301">
        <v>1964</v>
      </c>
      <c r="W65" s="301">
        <v>1965</v>
      </c>
      <c r="X65" s="301">
        <v>1966</v>
      </c>
      <c r="Y65" s="301">
        <v>1967</v>
      </c>
      <c r="Z65" s="301">
        <v>1968</v>
      </c>
      <c r="AA65" s="301">
        <v>1969</v>
      </c>
      <c r="AB65" s="301">
        <v>1970</v>
      </c>
      <c r="AC65" s="301">
        <v>1971</v>
      </c>
      <c r="AD65" s="301">
        <v>1972</v>
      </c>
      <c r="AE65" s="301">
        <v>1973</v>
      </c>
      <c r="AF65" s="301">
        <v>1974</v>
      </c>
      <c r="AG65" s="301">
        <v>1975</v>
      </c>
      <c r="AH65" s="301">
        <v>1976</v>
      </c>
      <c r="AI65" s="301">
        <v>1977</v>
      </c>
      <c r="AJ65" s="301">
        <v>1978</v>
      </c>
      <c r="AK65" s="301">
        <v>1979</v>
      </c>
      <c r="AL65" s="301">
        <v>1980</v>
      </c>
      <c r="AM65" s="301">
        <v>1981</v>
      </c>
      <c r="AN65" s="301">
        <v>1982</v>
      </c>
      <c r="AO65" s="301">
        <v>1983</v>
      </c>
      <c r="AP65" s="301">
        <v>1984</v>
      </c>
      <c r="AQ65" s="301">
        <v>1985</v>
      </c>
      <c r="AR65" s="301">
        <v>1986</v>
      </c>
      <c r="AS65" s="301">
        <v>1987</v>
      </c>
      <c r="AT65" s="301">
        <v>1988</v>
      </c>
      <c r="AU65" s="301">
        <v>1989</v>
      </c>
      <c r="AV65" s="301">
        <v>1990</v>
      </c>
      <c r="AW65" s="301">
        <v>1991</v>
      </c>
      <c r="AX65" s="301">
        <v>1992</v>
      </c>
      <c r="AY65" s="301">
        <v>1993</v>
      </c>
      <c r="AZ65" s="301">
        <v>1994</v>
      </c>
      <c r="BA65" s="301">
        <v>1995</v>
      </c>
      <c r="BB65" s="301">
        <v>1996</v>
      </c>
      <c r="BC65" s="301">
        <v>1997</v>
      </c>
      <c r="BD65" s="301">
        <v>1998</v>
      </c>
      <c r="BE65" s="301">
        <v>1999</v>
      </c>
      <c r="BF65" s="301">
        <v>2000</v>
      </c>
      <c r="BG65" s="301">
        <v>2001</v>
      </c>
      <c r="BH65" s="301">
        <v>2002</v>
      </c>
      <c r="BI65" s="301">
        <v>2003</v>
      </c>
      <c r="BJ65" s="301">
        <v>2004</v>
      </c>
      <c r="BK65" s="301">
        <v>2005</v>
      </c>
      <c r="BL65" s="301">
        <v>2006</v>
      </c>
      <c r="BM65" s="301">
        <v>2007</v>
      </c>
      <c r="BN65" s="301">
        <v>2008</v>
      </c>
      <c r="BO65" s="301">
        <v>2009</v>
      </c>
      <c r="BP65" s="301">
        <v>2010</v>
      </c>
      <c r="BQ65" s="301">
        <v>2011</v>
      </c>
      <c r="BR65" s="301">
        <v>2012</v>
      </c>
      <c r="BS65" s="301">
        <v>2013</v>
      </c>
      <c r="BT65" s="301">
        <v>2014</v>
      </c>
      <c r="BU65" s="301">
        <v>2015</v>
      </c>
      <c r="BV65" s="301">
        <v>2016</v>
      </c>
      <c r="BW65" s="301">
        <v>2017</v>
      </c>
      <c r="BX65" s="301">
        <v>2018</v>
      </c>
      <c r="BY65" s="301">
        <v>2019</v>
      </c>
      <c r="BZ65" s="301">
        <v>2020</v>
      </c>
      <c r="CA65" s="301">
        <v>2021</v>
      </c>
      <c r="CB65" s="301">
        <v>2022</v>
      </c>
      <c r="CC65" s="301">
        <v>2023</v>
      </c>
      <c r="CD65" s="301">
        <v>2024</v>
      </c>
      <c r="CE65" s="301">
        <v>2025</v>
      </c>
      <c r="CF65" s="301">
        <v>2026</v>
      </c>
      <c r="CG65" s="301">
        <v>2027</v>
      </c>
      <c r="CH65" s="301">
        <v>2028</v>
      </c>
      <c r="CI65" s="301">
        <v>2029</v>
      </c>
      <c r="CJ65" s="302">
        <v>2030</v>
      </c>
    </row>
    <row r="66" spans="2:88" hidden="1" outlineLevel="1">
      <c r="B66" s="303" t="s">
        <v>58</v>
      </c>
      <c r="C66" s="304"/>
      <c r="D66" s="304"/>
      <c r="E66" s="304"/>
      <c r="F66" s="304"/>
      <c r="G66" s="304"/>
      <c r="H66" s="304"/>
      <c r="I66" s="304"/>
      <c r="J66" s="304"/>
      <c r="K66" s="304"/>
      <c r="L66" s="304"/>
      <c r="M66" s="304"/>
      <c r="N66" s="304"/>
      <c r="O66" s="304"/>
      <c r="P66" s="304"/>
      <c r="Q66" s="304"/>
      <c r="R66" s="304"/>
      <c r="S66" s="304"/>
      <c r="T66" s="304"/>
      <c r="U66" s="304"/>
      <c r="V66" s="304"/>
      <c r="W66" s="304"/>
      <c r="X66" s="304"/>
      <c r="Y66" s="304"/>
      <c r="Z66" s="304"/>
      <c r="AA66" s="304"/>
      <c r="AB66" s="304"/>
      <c r="AC66" s="304"/>
      <c r="AD66" s="304"/>
      <c r="AE66" s="304"/>
      <c r="AF66" s="304"/>
      <c r="AG66" s="304"/>
      <c r="AH66" s="304"/>
      <c r="AI66" s="304"/>
      <c r="AJ66" s="304"/>
      <c r="AK66" s="304"/>
      <c r="AL66" s="304"/>
      <c r="AM66" s="304"/>
      <c r="AN66" s="304"/>
      <c r="AO66" s="304"/>
      <c r="AP66" s="304"/>
      <c r="AQ66" s="304"/>
      <c r="AR66" s="304"/>
      <c r="AS66" s="304"/>
      <c r="AT66" s="304"/>
      <c r="AU66" s="304"/>
      <c r="AV66" s="304"/>
      <c r="AW66" s="304"/>
      <c r="AX66" s="304"/>
      <c r="AY66" s="304"/>
      <c r="AZ66" s="304"/>
      <c r="BA66" s="304"/>
      <c r="BB66" s="304"/>
      <c r="BC66" s="304"/>
      <c r="BD66" s="304"/>
      <c r="BE66" s="304"/>
      <c r="BF66" s="304"/>
      <c r="BG66" s="304"/>
      <c r="BH66" s="304"/>
      <c r="BI66" s="304"/>
      <c r="BJ66" s="304"/>
      <c r="BK66" s="304"/>
      <c r="BL66" s="304"/>
      <c r="BM66" s="304"/>
      <c r="BN66" s="304"/>
      <c r="BO66" s="304"/>
      <c r="BP66" s="304"/>
      <c r="BQ66" s="304"/>
      <c r="BR66" s="304"/>
      <c r="BS66" s="304"/>
      <c r="BT66" s="304"/>
      <c r="BU66" s="304"/>
      <c r="BV66" s="305"/>
      <c r="BW66" s="306">
        <v>0</v>
      </c>
      <c r="BX66" s="306">
        <v>0</v>
      </c>
      <c r="BY66" s="306">
        <v>0</v>
      </c>
      <c r="BZ66" s="306">
        <v>0</v>
      </c>
      <c r="CA66" s="306">
        <v>0</v>
      </c>
      <c r="CB66" s="306">
        <v>0</v>
      </c>
      <c r="CC66" s="306">
        <v>0</v>
      </c>
      <c r="CD66" s="306">
        <v>0</v>
      </c>
      <c r="CE66" s="306">
        <v>0</v>
      </c>
      <c r="CF66" s="306">
        <v>0</v>
      </c>
      <c r="CG66" s="306">
        <v>0</v>
      </c>
      <c r="CH66" s="306">
        <v>0</v>
      </c>
      <c r="CI66" s="306">
        <v>0</v>
      </c>
      <c r="CJ66" s="306">
        <v>0</v>
      </c>
    </row>
    <row r="67" spans="2:88" hidden="1" outlineLevel="1">
      <c r="B67" s="303" t="s">
        <v>59</v>
      </c>
      <c r="C67" s="304"/>
      <c r="D67" s="304"/>
      <c r="E67" s="304"/>
      <c r="F67" s="304"/>
      <c r="G67" s="304"/>
      <c r="H67" s="304"/>
      <c r="I67" s="304"/>
      <c r="J67" s="304"/>
      <c r="K67" s="304"/>
      <c r="L67" s="304"/>
      <c r="M67" s="304"/>
      <c r="N67" s="304"/>
      <c r="O67" s="304"/>
      <c r="P67" s="304"/>
      <c r="Q67" s="304"/>
      <c r="R67" s="304"/>
      <c r="S67" s="304"/>
      <c r="T67" s="304"/>
      <c r="U67" s="304"/>
      <c r="V67" s="304"/>
      <c r="W67" s="304"/>
      <c r="X67" s="304"/>
      <c r="Y67" s="304"/>
      <c r="Z67" s="304"/>
      <c r="AA67" s="304"/>
      <c r="AB67" s="304"/>
      <c r="AC67" s="304"/>
      <c r="AD67" s="304"/>
      <c r="AE67" s="304"/>
      <c r="AF67" s="304"/>
      <c r="AG67" s="304"/>
      <c r="AH67" s="304"/>
      <c r="AI67" s="304"/>
      <c r="AJ67" s="304"/>
      <c r="AK67" s="304"/>
      <c r="AL67" s="304"/>
      <c r="AM67" s="304"/>
      <c r="AN67" s="304"/>
      <c r="AO67" s="304"/>
      <c r="AP67" s="304"/>
      <c r="AQ67" s="304"/>
      <c r="AR67" s="304"/>
      <c r="AS67" s="304"/>
      <c r="AT67" s="304"/>
      <c r="AU67" s="304"/>
      <c r="AV67" s="304"/>
      <c r="AW67" s="304"/>
      <c r="AX67" s="304"/>
      <c r="AY67" s="304"/>
      <c r="AZ67" s="304"/>
      <c r="BA67" s="304"/>
      <c r="BB67" s="304"/>
      <c r="BC67" s="304"/>
      <c r="BD67" s="304"/>
      <c r="BE67" s="304"/>
      <c r="BF67" s="304"/>
      <c r="BG67" s="304"/>
      <c r="BH67" s="304"/>
      <c r="BI67" s="304"/>
      <c r="BJ67" s="304"/>
      <c r="BK67" s="304"/>
      <c r="BL67" s="304"/>
      <c r="BM67" s="304"/>
      <c r="BN67" s="304"/>
      <c r="BO67" s="304"/>
      <c r="BP67" s="304"/>
      <c r="BQ67" s="304"/>
      <c r="BR67" s="304"/>
      <c r="BS67" s="304"/>
      <c r="BT67" s="304"/>
      <c r="BU67" s="304"/>
      <c r="BV67" s="305"/>
      <c r="BW67" s="306">
        <v>0</v>
      </c>
      <c r="BX67" s="306">
        <v>0</v>
      </c>
      <c r="BY67" s="306">
        <v>0</v>
      </c>
      <c r="BZ67" s="306">
        <v>0</v>
      </c>
      <c r="CA67" s="306">
        <v>0</v>
      </c>
      <c r="CB67" s="306">
        <v>0</v>
      </c>
      <c r="CC67" s="306">
        <v>0</v>
      </c>
      <c r="CD67" s="306">
        <v>0</v>
      </c>
      <c r="CE67" s="306">
        <v>0</v>
      </c>
      <c r="CF67" s="306">
        <v>0</v>
      </c>
      <c r="CG67" s="306">
        <v>0</v>
      </c>
      <c r="CH67" s="306">
        <v>0</v>
      </c>
      <c r="CI67" s="306">
        <v>0</v>
      </c>
      <c r="CJ67" s="306">
        <v>0</v>
      </c>
    </row>
    <row r="68" spans="2:88" hidden="1" outlineLevel="1">
      <c r="B68" s="307" t="s">
        <v>60</v>
      </c>
      <c r="C68" s="304"/>
      <c r="D68" s="304"/>
      <c r="E68" s="304"/>
      <c r="F68" s="304"/>
      <c r="G68" s="304"/>
      <c r="H68" s="304"/>
      <c r="I68" s="304"/>
      <c r="J68" s="304"/>
      <c r="K68" s="304"/>
      <c r="L68" s="304"/>
      <c r="M68" s="304"/>
      <c r="N68" s="304"/>
      <c r="O68" s="304"/>
      <c r="P68" s="304"/>
      <c r="Q68" s="304"/>
      <c r="R68" s="304"/>
      <c r="S68" s="304"/>
      <c r="T68" s="304"/>
      <c r="U68" s="304"/>
      <c r="V68" s="304"/>
      <c r="W68" s="304"/>
      <c r="X68" s="304"/>
      <c r="Y68" s="304"/>
      <c r="Z68" s="304"/>
      <c r="AA68" s="304"/>
      <c r="AB68" s="304"/>
      <c r="AC68" s="304"/>
      <c r="AD68" s="304"/>
      <c r="AE68" s="304"/>
      <c r="AF68" s="304"/>
      <c r="AG68" s="304"/>
      <c r="AH68" s="304"/>
      <c r="AI68" s="304"/>
      <c r="AJ68" s="304"/>
      <c r="AK68" s="304"/>
      <c r="AL68" s="304"/>
      <c r="AM68" s="304"/>
      <c r="AN68" s="304"/>
      <c r="AO68" s="304"/>
      <c r="AP68" s="304"/>
      <c r="AQ68" s="304"/>
      <c r="AR68" s="304"/>
      <c r="AS68" s="304"/>
      <c r="AT68" s="304"/>
      <c r="AU68" s="304"/>
      <c r="AV68" s="304"/>
      <c r="AW68" s="304"/>
      <c r="AX68" s="304"/>
      <c r="AY68" s="304"/>
      <c r="AZ68" s="304"/>
      <c r="BA68" s="304"/>
      <c r="BB68" s="304"/>
      <c r="BC68" s="304"/>
      <c r="BD68" s="304"/>
      <c r="BE68" s="304"/>
      <c r="BF68" s="304"/>
      <c r="BG68" s="304"/>
      <c r="BH68" s="304"/>
      <c r="BI68" s="304"/>
      <c r="BJ68" s="304"/>
      <c r="BK68" s="304"/>
      <c r="BL68" s="304"/>
      <c r="BM68" s="304"/>
      <c r="BN68" s="304"/>
      <c r="BO68" s="304"/>
      <c r="BP68" s="304"/>
      <c r="BQ68" s="304"/>
      <c r="BR68" s="304"/>
      <c r="BS68" s="304"/>
      <c r="BT68" s="304"/>
      <c r="BU68" s="304"/>
      <c r="BV68" s="305"/>
      <c r="BW68" s="306">
        <v>0</v>
      </c>
      <c r="BX68" s="306">
        <v>0</v>
      </c>
      <c r="BY68" s="306">
        <v>0</v>
      </c>
      <c r="BZ68" s="306">
        <v>0</v>
      </c>
      <c r="CA68" s="306">
        <v>0</v>
      </c>
      <c r="CB68" s="306">
        <v>0</v>
      </c>
      <c r="CC68" s="306">
        <v>0</v>
      </c>
      <c r="CD68" s="306">
        <v>0</v>
      </c>
      <c r="CE68" s="306">
        <v>0</v>
      </c>
      <c r="CF68" s="306">
        <v>0</v>
      </c>
      <c r="CG68" s="306">
        <v>0</v>
      </c>
      <c r="CH68" s="306">
        <v>0</v>
      </c>
      <c r="CI68" s="306">
        <v>0</v>
      </c>
      <c r="CJ68" s="306">
        <v>0</v>
      </c>
    </row>
    <row r="69" spans="2:88" hidden="1" outlineLevel="1">
      <c r="B69" s="308"/>
      <c r="C69" s="304"/>
      <c r="D69" s="304"/>
      <c r="E69" s="304"/>
      <c r="F69" s="304"/>
      <c r="G69" s="304"/>
      <c r="H69" s="304"/>
      <c r="I69" s="304"/>
      <c r="J69" s="304"/>
      <c r="K69" s="304"/>
      <c r="L69" s="304"/>
      <c r="M69" s="304"/>
      <c r="N69" s="304"/>
      <c r="O69" s="304"/>
      <c r="P69" s="304"/>
      <c r="Q69" s="304"/>
      <c r="R69" s="304"/>
      <c r="S69" s="304"/>
      <c r="T69" s="304"/>
      <c r="U69" s="304"/>
      <c r="V69" s="304"/>
      <c r="W69" s="304"/>
      <c r="X69" s="304"/>
      <c r="Y69" s="304"/>
      <c r="Z69" s="304"/>
      <c r="AA69" s="304"/>
      <c r="AB69" s="304"/>
      <c r="AC69" s="304"/>
      <c r="AD69" s="304"/>
      <c r="AE69" s="304"/>
      <c r="AF69" s="304"/>
      <c r="AG69" s="304"/>
      <c r="AH69" s="304"/>
      <c r="AI69" s="304"/>
      <c r="AJ69" s="304"/>
      <c r="AK69" s="304"/>
      <c r="AL69" s="304"/>
      <c r="AM69" s="304"/>
      <c r="AN69" s="304"/>
      <c r="AO69" s="304"/>
      <c r="AP69" s="304"/>
      <c r="AQ69" s="304"/>
      <c r="AR69" s="304"/>
      <c r="AS69" s="304"/>
      <c r="AT69" s="304"/>
      <c r="AU69" s="304"/>
      <c r="AV69" s="304"/>
      <c r="AW69" s="304"/>
      <c r="AX69" s="304"/>
      <c r="AY69" s="304"/>
      <c r="AZ69" s="304"/>
      <c r="BA69" s="304"/>
      <c r="BB69" s="304"/>
      <c r="BC69" s="304"/>
      <c r="BD69" s="304"/>
      <c r="BE69" s="304"/>
      <c r="BF69" s="304"/>
      <c r="BG69" s="304"/>
      <c r="BH69" s="304"/>
      <c r="BI69" s="304"/>
      <c r="BJ69" s="304"/>
      <c r="BK69" s="304"/>
      <c r="BL69" s="304"/>
      <c r="BM69" s="304"/>
      <c r="BN69" s="304"/>
      <c r="BO69" s="304"/>
      <c r="BP69" s="304"/>
      <c r="BQ69" s="304"/>
      <c r="BR69" s="304"/>
      <c r="BS69" s="304"/>
      <c r="BT69" s="304"/>
      <c r="BU69" s="304"/>
      <c r="BV69" s="309"/>
      <c r="BW69" s="309"/>
      <c r="BX69" s="305"/>
      <c r="BY69" s="305"/>
      <c r="BZ69" s="305"/>
      <c r="CA69" s="305"/>
      <c r="CB69" s="305"/>
      <c r="CC69" s="305"/>
      <c r="CD69" s="305"/>
      <c r="CE69" s="305"/>
      <c r="CF69" s="305"/>
      <c r="CG69" s="305"/>
      <c r="CH69" s="305"/>
      <c r="CI69" s="305"/>
      <c r="CJ69" s="305"/>
    </row>
    <row r="70" spans="2:88" hidden="1" outlineLevel="2">
      <c r="B70" s="300" t="s">
        <v>378</v>
      </c>
      <c r="C70" s="301">
        <v>1945</v>
      </c>
      <c r="D70" s="301">
        <v>1946</v>
      </c>
      <c r="E70" s="301">
        <v>1947</v>
      </c>
      <c r="F70" s="301">
        <v>1948</v>
      </c>
      <c r="G70" s="301">
        <v>1949</v>
      </c>
      <c r="H70" s="301">
        <v>1950</v>
      </c>
      <c r="I70" s="301">
        <v>1951</v>
      </c>
      <c r="J70" s="301">
        <v>1952</v>
      </c>
      <c r="K70" s="301">
        <v>1953</v>
      </c>
      <c r="L70" s="301">
        <v>1954</v>
      </c>
      <c r="M70" s="301">
        <v>1955</v>
      </c>
      <c r="N70" s="301">
        <v>1956</v>
      </c>
      <c r="O70" s="301">
        <v>1957</v>
      </c>
      <c r="P70" s="301">
        <v>1958</v>
      </c>
      <c r="Q70" s="301">
        <v>1959</v>
      </c>
      <c r="R70" s="301">
        <v>1960</v>
      </c>
      <c r="S70" s="301">
        <v>1961</v>
      </c>
      <c r="T70" s="301">
        <v>1962</v>
      </c>
      <c r="U70" s="301">
        <v>1963</v>
      </c>
      <c r="V70" s="301">
        <v>1964</v>
      </c>
      <c r="W70" s="301">
        <v>1965</v>
      </c>
      <c r="X70" s="301">
        <v>1966</v>
      </c>
      <c r="Y70" s="301">
        <v>1967</v>
      </c>
      <c r="Z70" s="301">
        <v>1968</v>
      </c>
      <c r="AA70" s="301">
        <v>1969</v>
      </c>
      <c r="AB70" s="301">
        <v>1970</v>
      </c>
      <c r="AC70" s="301">
        <v>1971</v>
      </c>
      <c r="AD70" s="301">
        <v>1972</v>
      </c>
      <c r="AE70" s="301">
        <v>1973</v>
      </c>
      <c r="AF70" s="301">
        <v>1974</v>
      </c>
      <c r="AG70" s="301">
        <v>1975</v>
      </c>
      <c r="AH70" s="301">
        <v>1976</v>
      </c>
      <c r="AI70" s="301">
        <v>1977</v>
      </c>
      <c r="AJ70" s="301">
        <v>1978</v>
      </c>
      <c r="AK70" s="301">
        <v>1979</v>
      </c>
      <c r="AL70" s="301">
        <v>1980</v>
      </c>
      <c r="AM70" s="301">
        <v>1981</v>
      </c>
      <c r="AN70" s="301">
        <v>1982</v>
      </c>
      <c r="AO70" s="301">
        <v>1983</v>
      </c>
      <c r="AP70" s="301">
        <v>1984</v>
      </c>
      <c r="AQ70" s="301">
        <v>1985</v>
      </c>
      <c r="AR70" s="301">
        <v>1986</v>
      </c>
      <c r="AS70" s="301">
        <v>1987</v>
      </c>
      <c r="AT70" s="301">
        <v>1988</v>
      </c>
      <c r="AU70" s="301">
        <v>1989</v>
      </c>
      <c r="AV70" s="301">
        <v>1990</v>
      </c>
      <c r="AW70" s="301">
        <v>1991</v>
      </c>
      <c r="AX70" s="301">
        <v>1992</v>
      </c>
      <c r="AY70" s="301">
        <v>1993</v>
      </c>
      <c r="AZ70" s="301">
        <v>1994</v>
      </c>
      <c r="BA70" s="301">
        <v>1995</v>
      </c>
      <c r="BB70" s="301">
        <v>1996</v>
      </c>
      <c r="BC70" s="301">
        <v>1997</v>
      </c>
      <c r="BD70" s="301">
        <v>1998</v>
      </c>
      <c r="BE70" s="301">
        <v>1999</v>
      </c>
      <c r="BF70" s="301">
        <v>2000</v>
      </c>
      <c r="BG70" s="301">
        <v>2001</v>
      </c>
      <c r="BH70" s="301">
        <v>2002</v>
      </c>
      <c r="BI70" s="301">
        <v>2003</v>
      </c>
      <c r="BJ70" s="301">
        <v>2004</v>
      </c>
      <c r="BK70" s="301">
        <v>2005</v>
      </c>
      <c r="BL70" s="301">
        <v>2006</v>
      </c>
      <c r="BM70" s="301">
        <v>2007</v>
      </c>
      <c r="BN70" s="301">
        <v>2008</v>
      </c>
      <c r="BO70" s="301">
        <v>2009</v>
      </c>
      <c r="BP70" s="301">
        <v>2010</v>
      </c>
      <c r="BQ70" s="301">
        <v>2011</v>
      </c>
      <c r="BR70" s="301">
        <v>2012</v>
      </c>
      <c r="BS70" s="301">
        <v>2013</v>
      </c>
      <c r="BT70" s="301">
        <v>2014</v>
      </c>
      <c r="BU70" s="301">
        <v>2015</v>
      </c>
      <c r="BV70" s="301">
        <v>2016</v>
      </c>
      <c r="BW70" s="301">
        <v>2017</v>
      </c>
      <c r="BX70" s="301">
        <v>2018</v>
      </c>
      <c r="BY70" s="301">
        <v>2019</v>
      </c>
      <c r="BZ70" s="301">
        <v>2020</v>
      </c>
      <c r="CA70" s="301">
        <v>2021</v>
      </c>
      <c r="CB70" s="301">
        <v>2022</v>
      </c>
      <c r="CC70" s="301">
        <v>2023</v>
      </c>
      <c r="CD70" s="301">
        <v>2024</v>
      </c>
      <c r="CE70" s="301">
        <v>2025</v>
      </c>
      <c r="CF70" s="301">
        <v>2026</v>
      </c>
      <c r="CG70" s="301">
        <v>2027</v>
      </c>
      <c r="CH70" s="301">
        <v>2028</v>
      </c>
      <c r="CI70" s="301">
        <v>2029</v>
      </c>
      <c r="CJ70" s="302">
        <v>2030</v>
      </c>
    </row>
    <row r="71" spans="2:88" hidden="1" outlineLevel="2">
      <c r="B71" s="303" t="s">
        <v>58</v>
      </c>
      <c r="C71" s="304"/>
      <c r="D71" s="304"/>
      <c r="E71" s="304"/>
      <c r="F71" s="304"/>
      <c r="G71" s="304"/>
      <c r="H71" s="304"/>
      <c r="I71" s="304"/>
      <c r="J71" s="304"/>
      <c r="K71" s="304"/>
      <c r="L71" s="304"/>
      <c r="M71" s="304"/>
      <c r="N71" s="304"/>
      <c r="O71" s="304"/>
      <c r="P71" s="304"/>
      <c r="Q71" s="304"/>
      <c r="R71" s="304"/>
      <c r="S71" s="304"/>
      <c r="T71" s="304"/>
      <c r="U71" s="304"/>
      <c r="V71" s="304"/>
      <c r="W71" s="304"/>
      <c r="X71" s="304"/>
      <c r="Y71" s="304"/>
      <c r="Z71" s="304"/>
      <c r="AA71" s="304"/>
      <c r="AB71" s="304"/>
      <c r="AC71" s="304"/>
      <c r="AD71" s="304"/>
      <c r="AE71" s="304"/>
      <c r="AF71" s="304"/>
      <c r="AG71" s="304"/>
      <c r="AH71" s="304"/>
      <c r="AI71" s="304"/>
      <c r="AJ71" s="304"/>
      <c r="AK71" s="304"/>
      <c r="AL71" s="304"/>
      <c r="AM71" s="304"/>
      <c r="AN71" s="304"/>
      <c r="AO71" s="304"/>
      <c r="AP71" s="304"/>
      <c r="AQ71" s="304"/>
      <c r="AR71" s="304"/>
      <c r="AS71" s="304"/>
      <c r="AT71" s="304"/>
      <c r="AU71" s="304"/>
      <c r="AV71" s="304"/>
      <c r="AW71" s="304"/>
      <c r="AX71" s="304"/>
      <c r="AY71" s="304"/>
      <c r="AZ71" s="304"/>
      <c r="BA71" s="304"/>
      <c r="BB71" s="304"/>
      <c r="BC71" s="304"/>
      <c r="BD71" s="304"/>
      <c r="BE71" s="304"/>
      <c r="BF71" s="304"/>
      <c r="BG71" s="304"/>
      <c r="BH71" s="304"/>
      <c r="BI71" s="304"/>
      <c r="BJ71" s="304"/>
      <c r="BK71" s="304"/>
      <c r="BL71" s="304"/>
      <c r="BM71" s="304"/>
      <c r="BN71" s="304"/>
      <c r="BO71" s="304"/>
      <c r="BP71" s="304"/>
      <c r="BQ71" s="304"/>
      <c r="BR71" s="304"/>
      <c r="BS71" s="304"/>
      <c r="BT71" s="304"/>
      <c r="BU71" s="304"/>
      <c r="BV71" s="305"/>
      <c r="BW71" s="306">
        <v>0</v>
      </c>
      <c r="BX71" s="306">
        <v>0</v>
      </c>
      <c r="BY71" s="306">
        <v>0</v>
      </c>
      <c r="BZ71" s="306">
        <v>0</v>
      </c>
      <c r="CA71" s="306">
        <v>0</v>
      </c>
      <c r="CB71" s="306">
        <v>0</v>
      </c>
      <c r="CC71" s="306">
        <v>0</v>
      </c>
      <c r="CD71" s="306">
        <v>0</v>
      </c>
      <c r="CE71" s="306">
        <v>0</v>
      </c>
      <c r="CF71" s="306">
        <v>0</v>
      </c>
      <c r="CG71" s="306">
        <v>0</v>
      </c>
      <c r="CH71" s="306">
        <v>0</v>
      </c>
      <c r="CI71" s="306">
        <v>0</v>
      </c>
      <c r="CJ71" s="306">
        <v>0</v>
      </c>
    </row>
    <row r="72" spans="2:88" hidden="1" outlineLevel="2">
      <c r="B72" s="303" t="s">
        <v>59</v>
      </c>
      <c r="C72" s="304"/>
      <c r="D72" s="304"/>
      <c r="E72" s="304"/>
      <c r="F72" s="304"/>
      <c r="G72" s="304"/>
      <c r="H72" s="304"/>
      <c r="I72" s="304"/>
      <c r="J72" s="304"/>
      <c r="K72" s="304"/>
      <c r="L72" s="304"/>
      <c r="M72" s="304"/>
      <c r="N72" s="304"/>
      <c r="O72" s="304"/>
      <c r="P72" s="304"/>
      <c r="Q72" s="304"/>
      <c r="R72" s="304"/>
      <c r="S72" s="304"/>
      <c r="T72" s="304"/>
      <c r="U72" s="304"/>
      <c r="V72" s="304"/>
      <c r="W72" s="304"/>
      <c r="X72" s="304"/>
      <c r="Y72" s="304"/>
      <c r="Z72" s="304"/>
      <c r="AA72" s="304"/>
      <c r="AB72" s="304"/>
      <c r="AC72" s="304"/>
      <c r="AD72" s="304"/>
      <c r="AE72" s="304"/>
      <c r="AF72" s="304"/>
      <c r="AG72" s="304"/>
      <c r="AH72" s="304"/>
      <c r="AI72" s="304"/>
      <c r="AJ72" s="304"/>
      <c r="AK72" s="304"/>
      <c r="AL72" s="304"/>
      <c r="AM72" s="304"/>
      <c r="AN72" s="304"/>
      <c r="AO72" s="304"/>
      <c r="AP72" s="304"/>
      <c r="AQ72" s="304"/>
      <c r="AR72" s="304"/>
      <c r="AS72" s="304"/>
      <c r="AT72" s="304"/>
      <c r="AU72" s="304"/>
      <c r="AV72" s="304"/>
      <c r="AW72" s="304"/>
      <c r="AX72" s="304"/>
      <c r="AY72" s="304"/>
      <c r="AZ72" s="304"/>
      <c r="BA72" s="304"/>
      <c r="BB72" s="304"/>
      <c r="BC72" s="304"/>
      <c r="BD72" s="304"/>
      <c r="BE72" s="304"/>
      <c r="BF72" s="304"/>
      <c r="BG72" s="304"/>
      <c r="BH72" s="304"/>
      <c r="BI72" s="304"/>
      <c r="BJ72" s="304"/>
      <c r="BK72" s="304"/>
      <c r="BL72" s="304"/>
      <c r="BM72" s="304"/>
      <c r="BN72" s="304"/>
      <c r="BO72" s="304"/>
      <c r="BP72" s="304"/>
      <c r="BQ72" s="304"/>
      <c r="BR72" s="304"/>
      <c r="BS72" s="304"/>
      <c r="BT72" s="304"/>
      <c r="BU72" s="304"/>
      <c r="BV72" s="305"/>
      <c r="BW72" s="306">
        <v>0</v>
      </c>
      <c r="BX72" s="306">
        <v>0</v>
      </c>
      <c r="BY72" s="306">
        <v>0</v>
      </c>
      <c r="BZ72" s="306">
        <v>0</v>
      </c>
      <c r="CA72" s="306">
        <v>0</v>
      </c>
      <c r="CB72" s="306">
        <v>0</v>
      </c>
      <c r="CC72" s="306">
        <v>0</v>
      </c>
      <c r="CD72" s="306">
        <v>0</v>
      </c>
      <c r="CE72" s="306">
        <v>0</v>
      </c>
      <c r="CF72" s="306">
        <v>0</v>
      </c>
      <c r="CG72" s="306">
        <v>0</v>
      </c>
      <c r="CH72" s="306">
        <v>0</v>
      </c>
      <c r="CI72" s="306">
        <v>0</v>
      </c>
      <c r="CJ72" s="306">
        <v>0</v>
      </c>
    </row>
    <row r="73" spans="2:88" hidden="1" outlineLevel="2">
      <c r="B73" s="307" t="s">
        <v>60</v>
      </c>
      <c r="C73" s="304"/>
      <c r="D73" s="304"/>
      <c r="E73" s="304"/>
      <c r="F73" s="304"/>
      <c r="G73" s="304"/>
      <c r="H73" s="304"/>
      <c r="I73" s="304"/>
      <c r="J73" s="304"/>
      <c r="K73" s="304"/>
      <c r="L73" s="304"/>
      <c r="M73" s="304"/>
      <c r="N73" s="304"/>
      <c r="O73" s="304"/>
      <c r="P73" s="304"/>
      <c r="Q73" s="304"/>
      <c r="R73" s="304"/>
      <c r="S73" s="304"/>
      <c r="T73" s="304"/>
      <c r="U73" s="304"/>
      <c r="V73" s="304"/>
      <c r="W73" s="304"/>
      <c r="X73" s="304"/>
      <c r="Y73" s="304"/>
      <c r="Z73" s="304"/>
      <c r="AA73" s="304"/>
      <c r="AB73" s="304"/>
      <c r="AC73" s="304"/>
      <c r="AD73" s="304"/>
      <c r="AE73" s="304"/>
      <c r="AF73" s="304"/>
      <c r="AG73" s="304"/>
      <c r="AH73" s="304"/>
      <c r="AI73" s="304"/>
      <c r="AJ73" s="304"/>
      <c r="AK73" s="304"/>
      <c r="AL73" s="304"/>
      <c r="AM73" s="304"/>
      <c r="AN73" s="304"/>
      <c r="AO73" s="304"/>
      <c r="AP73" s="304"/>
      <c r="AQ73" s="304"/>
      <c r="AR73" s="304"/>
      <c r="AS73" s="304"/>
      <c r="AT73" s="304"/>
      <c r="AU73" s="304"/>
      <c r="AV73" s="304"/>
      <c r="AW73" s="304"/>
      <c r="AX73" s="304"/>
      <c r="AY73" s="304"/>
      <c r="AZ73" s="304"/>
      <c r="BA73" s="304"/>
      <c r="BB73" s="304"/>
      <c r="BC73" s="304"/>
      <c r="BD73" s="304"/>
      <c r="BE73" s="304"/>
      <c r="BF73" s="304"/>
      <c r="BG73" s="304"/>
      <c r="BH73" s="304"/>
      <c r="BI73" s="304"/>
      <c r="BJ73" s="304"/>
      <c r="BK73" s="304"/>
      <c r="BL73" s="304"/>
      <c r="BM73" s="304"/>
      <c r="BN73" s="304"/>
      <c r="BO73" s="304"/>
      <c r="BP73" s="304"/>
      <c r="BQ73" s="304"/>
      <c r="BR73" s="304"/>
      <c r="BS73" s="304"/>
      <c r="BT73" s="304"/>
      <c r="BU73" s="304"/>
      <c r="BV73" s="305"/>
      <c r="BW73" s="306">
        <v>0</v>
      </c>
      <c r="BX73" s="306">
        <v>0</v>
      </c>
      <c r="BY73" s="306">
        <v>0</v>
      </c>
      <c r="BZ73" s="306">
        <v>0</v>
      </c>
      <c r="CA73" s="306">
        <v>0</v>
      </c>
      <c r="CB73" s="306">
        <v>0</v>
      </c>
      <c r="CC73" s="306">
        <v>0</v>
      </c>
      <c r="CD73" s="306">
        <v>0</v>
      </c>
      <c r="CE73" s="306">
        <v>0</v>
      </c>
      <c r="CF73" s="306">
        <v>0</v>
      </c>
      <c r="CG73" s="306">
        <v>0</v>
      </c>
      <c r="CH73" s="306">
        <v>0</v>
      </c>
      <c r="CI73" s="306">
        <v>0</v>
      </c>
      <c r="CJ73" s="306">
        <v>0</v>
      </c>
    </row>
    <row r="74" spans="2:88" hidden="1" outlineLevel="2">
      <c r="B74" s="308"/>
      <c r="C74" s="304"/>
      <c r="D74" s="304"/>
      <c r="E74" s="304"/>
      <c r="F74" s="304"/>
      <c r="G74" s="304"/>
      <c r="H74" s="304"/>
      <c r="I74" s="304"/>
      <c r="J74" s="304"/>
      <c r="K74" s="304"/>
      <c r="L74" s="304"/>
      <c r="M74" s="304"/>
      <c r="N74" s="304"/>
      <c r="O74" s="304"/>
      <c r="P74" s="304"/>
      <c r="Q74" s="304"/>
      <c r="R74" s="304"/>
      <c r="S74" s="304"/>
      <c r="T74" s="304"/>
      <c r="U74" s="304"/>
      <c r="V74" s="304"/>
      <c r="W74" s="304"/>
      <c r="X74" s="304"/>
      <c r="Y74" s="304"/>
      <c r="Z74" s="304"/>
      <c r="AA74" s="304"/>
      <c r="AB74" s="304"/>
      <c r="AC74" s="304"/>
      <c r="AD74" s="304"/>
      <c r="AE74" s="304"/>
      <c r="AF74" s="304"/>
      <c r="AG74" s="304"/>
      <c r="AH74" s="304"/>
      <c r="AI74" s="304"/>
      <c r="AJ74" s="304"/>
      <c r="AK74" s="304"/>
      <c r="AL74" s="304"/>
      <c r="AM74" s="304"/>
      <c r="AN74" s="304"/>
      <c r="AO74" s="304"/>
      <c r="AP74" s="304"/>
      <c r="AQ74" s="304"/>
      <c r="AR74" s="304"/>
      <c r="AS74" s="304"/>
      <c r="AT74" s="304"/>
      <c r="AU74" s="304"/>
      <c r="AV74" s="304"/>
      <c r="AW74" s="304"/>
      <c r="AX74" s="304"/>
      <c r="AY74" s="304"/>
      <c r="AZ74" s="304"/>
      <c r="BA74" s="304"/>
      <c r="BB74" s="304"/>
      <c r="BC74" s="304"/>
      <c r="BD74" s="304"/>
      <c r="BE74" s="304"/>
      <c r="BF74" s="304"/>
      <c r="BG74" s="304"/>
      <c r="BH74" s="304"/>
      <c r="BI74" s="304"/>
      <c r="BJ74" s="304"/>
      <c r="BK74" s="304"/>
      <c r="BL74" s="304"/>
      <c r="BM74" s="304"/>
      <c r="BN74" s="304"/>
      <c r="BO74" s="304"/>
      <c r="BP74" s="304"/>
      <c r="BQ74" s="304"/>
      <c r="BR74" s="304"/>
      <c r="BS74" s="304"/>
      <c r="BT74" s="304"/>
      <c r="BU74" s="304"/>
      <c r="BV74" s="309"/>
      <c r="BW74" s="309"/>
      <c r="BX74" s="305"/>
      <c r="BY74" s="305"/>
      <c r="BZ74" s="305"/>
      <c r="CA74" s="305"/>
      <c r="CB74" s="305"/>
      <c r="CC74" s="305"/>
      <c r="CD74" s="305"/>
      <c r="CE74" s="305"/>
      <c r="CF74" s="305"/>
      <c r="CG74" s="305"/>
      <c r="CH74" s="305"/>
      <c r="CI74" s="305"/>
      <c r="CJ74" s="305"/>
    </row>
    <row r="75" spans="2:88" hidden="1" outlineLevel="1" collapsed="1">
      <c r="B75" s="300" t="s">
        <v>387</v>
      </c>
      <c r="C75" s="301">
        <v>1945</v>
      </c>
      <c r="D75" s="301">
        <v>1946</v>
      </c>
      <c r="E75" s="301">
        <v>1947</v>
      </c>
      <c r="F75" s="301">
        <v>1948</v>
      </c>
      <c r="G75" s="301">
        <v>1949</v>
      </c>
      <c r="H75" s="301">
        <v>1950</v>
      </c>
      <c r="I75" s="301">
        <v>1951</v>
      </c>
      <c r="J75" s="301">
        <v>1952</v>
      </c>
      <c r="K75" s="301">
        <v>1953</v>
      </c>
      <c r="L75" s="301">
        <v>1954</v>
      </c>
      <c r="M75" s="301">
        <v>1955</v>
      </c>
      <c r="N75" s="301">
        <v>1956</v>
      </c>
      <c r="O75" s="301">
        <v>1957</v>
      </c>
      <c r="P75" s="301">
        <v>1958</v>
      </c>
      <c r="Q75" s="301">
        <v>1959</v>
      </c>
      <c r="R75" s="301">
        <v>1960</v>
      </c>
      <c r="S75" s="301">
        <v>1961</v>
      </c>
      <c r="T75" s="301">
        <v>1962</v>
      </c>
      <c r="U75" s="301">
        <v>1963</v>
      </c>
      <c r="V75" s="301">
        <v>1964</v>
      </c>
      <c r="W75" s="301">
        <v>1965</v>
      </c>
      <c r="X75" s="301">
        <v>1966</v>
      </c>
      <c r="Y75" s="301">
        <v>1967</v>
      </c>
      <c r="Z75" s="301">
        <v>1968</v>
      </c>
      <c r="AA75" s="301">
        <v>1969</v>
      </c>
      <c r="AB75" s="301">
        <v>1970</v>
      </c>
      <c r="AC75" s="301">
        <v>1971</v>
      </c>
      <c r="AD75" s="301">
        <v>1972</v>
      </c>
      <c r="AE75" s="301">
        <v>1973</v>
      </c>
      <c r="AF75" s="301">
        <v>1974</v>
      </c>
      <c r="AG75" s="301">
        <v>1975</v>
      </c>
      <c r="AH75" s="301">
        <v>1976</v>
      </c>
      <c r="AI75" s="301">
        <v>1977</v>
      </c>
      <c r="AJ75" s="301">
        <v>1978</v>
      </c>
      <c r="AK75" s="301">
        <v>1979</v>
      </c>
      <c r="AL75" s="301">
        <v>1980</v>
      </c>
      <c r="AM75" s="301">
        <v>1981</v>
      </c>
      <c r="AN75" s="301">
        <v>1982</v>
      </c>
      <c r="AO75" s="301">
        <v>1983</v>
      </c>
      <c r="AP75" s="301">
        <v>1984</v>
      </c>
      <c r="AQ75" s="301">
        <v>1985</v>
      </c>
      <c r="AR75" s="301">
        <v>1986</v>
      </c>
      <c r="AS75" s="301">
        <v>1987</v>
      </c>
      <c r="AT75" s="301">
        <v>1988</v>
      </c>
      <c r="AU75" s="301">
        <v>1989</v>
      </c>
      <c r="AV75" s="301">
        <v>1990</v>
      </c>
      <c r="AW75" s="301">
        <v>1991</v>
      </c>
      <c r="AX75" s="301">
        <v>1992</v>
      </c>
      <c r="AY75" s="301">
        <v>1993</v>
      </c>
      <c r="AZ75" s="301">
        <v>1994</v>
      </c>
      <c r="BA75" s="301">
        <v>1995</v>
      </c>
      <c r="BB75" s="301">
        <v>1996</v>
      </c>
      <c r="BC75" s="301">
        <v>1997</v>
      </c>
      <c r="BD75" s="301">
        <v>1998</v>
      </c>
      <c r="BE75" s="301">
        <v>1999</v>
      </c>
      <c r="BF75" s="301">
        <v>2000</v>
      </c>
      <c r="BG75" s="301">
        <v>2001</v>
      </c>
      <c r="BH75" s="301">
        <v>2002</v>
      </c>
      <c r="BI75" s="301">
        <v>2003</v>
      </c>
      <c r="BJ75" s="301">
        <v>2004</v>
      </c>
      <c r="BK75" s="301">
        <v>2005</v>
      </c>
      <c r="BL75" s="301">
        <v>2006</v>
      </c>
      <c r="BM75" s="301">
        <v>2007</v>
      </c>
      <c r="BN75" s="301">
        <v>2008</v>
      </c>
      <c r="BO75" s="301">
        <v>2009</v>
      </c>
      <c r="BP75" s="301">
        <v>2010</v>
      </c>
      <c r="BQ75" s="301">
        <v>2011</v>
      </c>
      <c r="BR75" s="301">
        <v>2012</v>
      </c>
      <c r="BS75" s="301">
        <v>2013</v>
      </c>
      <c r="BT75" s="301">
        <v>2014</v>
      </c>
      <c r="BU75" s="301">
        <v>2015</v>
      </c>
      <c r="BV75" s="301">
        <v>2016</v>
      </c>
      <c r="BW75" s="301">
        <v>2017</v>
      </c>
      <c r="BX75" s="301">
        <v>2018</v>
      </c>
      <c r="BY75" s="301">
        <v>2019</v>
      </c>
      <c r="BZ75" s="301">
        <v>2020</v>
      </c>
      <c r="CA75" s="301">
        <v>2021</v>
      </c>
      <c r="CB75" s="301">
        <v>2022</v>
      </c>
      <c r="CC75" s="301">
        <v>2023</v>
      </c>
      <c r="CD75" s="301">
        <v>2024</v>
      </c>
      <c r="CE75" s="301">
        <v>2025</v>
      </c>
      <c r="CF75" s="301">
        <v>2026</v>
      </c>
      <c r="CG75" s="301">
        <v>2027</v>
      </c>
      <c r="CH75" s="301">
        <v>2028</v>
      </c>
      <c r="CI75" s="301">
        <v>2029</v>
      </c>
      <c r="CJ75" s="302">
        <v>2030</v>
      </c>
    </row>
    <row r="76" spans="2:88" hidden="1" outlineLevel="1">
      <c r="B76" s="303" t="s">
        <v>58</v>
      </c>
      <c r="C76" s="304"/>
      <c r="D76" s="304"/>
      <c r="E76" s="304"/>
      <c r="F76" s="304"/>
      <c r="G76" s="304"/>
      <c r="H76" s="304"/>
      <c r="I76" s="304"/>
      <c r="J76" s="304"/>
      <c r="K76" s="304"/>
      <c r="L76" s="304"/>
      <c r="M76" s="304"/>
      <c r="N76" s="304"/>
      <c r="O76" s="304"/>
      <c r="P76" s="304"/>
      <c r="Q76" s="304"/>
      <c r="R76" s="304"/>
      <c r="S76" s="304"/>
      <c r="T76" s="304"/>
      <c r="U76" s="304"/>
      <c r="V76" s="304"/>
      <c r="W76" s="304"/>
      <c r="X76" s="304"/>
      <c r="Y76" s="304"/>
      <c r="Z76" s="304"/>
      <c r="AA76" s="304"/>
      <c r="AB76" s="304"/>
      <c r="AC76" s="304"/>
      <c r="AD76" s="304"/>
      <c r="AE76" s="304"/>
      <c r="AF76" s="304"/>
      <c r="AG76" s="304"/>
      <c r="AH76" s="304"/>
      <c r="AI76" s="304"/>
      <c r="AJ76" s="304"/>
      <c r="AK76" s="304"/>
      <c r="AL76" s="304"/>
      <c r="AM76" s="304"/>
      <c r="AN76" s="304"/>
      <c r="AO76" s="304"/>
      <c r="AP76" s="304"/>
      <c r="AQ76" s="304"/>
      <c r="AR76" s="304"/>
      <c r="AS76" s="304"/>
      <c r="AT76" s="304"/>
      <c r="AU76" s="304"/>
      <c r="AV76" s="304"/>
      <c r="AW76" s="304"/>
      <c r="AX76" s="304"/>
      <c r="AY76" s="304"/>
      <c r="AZ76" s="304"/>
      <c r="BA76" s="304"/>
      <c r="BB76" s="304"/>
      <c r="BC76" s="304"/>
      <c r="BD76" s="304"/>
      <c r="BE76" s="304"/>
      <c r="BF76" s="304"/>
      <c r="BG76" s="304"/>
      <c r="BH76" s="304"/>
      <c r="BI76" s="304"/>
      <c r="BJ76" s="304"/>
      <c r="BK76" s="304"/>
      <c r="BL76" s="304"/>
      <c r="BM76" s="304"/>
      <c r="BN76" s="304"/>
      <c r="BO76" s="304"/>
      <c r="BP76" s="304"/>
      <c r="BQ76" s="304"/>
      <c r="BR76" s="304"/>
      <c r="BS76" s="304"/>
      <c r="BT76" s="304"/>
      <c r="BU76" s="304"/>
      <c r="BV76" s="305"/>
      <c r="BW76" s="306">
        <v>0</v>
      </c>
      <c r="BX76" s="306">
        <f t="shared" ref="BX76:CJ76" si="17">BW66*0.75</f>
        <v>0</v>
      </c>
      <c r="BY76" s="306">
        <f t="shared" si="17"/>
        <v>0</v>
      </c>
      <c r="BZ76" s="306">
        <f t="shared" si="17"/>
        <v>0</v>
      </c>
      <c r="CA76" s="306">
        <f t="shared" si="17"/>
        <v>0</v>
      </c>
      <c r="CB76" s="306">
        <f t="shared" si="17"/>
        <v>0</v>
      </c>
      <c r="CC76" s="306">
        <f t="shared" si="17"/>
        <v>0</v>
      </c>
      <c r="CD76" s="306">
        <f t="shared" si="17"/>
        <v>0</v>
      </c>
      <c r="CE76" s="306">
        <f t="shared" si="17"/>
        <v>0</v>
      </c>
      <c r="CF76" s="306">
        <f t="shared" si="17"/>
        <v>0</v>
      </c>
      <c r="CG76" s="306">
        <f t="shared" si="17"/>
        <v>0</v>
      </c>
      <c r="CH76" s="306">
        <f t="shared" si="17"/>
        <v>0</v>
      </c>
      <c r="CI76" s="306">
        <f t="shared" si="17"/>
        <v>0</v>
      </c>
      <c r="CJ76" s="306">
        <f t="shared" si="17"/>
        <v>0</v>
      </c>
    </row>
    <row r="77" spans="2:88" hidden="1" outlineLevel="1">
      <c r="B77" s="303" t="s">
        <v>59</v>
      </c>
      <c r="C77" s="304"/>
      <c r="D77" s="304"/>
      <c r="E77" s="304"/>
      <c r="F77" s="304"/>
      <c r="G77" s="304"/>
      <c r="H77" s="304"/>
      <c r="I77" s="304"/>
      <c r="J77" s="304"/>
      <c r="K77" s="304"/>
      <c r="L77" s="304"/>
      <c r="M77" s="304"/>
      <c r="N77" s="304"/>
      <c r="O77" s="304"/>
      <c r="P77" s="304"/>
      <c r="Q77" s="304"/>
      <c r="R77" s="304"/>
      <c r="S77" s="304"/>
      <c r="T77" s="304"/>
      <c r="U77" s="304"/>
      <c r="V77" s="304"/>
      <c r="W77" s="304"/>
      <c r="X77" s="304"/>
      <c r="Y77" s="304"/>
      <c r="Z77" s="304"/>
      <c r="AA77" s="304"/>
      <c r="AB77" s="304"/>
      <c r="AC77" s="304"/>
      <c r="AD77" s="304"/>
      <c r="AE77" s="304"/>
      <c r="AF77" s="304"/>
      <c r="AG77" s="304"/>
      <c r="AH77" s="304"/>
      <c r="AI77" s="304"/>
      <c r="AJ77" s="304"/>
      <c r="AK77" s="304"/>
      <c r="AL77" s="304"/>
      <c r="AM77" s="304"/>
      <c r="AN77" s="304"/>
      <c r="AO77" s="304"/>
      <c r="AP77" s="304"/>
      <c r="AQ77" s="304"/>
      <c r="AR77" s="304"/>
      <c r="AS77" s="304"/>
      <c r="AT77" s="304"/>
      <c r="AU77" s="304"/>
      <c r="AV77" s="304"/>
      <c r="AW77" s="304"/>
      <c r="AX77" s="304"/>
      <c r="AY77" s="304"/>
      <c r="AZ77" s="304"/>
      <c r="BA77" s="304"/>
      <c r="BB77" s="304"/>
      <c r="BC77" s="304"/>
      <c r="BD77" s="304"/>
      <c r="BE77" s="304"/>
      <c r="BF77" s="304"/>
      <c r="BG77" s="304"/>
      <c r="BH77" s="304"/>
      <c r="BI77" s="304"/>
      <c r="BJ77" s="304"/>
      <c r="BK77" s="304"/>
      <c r="BL77" s="304"/>
      <c r="BM77" s="304"/>
      <c r="BN77" s="304"/>
      <c r="BO77" s="304"/>
      <c r="BP77" s="304"/>
      <c r="BQ77" s="304"/>
      <c r="BR77" s="304"/>
      <c r="BS77" s="304"/>
      <c r="BT77" s="304"/>
      <c r="BU77" s="304"/>
      <c r="BV77" s="305"/>
      <c r="BW77" s="306">
        <v>0</v>
      </c>
      <c r="BX77" s="306">
        <f t="shared" ref="BX77:CJ77" si="18">BW67*0.75</f>
        <v>0</v>
      </c>
      <c r="BY77" s="306">
        <f t="shared" si="18"/>
        <v>0</v>
      </c>
      <c r="BZ77" s="306">
        <f t="shared" si="18"/>
        <v>0</v>
      </c>
      <c r="CA77" s="306">
        <f t="shared" si="18"/>
        <v>0</v>
      </c>
      <c r="CB77" s="306">
        <f t="shared" si="18"/>
        <v>0</v>
      </c>
      <c r="CC77" s="306">
        <f t="shared" si="18"/>
        <v>0</v>
      </c>
      <c r="CD77" s="306">
        <f t="shared" si="18"/>
        <v>0</v>
      </c>
      <c r="CE77" s="306">
        <f t="shared" si="18"/>
        <v>0</v>
      </c>
      <c r="CF77" s="306">
        <f t="shared" si="18"/>
        <v>0</v>
      </c>
      <c r="CG77" s="306">
        <f t="shared" si="18"/>
        <v>0</v>
      </c>
      <c r="CH77" s="306">
        <f t="shared" si="18"/>
        <v>0</v>
      </c>
      <c r="CI77" s="306">
        <f t="shared" si="18"/>
        <v>0</v>
      </c>
      <c r="CJ77" s="306">
        <f t="shared" si="18"/>
        <v>0</v>
      </c>
    </row>
    <row r="78" spans="2:88" hidden="1" outlineLevel="1">
      <c r="B78" s="307" t="s">
        <v>60</v>
      </c>
      <c r="C78" s="304"/>
      <c r="D78" s="304"/>
      <c r="E78" s="304"/>
      <c r="F78" s="304"/>
      <c r="G78" s="304"/>
      <c r="H78" s="304"/>
      <c r="I78" s="304"/>
      <c r="J78" s="304"/>
      <c r="K78" s="304"/>
      <c r="L78" s="304"/>
      <c r="M78" s="304"/>
      <c r="N78" s="304"/>
      <c r="O78" s="304"/>
      <c r="P78" s="304"/>
      <c r="Q78" s="304"/>
      <c r="R78" s="304"/>
      <c r="S78" s="304"/>
      <c r="T78" s="304"/>
      <c r="U78" s="304"/>
      <c r="V78" s="304"/>
      <c r="W78" s="304"/>
      <c r="X78" s="304"/>
      <c r="Y78" s="304"/>
      <c r="Z78" s="304"/>
      <c r="AA78" s="304"/>
      <c r="AB78" s="304"/>
      <c r="AC78" s="304"/>
      <c r="AD78" s="304"/>
      <c r="AE78" s="304"/>
      <c r="AF78" s="304"/>
      <c r="AG78" s="304"/>
      <c r="AH78" s="304"/>
      <c r="AI78" s="304"/>
      <c r="AJ78" s="304"/>
      <c r="AK78" s="304"/>
      <c r="AL78" s="304"/>
      <c r="AM78" s="304"/>
      <c r="AN78" s="304"/>
      <c r="AO78" s="304"/>
      <c r="AP78" s="304"/>
      <c r="AQ78" s="304"/>
      <c r="AR78" s="304"/>
      <c r="AS78" s="304"/>
      <c r="AT78" s="304"/>
      <c r="AU78" s="304"/>
      <c r="AV78" s="304"/>
      <c r="AW78" s="304"/>
      <c r="AX78" s="304"/>
      <c r="AY78" s="304"/>
      <c r="AZ78" s="304"/>
      <c r="BA78" s="304"/>
      <c r="BB78" s="304"/>
      <c r="BC78" s="304"/>
      <c r="BD78" s="304"/>
      <c r="BE78" s="304"/>
      <c r="BF78" s="304"/>
      <c r="BG78" s="304"/>
      <c r="BH78" s="304"/>
      <c r="BI78" s="304"/>
      <c r="BJ78" s="304"/>
      <c r="BK78" s="304"/>
      <c r="BL78" s="304"/>
      <c r="BM78" s="304"/>
      <c r="BN78" s="304"/>
      <c r="BO78" s="304"/>
      <c r="BP78" s="304"/>
      <c r="BQ78" s="304"/>
      <c r="BR78" s="304"/>
      <c r="BS78" s="304"/>
      <c r="BT78" s="304"/>
      <c r="BU78" s="304"/>
      <c r="BV78" s="305"/>
      <c r="BW78" s="306">
        <v>0</v>
      </c>
      <c r="BX78" s="306">
        <f t="shared" ref="BX78:CJ78" si="19">BW68*0.75</f>
        <v>0</v>
      </c>
      <c r="BY78" s="306">
        <f t="shared" si="19"/>
        <v>0</v>
      </c>
      <c r="BZ78" s="306">
        <f t="shared" si="19"/>
        <v>0</v>
      </c>
      <c r="CA78" s="306">
        <f t="shared" si="19"/>
        <v>0</v>
      </c>
      <c r="CB78" s="306">
        <f t="shared" si="19"/>
        <v>0</v>
      </c>
      <c r="CC78" s="306">
        <f t="shared" si="19"/>
        <v>0</v>
      </c>
      <c r="CD78" s="306">
        <f t="shared" si="19"/>
        <v>0</v>
      </c>
      <c r="CE78" s="306">
        <f t="shared" si="19"/>
        <v>0</v>
      </c>
      <c r="CF78" s="306">
        <f t="shared" si="19"/>
        <v>0</v>
      </c>
      <c r="CG78" s="306">
        <f t="shared" si="19"/>
        <v>0</v>
      </c>
      <c r="CH78" s="306">
        <f t="shared" si="19"/>
        <v>0</v>
      </c>
      <c r="CI78" s="306">
        <f t="shared" si="19"/>
        <v>0</v>
      </c>
      <c r="CJ78" s="306">
        <f t="shared" si="19"/>
        <v>0</v>
      </c>
    </row>
    <row r="79" spans="2:88" hidden="1" outlineLevel="1"/>
    <row r="80" spans="2:88" hidden="1" outlineLevel="2">
      <c r="B80" s="300" t="s">
        <v>388</v>
      </c>
      <c r="C80" s="301">
        <v>1945</v>
      </c>
      <c r="D80" s="301">
        <v>1946</v>
      </c>
      <c r="E80" s="301">
        <v>1947</v>
      </c>
      <c r="F80" s="301">
        <v>1948</v>
      </c>
      <c r="G80" s="301">
        <v>1949</v>
      </c>
      <c r="H80" s="301">
        <v>1950</v>
      </c>
      <c r="I80" s="301">
        <v>1951</v>
      </c>
      <c r="J80" s="301">
        <v>1952</v>
      </c>
      <c r="K80" s="301">
        <v>1953</v>
      </c>
      <c r="L80" s="301">
        <v>1954</v>
      </c>
      <c r="M80" s="301">
        <v>1955</v>
      </c>
      <c r="N80" s="301">
        <v>1956</v>
      </c>
      <c r="O80" s="301">
        <v>1957</v>
      </c>
      <c r="P80" s="301">
        <v>1958</v>
      </c>
      <c r="Q80" s="301">
        <v>1959</v>
      </c>
      <c r="R80" s="301">
        <v>1960</v>
      </c>
      <c r="S80" s="301">
        <v>1961</v>
      </c>
      <c r="T80" s="301">
        <v>1962</v>
      </c>
      <c r="U80" s="301">
        <v>1963</v>
      </c>
      <c r="V80" s="301">
        <v>1964</v>
      </c>
      <c r="W80" s="301">
        <v>1965</v>
      </c>
      <c r="X80" s="301">
        <v>1966</v>
      </c>
      <c r="Y80" s="301">
        <v>1967</v>
      </c>
      <c r="Z80" s="301">
        <v>1968</v>
      </c>
      <c r="AA80" s="301">
        <v>1969</v>
      </c>
      <c r="AB80" s="301">
        <v>1970</v>
      </c>
      <c r="AC80" s="301">
        <v>1971</v>
      </c>
      <c r="AD80" s="301">
        <v>1972</v>
      </c>
      <c r="AE80" s="301">
        <v>1973</v>
      </c>
      <c r="AF80" s="301">
        <v>1974</v>
      </c>
      <c r="AG80" s="301">
        <v>1975</v>
      </c>
      <c r="AH80" s="301">
        <v>1976</v>
      </c>
      <c r="AI80" s="301">
        <v>1977</v>
      </c>
      <c r="AJ80" s="301">
        <v>1978</v>
      </c>
      <c r="AK80" s="301">
        <v>1979</v>
      </c>
      <c r="AL80" s="301">
        <v>1980</v>
      </c>
      <c r="AM80" s="301">
        <v>1981</v>
      </c>
      <c r="AN80" s="301">
        <v>1982</v>
      </c>
      <c r="AO80" s="301">
        <v>1983</v>
      </c>
      <c r="AP80" s="301">
        <v>1984</v>
      </c>
      <c r="AQ80" s="301">
        <v>1985</v>
      </c>
      <c r="AR80" s="301">
        <v>1986</v>
      </c>
      <c r="AS80" s="301">
        <v>1987</v>
      </c>
      <c r="AT80" s="301">
        <v>1988</v>
      </c>
      <c r="AU80" s="301">
        <v>1989</v>
      </c>
      <c r="AV80" s="301">
        <v>1990</v>
      </c>
      <c r="AW80" s="301">
        <v>1991</v>
      </c>
      <c r="AX80" s="301">
        <v>1992</v>
      </c>
      <c r="AY80" s="301">
        <v>1993</v>
      </c>
      <c r="AZ80" s="301">
        <v>1994</v>
      </c>
      <c r="BA80" s="301">
        <v>1995</v>
      </c>
      <c r="BB80" s="301">
        <v>1996</v>
      </c>
      <c r="BC80" s="301">
        <v>1997</v>
      </c>
      <c r="BD80" s="301">
        <v>1998</v>
      </c>
      <c r="BE80" s="301">
        <v>1999</v>
      </c>
      <c r="BF80" s="301">
        <v>2000</v>
      </c>
      <c r="BG80" s="301">
        <v>2001</v>
      </c>
      <c r="BH80" s="301">
        <v>2002</v>
      </c>
      <c r="BI80" s="301">
        <v>2003</v>
      </c>
      <c r="BJ80" s="301">
        <v>2004</v>
      </c>
      <c r="BK80" s="301">
        <v>2005</v>
      </c>
      <c r="BL80" s="301">
        <v>2006</v>
      </c>
      <c r="BM80" s="301">
        <v>2007</v>
      </c>
      <c r="BN80" s="301">
        <v>2008</v>
      </c>
      <c r="BO80" s="301">
        <v>2009</v>
      </c>
      <c r="BP80" s="301">
        <v>2010</v>
      </c>
      <c r="BQ80" s="301">
        <v>2011</v>
      </c>
      <c r="BR80" s="301">
        <v>2012</v>
      </c>
      <c r="BS80" s="301">
        <v>2013</v>
      </c>
      <c r="BT80" s="301">
        <v>2014</v>
      </c>
      <c r="BU80" s="301">
        <v>2015</v>
      </c>
      <c r="BV80" s="301">
        <v>2016</v>
      </c>
      <c r="BW80" s="301">
        <v>2017</v>
      </c>
      <c r="BX80" s="301">
        <v>2018</v>
      </c>
      <c r="BY80" s="301">
        <v>2019</v>
      </c>
      <c r="BZ80" s="301">
        <v>2020</v>
      </c>
      <c r="CA80" s="301">
        <v>2021</v>
      </c>
      <c r="CB80" s="301">
        <v>2022</v>
      </c>
      <c r="CC80" s="301">
        <v>2023</v>
      </c>
      <c r="CD80" s="301">
        <v>2024</v>
      </c>
      <c r="CE80" s="301">
        <v>2025</v>
      </c>
      <c r="CF80" s="301">
        <v>2026</v>
      </c>
      <c r="CG80" s="301">
        <v>2027</v>
      </c>
      <c r="CH80" s="301">
        <v>2028</v>
      </c>
      <c r="CI80" s="301">
        <v>2029</v>
      </c>
      <c r="CJ80" s="302">
        <v>2030</v>
      </c>
    </row>
    <row r="81" spans="2:88" hidden="1" outlineLevel="2">
      <c r="B81" s="303" t="s">
        <v>58</v>
      </c>
      <c r="C81" s="304"/>
      <c r="D81" s="304"/>
      <c r="E81" s="304"/>
      <c r="F81" s="304"/>
      <c r="G81" s="304"/>
      <c r="H81" s="304"/>
      <c r="I81" s="304"/>
      <c r="J81" s="304"/>
      <c r="K81" s="304"/>
      <c r="L81" s="304"/>
      <c r="M81" s="304"/>
      <c r="N81" s="304"/>
      <c r="O81" s="304"/>
      <c r="P81" s="304"/>
      <c r="Q81" s="304"/>
      <c r="R81" s="304"/>
      <c r="S81" s="304"/>
      <c r="T81" s="304"/>
      <c r="U81" s="304"/>
      <c r="V81" s="304"/>
      <c r="W81" s="304"/>
      <c r="X81" s="304"/>
      <c r="Y81" s="304"/>
      <c r="Z81" s="304"/>
      <c r="AA81" s="304"/>
      <c r="AB81" s="304"/>
      <c r="AC81" s="304"/>
      <c r="AD81" s="304"/>
      <c r="AE81" s="304"/>
      <c r="AF81" s="304"/>
      <c r="AG81" s="304"/>
      <c r="AH81" s="304"/>
      <c r="AI81" s="304"/>
      <c r="AJ81" s="304"/>
      <c r="AK81" s="304"/>
      <c r="AL81" s="304"/>
      <c r="AM81" s="304"/>
      <c r="AN81" s="304"/>
      <c r="AO81" s="304"/>
      <c r="AP81" s="304"/>
      <c r="AQ81" s="304"/>
      <c r="AR81" s="304"/>
      <c r="AS81" s="304"/>
      <c r="AT81" s="304"/>
      <c r="AU81" s="304"/>
      <c r="AV81" s="304"/>
      <c r="AW81" s="304"/>
      <c r="AX81" s="304"/>
      <c r="AY81" s="304"/>
      <c r="AZ81" s="304"/>
      <c r="BA81" s="304"/>
      <c r="BB81" s="304"/>
      <c r="BC81" s="304"/>
      <c r="BD81" s="304"/>
      <c r="BE81" s="304"/>
      <c r="BF81" s="304"/>
      <c r="BG81" s="304"/>
      <c r="BH81" s="304"/>
      <c r="BI81" s="304"/>
      <c r="BJ81" s="304"/>
      <c r="BK81" s="304"/>
      <c r="BL81" s="304"/>
      <c r="BM81" s="304"/>
      <c r="BN81" s="304"/>
      <c r="BO81" s="304"/>
      <c r="BP81" s="304"/>
      <c r="BQ81" s="304"/>
      <c r="BR81" s="304"/>
      <c r="BS81" s="304"/>
      <c r="BT81" s="304"/>
      <c r="BU81" s="304"/>
      <c r="BV81" s="305"/>
      <c r="BW81" s="306">
        <v>0</v>
      </c>
      <c r="BX81" s="306">
        <v>0</v>
      </c>
      <c r="BY81" s="306">
        <v>0</v>
      </c>
      <c r="BZ81" s="306">
        <v>0</v>
      </c>
      <c r="CA81" s="306">
        <v>0</v>
      </c>
      <c r="CB81" s="306">
        <v>0</v>
      </c>
      <c r="CC81" s="306">
        <v>0</v>
      </c>
      <c r="CD81" s="306">
        <v>0</v>
      </c>
      <c r="CE81" s="306">
        <v>0</v>
      </c>
      <c r="CF81" s="306">
        <v>0</v>
      </c>
      <c r="CG81" s="306">
        <v>0</v>
      </c>
      <c r="CH81" s="306">
        <v>0</v>
      </c>
      <c r="CI81" s="306">
        <v>0</v>
      </c>
      <c r="CJ81" s="306">
        <v>0</v>
      </c>
    </row>
    <row r="82" spans="2:88" hidden="1" outlineLevel="2">
      <c r="B82" s="303" t="s">
        <v>59</v>
      </c>
      <c r="C82" s="304"/>
      <c r="D82" s="304"/>
      <c r="E82" s="304"/>
      <c r="F82" s="304"/>
      <c r="G82" s="304"/>
      <c r="H82" s="304"/>
      <c r="I82" s="304"/>
      <c r="J82" s="304"/>
      <c r="K82" s="304"/>
      <c r="L82" s="304"/>
      <c r="M82" s="304"/>
      <c r="N82" s="304"/>
      <c r="O82" s="304"/>
      <c r="P82" s="304"/>
      <c r="Q82" s="304"/>
      <c r="R82" s="304"/>
      <c r="S82" s="304"/>
      <c r="T82" s="304"/>
      <c r="U82" s="304"/>
      <c r="V82" s="304"/>
      <c r="W82" s="304"/>
      <c r="X82" s="304"/>
      <c r="Y82" s="304"/>
      <c r="Z82" s="304"/>
      <c r="AA82" s="304"/>
      <c r="AB82" s="304"/>
      <c r="AC82" s="304"/>
      <c r="AD82" s="304"/>
      <c r="AE82" s="304"/>
      <c r="AF82" s="304"/>
      <c r="AG82" s="304"/>
      <c r="AH82" s="304"/>
      <c r="AI82" s="304"/>
      <c r="AJ82" s="304"/>
      <c r="AK82" s="304"/>
      <c r="AL82" s="304"/>
      <c r="AM82" s="304"/>
      <c r="AN82" s="304"/>
      <c r="AO82" s="304"/>
      <c r="AP82" s="304"/>
      <c r="AQ82" s="304"/>
      <c r="AR82" s="304"/>
      <c r="AS82" s="304"/>
      <c r="AT82" s="304"/>
      <c r="AU82" s="304"/>
      <c r="AV82" s="304"/>
      <c r="AW82" s="304"/>
      <c r="AX82" s="304"/>
      <c r="AY82" s="304"/>
      <c r="AZ82" s="304"/>
      <c r="BA82" s="304"/>
      <c r="BB82" s="304"/>
      <c r="BC82" s="304"/>
      <c r="BD82" s="304"/>
      <c r="BE82" s="304"/>
      <c r="BF82" s="304"/>
      <c r="BG82" s="304"/>
      <c r="BH82" s="304"/>
      <c r="BI82" s="304"/>
      <c r="BJ82" s="304"/>
      <c r="BK82" s="304"/>
      <c r="BL82" s="304"/>
      <c r="BM82" s="304"/>
      <c r="BN82" s="304"/>
      <c r="BO82" s="304"/>
      <c r="BP82" s="304"/>
      <c r="BQ82" s="304"/>
      <c r="BR82" s="304"/>
      <c r="BS82" s="304"/>
      <c r="BT82" s="304"/>
      <c r="BU82" s="304"/>
      <c r="BV82" s="305"/>
      <c r="BW82" s="306">
        <v>0</v>
      </c>
      <c r="BX82" s="306">
        <v>0</v>
      </c>
      <c r="BY82" s="306">
        <v>0</v>
      </c>
      <c r="BZ82" s="306">
        <v>0</v>
      </c>
      <c r="CA82" s="306">
        <v>0</v>
      </c>
      <c r="CB82" s="306">
        <v>0</v>
      </c>
      <c r="CC82" s="306">
        <v>0</v>
      </c>
      <c r="CD82" s="306">
        <v>0</v>
      </c>
      <c r="CE82" s="306">
        <v>0</v>
      </c>
      <c r="CF82" s="306">
        <v>0</v>
      </c>
      <c r="CG82" s="306">
        <v>0</v>
      </c>
      <c r="CH82" s="306">
        <v>0</v>
      </c>
      <c r="CI82" s="306">
        <v>0</v>
      </c>
      <c r="CJ82" s="306">
        <v>0</v>
      </c>
    </row>
    <row r="83" spans="2:88" hidden="1" outlineLevel="2">
      <c r="B83" s="307" t="s">
        <v>60</v>
      </c>
      <c r="C83" s="304"/>
      <c r="D83" s="304"/>
      <c r="E83" s="304"/>
      <c r="F83" s="304"/>
      <c r="G83" s="304"/>
      <c r="H83" s="304"/>
      <c r="I83" s="304"/>
      <c r="J83" s="304"/>
      <c r="K83" s="304"/>
      <c r="L83" s="304"/>
      <c r="M83" s="304"/>
      <c r="N83" s="304"/>
      <c r="O83" s="304"/>
      <c r="P83" s="304"/>
      <c r="Q83" s="304"/>
      <c r="R83" s="304"/>
      <c r="S83" s="304"/>
      <c r="T83" s="304"/>
      <c r="U83" s="304"/>
      <c r="V83" s="304"/>
      <c r="W83" s="304"/>
      <c r="X83" s="304"/>
      <c r="Y83" s="304"/>
      <c r="Z83" s="304"/>
      <c r="AA83" s="304"/>
      <c r="AB83" s="304"/>
      <c r="AC83" s="304"/>
      <c r="AD83" s="304"/>
      <c r="AE83" s="304"/>
      <c r="AF83" s="304"/>
      <c r="AG83" s="304"/>
      <c r="AH83" s="304"/>
      <c r="AI83" s="304"/>
      <c r="AJ83" s="304"/>
      <c r="AK83" s="304"/>
      <c r="AL83" s="304"/>
      <c r="AM83" s="304"/>
      <c r="AN83" s="304"/>
      <c r="AO83" s="304"/>
      <c r="AP83" s="304"/>
      <c r="AQ83" s="304"/>
      <c r="AR83" s="304"/>
      <c r="AS83" s="304"/>
      <c r="AT83" s="304"/>
      <c r="AU83" s="304"/>
      <c r="AV83" s="304"/>
      <c r="AW83" s="304"/>
      <c r="AX83" s="304"/>
      <c r="AY83" s="304"/>
      <c r="AZ83" s="304"/>
      <c r="BA83" s="304"/>
      <c r="BB83" s="304"/>
      <c r="BC83" s="304"/>
      <c r="BD83" s="304"/>
      <c r="BE83" s="304"/>
      <c r="BF83" s="304"/>
      <c r="BG83" s="304"/>
      <c r="BH83" s="304"/>
      <c r="BI83" s="304"/>
      <c r="BJ83" s="304"/>
      <c r="BK83" s="304"/>
      <c r="BL83" s="304"/>
      <c r="BM83" s="304"/>
      <c r="BN83" s="304"/>
      <c r="BO83" s="304"/>
      <c r="BP83" s="304"/>
      <c r="BQ83" s="304"/>
      <c r="BR83" s="304"/>
      <c r="BS83" s="304"/>
      <c r="BT83" s="304"/>
      <c r="BU83" s="304"/>
      <c r="BV83" s="305"/>
      <c r="BW83" s="306">
        <v>0</v>
      </c>
      <c r="BX83" s="306">
        <v>0</v>
      </c>
      <c r="BY83" s="306">
        <v>0</v>
      </c>
      <c r="BZ83" s="306">
        <v>0</v>
      </c>
      <c r="CA83" s="306">
        <v>0</v>
      </c>
      <c r="CB83" s="306">
        <v>0</v>
      </c>
      <c r="CC83" s="306">
        <v>0</v>
      </c>
      <c r="CD83" s="306">
        <v>0</v>
      </c>
      <c r="CE83" s="306">
        <v>0</v>
      </c>
      <c r="CF83" s="306">
        <v>0</v>
      </c>
      <c r="CG83" s="306">
        <v>0</v>
      </c>
      <c r="CH83" s="306">
        <v>0</v>
      </c>
      <c r="CI83" s="306">
        <v>0</v>
      </c>
      <c r="CJ83" s="306">
        <v>0</v>
      </c>
    </row>
    <row r="84" spans="2:88" hidden="1" outlineLevel="2">
      <c r="B84" s="308"/>
      <c r="C84" s="304"/>
      <c r="D84" s="304"/>
      <c r="E84" s="304"/>
      <c r="F84" s="304"/>
      <c r="G84" s="304"/>
      <c r="H84" s="304"/>
      <c r="I84" s="304"/>
      <c r="J84" s="304"/>
      <c r="K84" s="304"/>
      <c r="L84" s="304"/>
      <c r="M84" s="304"/>
      <c r="N84" s="304"/>
      <c r="O84" s="304"/>
      <c r="P84" s="304"/>
      <c r="Q84" s="304"/>
      <c r="R84" s="304"/>
      <c r="S84" s="304"/>
      <c r="T84" s="304"/>
      <c r="U84" s="304"/>
      <c r="V84" s="304"/>
      <c r="W84" s="304"/>
      <c r="X84" s="304"/>
      <c r="Y84" s="304"/>
      <c r="Z84" s="304"/>
      <c r="AA84" s="304"/>
      <c r="AB84" s="304"/>
      <c r="AC84" s="304"/>
      <c r="AD84" s="304"/>
      <c r="AE84" s="304"/>
      <c r="AF84" s="304"/>
      <c r="AG84" s="304"/>
      <c r="AH84" s="304"/>
      <c r="AI84" s="304"/>
      <c r="AJ84" s="304"/>
      <c r="AK84" s="304"/>
      <c r="AL84" s="304"/>
      <c r="AM84" s="304"/>
      <c r="AN84" s="304"/>
      <c r="AO84" s="304"/>
      <c r="AP84" s="304"/>
      <c r="AQ84" s="304"/>
      <c r="AR84" s="304"/>
      <c r="AS84" s="304"/>
      <c r="AT84" s="304"/>
      <c r="AU84" s="304"/>
      <c r="AV84" s="304"/>
      <c r="AW84" s="304"/>
      <c r="AX84" s="304"/>
      <c r="AY84" s="304"/>
      <c r="AZ84" s="304"/>
      <c r="BA84" s="304"/>
      <c r="BB84" s="304"/>
      <c r="BC84" s="304"/>
      <c r="BD84" s="304"/>
      <c r="BE84" s="304"/>
      <c r="BF84" s="304"/>
      <c r="BG84" s="304"/>
      <c r="BH84" s="304"/>
      <c r="BI84" s="304"/>
      <c r="BJ84" s="304"/>
      <c r="BK84" s="304"/>
      <c r="BL84" s="304"/>
      <c r="BM84" s="304"/>
      <c r="BN84" s="304"/>
      <c r="BO84" s="304"/>
      <c r="BP84" s="304"/>
      <c r="BQ84" s="304"/>
      <c r="BR84" s="304"/>
      <c r="BS84" s="304"/>
      <c r="BT84" s="304"/>
      <c r="BU84" s="304"/>
      <c r="BV84" s="309"/>
      <c r="BW84" s="309"/>
      <c r="BX84" s="305"/>
      <c r="BY84" s="305"/>
      <c r="BZ84" s="305"/>
      <c r="CA84" s="305"/>
      <c r="CB84" s="305"/>
      <c r="CC84" s="305"/>
      <c r="CD84" s="305"/>
      <c r="CE84" s="305"/>
      <c r="CF84" s="305"/>
      <c r="CG84" s="305"/>
      <c r="CH84" s="305"/>
      <c r="CI84" s="305"/>
      <c r="CJ84" s="305"/>
    </row>
    <row r="85" spans="2:88" hidden="1" outlineLevel="1" collapsed="1">
      <c r="B85" s="308"/>
      <c r="C85" s="304"/>
      <c r="D85" s="304"/>
      <c r="E85" s="304"/>
      <c r="F85" s="304"/>
      <c r="G85" s="304"/>
      <c r="H85" s="304"/>
      <c r="I85" s="304"/>
      <c r="J85" s="304"/>
      <c r="K85" s="304"/>
      <c r="L85" s="304"/>
      <c r="M85" s="304"/>
      <c r="N85" s="304"/>
      <c r="O85" s="304"/>
      <c r="P85" s="304"/>
      <c r="Q85" s="304"/>
      <c r="R85" s="304"/>
      <c r="S85" s="304"/>
      <c r="T85" s="304"/>
      <c r="U85" s="304"/>
      <c r="V85" s="304"/>
      <c r="W85" s="304"/>
      <c r="X85" s="304"/>
      <c r="Y85" s="304"/>
      <c r="Z85" s="304"/>
      <c r="AA85" s="304"/>
      <c r="AB85" s="304"/>
      <c r="AC85" s="304"/>
      <c r="AD85" s="304"/>
      <c r="AE85" s="304"/>
      <c r="AF85" s="304"/>
      <c r="AG85" s="304"/>
      <c r="AH85" s="304"/>
      <c r="AI85" s="304"/>
      <c r="AJ85" s="304"/>
      <c r="AK85" s="304"/>
      <c r="AL85" s="304"/>
      <c r="AM85" s="304"/>
      <c r="AN85" s="304"/>
      <c r="AO85" s="304"/>
      <c r="AP85" s="304"/>
      <c r="AQ85" s="304"/>
      <c r="AR85" s="304"/>
      <c r="AS85" s="304"/>
      <c r="AT85" s="304"/>
      <c r="AU85" s="304"/>
      <c r="AV85" s="304"/>
      <c r="AW85" s="304"/>
      <c r="AX85" s="304"/>
      <c r="AY85" s="304"/>
      <c r="AZ85" s="304"/>
      <c r="BA85" s="304"/>
      <c r="BB85" s="304"/>
      <c r="BC85" s="304"/>
      <c r="BD85" s="304"/>
      <c r="BE85" s="304"/>
      <c r="BF85" s="304"/>
      <c r="BG85" s="304"/>
      <c r="BH85" s="304"/>
      <c r="BI85" s="304"/>
      <c r="BJ85" s="304"/>
      <c r="BK85" s="304"/>
      <c r="BL85" s="304"/>
      <c r="BM85" s="304"/>
      <c r="BN85" s="304"/>
      <c r="BO85" s="304"/>
      <c r="BP85" s="304"/>
      <c r="BQ85" s="304"/>
      <c r="BR85" s="304"/>
      <c r="BS85" s="304"/>
      <c r="BT85" s="304"/>
      <c r="BU85" s="304"/>
      <c r="BV85" s="309"/>
      <c r="BW85" s="309"/>
      <c r="BX85" s="305"/>
      <c r="BY85" s="305"/>
      <c r="BZ85" s="305"/>
      <c r="CA85" s="305"/>
      <c r="CB85" s="305"/>
      <c r="CC85" s="305"/>
      <c r="CD85" s="305"/>
      <c r="CE85" s="305"/>
      <c r="CF85" s="305"/>
      <c r="CG85" s="305"/>
      <c r="CH85" s="305"/>
      <c r="CI85" s="305"/>
      <c r="CJ85" s="305"/>
    </row>
    <row r="86" spans="2:88" collapsed="1">
      <c r="B86" s="301" t="s">
        <v>332</v>
      </c>
      <c r="C86" s="301">
        <v>1945</v>
      </c>
      <c r="D86" s="301">
        <v>1946</v>
      </c>
      <c r="E86" s="301">
        <v>1947</v>
      </c>
      <c r="F86" s="301">
        <v>1948</v>
      </c>
      <c r="G86" s="301">
        <v>1949</v>
      </c>
      <c r="H86" s="301">
        <v>1950</v>
      </c>
      <c r="I86" s="301">
        <v>1951</v>
      </c>
      <c r="J86" s="301">
        <v>1952</v>
      </c>
      <c r="K86" s="301">
        <v>1953</v>
      </c>
      <c r="L86" s="301">
        <v>1954</v>
      </c>
      <c r="M86" s="301">
        <v>1955</v>
      </c>
      <c r="N86" s="301">
        <v>1956</v>
      </c>
      <c r="O86" s="301">
        <v>1957</v>
      </c>
      <c r="P86" s="301">
        <v>1958</v>
      </c>
      <c r="Q86" s="301">
        <v>1959</v>
      </c>
      <c r="R86" s="301">
        <v>1960</v>
      </c>
      <c r="S86" s="301">
        <v>1961</v>
      </c>
      <c r="T86" s="301">
        <v>1962</v>
      </c>
      <c r="U86" s="301">
        <v>1963</v>
      </c>
      <c r="V86" s="301">
        <v>1964</v>
      </c>
      <c r="W86" s="301">
        <v>1965</v>
      </c>
      <c r="X86" s="301">
        <v>1966</v>
      </c>
      <c r="Y86" s="301">
        <v>1967</v>
      </c>
      <c r="Z86" s="301">
        <v>1968</v>
      </c>
      <c r="AA86" s="301">
        <v>1969</v>
      </c>
      <c r="AB86" s="301">
        <v>1970</v>
      </c>
      <c r="AC86" s="301">
        <v>1971</v>
      </c>
      <c r="AD86" s="301">
        <v>1972</v>
      </c>
      <c r="AE86" s="301">
        <v>1973</v>
      </c>
      <c r="AF86" s="301">
        <v>1974</v>
      </c>
      <c r="AG86" s="301">
        <v>1975</v>
      </c>
      <c r="AH86" s="301">
        <v>1976</v>
      </c>
      <c r="AI86" s="301">
        <v>1977</v>
      </c>
      <c r="AJ86" s="301">
        <v>1978</v>
      </c>
      <c r="AK86" s="301">
        <v>1979</v>
      </c>
      <c r="AL86" s="301">
        <v>1980</v>
      </c>
      <c r="AM86" s="301">
        <v>1981</v>
      </c>
      <c r="AN86" s="301">
        <v>1982</v>
      </c>
      <c r="AO86" s="301">
        <v>1983</v>
      </c>
      <c r="AP86" s="301">
        <v>1984</v>
      </c>
      <c r="AQ86" s="301">
        <v>1985</v>
      </c>
      <c r="AR86" s="301">
        <v>1986</v>
      </c>
      <c r="AS86" s="301">
        <v>1987</v>
      </c>
      <c r="AT86" s="301">
        <v>1988</v>
      </c>
      <c r="AU86" s="301">
        <v>1989</v>
      </c>
      <c r="AV86" s="301">
        <v>1990</v>
      </c>
      <c r="AW86" s="301">
        <v>1991</v>
      </c>
      <c r="AX86" s="301">
        <v>1992</v>
      </c>
      <c r="AY86" s="301">
        <v>1993</v>
      </c>
      <c r="AZ86" s="301">
        <v>1994</v>
      </c>
      <c r="BA86" s="301">
        <v>1995</v>
      </c>
      <c r="BB86" s="301">
        <v>1996</v>
      </c>
      <c r="BC86" s="301">
        <v>1997</v>
      </c>
      <c r="BD86" s="301">
        <v>1998</v>
      </c>
      <c r="BE86" s="301">
        <v>1999</v>
      </c>
      <c r="BF86" s="301">
        <v>2000</v>
      </c>
      <c r="BG86" s="301">
        <v>2001</v>
      </c>
      <c r="BH86" s="301">
        <v>2002</v>
      </c>
      <c r="BI86" s="301">
        <v>2003</v>
      </c>
      <c r="BJ86" s="301">
        <v>2004</v>
      </c>
      <c r="BK86" s="301">
        <v>2005</v>
      </c>
      <c r="BL86" s="301">
        <v>2006</v>
      </c>
      <c r="BM86" s="301">
        <v>2007</v>
      </c>
      <c r="BN86" s="301">
        <v>2008</v>
      </c>
      <c r="BO86" s="301">
        <v>2009</v>
      </c>
      <c r="BP86" s="301">
        <v>2010</v>
      </c>
      <c r="BQ86" s="301">
        <v>2011</v>
      </c>
      <c r="BR86" s="301">
        <v>2012</v>
      </c>
      <c r="BS86" s="301">
        <v>2013</v>
      </c>
      <c r="BT86" s="301">
        <v>2014</v>
      </c>
      <c r="BU86" s="301">
        <v>2015</v>
      </c>
      <c r="BV86" s="301">
        <v>2016</v>
      </c>
      <c r="BW86" s="301">
        <v>2017</v>
      </c>
      <c r="BX86" s="301">
        <v>2018</v>
      </c>
      <c r="BY86" s="301">
        <v>2019</v>
      </c>
      <c r="BZ86" s="301">
        <v>2020</v>
      </c>
      <c r="CA86" s="301">
        <v>2021</v>
      </c>
      <c r="CB86" s="301">
        <v>2022</v>
      </c>
      <c r="CC86" s="301">
        <v>2023</v>
      </c>
      <c r="CD86" s="301">
        <v>2024</v>
      </c>
      <c r="CE86" s="301">
        <v>2025</v>
      </c>
      <c r="CF86" s="301">
        <v>2026</v>
      </c>
      <c r="CG86" s="301">
        <v>2027</v>
      </c>
      <c r="CH86" s="301">
        <v>2028</v>
      </c>
      <c r="CI86" s="301">
        <v>2029</v>
      </c>
      <c r="CJ86" s="301">
        <v>2030</v>
      </c>
    </row>
    <row r="87" spans="2:88">
      <c r="B87" s="310"/>
      <c r="C87" s="310"/>
      <c r="D87" s="310"/>
      <c r="E87" s="310"/>
      <c r="F87" s="310"/>
      <c r="G87" s="310"/>
      <c r="H87" s="310"/>
      <c r="I87" s="310"/>
      <c r="J87" s="310"/>
      <c r="K87" s="310"/>
      <c r="L87" s="310"/>
      <c r="M87" s="310"/>
      <c r="N87" s="310"/>
      <c r="O87" s="310"/>
      <c r="P87" s="310"/>
      <c r="Q87" s="310"/>
      <c r="R87" s="310"/>
      <c r="S87" s="310"/>
      <c r="T87" s="310"/>
      <c r="U87" s="310"/>
      <c r="V87" s="310"/>
      <c r="W87" s="310"/>
      <c r="X87" s="310"/>
      <c r="Y87" s="310"/>
      <c r="Z87" s="310"/>
      <c r="AA87" s="310"/>
      <c r="AB87" s="310"/>
      <c r="AC87" s="310"/>
      <c r="AD87" s="310"/>
      <c r="AE87" s="310"/>
      <c r="AF87" s="310"/>
      <c r="AG87" s="310"/>
      <c r="AH87" s="310"/>
      <c r="AI87" s="310"/>
      <c r="AJ87" s="310"/>
      <c r="AK87" s="310"/>
      <c r="AL87" s="310"/>
      <c r="AM87" s="310"/>
      <c r="AN87" s="310"/>
      <c r="AO87" s="310"/>
      <c r="AP87" s="310"/>
      <c r="AQ87" s="310"/>
      <c r="AR87" s="310"/>
      <c r="AS87" s="310"/>
      <c r="AT87" s="310"/>
      <c r="AU87" s="310"/>
      <c r="AV87" s="310"/>
      <c r="AW87" s="310"/>
      <c r="AX87" s="310"/>
      <c r="AY87" s="310"/>
      <c r="AZ87" s="310"/>
      <c r="BA87" s="310"/>
      <c r="BB87" s="310"/>
      <c r="BC87" s="310"/>
      <c r="BD87" s="310"/>
      <c r="BE87" s="310"/>
      <c r="BF87" s="310"/>
      <c r="BG87" s="310"/>
      <c r="BH87" s="310"/>
      <c r="BI87" s="310"/>
      <c r="BJ87" s="310"/>
      <c r="BK87" s="310"/>
      <c r="BL87" s="310"/>
      <c r="BM87" s="310"/>
      <c r="BN87" s="310"/>
      <c r="BO87" s="310"/>
      <c r="BP87" s="310"/>
      <c r="BQ87" s="310"/>
      <c r="BR87" s="310"/>
      <c r="BS87" s="310"/>
      <c r="BT87" s="310"/>
      <c r="BU87" s="310"/>
      <c r="BV87" s="310"/>
      <c r="BW87" s="310"/>
      <c r="BX87" s="310"/>
      <c r="BY87" s="310"/>
      <c r="BZ87" s="310"/>
      <c r="CA87" s="310"/>
      <c r="CB87" s="310"/>
      <c r="CC87" s="310"/>
      <c r="CD87" s="310"/>
      <c r="CE87" s="310"/>
      <c r="CF87" s="310"/>
      <c r="CG87" s="310"/>
      <c r="CH87" s="310"/>
      <c r="CI87" s="310"/>
      <c r="CJ87" s="310"/>
    </row>
    <row r="88" spans="2:88">
      <c r="B88" s="311" t="s">
        <v>349</v>
      </c>
      <c r="C88" s="312">
        <f t="shared" ref="C88:AP88" si="20">D88/(1+D89)</f>
        <v>1900705.1078647471</v>
      </c>
      <c r="D88" s="312">
        <f t="shared" si="20"/>
        <v>1921612.8640512591</v>
      </c>
      <c r="E88" s="312">
        <f t="shared" si="20"/>
        <v>1942750.6055558228</v>
      </c>
      <c r="F88" s="312">
        <f t="shared" si="20"/>
        <v>1964120.8622169367</v>
      </c>
      <c r="G88" s="312">
        <f t="shared" si="20"/>
        <v>1985726.1917013228</v>
      </c>
      <c r="H88" s="312">
        <f t="shared" si="20"/>
        <v>2007569.1798100371</v>
      </c>
      <c r="I88" s="312">
        <f t="shared" si="20"/>
        <v>2029652.4407879473</v>
      </c>
      <c r="J88" s="312">
        <f t="shared" si="20"/>
        <v>2051978.6176366145</v>
      </c>
      <c r="K88" s="312">
        <f t="shared" si="20"/>
        <v>2074550.382430617</v>
      </c>
      <c r="L88" s="312">
        <f t="shared" si="20"/>
        <v>2097370.4366373536</v>
      </c>
      <c r="M88" s="312">
        <f t="shared" si="20"/>
        <v>2120441.5114403642</v>
      </c>
      <c r="N88" s="312">
        <f t="shared" si="20"/>
        <v>2143766.368066208</v>
      </c>
      <c r="O88" s="312">
        <f t="shared" si="20"/>
        <v>2167347.7981149359</v>
      </c>
      <c r="P88" s="312">
        <f t="shared" si="20"/>
        <v>2191188.6238941997</v>
      </c>
      <c r="Q88" s="312">
        <f t="shared" si="20"/>
        <v>2215291.6987570357</v>
      </c>
      <c r="R88" s="312">
        <f t="shared" si="20"/>
        <v>2239659.9074433628</v>
      </c>
      <c r="S88" s="312">
        <f t="shared" si="20"/>
        <v>2264296.1664252393</v>
      </c>
      <c r="T88" s="312">
        <f t="shared" si="20"/>
        <v>2289203.4242559168</v>
      </c>
      <c r="U88" s="312">
        <f t="shared" si="20"/>
        <v>2314384.6619227319</v>
      </c>
      <c r="V88" s="312">
        <f t="shared" si="20"/>
        <v>2339842.8932038816</v>
      </c>
      <c r="W88" s="312">
        <f t="shared" si="20"/>
        <v>2365581.1650291239</v>
      </c>
      <c r="X88" s="312">
        <f t="shared" si="20"/>
        <v>2391602.5578444442</v>
      </c>
      <c r="Y88" s="312">
        <f t="shared" si="20"/>
        <v>2417910.185980733</v>
      </c>
      <c r="Z88" s="312">
        <f t="shared" si="20"/>
        <v>2444507.1980265207</v>
      </c>
      <c r="AA88" s="312">
        <f t="shared" si="20"/>
        <v>2471396.777204812</v>
      </c>
      <c r="AB88" s="312">
        <f t="shared" si="20"/>
        <v>2498582.1417540647</v>
      </c>
      <c r="AC88" s="312">
        <f t="shared" si="20"/>
        <v>2526066.5453133592</v>
      </c>
      <c r="AD88" s="312">
        <f t="shared" si="20"/>
        <v>2553853.2773118061</v>
      </c>
      <c r="AE88" s="312">
        <f t="shared" si="20"/>
        <v>2581945.6633622358</v>
      </c>
      <c r="AF88" s="312">
        <f t="shared" si="20"/>
        <v>2610347.0656592199</v>
      </c>
      <c r="AG88" s="312">
        <f t="shared" si="20"/>
        <v>2639060.883381471</v>
      </c>
      <c r="AH88" s="312">
        <f t="shared" si="20"/>
        <v>2668090.5530986669</v>
      </c>
      <c r="AI88" s="312">
        <f t="shared" si="20"/>
        <v>2697439.5491827521</v>
      </c>
      <c r="AJ88" s="312">
        <f t="shared" si="20"/>
        <v>2727111.384223762</v>
      </c>
      <c r="AK88" s="312">
        <f t="shared" si="20"/>
        <v>2757109.6094502229</v>
      </c>
      <c r="AL88" s="312">
        <f t="shared" si="20"/>
        <v>2787437.8151541753</v>
      </c>
      <c r="AM88" s="312">
        <f t="shared" si="20"/>
        <v>2818099.6311208708</v>
      </c>
      <c r="AN88" s="312">
        <f t="shared" si="20"/>
        <v>2849098.7270632</v>
      </c>
      <c r="AO88" s="312">
        <f t="shared" si="20"/>
        <v>2880438.8130608951</v>
      </c>
      <c r="AP88" s="312">
        <f t="shared" si="20"/>
        <v>2912123.6400045645</v>
      </c>
      <c r="AQ88" s="312">
        <f t="shared" ref="AQ88:AZ88" si="21">AR88/(1+AR89)</f>
        <v>2944157.0000446145</v>
      </c>
      <c r="AR88" s="312">
        <f t="shared" si="21"/>
        <v>2976542.7270451048</v>
      </c>
      <c r="AS88" s="312">
        <f t="shared" si="21"/>
        <v>3009284.6970426007</v>
      </c>
      <c r="AT88" s="312">
        <f t="shared" si="21"/>
        <v>3042386.8287100689</v>
      </c>
      <c r="AU88" s="312">
        <f t="shared" si="21"/>
        <v>3075853.0838258793</v>
      </c>
      <c r="AV88" s="312">
        <f t="shared" si="21"/>
        <v>3109687.4677479635</v>
      </c>
      <c r="AW88" s="312">
        <f t="shared" si="21"/>
        <v>3143894.0298931906</v>
      </c>
      <c r="AX88" s="312">
        <f t="shared" si="21"/>
        <v>3178476.8642220153</v>
      </c>
      <c r="AY88" s="312">
        <f t="shared" si="21"/>
        <v>3213440.1097284569</v>
      </c>
      <c r="AZ88" s="312">
        <f t="shared" si="21"/>
        <v>3248787.9509354695</v>
      </c>
      <c r="BA88" s="312">
        <f t="shared" ref="BA88:BQ88" si="22">BB88/(1+BB89)</f>
        <v>3284524.6183957593</v>
      </c>
      <c r="BB88" s="312">
        <f t="shared" si="22"/>
        <v>3320654.3891981123</v>
      </c>
      <c r="BC88" s="312">
        <f t="shared" si="22"/>
        <v>3357181.587479291</v>
      </c>
      <c r="BD88" s="312">
        <f t="shared" si="22"/>
        <v>3394110.5849415627</v>
      </c>
      <c r="BE88" s="312">
        <f t="shared" si="22"/>
        <v>3431445.8013759195</v>
      </c>
      <c r="BF88" s="312">
        <f t="shared" si="22"/>
        <v>3469191.7051910544</v>
      </c>
      <c r="BG88" s="312">
        <f t="shared" si="22"/>
        <v>3507352.8139481558</v>
      </c>
      <c r="BH88" s="312">
        <f t="shared" si="22"/>
        <v>3545933.6949015851</v>
      </c>
      <c r="BI88" s="312">
        <f t="shared" si="22"/>
        <v>3584938.965545502</v>
      </c>
      <c r="BJ88" s="312">
        <f t="shared" si="22"/>
        <v>3624373.2941665021</v>
      </c>
      <c r="BK88" s="312">
        <f t="shared" si="22"/>
        <v>3664241.4004023331</v>
      </c>
      <c r="BL88" s="312">
        <f t="shared" si="22"/>
        <v>3704548.0558067583</v>
      </c>
      <c r="BM88" s="312">
        <f t="shared" si="22"/>
        <v>3745298.0844206321</v>
      </c>
      <c r="BN88" s="312">
        <f t="shared" si="22"/>
        <v>3786496.3633492589</v>
      </c>
      <c r="BO88" s="312">
        <f t="shared" si="22"/>
        <v>3828147.8233461003</v>
      </c>
      <c r="BP88" s="312">
        <f t="shared" si="22"/>
        <v>3870257.4494029069</v>
      </c>
      <c r="BQ88" s="312">
        <f t="shared" si="22"/>
        <v>3912830.2813463383</v>
      </c>
      <c r="BR88" s="312">
        <f>BS88/(1+BS89)</f>
        <v>3955871.4144411478</v>
      </c>
      <c r="BS88" s="312">
        <v>3999386</v>
      </c>
      <c r="BT88" s="312">
        <f>BS88*(1+BT89)</f>
        <v>4043379.2459999998</v>
      </c>
      <c r="BU88" s="312">
        <f t="shared" ref="BU88:CF88" si="23">BT88*(1+BU89)</f>
        <v>4087856.4177059992</v>
      </c>
      <c r="BV88" s="312">
        <f t="shared" si="23"/>
        <v>4132822.838300765</v>
      </c>
      <c r="BW88" s="312">
        <f t="shared" si="23"/>
        <v>4178283.8895220729</v>
      </c>
      <c r="BX88" s="312">
        <f t="shared" si="23"/>
        <v>4224245.012306815</v>
      </c>
      <c r="BY88" s="312">
        <f t="shared" si="23"/>
        <v>4270711.7074421896</v>
      </c>
      <c r="BZ88" s="312">
        <f t="shared" si="23"/>
        <v>4317689.5362240532</v>
      </c>
      <c r="CA88" s="312">
        <f t="shared" si="23"/>
        <v>4365184.1211225176</v>
      </c>
      <c r="CB88" s="312">
        <f t="shared" si="23"/>
        <v>4413201.1464548651</v>
      </c>
      <c r="CC88" s="312">
        <f t="shared" si="23"/>
        <v>4461746.359065868</v>
      </c>
      <c r="CD88" s="312">
        <f t="shared" si="23"/>
        <v>4510825.5690155923</v>
      </c>
      <c r="CE88" s="312">
        <f t="shared" si="23"/>
        <v>4560444.6502747638</v>
      </c>
      <c r="CF88" s="312">
        <f t="shared" si="23"/>
        <v>4610609.5414277855</v>
      </c>
      <c r="CG88" s="312">
        <f t="shared" ref="CG88" si="24">CF88*(1+CG89)</f>
        <v>4661326.246383491</v>
      </c>
      <c r="CH88" s="312">
        <f t="shared" ref="CH88" si="25">CG88*(1+CH89)</f>
        <v>4712600.8350937087</v>
      </c>
      <c r="CI88" s="312">
        <f t="shared" ref="CI88" si="26">CH88*(1+CI89)</f>
        <v>4764439.4442797387</v>
      </c>
      <c r="CJ88" s="312">
        <f t="shared" ref="CJ88" si="27">CI88*(1+CJ89)</f>
        <v>4816848.2781668156</v>
      </c>
    </row>
    <row r="89" spans="2:88">
      <c r="B89" s="313" t="s">
        <v>7</v>
      </c>
      <c r="C89" s="315">
        <f t="shared" ref="C89:AP89" si="28">D89</f>
        <v>1.0999999999999999E-2</v>
      </c>
      <c r="D89" s="315">
        <f t="shared" si="28"/>
        <v>1.0999999999999999E-2</v>
      </c>
      <c r="E89" s="315">
        <f t="shared" si="28"/>
        <v>1.0999999999999999E-2</v>
      </c>
      <c r="F89" s="315">
        <f t="shared" si="28"/>
        <v>1.0999999999999999E-2</v>
      </c>
      <c r="G89" s="315">
        <f t="shared" si="28"/>
        <v>1.0999999999999999E-2</v>
      </c>
      <c r="H89" s="315">
        <f t="shared" si="28"/>
        <v>1.0999999999999999E-2</v>
      </c>
      <c r="I89" s="315">
        <f t="shared" si="28"/>
        <v>1.0999999999999999E-2</v>
      </c>
      <c r="J89" s="315">
        <f t="shared" si="28"/>
        <v>1.0999999999999999E-2</v>
      </c>
      <c r="K89" s="315">
        <f t="shared" si="28"/>
        <v>1.0999999999999999E-2</v>
      </c>
      <c r="L89" s="315">
        <f t="shared" si="28"/>
        <v>1.0999999999999999E-2</v>
      </c>
      <c r="M89" s="315">
        <f t="shared" si="28"/>
        <v>1.0999999999999999E-2</v>
      </c>
      <c r="N89" s="315">
        <f t="shared" si="28"/>
        <v>1.0999999999999999E-2</v>
      </c>
      <c r="O89" s="315">
        <f t="shared" si="28"/>
        <v>1.0999999999999999E-2</v>
      </c>
      <c r="P89" s="315">
        <f t="shared" si="28"/>
        <v>1.0999999999999999E-2</v>
      </c>
      <c r="Q89" s="315">
        <f t="shared" si="28"/>
        <v>1.0999999999999999E-2</v>
      </c>
      <c r="R89" s="315">
        <f t="shared" si="28"/>
        <v>1.0999999999999999E-2</v>
      </c>
      <c r="S89" s="315">
        <f t="shared" si="28"/>
        <v>1.0999999999999999E-2</v>
      </c>
      <c r="T89" s="315">
        <f t="shared" si="28"/>
        <v>1.0999999999999999E-2</v>
      </c>
      <c r="U89" s="315">
        <f t="shared" si="28"/>
        <v>1.0999999999999999E-2</v>
      </c>
      <c r="V89" s="315">
        <f t="shared" si="28"/>
        <v>1.0999999999999999E-2</v>
      </c>
      <c r="W89" s="315">
        <f t="shared" si="28"/>
        <v>1.0999999999999999E-2</v>
      </c>
      <c r="X89" s="315">
        <f t="shared" si="28"/>
        <v>1.0999999999999999E-2</v>
      </c>
      <c r="Y89" s="315">
        <f t="shared" si="28"/>
        <v>1.0999999999999999E-2</v>
      </c>
      <c r="Z89" s="315">
        <f t="shared" si="28"/>
        <v>1.0999999999999999E-2</v>
      </c>
      <c r="AA89" s="315">
        <f t="shared" si="28"/>
        <v>1.0999999999999999E-2</v>
      </c>
      <c r="AB89" s="315">
        <f t="shared" si="28"/>
        <v>1.0999999999999999E-2</v>
      </c>
      <c r="AC89" s="315">
        <f t="shared" si="28"/>
        <v>1.0999999999999999E-2</v>
      </c>
      <c r="AD89" s="315">
        <f t="shared" si="28"/>
        <v>1.0999999999999999E-2</v>
      </c>
      <c r="AE89" s="315">
        <f t="shared" si="28"/>
        <v>1.0999999999999999E-2</v>
      </c>
      <c r="AF89" s="315">
        <f t="shared" si="28"/>
        <v>1.0999999999999999E-2</v>
      </c>
      <c r="AG89" s="315">
        <f t="shared" si="28"/>
        <v>1.0999999999999999E-2</v>
      </c>
      <c r="AH89" s="315">
        <f t="shared" si="28"/>
        <v>1.0999999999999999E-2</v>
      </c>
      <c r="AI89" s="315">
        <f t="shared" si="28"/>
        <v>1.0999999999999999E-2</v>
      </c>
      <c r="AJ89" s="315">
        <f t="shared" si="28"/>
        <v>1.0999999999999999E-2</v>
      </c>
      <c r="AK89" s="315">
        <f t="shared" si="28"/>
        <v>1.0999999999999999E-2</v>
      </c>
      <c r="AL89" s="315">
        <f t="shared" si="28"/>
        <v>1.0999999999999999E-2</v>
      </c>
      <c r="AM89" s="315">
        <f t="shared" si="28"/>
        <v>1.0999999999999999E-2</v>
      </c>
      <c r="AN89" s="315">
        <f t="shared" si="28"/>
        <v>1.0999999999999999E-2</v>
      </c>
      <c r="AO89" s="315">
        <f t="shared" si="28"/>
        <v>1.0999999999999999E-2</v>
      </c>
      <c r="AP89" s="315">
        <f t="shared" si="28"/>
        <v>1.0999999999999999E-2</v>
      </c>
      <c r="AQ89" s="315">
        <f t="shared" ref="AQ89:AZ89" si="29">AR89</f>
        <v>1.0999999999999999E-2</v>
      </c>
      <c r="AR89" s="315">
        <f t="shared" si="29"/>
        <v>1.0999999999999999E-2</v>
      </c>
      <c r="AS89" s="315">
        <f t="shared" si="29"/>
        <v>1.0999999999999999E-2</v>
      </c>
      <c r="AT89" s="315">
        <f t="shared" si="29"/>
        <v>1.0999999999999999E-2</v>
      </c>
      <c r="AU89" s="315">
        <f t="shared" si="29"/>
        <v>1.0999999999999999E-2</v>
      </c>
      <c r="AV89" s="315">
        <f t="shared" si="29"/>
        <v>1.0999999999999999E-2</v>
      </c>
      <c r="AW89" s="315">
        <f t="shared" si="29"/>
        <v>1.0999999999999999E-2</v>
      </c>
      <c r="AX89" s="315">
        <f t="shared" si="29"/>
        <v>1.0999999999999999E-2</v>
      </c>
      <c r="AY89" s="315">
        <f t="shared" si="29"/>
        <v>1.0999999999999999E-2</v>
      </c>
      <c r="AZ89" s="315">
        <f t="shared" si="29"/>
        <v>1.0999999999999999E-2</v>
      </c>
      <c r="BA89" s="315">
        <f t="shared" ref="BA89:BQ89" si="30">BB89</f>
        <v>1.0999999999999999E-2</v>
      </c>
      <c r="BB89" s="315">
        <f t="shared" si="30"/>
        <v>1.0999999999999999E-2</v>
      </c>
      <c r="BC89" s="315">
        <f t="shared" si="30"/>
        <v>1.0999999999999999E-2</v>
      </c>
      <c r="BD89" s="315">
        <f t="shared" si="30"/>
        <v>1.0999999999999999E-2</v>
      </c>
      <c r="BE89" s="315">
        <f t="shared" si="30"/>
        <v>1.0999999999999999E-2</v>
      </c>
      <c r="BF89" s="315">
        <f t="shared" si="30"/>
        <v>1.0999999999999999E-2</v>
      </c>
      <c r="BG89" s="315">
        <f t="shared" si="30"/>
        <v>1.0999999999999999E-2</v>
      </c>
      <c r="BH89" s="315">
        <f t="shared" si="30"/>
        <v>1.0999999999999999E-2</v>
      </c>
      <c r="BI89" s="315">
        <f t="shared" si="30"/>
        <v>1.0999999999999999E-2</v>
      </c>
      <c r="BJ89" s="315">
        <f t="shared" si="30"/>
        <v>1.0999999999999999E-2</v>
      </c>
      <c r="BK89" s="315">
        <f t="shared" si="30"/>
        <v>1.0999999999999999E-2</v>
      </c>
      <c r="BL89" s="315">
        <f t="shared" si="30"/>
        <v>1.0999999999999999E-2</v>
      </c>
      <c r="BM89" s="315">
        <f t="shared" si="30"/>
        <v>1.0999999999999999E-2</v>
      </c>
      <c r="BN89" s="315">
        <f t="shared" si="30"/>
        <v>1.0999999999999999E-2</v>
      </c>
      <c r="BO89" s="315">
        <f t="shared" si="30"/>
        <v>1.0999999999999999E-2</v>
      </c>
      <c r="BP89" s="315">
        <f t="shared" si="30"/>
        <v>1.0999999999999999E-2</v>
      </c>
      <c r="BQ89" s="315">
        <f t="shared" si="30"/>
        <v>1.0999999999999999E-2</v>
      </c>
      <c r="BR89" s="315">
        <f>BS89</f>
        <v>1.0999999999999999E-2</v>
      </c>
      <c r="BS89" s="315">
        <f>BT89</f>
        <v>1.0999999999999999E-2</v>
      </c>
      <c r="BT89" s="315">
        <v>1.0999999999999999E-2</v>
      </c>
      <c r="BU89" s="315">
        <v>1.0999999999999999E-2</v>
      </c>
      <c r="BV89" s="315">
        <v>1.0999999999999999E-2</v>
      </c>
      <c r="BW89" s="315">
        <v>1.0999999999999999E-2</v>
      </c>
      <c r="BX89" s="315">
        <v>1.0999999999999999E-2</v>
      </c>
      <c r="BY89" s="315">
        <v>1.0999999999999999E-2</v>
      </c>
      <c r="BZ89" s="315">
        <v>1.0999999999999999E-2</v>
      </c>
      <c r="CA89" s="315">
        <v>1.0999999999999999E-2</v>
      </c>
      <c r="CB89" s="315">
        <v>1.0999999999999999E-2</v>
      </c>
      <c r="CC89" s="315">
        <v>1.0999999999999999E-2</v>
      </c>
      <c r="CD89" s="315">
        <v>1.0999999999999999E-2</v>
      </c>
      <c r="CE89" s="315">
        <v>1.0999999999999999E-2</v>
      </c>
      <c r="CF89" s="315">
        <v>1.0999999999999999E-2</v>
      </c>
      <c r="CG89" s="315">
        <v>1.0999999999999999E-2</v>
      </c>
      <c r="CH89" s="315">
        <v>1.0999999999999999E-2</v>
      </c>
      <c r="CI89" s="315">
        <v>1.0999999999999999E-2</v>
      </c>
      <c r="CJ89" s="315">
        <v>1.0999999999999999E-2</v>
      </c>
    </row>
    <row r="90" spans="2:88">
      <c r="B90" s="310"/>
      <c r="C90" s="310"/>
      <c r="D90" s="310"/>
      <c r="E90" s="310"/>
      <c r="F90" s="310"/>
      <c r="G90" s="310"/>
      <c r="H90" s="310"/>
      <c r="I90" s="310"/>
      <c r="J90" s="310"/>
      <c r="K90" s="310"/>
      <c r="L90" s="310"/>
      <c r="M90" s="310"/>
      <c r="N90" s="310"/>
      <c r="O90" s="310"/>
      <c r="P90" s="310"/>
      <c r="Q90" s="310"/>
      <c r="R90" s="310"/>
      <c r="S90" s="310"/>
      <c r="T90" s="310"/>
      <c r="U90" s="310"/>
      <c r="V90" s="310"/>
      <c r="W90" s="310"/>
      <c r="X90" s="310"/>
      <c r="Y90" s="310"/>
      <c r="Z90" s="310"/>
      <c r="AA90" s="310"/>
      <c r="AB90" s="310"/>
      <c r="AC90" s="310"/>
      <c r="AD90" s="310"/>
      <c r="AE90" s="310"/>
      <c r="AF90" s="310"/>
      <c r="AG90" s="310"/>
      <c r="AH90" s="310"/>
      <c r="AI90" s="310"/>
      <c r="AJ90" s="310"/>
      <c r="AK90" s="310"/>
      <c r="AL90" s="310"/>
      <c r="AM90" s="310"/>
      <c r="AN90" s="310"/>
      <c r="AO90" s="310"/>
      <c r="AP90" s="310"/>
      <c r="AQ90" s="310"/>
      <c r="AR90" s="310"/>
      <c r="AS90" s="310"/>
      <c r="AT90" s="310"/>
      <c r="AU90" s="310"/>
      <c r="AV90" s="310"/>
      <c r="AW90" s="310"/>
      <c r="AX90" s="310"/>
      <c r="AY90" s="310"/>
      <c r="AZ90" s="310"/>
      <c r="BA90" s="310"/>
      <c r="BB90" s="310"/>
      <c r="BC90" s="310"/>
      <c r="BD90" s="310"/>
      <c r="BE90" s="310"/>
      <c r="BF90" s="310"/>
      <c r="BG90" s="310"/>
      <c r="BH90" s="310"/>
      <c r="BI90" s="310"/>
      <c r="BJ90" s="310"/>
      <c r="BK90" s="310"/>
      <c r="BL90" s="310"/>
      <c r="BM90" s="310"/>
      <c r="BN90" s="310"/>
      <c r="BO90" s="310"/>
      <c r="BP90" s="310"/>
      <c r="BQ90" s="310"/>
      <c r="BR90" s="310"/>
      <c r="BS90" s="310"/>
      <c r="BT90" s="310"/>
      <c r="BU90" s="310"/>
      <c r="BV90" s="310"/>
      <c r="BW90" s="310"/>
      <c r="BX90" s="310"/>
      <c r="BY90" s="310"/>
      <c r="BZ90" s="310"/>
      <c r="CA90" s="310"/>
      <c r="CB90" s="310"/>
      <c r="CC90" s="310"/>
      <c r="CD90" s="310"/>
      <c r="CE90" s="310"/>
      <c r="CF90" s="310"/>
      <c r="CG90" s="310"/>
      <c r="CH90" s="310"/>
      <c r="CI90" s="310"/>
      <c r="CJ90" s="310"/>
    </row>
    <row r="91" spans="2:88">
      <c r="B91" s="311" t="s">
        <v>353</v>
      </c>
      <c r="C91" s="312">
        <f t="shared" ref="C91:AP91" si="31">C88/6000</f>
        <v>316.78418464412454</v>
      </c>
      <c r="D91" s="312">
        <f t="shared" si="31"/>
        <v>320.26881067520986</v>
      </c>
      <c r="E91" s="312">
        <f t="shared" si="31"/>
        <v>323.79176759263714</v>
      </c>
      <c r="F91" s="312">
        <f t="shared" si="31"/>
        <v>327.35347703615611</v>
      </c>
      <c r="G91" s="312">
        <f t="shared" si="31"/>
        <v>330.95436528355378</v>
      </c>
      <c r="H91" s="312">
        <f t="shared" si="31"/>
        <v>334.59486330167283</v>
      </c>
      <c r="I91" s="312">
        <f t="shared" si="31"/>
        <v>338.2754067979912</v>
      </c>
      <c r="J91" s="312">
        <f t="shared" si="31"/>
        <v>341.99643627276907</v>
      </c>
      <c r="K91" s="312">
        <f t="shared" si="31"/>
        <v>345.75839707176948</v>
      </c>
      <c r="L91" s="312">
        <f t="shared" si="31"/>
        <v>349.56173943955895</v>
      </c>
      <c r="M91" s="312">
        <f t="shared" si="31"/>
        <v>353.40691857339402</v>
      </c>
      <c r="N91" s="312">
        <f t="shared" si="31"/>
        <v>357.29439467770135</v>
      </c>
      <c r="O91" s="312">
        <f t="shared" si="31"/>
        <v>361.22463301915599</v>
      </c>
      <c r="P91" s="312">
        <f t="shared" si="31"/>
        <v>365.1981039823666</v>
      </c>
      <c r="Q91" s="312">
        <f t="shared" si="31"/>
        <v>369.21528312617261</v>
      </c>
      <c r="R91" s="312">
        <f t="shared" si="31"/>
        <v>373.27665124056045</v>
      </c>
      <c r="S91" s="312">
        <f t="shared" si="31"/>
        <v>377.38269440420657</v>
      </c>
      <c r="T91" s="312">
        <f t="shared" si="31"/>
        <v>381.53390404265281</v>
      </c>
      <c r="U91" s="312">
        <f t="shared" si="31"/>
        <v>385.730776987122</v>
      </c>
      <c r="V91" s="312">
        <f t="shared" si="31"/>
        <v>389.97381553398026</v>
      </c>
      <c r="W91" s="312">
        <f t="shared" si="31"/>
        <v>394.26352750485398</v>
      </c>
      <c r="X91" s="312">
        <f t="shared" si="31"/>
        <v>398.60042630740736</v>
      </c>
      <c r="Y91" s="312">
        <f t="shared" si="31"/>
        <v>402.98503099678885</v>
      </c>
      <c r="Z91" s="312">
        <f t="shared" si="31"/>
        <v>407.41786633775342</v>
      </c>
      <c r="AA91" s="312">
        <f t="shared" si="31"/>
        <v>411.89946286746869</v>
      </c>
      <c r="AB91" s="312">
        <f t="shared" si="31"/>
        <v>416.43035695901079</v>
      </c>
      <c r="AC91" s="312">
        <f t="shared" si="31"/>
        <v>421.0110908855599</v>
      </c>
      <c r="AD91" s="312">
        <f t="shared" si="31"/>
        <v>425.64221288530103</v>
      </c>
      <c r="AE91" s="312">
        <f t="shared" si="31"/>
        <v>430.32427722703932</v>
      </c>
      <c r="AF91" s="312">
        <f t="shared" si="31"/>
        <v>435.05784427653663</v>
      </c>
      <c r="AG91" s="312">
        <f t="shared" si="31"/>
        <v>439.84348056357851</v>
      </c>
      <c r="AH91" s="312">
        <f t="shared" si="31"/>
        <v>444.68175884977785</v>
      </c>
      <c r="AI91" s="312">
        <f t="shared" si="31"/>
        <v>449.57325819712537</v>
      </c>
      <c r="AJ91" s="312">
        <f t="shared" si="31"/>
        <v>454.51856403729369</v>
      </c>
      <c r="AK91" s="312">
        <f t="shared" si="31"/>
        <v>459.51826824170382</v>
      </c>
      <c r="AL91" s="312">
        <f t="shared" si="31"/>
        <v>464.57296919236256</v>
      </c>
      <c r="AM91" s="312">
        <f t="shared" si="31"/>
        <v>469.68327185347846</v>
      </c>
      <c r="AN91" s="312">
        <f t="shared" si="31"/>
        <v>474.84978784386664</v>
      </c>
      <c r="AO91" s="312">
        <f t="shared" si="31"/>
        <v>480.0731355101492</v>
      </c>
      <c r="AP91" s="312">
        <f t="shared" si="31"/>
        <v>485.35394000076076</v>
      </c>
      <c r="AQ91" s="312">
        <f t="shared" ref="AQ91:AZ91" si="32">AQ88/6000</f>
        <v>490.69283334076908</v>
      </c>
      <c r="AR91" s="312">
        <f t="shared" si="32"/>
        <v>496.09045450751745</v>
      </c>
      <c r="AS91" s="312">
        <f t="shared" si="32"/>
        <v>501.54744950710011</v>
      </c>
      <c r="AT91" s="312">
        <f t="shared" si="32"/>
        <v>507.06447145167817</v>
      </c>
      <c r="AU91" s="312">
        <f t="shared" si="32"/>
        <v>512.64218063764656</v>
      </c>
      <c r="AV91" s="312">
        <f t="shared" si="32"/>
        <v>518.28124462466053</v>
      </c>
      <c r="AW91" s="312">
        <f t="shared" si="32"/>
        <v>523.98233831553182</v>
      </c>
      <c r="AX91" s="312">
        <f t="shared" si="32"/>
        <v>529.74614403700252</v>
      </c>
      <c r="AY91" s="312">
        <f t="shared" si="32"/>
        <v>535.57335162140953</v>
      </c>
      <c r="AZ91" s="312">
        <f t="shared" si="32"/>
        <v>541.46465848924493</v>
      </c>
      <c r="BA91" s="312">
        <f t="shared" ref="BA91:BR91" si="33">BA88/6000</f>
        <v>547.42076973262658</v>
      </c>
      <c r="BB91" s="312">
        <f t="shared" si="33"/>
        <v>553.44239819968539</v>
      </c>
      <c r="BC91" s="312">
        <f t="shared" si="33"/>
        <v>559.53026457988187</v>
      </c>
      <c r="BD91" s="312">
        <f t="shared" si="33"/>
        <v>565.68509749026043</v>
      </c>
      <c r="BE91" s="312">
        <f t="shared" si="33"/>
        <v>571.90763356265325</v>
      </c>
      <c r="BF91" s="312">
        <f t="shared" si="33"/>
        <v>578.19861753184239</v>
      </c>
      <c r="BG91" s="312">
        <f t="shared" si="33"/>
        <v>584.55880232469269</v>
      </c>
      <c r="BH91" s="312">
        <f t="shared" si="33"/>
        <v>590.98894915026415</v>
      </c>
      <c r="BI91" s="312">
        <f t="shared" si="33"/>
        <v>597.489827590917</v>
      </c>
      <c r="BJ91" s="312">
        <f t="shared" si="33"/>
        <v>604.06221569441698</v>
      </c>
      <c r="BK91" s="312">
        <f t="shared" si="33"/>
        <v>610.70690006705547</v>
      </c>
      <c r="BL91" s="312">
        <f t="shared" si="33"/>
        <v>617.42467596779306</v>
      </c>
      <c r="BM91" s="312">
        <f t="shared" si="33"/>
        <v>624.2163474034387</v>
      </c>
      <c r="BN91" s="312">
        <f t="shared" si="33"/>
        <v>631.08272722487652</v>
      </c>
      <c r="BO91" s="312">
        <f t="shared" si="33"/>
        <v>638.02463722435004</v>
      </c>
      <c r="BP91" s="312">
        <f t="shared" si="33"/>
        <v>645.0429082338178</v>
      </c>
      <c r="BQ91" s="312">
        <f t="shared" si="33"/>
        <v>652.13838022438972</v>
      </c>
      <c r="BR91" s="312">
        <f t="shared" si="33"/>
        <v>659.31190240685794</v>
      </c>
      <c r="BS91" s="312">
        <f>BS88/6000</f>
        <v>666.56433333333337</v>
      </c>
      <c r="BT91" s="312">
        <f t="shared" ref="BT91:CF91" si="34">BT88/6000</f>
        <v>673.89654099999996</v>
      </c>
      <c r="BU91" s="312">
        <f t="shared" si="34"/>
        <v>681.30940295099992</v>
      </c>
      <c r="BV91" s="312">
        <f t="shared" si="34"/>
        <v>688.80380638346082</v>
      </c>
      <c r="BW91" s="312">
        <f t="shared" si="34"/>
        <v>696.38064825367883</v>
      </c>
      <c r="BX91" s="312">
        <f t="shared" si="34"/>
        <v>704.04083538446912</v>
      </c>
      <c r="BY91" s="312">
        <f t="shared" si="34"/>
        <v>711.78528457369828</v>
      </c>
      <c r="BZ91" s="312">
        <f t="shared" si="34"/>
        <v>719.6149227040089</v>
      </c>
      <c r="CA91" s="312">
        <f t="shared" si="34"/>
        <v>727.53068685375297</v>
      </c>
      <c r="CB91" s="312">
        <f t="shared" si="34"/>
        <v>735.53352440914421</v>
      </c>
      <c r="CC91" s="312">
        <f t="shared" si="34"/>
        <v>743.62439317764461</v>
      </c>
      <c r="CD91" s="312">
        <f t="shared" si="34"/>
        <v>751.80426150259871</v>
      </c>
      <c r="CE91" s="312">
        <f t="shared" si="34"/>
        <v>760.07410837912732</v>
      </c>
      <c r="CF91" s="312">
        <f t="shared" si="34"/>
        <v>768.43492357129765</v>
      </c>
      <c r="CG91" s="312">
        <f t="shared" ref="CG91:CJ91" si="35">CG88/6000</f>
        <v>776.88770773058184</v>
      </c>
      <c r="CH91" s="312">
        <f t="shared" si="35"/>
        <v>785.43347251561806</v>
      </c>
      <c r="CI91" s="312">
        <f t="shared" si="35"/>
        <v>794.07324071328981</v>
      </c>
      <c r="CJ91" s="312">
        <f t="shared" si="35"/>
        <v>802.80804636113589</v>
      </c>
    </row>
    <row r="92" spans="2:88">
      <c r="B92" s="310"/>
      <c r="C92" s="310"/>
      <c r="D92" s="310"/>
      <c r="E92" s="310"/>
      <c r="F92" s="310"/>
      <c r="G92" s="310"/>
      <c r="H92" s="310"/>
      <c r="I92" s="310"/>
      <c r="J92" s="310"/>
      <c r="K92" s="310"/>
      <c r="L92" s="310"/>
      <c r="M92" s="310"/>
      <c r="N92" s="310"/>
      <c r="O92" s="310"/>
      <c r="P92" s="310"/>
      <c r="Q92" s="310"/>
      <c r="R92" s="310"/>
      <c r="S92" s="310"/>
      <c r="T92" s="310"/>
      <c r="U92" s="310"/>
      <c r="V92" s="310"/>
      <c r="W92" s="310"/>
      <c r="X92" s="310"/>
      <c r="Y92" s="310"/>
      <c r="Z92" s="310"/>
      <c r="AA92" s="310"/>
      <c r="AB92" s="310"/>
      <c r="AC92" s="310"/>
      <c r="AD92" s="310"/>
      <c r="AE92" s="310"/>
      <c r="AF92" s="310"/>
      <c r="AG92" s="310"/>
      <c r="AH92" s="310"/>
      <c r="AI92" s="310"/>
      <c r="AJ92" s="310"/>
      <c r="AK92" s="310"/>
      <c r="AL92" s="310"/>
      <c r="AM92" s="310"/>
      <c r="AN92" s="310"/>
      <c r="AO92" s="310"/>
      <c r="AP92" s="310"/>
      <c r="AQ92" s="310"/>
      <c r="AR92" s="310"/>
      <c r="AS92" s="310"/>
      <c r="AT92" s="310"/>
      <c r="AU92" s="310"/>
      <c r="AV92" s="310"/>
      <c r="AW92" s="310"/>
      <c r="AX92" s="310"/>
      <c r="AY92" s="310"/>
      <c r="AZ92" s="310"/>
      <c r="BA92" s="310"/>
      <c r="BB92" s="310"/>
      <c r="BC92" s="310"/>
      <c r="BD92" s="310"/>
      <c r="BE92" s="310"/>
      <c r="BF92" s="310"/>
      <c r="BG92" s="310"/>
      <c r="BH92" s="310"/>
      <c r="BI92" s="310"/>
      <c r="BJ92" s="310"/>
      <c r="BK92" s="310"/>
      <c r="BL92" s="310"/>
      <c r="BM92" s="310"/>
      <c r="BN92" s="310"/>
      <c r="BO92" s="310"/>
      <c r="BP92" s="310"/>
      <c r="BQ92" s="310"/>
      <c r="BR92" s="310"/>
      <c r="BS92" s="310"/>
      <c r="BT92" s="310"/>
      <c r="BU92" s="310"/>
      <c r="BV92" s="310"/>
      <c r="BW92" s="310"/>
      <c r="BX92" s="310"/>
      <c r="BY92" s="310"/>
      <c r="BZ92" s="310"/>
      <c r="CA92" s="310"/>
      <c r="CB92" s="310"/>
      <c r="CC92" s="310"/>
      <c r="CD92" s="310"/>
      <c r="CE92" s="310"/>
      <c r="CF92" s="310"/>
      <c r="CG92" s="310"/>
      <c r="CH92" s="310"/>
      <c r="CI92" s="310"/>
      <c r="CJ92" s="310"/>
    </row>
    <row r="93" spans="2:88">
      <c r="B93" s="311" t="s">
        <v>333</v>
      </c>
      <c r="C93" s="312">
        <f t="shared" ref="C93" si="36">C$91*C94</f>
        <v>190.07051078647473</v>
      </c>
      <c r="D93" s="312">
        <f t="shared" ref="D93" si="37">D$91*D94</f>
        <v>192.16128640512591</v>
      </c>
      <c r="E93" s="312">
        <f t="shared" ref="E93" si="38">E$91*E94</f>
        <v>194.27506055558229</v>
      </c>
      <c r="F93" s="312">
        <f t="shared" ref="F93" si="39">F$91*F94</f>
        <v>196.41208622169367</v>
      </c>
      <c r="G93" s="312">
        <f t="shared" ref="G93" si="40">G$91*G94</f>
        <v>198.57261917013227</v>
      </c>
      <c r="H93" s="312">
        <f t="shared" ref="H93" si="41">H$91*H94</f>
        <v>200.75691798100368</v>
      </c>
      <c r="I93" s="312">
        <f t="shared" ref="I93" si="42">I$91*I94</f>
        <v>202.96524407879471</v>
      </c>
      <c r="J93" s="312">
        <f t="shared" ref="J93" si="43">J$91*J94</f>
        <v>205.19786176366145</v>
      </c>
      <c r="K93" s="312">
        <f t="shared" ref="K93" si="44">K$91*K94</f>
        <v>207.45503824306169</v>
      </c>
      <c r="L93" s="312">
        <f t="shared" ref="L93" si="45">L$91*L94</f>
        <v>209.73704366373536</v>
      </c>
      <c r="M93" s="312">
        <f t="shared" ref="M93" si="46">M$91*M94</f>
        <v>212.04415114403642</v>
      </c>
      <c r="N93" s="312">
        <f t="shared" ref="N93" si="47">N$91*N94</f>
        <v>214.37663680662081</v>
      </c>
      <c r="O93" s="312">
        <f t="shared" ref="O93" si="48">O$91*O94</f>
        <v>216.73477981149358</v>
      </c>
      <c r="P93" s="312">
        <f t="shared" ref="P93" si="49">P$91*P94</f>
        <v>219.11886238941995</v>
      </c>
      <c r="Q93" s="312">
        <f t="shared" ref="Q93" si="50">Q$91*Q94</f>
        <v>221.52916987570356</v>
      </c>
      <c r="R93" s="312">
        <f t="shared" ref="R93" si="51">R$91*R94</f>
        <v>223.96599074433627</v>
      </c>
      <c r="S93" s="312">
        <f t="shared" ref="S93" si="52">S$91*S94</f>
        <v>226.42961664252394</v>
      </c>
      <c r="T93" s="312">
        <f t="shared" ref="T93" si="53">T$91*T94</f>
        <v>228.92034242559168</v>
      </c>
      <c r="U93" s="312">
        <f t="shared" ref="U93" si="54">U$91*U94</f>
        <v>231.43846619227318</v>
      </c>
      <c r="V93" s="312">
        <f t="shared" ref="V93" si="55">V$91*V94</f>
        <v>233.98428932038814</v>
      </c>
      <c r="W93" s="312">
        <f t="shared" ref="W93" si="56">W$91*W94</f>
        <v>236.55811650291238</v>
      </c>
      <c r="X93" s="312">
        <f t="shared" ref="X93" si="57">X$91*X94</f>
        <v>239.16025578444442</v>
      </c>
      <c r="Y93" s="312">
        <f t="shared" ref="Y93" si="58">Y$91*Y94</f>
        <v>241.79101859807329</v>
      </c>
      <c r="Z93" s="312">
        <f t="shared" ref="Z93" si="59">Z$91*Z94</f>
        <v>244.45071980265203</v>
      </c>
      <c r="AA93" s="312">
        <f t="shared" ref="AA93" si="60">AA$91*AA94</f>
        <v>247.13967772048119</v>
      </c>
      <c r="AB93" s="312">
        <f t="shared" ref="AB93" si="61">AB$91*AB94</f>
        <v>249.85821417540646</v>
      </c>
      <c r="AC93" s="312">
        <f t="shared" ref="AC93" si="62">AC$91*AC94</f>
        <v>252.60665453133592</v>
      </c>
      <c r="AD93" s="312">
        <f t="shared" ref="AD93" si="63">AD$91*AD94</f>
        <v>255.38532773118061</v>
      </c>
      <c r="AE93" s="312">
        <f t="shared" ref="AE93" si="64">AE$91*AE94</f>
        <v>258.1945663362236</v>
      </c>
      <c r="AF93" s="312">
        <f t="shared" ref="AF93" si="65">AF$91*AF94</f>
        <v>261.03470656592197</v>
      </c>
      <c r="AG93" s="312">
        <f t="shared" ref="AG93" si="66">AG$91*AG94</f>
        <v>263.90608833814707</v>
      </c>
      <c r="AH93" s="312">
        <f t="shared" ref="AH93" si="67">AH$91*AH94</f>
        <v>266.80905530986672</v>
      </c>
      <c r="AI93" s="312">
        <f t="shared" ref="AI93" si="68">AI$91*AI94</f>
        <v>269.74395491827522</v>
      </c>
      <c r="AJ93" s="312">
        <f t="shared" ref="AJ93" si="69">AJ$91*AJ94</f>
        <v>272.71113842237622</v>
      </c>
      <c r="AK93" s="312">
        <f t="shared" ref="AK93" si="70">AK$91*AK94</f>
        <v>275.71096094502229</v>
      </c>
      <c r="AL93" s="312">
        <f t="shared" ref="AL93" si="71">AL$91*AL94</f>
        <v>278.74378151541754</v>
      </c>
      <c r="AM93" s="312">
        <f t="shared" ref="AM93" si="72">AM$91*AM94</f>
        <v>281.80996311208708</v>
      </c>
      <c r="AN93" s="312">
        <f t="shared" ref="AN93" si="73">AN$91*AN94</f>
        <v>284.90987270631996</v>
      </c>
      <c r="AO93" s="312">
        <f t="shared" ref="AO93" si="74">AO$91*AO94</f>
        <v>288.04388130608953</v>
      </c>
      <c r="AP93" s="312">
        <f t="shared" ref="AP93" si="75">AP$91*AP94</f>
        <v>291.21236400045643</v>
      </c>
      <c r="AQ93" s="312">
        <f t="shared" ref="AQ93" si="76">AQ$91*AQ94</f>
        <v>294.41570000446143</v>
      </c>
      <c r="AR93" s="312">
        <f t="shared" ref="AR93" si="77">AR$91*AR94</f>
        <v>297.65427270451045</v>
      </c>
      <c r="AS93" s="312">
        <f t="shared" ref="AS93" si="78">AS$91*AS94</f>
        <v>300.92846970426007</v>
      </c>
      <c r="AT93" s="312">
        <f t="shared" ref="AT93" si="79">AT$91*AT94</f>
        <v>304.23868287100692</v>
      </c>
      <c r="AU93" s="312">
        <f t="shared" ref="AU93" si="80">AU$91*AU94</f>
        <v>307.58530838258793</v>
      </c>
      <c r="AV93" s="312">
        <f t="shared" ref="AV93" si="81">AV$91*AV94</f>
        <v>310.96874677479633</v>
      </c>
      <c r="AW93" s="312">
        <f t="shared" ref="AW93" si="82">AW$91*AW94</f>
        <v>314.38940298931908</v>
      </c>
      <c r="AX93" s="312">
        <f t="shared" ref="AX93" si="83">AX$91*AX94</f>
        <v>317.84768642220149</v>
      </c>
      <c r="AY93" s="312">
        <f t="shared" ref="AY93" si="84">AY$91*AY94</f>
        <v>321.34401097284569</v>
      </c>
      <c r="AZ93" s="312">
        <f t="shared" ref="AZ93" si="85">AZ$91*AZ94</f>
        <v>324.87879509354696</v>
      </c>
      <c r="BA93" s="312">
        <f t="shared" ref="BA93" si="86">BA$91*BA94</f>
        <v>328.45246183957596</v>
      </c>
      <c r="BB93" s="312">
        <f t="shared" ref="BB93" si="87">BB$91*BB94</f>
        <v>332.06543891981124</v>
      </c>
      <c r="BC93" s="312">
        <f t="shared" ref="BC93" si="88">BC$91*BC94</f>
        <v>335.71815874792912</v>
      </c>
      <c r="BD93" s="312">
        <f t="shared" ref="BD93" si="89">BD$91*BD94</f>
        <v>339.41105849415624</v>
      </c>
      <c r="BE93" s="312">
        <f t="shared" ref="BE93" si="90">BE$91*BE94</f>
        <v>343.14458013759196</v>
      </c>
      <c r="BF93" s="312">
        <f t="shared" ref="BF93" si="91">BF$91*BF94</f>
        <v>346.91917051910542</v>
      </c>
      <c r="BG93" s="312">
        <f t="shared" ref="BG93" si="92">BG$91*BG94</f>
        <v>350.73528139481562</v>
      </c>
      <c r="BH93" s="312">
        <f t="shared" ref="BH93" si="93">BH$91*BH94</f>
        <v>354.59336949015847</v>
      </c>
      <c r="BI93" s="312">
        <f t="shared" ref="BI93" si="94">BI$91*BI94</f>
        <v>358.49389655455019</v>
      </c>
      <c r="BJ93" s="312">
        <f t="shared" ref="BJ93" si="95">BJ$91*BJ94</f>
        <v>362.43732941665019</v>
      </c>
      <c r="BK93" s="312">
        <f t="shared" ref="BK93" si="96">BK$91*BK94</f>
        <v>366.42414004023328</v>
      </c>
      <c r="BL93" s="312">
        <f t="shared" ref="BL93" si="97">BL$91*BL94</f>
        <v>370.45480558067584</v>
      </c>
      <c r="BM93" s="312">
        <f t="shared" ref="BM93" si="98">BM$91*BM94</f>
        <v>374.5298084420632</v>
      </c>
      <c r="BN93" s="312">
        <f t="shared" ref="BN93" si="99">BN$91*BN94</f>
        <v>378.6496363349259</v>
      </c>
      <c r="BO93" s="312">
        <f t="shared" ref="BO93" si="100">BO$91*BO94</f>
        <v>382.81478233461002</v>
      </c>
      <c r="BP93" s="312">
        <f t="shared" ref="BP93" si="101">BP$91*BP94</f>
        <v>387.02574494029068</v>
      </c>
      <c r="BQ93" s="312">
        <f t="shared" ref="BQ93" si="102">BQ$91*BQ94</f>
        <v>391.28302813463381</v>
      </c>
      <c r="BR93" s="312">
        <f t="shared" ref="BR93" si="103">BR$91*BR94</f>
        <v>395.58714144411476</v>
      </c>
      <c r="BS93" s="312">
        <f t="shared" ref="BS93:CF93" si="104">BS$91*BS94</f>
        <v>399.93860000000001</v>
      </c>
      <c r="BT93" s="312">
        <f t="shared" si="104"/>
        <v>404.33792459999995</v>
      </c>
      <c r="BU93" s="312">
        <f t="shared" si="104"/>
        <v>408.78564177059997</v>
      </c>
      <c r="BV93" s="312">
        <f t="shared" si="104"/>
        <v>413.28228383007649</v>
      </c>
      <c r="BW93" s="312">
        <f t="shared" si="104"/>
        <v>417.82838895220726</v>
      </c>
      <c r="BX93" s="312">
        <f t="shared" si="104"/>
        <v>422.42450123068147</v>
      </c>
      <c r="BY93" s="312">
        <f t="shared" si="104"/>
        <v>427.07117074421893</v>
      </c>
      <c r="BZ93" s="312">
        <f t="shared" si="104"/>
        <v>431.76895362240532</v>
      </c>
      <c r="CA93" s="312">
        <f t="shared" si="104"/>
        <v>436.51841211225178</v>
      </c>
      <c r="CB93" s="312">
        <f t="shared" si="104"/>
        <v>441.32011464548651</v>
      </c>
      <c r="CC93" s="312">
        <f t="shared" si="104"/>
        <v>446.17463590658673</v>
      </c>
      <c r="CD93" s="312">
        <f t="shared" si="104"/>
        <v>451.0825569015592</v>
      </c>
      <c r="CE93" s="312">
        <f t="shared" si="104"/>
        <v>456.04446502747641</v>
      </c>
      <c r="CF93" s="312">
        <f t="shared" si="104"/>
        <v>461.06095414277854</v>
      </c>
      <c r="CG93" s="312">
        <f t="shared" ref="CG93:CJ93" si="105">CG$91*CG94</f>
        <v>466.13262463834906</v>
      </c>
      <c r="CH93" s="312">
        <f t="shared" si="105"/>
        <v>471.26008350937082</v>
      </c>
      <c r="CI93" s="312">
        <f t="shared" si="105"/>
        <v>476.44394442797386</v>
      </c>
      <c r="CJ93" s="312">
        <f t="shared" si="105"/>
        <v>481.68482781668149</v>
      </c>
    </row>
    <row r="94" spans="2:88">
      <c r="B94" s="313" t="s">
        <v>334</v>
      </c>
      <c r="C94" s="315">
        <f t="shared" ref="C94:AP94" si="106">D94</f>
        <v>0.6</v>
      </c>
      <c r="D94" s="315">
        <f t="shared" si="106"/>
        <v>0.6</v>
      </c>
      <c r="E94" s="315">
        <f t="shared" si="106"/>
        <v>0.6</v>
      </c>
      <c r="F94" s="315">
        <f t="shared" si="106"/>
        <v>0.6</v>
      </c>
      <c r="G94" s="315">
        <f t="shared" si="106"/>
        <v>0.6</v>
      </c>
      <c r="H94" s="315">
        <f t="shared" si="106"/>
        <v>0.6</v>
      </c>
      <c r="I94" s="315">
        <f t="shared" si="106"/>
        <v>0.6</v>
      </c>
      <c r="J94" s="315">
        <f t="shared" si="106"/>
        <v>0.6</v>
      </c>
      <c r="K94" s="315">
        <f t="shared" si="106"/>
        <v>0.6</v>
      </c>
      <c r="L94" s="315">
        <f t="shared" si="106"/>
        <v>0.6</v>
      </c>
      <c r="M94" s="315">
        <f t="shared" si="106"/>
        <v>0.6</v>
      </c>
      <c r="N94" s="315">
        <f t="shared" si="106"/>
        <v>0.6</v>
      </c>
      <c r="O94" s="315">
        <f t="shared" si="106"/>
        <v>0.6</v>
      </c>
      <c r="P94" s="315">
        <f t="shared" si="106"/>
        <v>0.6</v>
      </c>
      <c r="Q94" s="315">
        <f t="shared" si="106"/>
        <v>0.6</v>
      </c>
      <c r="R94" s="315">
        <f t="shared" si="106"/>
        <v>0.6</v>
      </c>
      <c r="S94" s="315">
        <f t="shared" si="106"/>
        <v>0.6</v>
      </c>
      <c r="T94" s="315">
        <f t="shared" si="106"/>
        <v>0.6</v>
      </c>
      <c r="U94" s="315">
        <f t="shared" si="106"/>
        <v>0.6</v>
      </c>
      <c r="V94" s="315">
        <f t="shared" si="106"/>
        <v>0.6</v>
      </c>
      <c r="W94" s="315">
        <f t="shared" si="106"/>
        <v>0.6</v>
      </c>
      <c r="X94" s="315">
        <f t="shared" si="106"/>
        <v>0.6</v>
      </c>
      <c r="Y94" s="315">
        <f t="shared" si="106"/>
        <v>0.6</v>
      </c>
      <c r="Z94" s="315">
        <f t="shared" si="106"/>
        <v>0.6</v>
      </c>
      <c r="AA94" s="315">
        <f t="shared" si="106"/>
        <v>0.6</v>
      </c>
      <c r="AB94" s="315">
        <f t="shared" si="106"/>
        <v>0.6</v>
      </c>
      <c r="AC94" s="315">
        <f t="shared" si="106"/>
        <v>0.6</v>
      </c>
      <c r="AD94" s="315">
        <f t="shared" si="106"/>
        <v>0.6</v>
      </c>
      <c r="AE94" s="315">
        <f t="shared" si="106"/>
        <v>0.6</v>
      </c>
      <c r="AF94" s="315">
        <f t="shared" si="106"/>
        <v>0.6</v>
      </c>
      <c r="AG94" s="315">
        <f t="shared" si="106"/>
        <v>0.6</v>
      </c>
      <c r="AH94" s="315">
        <f t="shared" si="106"/>
        <v>0.6</v>
      </c>
      <c r="AI94" s="315">
        <f t="shared" si="106"/>
        <v>0.6</v>
      </c>
      <c r="AJ94" s="315">
        <f t="shared" si="106"/>
        <v>0.6</v>
      </c>
      <c r="AK94" s="315">
        <f t="shared" si="106"/>
        <v>0.6</v>
      </c>
      <c r="AL94" s="315">
        <f t="shared" si="106"/>
        <v>0.6</v>
      </c>
      <c r="AM94" s="315">
        <f t="shared" si="106"/>
        <v>0.6</v>
      </c>
      <c r="AN94" s="315">
        <f t="shared" si="106"/>
        <v>0.6</v>
      </c>
      <c r="AO94" s="315">
        <f t="shared" si="106"/>
        <v>0.6</v>
      </c>
      <c r="AP94" s="315">
        <f t="shared" si="106"/>
        <v>0.6</v>
      </c>
      <c r="AQ94" s="315">
        <f t="shared" ref="AQ94:BQ94" si="107">AR94</f>
        <v>0.6</v>
      </c>
      <c r="AR94" s="315">
        <f t="shared" si="107"/>
        <v>0.6</v>
      </c>
      <c r="AS94" s="315">
        <f t="shared" si="107"/>
        <v>0.6</v>
      </c>
      <c r="AT94" s="315">
        <f t="shared" si="107"/>
        <v>0.6</v>
      </c>
      <c r="AU94" s="315">
        <f t="shared" si="107"/>
        <v>0.6</v>
      </c>
      <c r="AV94" s="315">
        <f t="shared" si="107"/>
        <v>0.6</v>
      </c>
      <c r="AW94" s="315">
        <f t="shared" si="107"/>
        <v>0.6</v>
      </c>
      <c r="AX94" s="315">
        <f t="shared" si="107"/>
        <v>0.6</v>
      </c>
      <c r="AY94" s="315">
        <f t="shared" si="107"/>
        <v>0.6</v>
      </c>
      <c r="AZ94" s="315">
        <f t="shared" si="107"/>
        <v>0.6</v>
      </c>
      <c r="BA94" s="315">
        <f t="shared" si="107"/>
        <v>0.6</v>
      </c>
      <c r="BB94" s="315">
        <f t="shared" si="107"/>
        <v>0.6</v>
      </c>
      <c r="BC94" s="315">
        <f t="shared" si="107"/>
        <v>0.6</v>
      </c>
      <c r="BD94" s="315">
        <f t="shared" si="107"/>
        <v>0.6</v>
      </c>
      <c r="BE94" s="315">
        <f t="shared" si="107"/>
        <v>0.6</v>
      </c>
      <c r="BF94" s="315">
        <f t="shared" si="107"/>
        <v>0.6</v>
      </c>
      <c r="BG94" s="315">
        <f t="shared" si="107"/>
        <v>0.6</v>
      </c>
      <c r="BH94" s="315">
        <f t="shared" si="107"/>
        <v>0.6</v>
      </c>
      <c r="BI94" s="315">
        <f t="shared" si="107"/>
        <v>0.6</v>
      </c>
      <c r="BJ94" s="315">
        <f t="shared" si="107"/>
        <v>0.6</v>
      </c>
      <c r="BK94" s="315">
        <f t="shared" si="107"/>
        <v>0.6</v>
      </c>
      <c r="BL94" s="315">
        <f t="shared" si="107"/>
        <v>0.6</v>
      </c>
      <c r="BM94" s="315">
        <f t="shared" si="107"/>
        <v>0.6</v>
      </c>
      <c r="BN94" s="315">
        <f t="shared" si="107"/>
        <v>0.6</v>
      </c>
      <c r="BO94" s="315">
        <f t="shared" si="107"/>
        <v>0.6</v>
      </c>
      <c r="BP94" s="315">
        <f t="shared" si="107"/>
        <v>0.6</v>
      </c>
      <c r="BQ94" s="315">
        <f t="shared" si="107"/>
        <v>0.6</v>
      </c>
      <c r="BR94" s="315">
        <f>BS94</f>
        <v>0.6</v>
      </c>
      <c r="BS94" s="315">
        <v>0.6</v>
      </c>
      <c r="BT94" s="315">
        <v>0.6</v>
      </c>
      <c r="BU94" s="315">
        <v>0.6</v>
      </c>
      <c r="BV94" s="315">
        <v>0.6</v>
      </c>
      <c r="BW94" s="315">
        <v>0.6</v>
      </c>
      <c r="BX94" s="315">
        <v>0.6</v>
      </c>
      <c r="BY94" s="315">
        <v>0.6</v>
      </c>
      <c r="BZ94" s="315">
        <v>0.6</v>
      </c>
      <c r="CA94" s="315">
        <v>0.6</v>
      </c>
      <c r="CB94" s="315">
        <v>0.6</v>
      </c>
      <c r="CC94" s="315">
        <v>0.6</v>
      </c>
      <c r="CD94" s="315">
        <v>0.6</v>
      </c>
      <c r="CE94" s="315">
        <v>0.6</v>
      </c>
      <c r="CF94" s="315">
        <v>0.6</v>
      </c>
      <c r="CG94" s="315">
        <v>0.6</v>
      </c>
      <c r="CH94" s="315">
        <v>0.6</v>
      </c>
      <c r="CI94" s="315">
        <v>0.6</v>
      </c>
      <c r="CJ94" s="315">
        <v>0.6</v>
      </c>
    </row>
    <row r="95" spans="2:88">
      <c r="B95" s="310"/>
      <c r="C95" s="310"/>
      <c r="D95" s="310"/>
      <c r="E95" s="310"/>
      <c r="F95" s="310"/>
      <c r="G95" s="310"/>
      <c r="H95" s="310"/>
      <c r="I95" s="310"/>
      <c r="J95" s="310"/>
      <c r="K95" s="310"/>
      <c r="L95" s="310"/>
      <c r="M95" s="310"/>
      <c r="N95" s="310"/>
      <c r="O95" s="310"/>
      <c r="P95" s="310"/>
      <c r="Q95" s="310"/>
      <c r="R95" s="310"/>
      <c r="S95" s="310"/>
      <c r="T95" s="310"/>
      <c r="U95" s="310"/>
      <c r="V95" s="310"/>
      <c r="W95" s="310"/>
      <c r="X95" s="310"/>
      <c r="Y95" s="310"/>
      <c r="Z95" s="310"/>
      <c r="AA95" s="310"/>
      <c r="AB95" s="310"/>
      <c r="AC95" s="310"/>
      <c r="AD95" s="310"/>
      <c r="AE95" s="310"/>
      <c r="AF95" s="310"/>
      <c r="AG95" s="310"/>
      <c r="AH95" s="310"/>
      <c r="AI95" s="310"/>
      <c r="AJ95" s="310"/>
      <c r="AK95" s="310"/>
      <c r="AL95" s="310"/>
      <c r="AM95" s="310"/>
      <c r="AN95" s="310"/>
      <c r="AO95" s="310"/>
      <c r="AP95" s="310"/>
      <c r="AQ95" s="310"/>
      <c r="AR95" s="310"/>
      <c r="AS95" s="310"/>
      <c r="AT95" s="310"/>
      <c r="AU95" s="310"/>
      <c r="AV95" s="310"/>
      <c r="AW95" s="310"/>
      <c r="AX95" s="310"/>
      <c r="AY95" s="310"/>
      <c r="AZ95" s="310"/>
      <c r="BA95" s="310"/>
      <c r="BB95" s="310"/>
      <c r="BC95" s="310"/>
      <c r="BD95" s="310"/>
      <c r="BE95" s="310"/>
      <c r="BF95" s="310"/>
      <c r="BG95" s="310"/>
      <c r="BH95" s="310"/>
      <c r="BI95" s="310"/>
      <c r="BJ95" s="310"/>
      <c r="BK95" s="310"/>
      <c r="BL95" s="310"/>
      <c r="BM95" s="310"/>
      <c r="BN95" s="310"/>
      <c r="BO95" s="310"/>
      <c r="BP95" s="310"/>
      <c r="BQ95" s="310"/>
      <c r="BR95" s="310"/>
      <c r="BS95" s="310"/>
      <c r="BT95" s="310"/>
      <c r="BU95" s="310"/>
      <c r="BV95" s="310"/>
      <c r="BW95" s="310"/>
      <c r="BX95" s="310"/>
      <c r="BY95" s="310"/>
      <c r="BZ95" s="310"/>
      <c r="CA95" s="310"/>
      <c r="CB95" s="310"/>
      <c r="CC95" s="310"/>
      <c r="CD95" s="310"/>
      <c r="CE95" s="310"/>
      <c r="CF95" s="310"/>
      <c r="CG95" s="310"/>
      <c r="CH95" s="310"/>
      <c r="CI95" s="310"/>
      <c r="CJ95" s="310"/>
    </row>
    <row r="96" spans="2:88">
      <c r="B96" s="311" t="s">
        <v>335</v>
      </c>
      <c r="C96" s="312">
        <f t="shared" ref="C96" si="108">C$91*C97</f>
        <v>85.531729853913632</v>
      </c>
      <c r="D96" s="312">
        <f t="shared" ref="D96" si="109">D$91*D97</f>
        <v>86.472578882306664</v>
      </c>
      <c r="E96" s="312">
        <f t="shared" ref="E96" si="110">E$91*E97</f>
        <v>87.423777250012037</v>
      </c>
      <c r="F96" s="312">
        <f t="shared" ref="F96" si="111">F$91*F97</f>
        <v>88.385438799762156</v>
      </c>
      <c r="G96" s="312">
        <f t="shared" ref="G96" si="112">G$91*G97</f>
        <v>89.357678626559533</v>
      </c>
      <c r="H96" s="312">
        <f t="shared" ref="H96" si="113">H$91*H97</f>
        <v>90.340613091451672</v>
      </c>
      <c r="I96" s="312">
        <f t="shared" ref="I96" si="114">I$91*I97</f>
        <v>91.334359835457633</v>
      </c>
      <c r="J96" s="312">
        <f t="shared" ref="J96" si="115">J$91*J97</f>
        <v>92.339037793647663</v>
      </c>
      <c r="K96" s="312">
        <f t="shared" ref="K96" si="116">K$91*K97</f>
        <v>93.354767209377769</v>
      </c>
      <c r="L96" s="312">
        <f t="shared" ref="L96" si="117">L$91*L97</f>
        <v>94.381669648680926</v>
      </c>
      <c r="M96" s="312">
        <f t="shared" ref="M96" si="118">M$91*M97</f>
        <v>95.419868014816387</v>
      </c>
      <c r="N96" s="312">
        <f t="shared" ref="N96" si="119">N$91*N97</f>
        <v>96.46948656297937</v>
      </c>
      <c r="O96" s="312">
        <f t="shared" ref="O96" si="120">O$91*O97</f>
        <v>97.530650915172117</v>
      </c>
      <c r="P96" s="312">
        <f t="shared" ref="P96" si="121">P$91*P97</f>
        <v>98.603488075238985</v>
      </c>
      <c r="Q96" s="312">
        <f t="shared" ref="Q96" si="122">Q$91*Q97</f>
        <v>99.688126444066611</v>
      </c>
      <c r="R96" s="312">
        <f t="shared" ref="R96" si="123">R$91*R97</f>
        <v>100.78469583495134</v>
      </c>
      <c r="S96" s="312">
        <f t="shared" ref="S96" si="124">S$91*S97</f>
        <v>101.89332748913579</v>
      </c>
      <c r="T96" s="312">
        <f t="shared" ref="T96" si="125">T$91*T97</f>
        <v>103.01415409151626</v>
      </c>
      <c r="U96" s="312">
        <f t="shared" ref="U96" si="126">U$91*U97</f>
        <v>104.14730978652295</v>
      </c>
      <c r="V96" s="312">
        <f t="shared" ref="V96" si="127">V$91*V97</f>
        <v>105.29293019417467</v>
      </c>
      <c r="W96" s="312">
        <f t="shared" ref="W96" si="128">W$91*W97</f>
        <v>106.45115242631059</v>
      </c>
      <c r="X96" s="312">
        <f t="shared" ref="X96" si="129">X$91*X97</f>
        <v>107.622115103</v>
      </c>
      <c r="Y96" s="312">
        <f t="shared" ref="Y96" si="130">Y$91*Y97</f>
        <v>108.80595836913299</v>
      </c>
      <c r="Z96" s="312">
        <f t="shared" ref="Z96" si="131">Z$91*Z97</f>
        <v>110.00282391119343</v>
      </c>
      <c r="AA96" s="312">
        <f t="shared" ref="AA96" si="132">AA$91*AA97</f>
        <v>111.21285497421655</v>
      </c>
      <c r="AB96" s="312">
        <f t="shared" ref="AB96" si="133">AB$91*AB97</f>
        <v>112.43619637893292</v>
      </c>
      <c r="AC96" s="312">
        <f t="shared" ref="AC96" si="134">AC$91*AC97</f>
        <v>113.67299453910118</v>
      </c>
      <c r="AD96" s="312">
        <f t="shared" ref="AD96" si="135">AD$91*AD97</f>
        <v>114.92339747903128</v>
      </c>
      <c r="AE96" s="312">
        <f t="shared" ref="AE96" si="136">AE$91*AE97</f>
        <v>116.18755485130062</v>
      </c>
      <c r="AF96" s="312">
        <f t="shared" ref="AF96" si="137">AF$91*AF97</f>
        <v>117.46561795466489</v>
      </c>
      <c r="AG96" s="312">
        <f t="shared" ref="AG96" si="138">AG$91*AG97</f>
        <v>118.7577397521662</v>
      </c>
      <c r="AH96" s="312">
        <f t="shared" ref="AH96" si="139">AH$91*AH97</f>
        <v>120.06407488944002</v>
      </c>
      <c r="AI96" s="312">
        <f t="shared" ref="AI96" si="140">AI$91*AI97</f>
        <v>121.38477971322386</v>
      </c>
      <c r="AJ96" s="312">
        <f t="shared" ref="AJ96" si="141">AJ$91*AJ97</f>
        <v>122.72001229006931</v>
      </c>
      <c r="AK96" s="312">
        <f t="shared" ref="AK96" si="142">AK$91*AK97</f>
        <v>124.06993242526003</v>
      </c>
      <c r="AL96" s="312">
        <f t="shared" ref="AL96" si="143">AL$91*AL97</f>
        <v>125.4347016819379</v>
      </c>
      <c r="AM96" s="312">
        <f t="shared" ref="AM96" si="144">AM$91*AM97</f>
        <v>126.81448340043919</v>
      </c>
      <c r="AN96" s="312">
        <f t="shared" ref="AN96" si="145">AN$91*AN97</f>
        <v>128.20944271784401</v>
      </c>
      <c r="AO96" s="312">
        <f t="shared" ref="AO96" si="146">AO$91*AO97</f>
        <v>129.61974658774028</v>
      </c>
      <c r="AP96" s="312">
        <f t="shared" ref="AP96" si="147">AP$91*AP97</f>
        <v>131.0455638002054</v>
      </c>
      <c r="AQ96" s="312">
        <f t="shared" ref="AQ96" si="148">AQ$91*AQ97</f>
        <v>132.48706500200765</v>
      </c>
      <c r="AR96" s="312">
        <f t="shared" ref="AR96" si="149">AR$91*AR97</f>
        <v>133.94442271702971</v>
      </c>
      <c r="AS96" s="312">
        <f t="shared" ref="AS96" si="150">AS$91*AS97</f>
        <v>135.41781136691705</v>
      </c>
      <c r="AT96" s="312">
        <f t="shared" ref="AT96" si="151">AT$91*AT97</f>
        <v>136.90740729195312</v>
      </c>
      <c r="AU96" s="312">
        <f t="shared" ref="AU96" si="152">AU$91*AU97</f>
        <v>138.41338877216458</v>
      </c>
      <c r="AV96" s="312">
        <f t="shared" ref="AV96" si="153">AV$91*AV97</f>
        <v>139.93593604865836</v>
      </c>
      <c r="AW96" s="312">
        <f t="shared" ref="AW96" si="154">AW$91*AW97</f>
        <v>141.47523134519361</v>
      </c>
      <c r="AX96" s="312">
        <f t="shared" ref="AX96" si="155">AX$91*AX97</f>
        <v>143.03145888999069</v>
      </c>
      <c r="AY96" s="312">
        <f t="shared" ref="AY96" si="156">AY$91*AY97</f>
        <v>144.60480493778059</v>
      </c>
      <c r="AZ96" s="312">
        <f t="shared" ref="AZ96" si="157">AZ$91*AZ97</f>
        <v>146.19545779209614</v>
      </c>
      <c r="BA96" s="312">
        <f t="shared" ref="BA96" si="158">BA$91*BA97</f>
        <v>147.80360782780917</v>
      </c>
      <c r="BB96" s="312">
        <f t="shared" ref="BB96" si="159">BB$91*BB97</f>
        <v>149.42944751391505</v>
      </c>
      <c r="BC96" s="312">
        <f t="shared" ref="BC96" si="160">BC$91*BC97</f>
        <v>151.07317143656812</v>
      </c>
      <c r="BD96" s="312">
        <f t="shared" ref="BD96" si="161">BD$91*BD97</f>
        <v>152.73497632237033</v>
      </c>
      <c r="BE96" s="312">
        <f t="shared" ref="BE96" si="162">BE$91*BE97</f>
        <v>154.41506106191639</v>
      </c>
      <c r="BF96" s="312">
        <f t="shared" ref="BF96" si="163">BF$91*BF97</f>
        <v>156.11362673359744</v>
      </c>
      <c r="BG96" s="312">
        <f t="shared" ref="BG96" si="164">BG$91*BG97</f>
        <v>157.83087662766704</v>
      </c>
      <c r="BH96" s="312">
        <f t="shared" ref="BH96" si="165">BH$91*BH97</f>
        <v>159.56701627057134</v>
      </c>
      <c r="BI96" s="312">
        <f t="shared" ref="BI96" si="166">BI$91*BI97</f>
        <v>161.32225344954759</v>
      </c>
      <c r="BJ96" s="312">
        <f t="shared" ref="BJ96" si="167">BJ$91*BJ97</f>
        <v>163.09679823749261</v>
      </c>
      <c r="BK96" s="312">
        <f t="shared" ref="BK96" si="168">BK$91*BK97</f>
        <v>164.89086301810499</v>
      </c>
      <c r="BL96" s="312">
        <f t="shared" ref="BL96" si="169">BL$91*BL97</f>
        <v>166.70466251130415</v>
      </c>
      <c r="BM96" s="312">
        <f t="shared" ref="BM96" si="170">BM$91*BM97</f>
        <v>168.53841379892847</v>
      </c>
      <c r="BN96" s="312">
        <f t="shared" ref="BN96" si="171">BN$91*BN97</f>
        <v>170.39233635071668</v>
      </c>
      <c r="BO96" s="312">
        <f t="shared" ref="BO96" si="172">BO$91*BO97</f>
        <v>172.26665205057452</v>
      </c>
      <c r="BP96" s="312">
        <f t="shared" ref="BP96" si="173">BP$91*BP97</f>
        <v>174.16158522313083</v>
      </c>
      <c r="BQ96" s="312">
        <f t="shared" ref="BQ96" si="174">BQ$91*BQ97</f>
        <v>176.07736266058524</v>
      </c>
      <c r="BR96" s="312">
        <f t="shared" ref="BR96" si="175">BR$91*BR97</f>
        <v>178.01421364985165</v>
      </c>
      <c r="BS96" s="312">
        <f t="shared" ref="BS96:CF96" si="176">BS$91*BS97</f>
        <v>179.97237000000001</v>
      </c>
      <c r="BT96" s="312">
        <f t="shared" si="176"/>
        <v>181.95206607</v>
      </c>
      <c r="BU96" s="312">
        <f t="shared" si="176"/>
        <v>183.95353879677</v>
      </c>
      <c r="BV96" s="312">
        <f t="shared" si="176"/>
        <v>185.97702772353443</v>
      </c>
      <c r="BW96" s="312">
        <f t="shared" si="176"/>
        <v>188.0227750284933</v>
      </c>
      <c r="BX96" s="312">
        <f t="shared" si="176"/>
        <v>190.09102555380667</v>
      </c>
      <c r="BY96" s="312">
        <f t="shared" si="176"/>
        <v>192.18202683489855</v>
      </c>
      <c r="BZ96" s="312">
        <f t="shared" si="176"/>
        <v>194.29602913008242</v>
      </c>
      <c r="CA96" s="312">
        <f t="shared" si="176"/>
        <v>196.43328545051332</v>
      </c>
      <c r="CB96" s="312">
        <f t="shared" si="176"/>
        <v>198.59405159046895</v>
      </c>
      <c r="CC96" s="312">
        <f t="shared" si="176"/>
        <v>200.77858615796407</v>
      </c>
      <c r="CD96" s="312">
        <f t="shared" si="176"/>
        <v>202.98715060570166</v>
      </c>
      <c r="CE96" s="312">
        <f t="shared" si="176"/>
        <v>205.22000926236439</v>
      </c>
      <c r="CF96" s="312">
        <f t="shared" si="176"/>
        <v>207.47742936425038</v>
      </c>
      <c r="CG96" s="312">
        <f t="shared" ref="CG96:CJ96" si="177">CG$91*CG97</f>
        <v>209.75968108725712</v>
      </c>
      <c r="CH96" s="312">
        <f t="shared" si="177"/>
        <v>212.0670375792169</v>
      </c>
      <c r="CI96" s="312">
        <f t="shared" si="177"/>
        <v>214.39977499258825</v>
      </c>
      <c r="CJ96" s="312">
        <f t="shared" si="177"/>
        <v>216.75817251750669</v>
      </c>
    </row>
    <row r="97" spans="2:88">
      <c r="B97" s="313" t="s">
        <v>336</v>
      </c>
      <c r="C97" s="315">
        <f t="shared" ref="C97:AP97" si="178">D97</f>
        <v>0.27</v>
      </c>
      <c r="D97" s="315">
        <f t="shared" si="178"/>
        <v>0.27</v>
      </c>
      <c r="E97" s="315">
        <f t="shared" si="178"/>
        <v>0.27</v>
      </c>
      <c r="F97" s="315">
        <f t="shared" si="178"/>
        <v>0.27</v>
      </c>
      <c r="G97" s="315">
        <f t="shared" si="178"/>
        <v>0.27</v>
      </c>
      <c r="H97" s="315">
        <f t="shared" si="178"/>
        <v>0.27</v>
      </c>
      <c r="I97" s="315">
        <f t="shared" si="178"/>
        <v>0.27</v>
      </c>
      <c r="J97" s="315">
        <f t="shared" si="178"/>
        <v>0.27</v>
      </c>
      <c r="K97" s="315">
        <f t="shared" si="178"/>
        <v>0.27</v>
      </c>
      <c r="L97" s="315">
        <f t="shared" si="178"/>
        <v>0.27</v>
      </c>
      <c r="M97" s="315">
        <f t="shared" si="178"/>
        <v>0.27</v>
      </c>
      <c r="N97" s="315">
        <f t="shared" si="178"/>
        <v>0.27</v>
      </c>
      <c r="O97" s="315">
        <f t="shared" si="178"/>
        <v>0.27</v>
      </c>
      <c r="P97" s="315">
        <f t="shared" si="178"/>
        <v>0.27</v>
      </c>
      <c r="Q97" s="315">
        <f t="shared" si="178"/>
        <v>0.27</v>
      </c>
      <c r="R97" s="315">
        <f t="shared" si="178"/>
        <v>0.27</v>
      </c>
      <c r="S97" s="315">
        <f t="shared" si="178"/>
        <v>0.27</v>
      </c>
      <c r="T97" s="315">
        <f t="shared" si="178"/>
        <v>0.27</v>
      </c>
      <c r="U97" s="315">
        <f t="shared" si="178"/>
        <v>0.27</v>
      </c>
      <c r="V97" s="315">
        <f t="shared" si="178"/>
        <v>0.27</v>
      </c>
      <c r="W97" s="315">
        <f t="shared" si="178"/>
        <v>0.27</v>
      </c>
      <c r="X97" s="315">
        <f t="shared" si="178"/>
        <v>0.27</v>
      </c>
      <c r="Y97" s="315">
        <f t="shared" si="178"/>
        <v>0.27</v>
      </c>
      <c r="Z97" s="315">
        <f t="shared" si="178"/>
        <v>0.27</v>
      </c>
      <c r="AA97" s="315">
        <f t="shared" si="178"/>
        <v>0.27</v>
      </c>
      <c r="AB97" s="315">
        <f t="shared" si="178"/>
        <v>0.27</v>
      </c>
      <c r="AC97" s="315">
        <f t="shared" si="178"/>
        <v>0.27</v>
      </c>
      <c r="AD97" s="315">
        <f t="shared" si="178"/>
        <v>0.27</v>
      </c>
      <c r="AE97" s="315">
        <f t="shared" si="178"/>
        <v>0.27</v>
      </c>
      <c r="AF97" s="315">
        <f t="shared" si="178"/>
        <v>0.27</v>
      </c>
      <c r="AG97" s="315">
        <f t="shared" si="178"/>
        <v>0.27</v>
      </c>
      <c r="AH97" s="315">
        <f t="shared" si="178"/>
        <v>0.27</v>
      </c>
      <c r="AI97" s="315">
        <f t="shared" si="178"/>
        <v>0.27</v>
      </c>
      <c r="AJ97" s="315">
        <f t="shared" si="178"/>
        <v>0.27</v>
      </c>
      <c r="AK97" s="315">
        <f t="shared" si="178"/>
        <v>0.27</v>
      </c>
      <c r="AL97" s="315">
        <f t="shared" si="178"/>
        <v>0.27</v>
      </c>
      <c r="AM97" s="315">
        <f t="shared" si="178"/>
        <v>0.27</v>
      </c>
      <c r="AN97" s="315">
        <f t="shared" si="178"/>
        <v>0.27</v>
      </c>
      <c r="AO97" s="315">
        <f t="shared" si="178"/>
        <v>0.27</v>
      </c>
      <c r="AP97" s="315">
        <f t="shared" si="178"/>
        <v>0.27</v>
      </c>
      <c r="AQ97" s="315">
        <f t="shared" ref="AQ97:BQ97" si="179">AR97</f>
        <v>0.27</v>
      </c>
      <c r="AR97" s="315">
        <f t="shared" si="179"/>
        <v>0.27</v>
      </c>
      <c r="AS97" s="315">
        <f t="shared" si="179"/>
        <v>0.27</v>
      </c>
      <c r="AT97" s="315">
        <f t="shared" si="179"/>
        <v>0.27</v>
      </c>
      <c r="AU97" s="315">
        <f t="shared" si="179"/>
        <v>0.27</v>
      </c>
      <c r="AV97" s="315">
        <f t="shared" si="179"/>
        <v>0.27</v>
      </c>
      <c r="AW97" s="315">
        <f t="shared" si="179"/>
        <v>0.27</v>
      </c>
      <c r="AX97" s="315">
        <f t="shared" si="179"/>
        <v>0.27</v>
      </c>
      <c r="AY97" s="315">
        <f t="shared" si="179"/>
        <v>0.27</v>
      </c>
      <c r="AZ97" s="315">
        <f t="shared" si="179"/>
        <v>0.27</v>
      </c>
      <c r="BA97" s="315">
        <f t="shared" si="179"/>
        <v>0.27</v>
      </c>
      <c r="BB97" s="315">
        <f t="shared" si="179"/>
        <v>0.27</v>
      </c>
      <c r="BC97" s="315">
        <f t="shared" si="179"/>
        <v>0.27</v>
      </c>
      <c r="BD97" s="315">
        <f t="shared" si="179"/>
        <v>0.27</v>
      </c>
      <c r="BE97" s="315">
        <f t="shared" si="179"/>
        <v>0.27</v>
      </c>
      <c r="BF97" s="315">
        <f t="shared" si="179"/>
        <v>0.27</v>
      </c>
      <c r="BG97" s="315">
        <f t="shared" si="179"/>
        <v>0.27</v>
      </c>
      <c r="BH97" s="315">
        <f t="shared" si="179"/>
        <v>0.27</v>
      </c>
      <c r="BI97" s="315">
        <f t="shared" si="179"/>
        <v>0.27</v>
      </c>
      <c r="BJ97" s="315">
        <f t="shared" si="179"/>
        <v>0.27</v>
      </c>
      <c r="BK97" s="315">
        <f t="shared" si="179"/>
        <v>0.27</v>
      </c>
      <c r="BL97" s="315">
        <f t="shared" si="179"/>
        <v>0.27</v>
      </c>
      <c r="BM97" s="315">
        <f t="shared" si="179"/>
        <v>0.27</v>
      </c>
      <c r="BN97" s="315">
        <f t="shared" si="179"/>
        <v>0.27</v>
      </c>
      <c r="BO97" s="315">
        <f t="shared" si="179"/>
        <v>0.27</v>
      </c>
      <c r="BP97" s="315">
        <f t="shared" si="179"/>
        <v>0.27</v>
      </c>
      <c r="BQ97" s="315">
        <f t="shared" si="179"/>
        <v>0.27</v>
      </c>
      <c r="BR97" s="315">
        <f>BS97</f>
        <v>0.27</v>
      </c>
      <c r="BS97" s="315">
        <v>0.27</v>
      </c>
      <c r="BT97" s="315">
        <v>0.27</v>
      </c>
      <c r="BU97" s="315">
        <v>0.27</v>
      </c>
      <c r="BV97" s="315">
        <v>0.27</v>
      </c>
      <c r="BW97" s="315">
        <v>0.27</v>
      </c>
      <c r="BX97" s="315">
        <v>0.27</v>
      </c>
      <c r="BY97" s="315">
        <v>0.27</v>
      </c>
      <c r="BZ97" s="315">
        <v>0.27</v>
      </c>
      <c r="CA97" s="315">
        <v>0.27</v>
      </c>
      <c r="CB97" s="315">
        <v>0.27</v>
      </c>
      <c r="CC97" s="315">
        <v>0.27</v>
      </c>
      <c r="CD97" s="315">
        <v>0.27</v>
      </c>
      <c r="CE97" s="315">
        <v>0.27</v>
      </c>
      <c r="CF97" s="315">
        <v>0.27</v>
      </c>
      <c r="CG97" s="315">
        <v>0.27</v>
      </c>
      <c r="CH97" s="315">
        <v>0.27</v>
      </c>
      <c r="CI97" s="315">
        <v>0.27</v>
      </c>
      <c r="CJ97" s="315">
        <v>0.27</v>
      </c>
    </row>
    <row r="98" spans="2:88">
      <c r="B98" s="310"/>
      <c r="C98" s="310"/>
      <c r="D98" s="310"/>
      <c r="E98" s="310"/>
      <c r="F98" s="310"/>
      <c r="G98" s="310"/>
      <c r="H98" s="310"/>
      <c r="I98" s="310"/>
      <c r="J98" s="310"/>
      <c r="K98" s="310"/>
      <c r="L98" s="310"/>
      <c r="M98" s="310"/>
      <c r="N98" s="310"/>
      <c r="O98" s="310"/>
      <c r="P98" s="310"/>
      <c r="Q98" s="310"/>
      <c r="R98" s="310"/>
      <c r="S98" s="310"/>
      <c r="T98" s="310"/>
      <c r="U98" s="310"/>
      <c r="V98" s="310"/>
      <c r="W98" s="310"/>
      <c r="X98" s="310"/>
      <c r="Y98" s="310"/>
      <c r="Z98" s="310"/>
      <c r="AA98" s="310"/>
      <c r="AB98" s="310"/>
      <c r="AC98" s="310"/>
      <c r="AD98" s="310"/>
      <c r="AE98" s="310"/>
      <c r="AF98" s="310"/>
      <c r="AG98" s="310"/>
      <c r="AH98" s="310"/>
      <c r="AI98" s="310"/>
      <c r="AJ98" s="310"/>
      <c r="AK98" s="310"/>
      <c r="AL98" s="310"/>
      <c r="AM98" s="310"/>
      <c r="AN98" s="310"/>
      <c r="AO98" s="310"/>
      <c r="AP98" s="310"/>
      <c r="AQ98" s="310"/>
      <c r="AR98" s="310"/>
      <c r="AS98" s="310"/>
      <c r="AT98" s="310"/>
      <c r="AU98" s="310"/>
      <c r="AV98" s="310"/>
      <c r="AW98" s="310"/>
      <c r="AX98" s="310"/>
      <c r="AY98" s="310"/>
      <c r="AZ98" s="310"/>
      <c r="BA98" s="310"/>
      <c r="BB98" s="310"/>
      <c r="BC98" s="310"/>
      <c r="BD98" s="310"/>
      <c r="BE98" s="310"/>
      <c r="BF98" s="310"/>
      <c r="BG98" s="310"/>
      <c r="BH98" s="310"/>
      <c r="BI98" s="310"/>
      <c r="BJ98" s="310"/>
      <c r="BK98" s="310"/>
      <c r="BL98" s="310"/>
      <c r="BM98" s="310"/>
      <c r="BN98" s="310"/>
      <c r="BO98" s="310"/>
      <c r="BP98" s="310"/>
      <c r="BQ98" s="310"/>
      <c r="BR98" s="310"/>
      <c r="BS98" s="310"/>
      <c r="BT98" s="310"/>
      <c r="BU98" s="310"/>
      <c r="BV98" s="310"/>
      <c r="BW98" s="310"/>
      <c r="BX98" s="310"/>
      <c r="BY98" s="310"/>
      <c r="BZ98" s="310"/>
      <c r="CA98" s="310"/>
      <c r="CB98" s="310"/>
      <c r="CC98" s="310"/>
      <c r="CD98" s="310"/>
      <c r="CE98" s="310"/>
      <c r="CF98" s="310"/>
      <c r="CG98" s="310"/>
      <c r="CH98" s="310"/>
      <c r="CI98" s="310"/>
      <c r="CJ98" s="310"/>
    </row>
    <row r="99" spans="2:88">
      <c r="B99" s="311" t="s">
        <v>337</v>
      </c>
      <c r="C99" s="312">
        <f t="shared" ref="C99" si="180">C$91*C100</f>
        <v>38.014102157294943</v>
      </c>
      <c r="D99" s="312">
        <f t="shared" ref="D99" si="181">D$91*D100</f>
        <v>38.43225728102518</v>
      </c>
      <c r="E99" s="312">
        <f t="shared" ref="E99" si="182">E$91*E100</f>
        <v>38.855012111116459</v>
      </c>
      <c r="F99" s="312">
        <f t="shared" ref="F99" si="183">F$91*F100</f>
        <v>39.282417244338731</v>
      </c>
      <c r="G99" s="312">
        <f t="shared" ref="G99" si="184">G$91*G100</f>
        <v>39.714523834026451</v>
      </c>
      <c r="H99" s="312">
        <f t="shared" ref="H99" si="185">H$91*H100</f>
        <v>40.151383596200738</v>
      </c>
      <c r="I99" s="312">
        <f t="shared" ref="I99" si="186">I$91*I100</f>
        <v>40.593048815758941</v>
      </c>
      <c r="J99" s="312">
        <f t="shared" ref="J99" si="187">J$91*J100</f>
        <v>41.039572352732286</v>
      </c>
      <c r="K99" s="312">
        <f t="shared" ref="K99" si="188">K$91*K100</f>
        <v>41.491007648612339</v>
      </c>
      <c r="L99" s="312">
        <f t="shared" ref="L99" si="189">L$91*L100</f>
        <v>41.947408732747071</v>
      </c>
      <c r="M99" s="312">
        <f t="shared" ref="M99" si="190">M$91*M100</f>
        <v>42.408830228807282</v>
      </c>
      <c r="N99" s="312">
        <f t="shared" ref="N99" si="191">N$91*N100</f>
        <v>42.87532736132416</v>
      </c>
      <c r="O99" s="312">
        <f t="shared" ref="O99" si="192">O$91*O100</f>
        <v>43.346955962298715</v>
      </c>
      <c r="P99" s="312">
        <f t="shared" ref="P99" si="193">P$91*P100</f>
        <v>43.823772477883992</v>
      </c>
      <c r="Q99" s="312">
        <f t="shared" ref="Q99" si="194">Q$91*Q100</f>
        <v>44.305833975140715</v>
      </c>
      <c r="R99" s="312">
        <f t="shared" ref="R99" si="195">R$91*R100</f>
        <v>44.793198148867255</v>
      </c>
      <c r="S99" s="312">
        <f t="shared" ref="S99" si="196">S$91*S100</f>
        <v>45.285923328504786</v>
      </c>
      <c r="T99" s="312">
        <f t="shared" ref="T99" si="197">T$91*T100</f>
        <v>45.784068485118333</v>
      </c>
      <c r="U99" s="312">
        <f t="shared" ref="U99" si="198">U$91*U100</f>
        <v>46.287693238454636</v>
      </c>
      <c r="V99" s="312">
        <f t="shared" ref="V99" si="199">V$91*V100</f>
        <v>46.79685786407763</v>
      </c>
      <c r="W99" s="312">
        <f t="shared" ref="W99" si="200">W$91*W100</f>
        <v>47.311623300582475</v>
      </c>
      <c r="X99" s="312">
        <f t="shared" ref="X99" si="201">X$91*X100</f>
        <v>47.83205115688888</v>
      </c>
      <c r="Y99" s="312">
        <f t="shared" ref="Y99" si="202">Y$91*Y100</f>
        <v>48.358203719614657</v>
      </c>
      <c r="Z99" s="312">
        <f t="shared" ref="Z99" si="203">Z$91*Z100</f>
        <v>48.890143960530409</v>
      </c>
      <c r="AA99" s="312">
        <f t="shared" ref="AA99" si="204">AA$91*AA100</f>
        <v>49.427935544096243</v>
      </c>
      <c r="AB99" s="312">
        <f t="shared" ref="AB99" si="205">AB$91*AB100</f>
        <v>49.97164283508129</v>
      </c>
      <c r="AC99" s="312">
        <f t="shared" ref="AC99" si="206">AC$91*AC100</f>
        <v>50.521330906267188</v>
      </c>
      <c r="AD99" s="312">
        <f t="shared" ref="AD99" si="207">AD$91*AD100</f>
        <v>51.07706554623612</v>
      </c>
      <c r="AE99" s="312">
        <f t="shared" ref="AE99" si="208">AE$91*AE100</f>
        <v>51.638913267244718</v>
      </c>
      <c r="AF99" s="312">
        <f t="shared" ref="AF99" si="209">AF$91*AF100</f>
        <v>52.206941313184394</v>
      </c>
      <c r="AG99" s="312">
        <f t="shared" ref="AG99" si="210">AG$91*AG100</f>
        <v>52.78121766762942</v>
      </c>
      <c r="AH99" s="312">
        <f t="shared" ref="AH99" si="211">AH$91*AH100</f>
        <v>53.361811061973341</v>
      </c>
      <c r="AI99" s="312">
        <f t="shared" ref="AI99" si="212">AI$91*AI100</f>
        <v>53.948790983655044</v>
      </c>
      <c r="AJ99" s="312">
        <f t="shared" ref="AJ99" si="213">AJ$91*AJ100</f>
        <v>54.542227684475243</v>
      </c>
      <c r="AK99" s="312">
        <f t="shared" ref="AK99" si="214">AK$91*AK100</f>
        <v>55.142192189004454</v>
      </c>
      <c r="AL99" s="312">
        <f t="shared" ref="AL99" si="215">AL$91*AL100</f>
        <v>55.748756303083503</v>
      </c>
      <c r="AM99" s="312">
        <f t="shared" ref="AM99" si="216">AM$91*AM100</f>
        <v>56.361992622417411</v>
      </c>
      <c r="AN99" s="312">
        <f t="shared" ref="AN99" si="217">AN$91*AN100</f>
        <v>56.981974541263995</v>
      </c>
      <c r="AO99" s="312">
        <f t="shared" ref="AO99" si="218">AO$91*AO100</f>
        <v>57.608776261217905</v>
      </c>
      <c r="AP99" s="312">
        <f t="shared" ref="AP99" si="219">AP$91*AP100</f>
        <v>58.242472800091292</v>
      </c>
      <c r="AQ99" s="312">
        <f t="shared" ref="AQ99" si="220">AQ$91*AQ100</f>
        <v>58.88314000089229</v>
      </c>
      <c r="AR99" s="312">
        <f t="shared" ref="AR99" si="221">AR$91*AR100</f>
        <v>59.530854540902091</v>
      </c>
      <c r="AS99" s="312">
        <f t="shared" ref="AS99" si="222">AS$91*AS100</f>
        <v>60.185693940852012</v>
      </c>
      <c r="AT99" s="312">
        <f t="shared" ref="AT99" si="223">AT$91*AT100</f>
        <v>60.847736574201377</v>
      </c>
      <c r="AU99" s="312">
        <f t="shared" ref="AU99" si="224">AU$91*AU100</f>
        <v>61.517061676517585</v>
      </c>
      <c r="AV99" s="312">
        <f t="shared" ref="AV99" si="225">AV$91*AV100</f>
        <v>62.193749354959259</v>
      </c>
      <c r="AW99" s="312">
        <f t="shared" ref="AW99" si="226">AW$91*AW100</f>
        <v>62.877880597863815</v>
      </c>
      <c r="AX99" s="312">
        <f t="shared" ref="AX99" si="227">AX$91*AX100</f>
        <v>63.569537284440301</v>
      </c>
      <c r="AY99" s="312">
        <f t="shared" ref="AY99" si="228">AY$91*AY100</f>
        <v>64.268802194569147</v>
      </c>
      <c r="AZ99" s="312">
        <f t="shared" ref="AZ99" si="229">AZ$91*AZ100</f>
        <v>64.975759018709383</v>
      </c>
      <c r="BA99" s="312">
        <f t="shared" ref="BA99" si="230">BA$91*BA100</f>
        <v>65.690492367915184</v>
      </c>
      <c r="BB99" s="312">
        <f t="shared" ref="BB99" si="231">BB$91*BB100</f>
        <v>66.41308778396224</v>
      </c>
      <c r="BC99" s="312">
        <f t="shared" ref="BC99" si="232">BC$91*BC100</f>
        <v>67.143631749585822</v>
      </c>
      <c r="BD99" s="312">
        <f t="shared" ref="BD99" si="233">BD$91*BD100</f>
        <v>67.882211698831256</v>
      </c>
      <c r="BE99" s="312">
        <f t="shared" ref="BE99" si="234">BE$91*BE100</f>
        <v>68.628916027518386</v>
      </c>
      <c r="BF99" s="312">
        <f t="shared" ref="BF99" si="235">BF$91*BF100</f>
        <v>69.383834103821087</v>
      </c>
      <c r="BG99" s="312">
        <f t="shared" ref="BG99" si="236">BG$91*BG100</f>
        <v>70.14705627896312</v>
      </c>
      <c r="BH99" s="312">
        <f t="shared" ref="BH99" si="237">BH$91*BH100</f>
        <v>70.918673898031699</v>
      </c>
      <c r="BI99" s="312">
        <f t="shared" ref="BI99" si="238">BI$91*BI100</f>
        <v>71.698779310910041</v>
      </c>
      <c r="BJ99" s="312">
        <f t="shared" ref="BJ99" si="239">BJ$91*BJ100</f>
        <v>72.487465883330032</v>
      </c>
      <c r="BK99" s="312">
        <f t="shared" ref="BK99" si="240">BK$91*BK100</f>
        <v>73.284828008046659</v>
      </c>
      <c r="BL99" s="312">
        <f t="shared" ref="BL99" si="241">BL$91*BL100</f>
        <v>74.090961116135162</v>
      </c>
      <c r="BM99" s="312">
        <f t="shared" ref="BM99" si="242">BM$91*BM100</f>
        <v>74.905961688412646</v>
      </c>
      <c r="BN99" s="312">
        <f t="shared" ref="BN99" si="243">BN$91*BN100</f>
        <v>75.729927266985186</v>
      </c>
      <c r="BO99" s="312">
        <f t="shared" ref="BO99" si="244">BO$91*BO100</f>
        <v>76.562956466922003</v>
      </c>
      <c r="BP99" s="312">
        <f t="shared" ref="BP99" si="245">BP$91*BP100</f>
        <v>77.40514898805813</v>
      </c>
      <c r="BQ99" s="312">
        <f t="shared" ref="BQ99" si="246">BQ$91*BQ100</f>
        <v>78.25660562692677</v>
      </c>
      <c r="BR99" s="312">
        <f t="shared" ref="BR99" si="247">BR$91*BR100</f>
        <v>79.11742828882295</v>
      </c>
      <c r="BS99" s="312">
        <f t="shared" ref="BS99:CF99" si="248">BS$91*BS100</f>
        <v>79.987719999999996</v>
      </c>
      <c r="BT99" s="312">
        <f t="shared" si="248"/>
        <v>80.867584919999999</v>
      </c>
      <c r="BU99" s="312">
        <f t="shared" si="248"/>
        <v>81.757128354119985</v>
      </c>
      <c r="BV99" s="312">
        <f t="shared" si="248"/>
        <v>82.656456766015296</v>
      </c>
      <c r="BW99" s="312">
        <f t="shared" si="248"/>
        <v>83.565677790441455</v>
      </c>
      <c r="BX99" s="312">
        <f t="shared" si="248"/>
        <v>84.484900246136291</v>
      </c>
      <c r="BY99" s="312">
        <f t="shared" si="248"/>
        <v>85.414234148843789</v>
      </c>
      <c r="BZ99" s="312">
        <f t="shared" si="248"/>
        <v>86.353790724481058</v>
      </c>
      <c r="CA99" s="312">
        <f t="shared" si="248"/>
        <v>87.30368242245035</v>
      </c>
      <c r="CB99" s="312">
        <f t="shared" si="248"/>
        <v>88.264022929097308</v>
      </c>
      <c r="CC99" s="312">
        <f t="shared" si="248"/>
        <v>89.234927181317346</v>
      </c>
      <c r="CD99" s="312">
        <f t="shared" si="248"/>
        <v>90.216511380311843</v>
      </c>
      <c r="CE99" s="312">
        <f t="shared" si="248"/>
        <v>91.20889300549527</v>
      </c>
      <c r="CF99" s="312">
        <f t="shared" si="248"/>
        <v>92.21219082855572</v>
      </c>
      <c r="CG99" s="312">
        <f t="shared" ref="CG99:CJ99" si="249">CG$91*CG100</f>
        <v>93.226524927669814</v>
      </c>
      <c r="CH99" s="312">
        <f t="shared" si="249"/>
        <v>94.252016701874169</v>
      </c>
      <c r="CI99" s="312">
        <f t="shared" si="249"/>
        <v>95.288788885594769</v>
      </c>
      <c r="CJ99" s="312">
        <f t="shared" si="249"/>
        <v>96.336965563336307</v>
      </c>
    </row>
    <row r="100" spans="2:88">
      <c r="B100" s="313" t="s">
        <v>338</v>
      </c>
      <c r="C100" s="315">
        <f t="shared" ref="C100:AP100" si="250">D100</f>
        <v>0.12</v>
      </c>
      <c r="D100" s="315">
        <f t="shared" si="250"/>
        <v>0.12</v>
      </c>
      <c r="E100" s="315">
        <f t="shared" si="250"/>
        <v>0.12</v>
      </c>
      <c r="F100" s="315">
        <f t="shared" si="250"/>
        <v>0.12</v>
      </c>
      <c r="G100" s="315">
        <f t="shared" si="250"/>
        <v>0.12</v>
      </c>
      <c r="H100" s="315">
        <f t="shared" si="250"/>
        <v>0.12</v>
      </c>
      <c r="I100" s="315">
        <f t="shared" si="250"/>
        <v>0.12</v>
      </c>
      <c r="J100" s="315">
        <f t="shared" si="250"/>
        <v>0.12</v>
      </c>
      <c r="K100" s="315">
        <f t="shared" si="250"/>
        <v>0.12</v>
      </c>
      <c r="L100" s="315">
        <f t="shared" si="250"/>
        <v>0.12</v>
      </c>
      <c r="M100" s="315">
        <f t="shared" si="250"/>
        <v>0.12</v>
      </c>
      <c r="N100" s="315">
        <f t="shared" si="250"/>
        <v>0.12</v>
      </c>
      <c r="O100" s="315">
        <f t="shared" si="250"/>
        <v>0.12</v>
      </c>
      <c r="P100" s="315">
        <f t="shared" si="250"/>
        <v>0.12</v>
      </c>
      <c r="Q100" s="315">
        <f t="shared" si="250"/>
        <v>0.12</v>
      </c>
      <c r="R100" s="315">
        <f t="shared" si="250"/>
        <v>0.12</v>
      </c>
      <c r="S100" s="315">
        <f t="shared" si="250"/>
        <v>0.12</v>
      </c>
      <c r="T100" s="315">
        <f t="shared" si="250"/>
        <v>0.12</v>
      </c>
      <c r="U100" s="315">
        <f t="shared" si="250"/>
        <v>0.12</v>
      </c>
      <c r="V100" s="315">
        <f t="shared" si="250"/>
        <v>0.12</v>
      </c>
      <c r="W100" s="315">
        <f t="shared" si="250"/>
        <v>0.12</v>
      </c>
      <c r="X100" s="315">
        <f t="shared" si="250"/>
        <v>0.12</v>
      </c>
      <c r="Y100" s="315">
        <f t="shared" si="250"/>
        <v>0.12</v>
      </c>
      <c r="Z100" s="315">
        <f t="shared" si="250"/>
        <v>0.12</v>
      </c>
      <c r="AA100" s="315">
        <f t="shared" si="250"/>
        <v>0.12</v>
      </c>
      <c r="AB100" s="315">
        <f t="shared" si="250"/>
        <v>0.12</v>
      </c>
      <c r="AC100" s="315">
        <f t="shared" si="250"/>
        <v>0.12</v>
      </c>
      <c r="AD100" s="315">
        <f t="shared" si="250"/>
        <v>0.12</v>
      </c>
      <c r="AE100" s="315">
        <f t="shared" si="250"/>
        <v>0.12</v>
      </c>
      <c r="AF100" s="315">
        <f t="shared" si="250"/>
        <v>0.12</v>
      </c>
      <c r="AG100" s="315">
        <f t="shared" si="250"/>
        <v>0.12</v>
      </c>
      <c r="AH100" s="315">
        <f t="shared" si="250"/>
        <v>0.12</v>
      </c>
      <c r="AI100" s="315">
        <f t="shared" si="250"/>
        <v>0.12</v>
      </c>
      <c r="AJ100" s="315">
        <f t="shared" si="250"/>
        <v>0.12</v>
      </c>
      <c r="AK100" s="315">
        <f t="shared" si="250"/>
        <v>0.12</v>
      </c>
      <c r="AL100" s="315">
        <f t="shared" si="250"/>
        <v>0.12</v>
      </c>
      <c r="AM100" s="315">
        <f t="shared" si="250"/>
        <v>0.12</v>
      </c>
      <c r="AN100" s="315">
        <f t="shared" si="250"/>
        <v>0.12</v>
      </c>
      <c r="AO100" s="315">
        <f t="shared" si="250"/>
        <v>0.12</v>
      </c>
      <c r="AP100" s="315">
        <f t="shared" si="250"/>
        <v>0.12</v>
      </c>
      <c r="AQ100" s="315">
        <f t="shared" ref="AQ100:BQ100" si="251">AR100</f>
        <v>0.12</v>
      </c>
      <c r="AR100" s="315">
        <f t="shared" si="251"/>
        <v>0.12</v>
      </c>
      <c r="AS100" s="315">
        <f t="shared" si="251"/>
        <v>0.12</v>
      </c>
      <c r="AT100" s="315">
        <f t="shared" si="251"/>
        <v>0.12</v>
      </c>
      <c r="AU100" s="315">
        <f t="shared" si="251"/>
        <v>0.12</v>
      </c>
      <c r="AV100" s="315">
        <f t="shared" si="251"/>
        <v>0.12</v>
      </c>
      <c r="AW100" s="315">
        <f t="shared" si="251"/>
        <v>0.12</v>
      </c>
      <c r="AX100" s="315">
        <f t="shared" si="251"/>
        <v>0.12</v>
      </c>
      <c r="AY100" s="315">
        <f t="shared" si="251"/>
        <v>0.12</v>
      </c>
      <c r="AZ100" s="315">
        <f t="shared" si="251"/>
        <v>0.12</v>
      </c>
      <c r="BA100" s="315">
        <f t="shared" si="251"/>
        <v>0.12</v>
      </c>
      <c r="BB100" s="315">
        <f t="shared" si="251"/>
        <v>0.12</v>
      </c>
      <c r="BC100" s="315">
        <f t="shared" si="251"/>
        <v>0.12</v>
      </c>
      <c r="BD100" s="315">
        <f t="shared" si="251"/>
        <v>0.12</v>
      </c>
      <c r="BE100" s="315">
        <f t="shared" si="251"/>
        <v>0.12</v>
      </c>
      <c r="BF100" s="315">
        <f t="shared" si="251"/>
        <v>0.12</v>
      </c>
      <c r="BG100" s="315">
        <f t="shared" si="251"/>
        <v>0.12</v>
      </c>
      <c r="BH100" s="315">
        <f t="shared" si="251"/>
        <v>0.12</v>
      </c>
      <c r="BI100" s="315">
        <f t="shared" si="251"/>
        <v>0.12</v>
      </c>
      <c r="BJ100" s="315">
        <f t="shared" si="251"/>
        <v>0.12</v>
      </c>
      <c r="BK100" s="315">
        <f t="shared" si="251"/>
        <v>0.12</v>
      </c>
      <c r="BL100" s="315">
        <f t="shared" si="251"/>
        <v>0.12</v>
      </c>
      <c r="BM100" s="315">
        <f t="shared" si="251"/>
        <v>0.12</v>
      </c>
      <c r="BN100" s="315">
        <f t="shared" si="251"/>
        <v>0.12</v>
      </c>
      <c r="BO100" s="315">
        <f t="shared" si="251"/>
        <v>0.12</v>
      </c>
      <c r="BP100" s="315">
        <f t="shared" si="251"/>
        <v>0.12</v>
      </c>
      <c r="BQ100" s="315">
        <f t="shared" si="251"/>
        <v>0.12</v>
      </c>
      <c r="BR100" s="315">
        <f>BS100</f>
        <v>0.12</v>
      </c>
      <c r="BS100" s="315">
        <v>0.12</v>
      </c>
      <c r="BT100" s="315">
        <v>0.12</v>
      </c>
      <c r="BU100" s="315">
        <v>0.12</v>
      </c>
      <c r="BV100" s="315">
        <v>0.12</v>
      </c>
      <c r="BW100" s="315">
        <v>0.12</v>
      </c>
      <c r="BX100" s="315">
        <v>0.12</v>
      </c>
      <c r="BY100" s="315">
        <v>0.12</v>
      </c>
      <c r="BZ100" s="315">
        <v>0.12</v>
      </c>
      <c r="CA100" s="315">
        <v>0.12</v>
      </c>
      <c r="CB100" s="315">
        <v>0.12</v>
      </c>
      <c r="CC100" s="315">
        <v>0.12</v>
      </c>
      <c r="CD100" s="315">
        <v>0.12</v>
      </c>
      <c r="CE100" s="315">
        <v>0.12</v>
      </c>
      <c r="CF100" s="315">
        <v>0.12</v>
      </c>
      <c r="CG100" s="315">
        <v>0.12</v>
      </c>
      <c r="CH100" s="315">
        <v>0.12</v>
      </c>
      <c r="CI100" s="315">
        <v>0.12</v>
      </c>
      <c r="CJ100" s="315">
        <v>0.12</v>
      </c>
    </row>
    <row r="101" spans="2:88">
      <c r="B101" s="310"/>
      <c r="C101" s="310"/>
      <c r="D101" s="310"/>
      <c r="E101" s="310"/>
      <c r="F101" s="310"/>
      <c r="G101" s="310"/>
      <c r="H101" s="310"/>
      <c r="I101" s="310"/>
      <c r="J101" s="310"/>
      <c r="K101" s="310"/>
      <c r="L101" s="310"/>
      <c r="M101" s="310"/>
      <c r="N101" s="310"/>
      <c r="O101" s="310"/>
      <c r="P101" s="310"/>
      <c r="Q101" s="310"/>
      <c r="R101" s="310"/>
      <c r="S101" s="310"/>
      <c r="T101" s="310"/>
      <c r="U101" s="310"/>
      <c r="V101" s="310"/>
      <c r="W101" s="310"/>
      <c r="X101" s="310"/>
      <c r="Y101" s="310"/>
      <c r="Z101" s="310"/>
      <c r="AA101" s="310"/>
      <c r="AB101" s="310"/>
      <c r="AC101" s="310"/>
      <c r="AD101" s="310"/>
      <c r="AE101" s="310"/>
      <c r="AF101" s="310"/>
      <c r="AG101" s="310"/>
      <c r="AH101" s="310"/>
      <c r="AI101" s="310"/>
      <c r="AJ101" s="310"/>
      <c r="AK101" s="310"/>
      <c r="AL101" s="310"/>
      <c r="AM101" s="310"/>
      <c r="AN101" s="310"/>
      <c r="AO101" s="310"/>
      <c r="AP101" s="310"/>
      <c r="AQ101" s="310"/>
      <c r="AR101" s="310"/>
      <c r="AS101" s="310"/>
      <c r="AT101" s="310"/>
      <c r="AU101" s="310"/>
      <c r="AV101" s="310"/>
      <c r="AW101" s="310"/>
      <c r="AX101" s="310"/>
      <c r="AY101" s="310"/>
      <c r="AZ101" s="310"/>
      <c r="BA101" s="310"/>
      <c r="BB101" s="310"/>
      <c r="BC101" s="310"/>
      <c r="BD101" s="310"/>
      <c r="BE101" s="310"/>
      <c r="BF101" s="310"/>
      <c r="BG101" s="310"/>
      <c r="BH101" s="310"/>
      <c r="BI101" s="310"/>
      <c r="BJ101" s="310"/>
      <c r="BK101" s="310"/>
      <c r="BL101" s="310"/>
      <c r="BM101" s="310"/>
      <c r="BN101" s="310"/>
      <c r="BO101" s="310"/>
      <c r="BP101" s="310"/>
      <c r="BQ101" s="310"/>
      <c r="BR101" s="310"/>
      <c r="BS101" s="310"/>
      <c r="BT101" s="310"/>
      <c r="BU101" s="310"/>
      <c r="BV101" s="310"/>
      <c r="BW101" s="310"/>
      <c r="BX101" s="310"/>
      <c r="BY101" s="310"/>
      <c r="BZ101" s="310"/>
      <c r="CA101" s="310"/>
      <c r="CB101" s="310"/>
      <c r="CC101" s="310"/>
      <c r="CD101" s="310"/>
      <c r="CE101" s="310"/>
      <c r="CF101" s="310"/>
      <c r="CG101" s="310"/>
      <c r="CH101" s="310"/>
      <c r="CI101" s="310"/>
      <c r="CJ101" s="310"/>
    </row>
    <row r="102" spans="2:88">
      <c r="B102" s="311" t="s">
        <v>339</v>
      </c>
      <c r="C102" s="312">
        <f t="shared" ref="C102:AP102" si="252">C$91*C103</f>
        <v>3.1678418464412483</v>
      </c>
      <c r="D102" s="312">
        <f t="shared" si="252"/>
        <v>3.2026881067521016</v>
      </c>
      <c r="E102" s="312">
        <f t="shared" si="252"/>
        <v>3.2379176759263744</v>
      </c>
      <c r="F102" s="312">
        <f t="shared" si="252"/>
        <v>3.273534770361564</v>
      </c>
      <c r="G102" s="312">
        <f t="shared" si="252"/>
        <v>3.3095436528355409</v>
      </c>
      <c r="H102" s="312">
        <f t="shared" si="252"/>
        <v>3.3459486330167314</v>
      </c>
      <c r="I102" s="312">
        <f t="shared" si="252"/>
        <v>3.3827540679799148</v>
      </c>
      <c r="J102" s="312">
        <f t="shared" si="252"/>
        <v>3.4199643627276939</v>
      </c>
      <c r="K102" s="312">
        <f t="shared" si="252"/>
        <v>3.4575839707176979</v>
      </c>
      <c r="L102" s="312">
        <f t="shared" si="252"/>
        <v>3.4956173943955924</v>
      </c>
      <c r="M102" s="312">
        <f t="shared" si="252"/>
        <v>3.5340691857339435</v>
      </c>
      <c r="N102" s="312">
        <f t="shared" si="252"/>
        <v>3.5729439467770168</v>
      </c>
      <c r="O102" s="312">
        <f t="shared" si="252"/>
        <v>3.6122463301915633</v>
      </c>
      <c r="P102" s="312">
        <f t="shared" si="252"/>
        <v>3.6519810398236694</v>
      </c>
      <c r="Q102" s="312">
        <f t="shared" si="252"/>
        <v>3.6921528312617293</v>
      </c>
      <c r="R102" s="312">
        <f t="shared" si="252"/>
        <v>3.732766512405608</v>
      </c>
      <c r="S102" s="312">
        <f t="shared" si="252"/>
        <v>3.7738269440420691</v>
      </c>
      <c r="T102" s="312">
        <f t="shared" si="252"/>
        <v>3.8153390404265313</v>
      </c>
      <c r="U102" s="312">
        <f t="shared" si="252"/>
        <v>3.8573077698712233</v>
      </c>
      <c r="V102" s="312">
        <f t="shared" si="252"/>
        <v>3.8997381553398061</v>
      </c>
      <c r="W102" s="312">
        <f t="shared" si="252"/>
        <v>3.9426352750485432</v>
      </c>
      <c r="X102" s="312">
        <f t="shared" si="252"/>
        <v>3.9860042630740771</v>
      </c>
      <c r="Y102" s="312">
        <f t="shared" si="252"/>
        <v>4.029850309967892</v>
      </c>
      <c r="Z102" s="312">
        <f t="shared" si="252"/>
        <v>4.0741786633775376</v>
      </c>
      <c r="AA102" s="312">
        <f t="shared" si="252"/>
        <v>4.1189946286746908</v>
      </c>
      <c r="AB102" s="312">
        <f t="shared" si="252"/>
        <v>4.1643035695901114</v>
      </c>
      <c r="AC102" s="312">
        <f t="shared" si="252"/>
        <v>4.2101109088556026</v>
      </c>
      <c r="AD102" s="312">
        <f t="shared" si="252"/>
        <v>4.2564221288530142</v>
      </c>
      <c r="AE102" s="312">
        <f t="shared" si="252"/>
        <v>4.303242772270397</v>
      </c>
      <c r="AF102" s="312">
        <f t="shared" si="252"/>
        <v>4.3505784427653698</v>
      </c>
      <c r="AG102" s="312">
        <f t="shared" si="252"/>
        <v>4.3984348056357891</v>
      </c>
      <c r="AH102" s="312">
        <f t="shared" si="252"/>
        <v>4.4468175884977823</v>
      </c>
      <c r="AI102" s="312">
        <f t="shared" si="252"/>
        <v>4.4957325819712572</v>
      </c>
      <c r="AJ102" s="312">
        <f t="shared" si="252"/>
        <v>4.5451856403729405</v>
      </c>
      <c r="AK102" s="312">
        <f t="shared" si="252"/>
        <v>4.5951826824170423</v>
      </c>
      <c r="AL102" s="312">
        <f t="shared" si="252"/>
        <v>4.6457296919236297</v>
      </c>
      <c r="AM102" s="312">
        <f t="shared" si="252"/>
        <v>4.6968327185347887</v>
      </c>
      <c r="AN102" s="312">
        <f t="shared" si="252"/>
        <v>4.7484978784386707</v>
      </c>
      <c r="AO102" s="312">
        <f t="shared" si="252"/>
        <v>4.8007313551014965</v>
      </c>
      <c r="AP102" s="312">
        <f t="shared" si="252"/>
        <v>4.8535394000076115</v>
      </c>
      <c r="AQ102" s="312">
        <f t="shared" ref="AQ102:BQ102" si="253">AQ$91*AQ103</f>
        <v>4.906928333407695</v>
      </c>
      <c r="AR102" s="312">
        <f t="shared" si="253"/>
        <v>4.960904545075179</v>
      </c>
      <c r="AS102" s="312">
        <f t="shared" si="253"/>
        <v>5.0154744950710057</v>
      </c>
      <c r="AT102" s="312">
        <f t="shared" si="253"/>
        <v>5.0706447145167859</v>
      </c>
      <c r="AU102" s="312">
        <f t="shared" si="253"/>
        <v>5.1264218063764702</v>
      </c>
      <c r="AV102" s="312">
        <f t="shared" si="253"/>
        <v>5.1828124462466096</v>
      </c>
      <c r="AW102" s="312">
        <f t="shared" si="253"/>
        <v>5.2398233831553229</v>
      </c>
      <c r="AX102" s="312">
        <f t="shared" si="253"/>
        <v>5.2974614403700295</v>
      </c>
      <c r="AY102" s="312">
        <f t="shared" si="253"/>
        <v>5.3557335162140998</v>
      </c>
      <c r="AZ102" s="312">
        <f t="shared" si="253"/>
        <v>5.4146465848924539</v>
      </c>
      <c r="BA102" s="312">
        <f t="shared" si="253"/>
        <v>5.4742076973262703</v>
      </c>
      <c r="BB102" s="312">
        <f t="shared" si="253"/>
        <v>5.5344239819968584</v>
      </c>
      <c r="BC102" s="312">
        <f t="shared" si="253"/>
        <v>5.5953026457988235</v>
      </c>
      <c r="BD102" s="312">
        <f t="shared" si="253"/>
        <v>5.6568509749026097</v>
      </c>
      <c r="BE102" s="312">
        <f t="shared" si="253"/>
        <v>5.7190763356265375</v>
      </c>
      <c r="BF102" s="312">
        <f t="shared" si="253"/>
        <v>5.781986175318429</v>
      </c>
      <c r="BG102" s="312">
        <f t="shared" si="253"/>
        <v>5.8455880232469317</v>
      </c>
      <c r="BH102" s="312">
        <f t="shared" si="253"/>
        <v>5.9098894915026463</v>
      </c>
      <c r="BI102" s="312">
        <f t="shared" si="253"/>
        <v>5.9748982759091751</v>
      </c>
      <c r="BJ102" s="312">
        <f t="shared" si="253"/>
        <v>6.0406221569441749</v>
      </c>
      <c r="BK102" s="312">
        <f t="shared" si="253"/>
        <v>6.1070690006705606</v>
      </c>
      <c r="BL102" s="312">
        <f t="shared" si="253"/>
        <v>6.1742467596779358</v>
      </c>
      <c r="BM102" s="312">
        <f t="shared" si="253"/>
        <v>6.2421634740343928</v>
      </c>
      <c r="BN102" s="312">
        <f t="shared" si="253"/>
        <v>6.3108272722487708</v>
      </c>
      <c r="BO102" s="312">
        <f t="shared" si="253"/>
        <v>6.3802463722435059</v>
      </c>
      <c r="BP102" s="312">
        <f t="shared" si="253"/>
        <v>6.450429082338184</v>
      </c>
      <c r="BQ102" s="312">
        <f t="shared" si="253"/>
        <v>6.5213838022439026</v>
      </c>
      <c r="BR102" s="312">
        <f>BR$91*BR103</f>
        <v>6.5931190240685851</v>
      </c>
      <c r="BS102" s="312">
        <f t="shared" ref="BS102:CJ102" si="254">BS$91*BS103</f>
        <v>6.6656433333333398</v>
      </c>
      <c r="BT102" s="312">
        <f t="shared" si="254"/>
        <v>6.7389654100000058</v>
      </c>
      <c r="BU102" s="312">
        <f t="shared" si="254"/>
        <v>6.8130940295100055</v>
      </c>
      <c r="BV102" s="312">
        <f t="shared" si="254"/>
        <v>6.8880380638346139</v>
      </c>
      <c r="BW102" s="312">
        <f t="shared" si="254"/>
        <v>6.9638064825367945</v>
      </c>
      <c r="BX102" s="312">
        <f t="shared" si="254"/>
        <v>7.0404083538446978</v>
      </c>
      <c r="BY102" s="312">
        <f t="shared" si="254"/>
        <v>7.117852845736989</v>
      </c>
      <c r="BZ102" s="312">
        <f t="shared" si="254"/>
        <v>7.1961492270400953</v>
      </c>
      <c r="CA102" s="312">
        <f t="shared" si="254"/>
        <v>7.2753068685375357</v>
      </c>
      <c r="CB102" s="312">
        <f t="shared" si="254"/>
        <v>7.3553352440914486</v>
      </c>
      <c r="CC102" s="312">
        <f t="shared" si="254"/>
        <v>7.4362439317764526</v>
      </c>
      <c r="CD102" s="312">
        <f t="shared" si="254"/>
        <v>7.518042615025994</v>
      </c>
      <c r="CE102" s="312">
        <f t="shared" si="254"/>
        <v>7.6007410837912799</v>
      </c>
      <c r="CF102" s="312">
        <f t="shared" si="254"/>
        <v>7.6843492357129835</v>
      </c>
      <c r="CG102" s="312">
        <f t="shared" si="254"/>
        <v>7.7688770773058256</v>
      </c>
      <c r="CH102" s="312">
        <f t="shared" si="254"/>
        <v>7.8543347251561872</v>
      </c>
      <c r="CI102" s="312">
        <f t="shared" si="254"/>
        <v>7.9407324071329048</v>
      </c>
      <c r="CJ102" s="312">
        <f t="shared" si="254"/>
        <v>8.0280804636113654</v>
      </c>
    </row>
    <row r="103" spans="2:88">
      <c r="B103" s="313" t="s">
        <v>340</v>
      </c>
      <c r="C103" s="315">
        <f t="shared" ref="C103:AP103" si="255">1-C100-C97-C94</f>
        <v>1.0000000000000009E-2</v>
      </c>
      <c r="D103" s="315">
        <f t="shared" si="255"/>
        <v>1.0000000000000009E-2</v>
      </c>
      <c r="E103" s="315">
        <f t="shared" si="255"/>
        <v>1.0000000000000009E-2</v>
      </c>
      <c r="F103" s="315">
        <f t="shared" si="255"/>
        <v>1.0000000000000009E-2</v>
      </c>
      <c r="G103" s="315">
        <f t="shared" si="255"/>
        <v>1.0000000000000009E-2</v>
      </c>
      <c r="H103" s="315">
        <f t="shared" si="255"/>
        <v>1.0000000000000009E-2</v>
      </c>
      <c r="I103" s="315">
        <f t="shared" si="255"/>
        <v>1.0000000000000009E-2</v>
      </c>
      <c r="J103" s="315">
        <f t="shared" si="255"/>
        <v>1.0000000000000009E-2</v>
      </c>
      <c r="K103" s="315">
        <f t="shared" si="255"/>
        <v>1.0000000000000009E-2</v>
      </c>
      <c r="L103" s="315">
        <f t="shared" si="255"/>
        <v>1.0000000000000009E-2</v>
      </c>
      <c r="M103" s="315">
        <f t="shared" si="255"/>
        <v>1.0000000000000009E-2</v>
      </c>
      <c r="N103" s="315">
        <f t="shared" si="255"/>
        <v>1.0000000000000009E-2</v>
      </c>
      <c r="O103" s="315">
        <f t="shared" si="255"/>
        <v>1.0000000000000009E-2</v>
      </c>
      <c r="P103" s="315">
        <f t="shared" si="255"/>
        <v>1.0000000000000009E-2</v>
      </c>
      <c r="Q103" s="315">
        <f t="shared" si="255"/>
        <v>1.0000000000000009E-2</v>
      </c>
      <c r="R103" s="315">
        <f t="shared" si="255"/>
        <v>1.0000000000000009E-2</v>
      </c>
      <c r="S103" s="315">
        <f t="shared" si="255"/>
        <v>1.0000000000000009E-2</v>
      </c>
      <c r="T103" s="315">
        <f t="shared" si="255"/>
        <v>1.0000000000000009E-2</v>
      </c>
      <c r="U103" s="315">
        <f t="shared" si="255"/>
        <v>1.0000000000000009E-2</v>
      </c>
      <c r="V103" s="315">
        <f t="shared" si="255"/>
        <v>1.0000000000000009E-2</v>
      </c>
      <c r="W103" s="315">
        <f t="shared" si="255"/>
        <v>1.0000000000000009E-2</v>
      </c>
      <c r="X103" s="315">
        <f t="shared" si="255"/>
        <v>1.0000000000000009E-2</v>
      </c>
      <c r="Y103" s="315">
        <f t="shared" si="255"/>
        <v>1.0000000000000009E-2</v>
      </c>
      <c r="Z103" s="315">
        <f t="shared" si="255"/>
        <v>1.0000000000000009E-2</v>
      </c>
      <c r="AA103" s="315">
        <f t="shared" si="255"/>
        <v>1.0000000000000009E-2</v>
      </c>
      <c r="AB103" s="315">
        <f t="shared" si="255"/>
        <v>1.0000000000000009E-2</v>
      </c>
      <c r="AC103" s="315">
        <f t="shared" si="255"/>
        <v>1.0000000000000009E-2</v>
      </c>
      <c r="AD103" s="315">
        <f t="shared" si="255"/>
        <v>1.0000000000000009E-2</v>
      </c>
      <c r="AE103" s="315">
        <f t="shared" si="255"/>
        <v>1.0000000000000009E-2</v>
      </c>
      <c r="AF103" s="315">
        <f t="shared" si="255"/>
        <v>1.0000000000000009E-2</v>
      </c>
      <c r="AG103" s="315">
        <f t="shared" si="255"/>
        <v>1.0000000000000009E-2</v>
      </c>
      <c r="AH103" s="315">
        <f t="shared" si="255"/>
        <v>1.0000000000000009E-2</v>
      </c>
      <c r="AI103" s="315">
        <f t="shared" si="255"/>
        <v>1.0000000000000009E-2</v>
      </c>
      <c r="AJ103" s="315">
        <f t="shared" si="255"/>
        <v>1.0000000000000009E-2</v>
      </c>
      <c r="AK103" s="315">
        <f t="shared" si="255"/>
        <v>1.0000000000000009E-2</v>
      </c>
      <c r="AL103" s="315">
        <f t="shared" si="255"/>
        <v>1.0000000000000009E-2</v>
      </c>
      <c r="AM103" s="315">
        <f t="shared" si="255"/>
        <v>1.0000000000000009E-2</v>
      </c>
      <c r="AN103" s="315">
        <f t="shared" si="255"/>
        <v>1.0000000000000009E-2</v>
      </c>
      <c r="AO103" s="315">
        <f t="shared" si="255"/>
        <v>1.0000000000000009E-2</v>
      </c>
      <c r="AP103" s="315">
        <f t="shared" si="255"/>
        <v>1.0000000000000009E-2</v>
      </c>
      <c r="AQ103" s="315">
        <f t="shared" ref="AQ103:BQ103" si="256">1-AQ100-AQ97-AQ94</f>
        <v>1.0000000000000009E-2</v>
      </c>
      <c r="AR103" s="315">
        <f t="shared" si="256"/>
        <v>1.0000000000000009E-2</v>
      </c>
      <c r="AS103" s="315">
        <f t="shared" si="256"/>
        <v>1.0000000000000009E-2</v>
      </c>
      <c r="AT103" s="315">
        <f t="shared" si="256"/>
        <v>1.0000000000000009E-2</v>
      </c>
      <c r="AU103" s="315">
        <f t="shared" si="256"/>
        <v>1.0000000000000009E-2</v>
      </c>
      <c r="AV103" s="315">
        <f t="shared" si="256"/>
        <v>1.0000000000000009E-2</v>
      </c>
      <c r="AW103" s="315">
        <f t="shared" si="256"/>
        <v>1.0000000000000009E-2</v>
      </c>
      <c r="AX103" s="315">
        <f t="shared" si="256"/>
        <v>1.0000000000000009E-2</v>
      </c>
      <c r="AY103" s="315">
        <f t="shared" si="256"/>
        <v>1.0000000000000009E-2</v>
      </c>
      <c r="AZ103" s="315">
        <f t="shared" si="256"/>
        <v>1.0000000000000009E-2</v>
      </c>
      <c r="BA103" s="315">
        <f t="shared" si="256"/>
        <v>1.0000000000000009E-2</v>
      </c>
      <c r="BB103" s="315">
        <f t="shared" si="256"/>
        <v>1.0000000000000009E-2</v>
      </c>
      <c r="BC103" s="315">
        <f t="shared" si="256"/>
        <v>1.0000000000000009E-2</v>
      </c>
      <c r="BD103" s="315">
        <f t="shared" si="256"/>
        <v>1.0000000000000009E-2</v>
      </c>
      <c r="BE103" s="315">
        <f t="shared" si="256"/>
        <v>1.0000000000000009E-2</v>
      </c>
      <c r="BF103" s="315">
        <f t="shared" si="256"/>
        <v>1.0000000000000009E-2</v>
      </c>
      <c r="BG103" s="315">
        <f t="shared" si="256"/>
        <v>1.0000000000000009E-2</v>
      </c>
      <c r="BH103" s="315">
        <f t="shared" si="256"/>
        <v>1.0000000000000009E-2</v>
      </c>
      <c r="BI103" s="315">
        <f t="shared" si="256"/>
        <v>1.0000000000000009E-2</v>
      </c>
      <c r="BJ103" s="315">
        <f t="shared" si="256"/>
        <v>1.0000000000000009E-2</v>
      </c>
      <c r="BK103" s="315">
        <f t="shared" si="256"/>
        <v>1.0000000000000009E-2</v>
      </c>
      <c r="BL103" s="315">
        <f t="shared" si="256"/>
        <v>1.0000000000000009E-2</v>
      </c>
      <c r="BM103" s="315">
        <f t="shared" si="256"/>
        <v>1.0000000000000009E-2</v>
      </c>
      <c r="BN103" s="315">
        <f t="shared" si="256"/>
        <v>1.0000000000000009E-2</v>
      </c>
      <c r="BO103" s="315">
        <f t="shared" si="256"/>
        <v>1.0000000000000009E-2</v>
      </c>
      <c r="BP103" s="315">
        <f t="shared" si="256"/>
        <v>1.0000000000000009E-2</v>
      </c>
      <c r="BQ103" s="315">
        <f t="shared" si="256"/>
        <v>1.0000000000000009E-2</v>
      </c>
      <c r="BR103" s="315">
        <f t="shared" ref="BR103" si="257">1-BR100-BR97-BR94</f>
        <v>1.0000000000000009E-2</v>
      </c>
      <c r="BS103" s="315">
        <f>1-BS100-BS97-BS94</f>
        <v>1.0000000000000009E-2</v>
      </c>
      <c r="BT103" s="315">
        <f t="shared" ref="BT103:CF103" si="258">1-BT100-BT97-BT94</f>
        <v>1.0000000000000009E-2</v>
      </c>
      <c r="BU103" s="315">
        <f t="shared" si="258"/>
        <v>1.0000000000000009E-2</v>
      </c>
      <c r="BV103" s="315">
        <f t="shared" si="258"/>
        <v>1.0000000000000009E-2</v>
      </c>
      <c r="BW103" s="315">
        <f t="shared" si="258"/>
        <v>1.0000000000000009E-2</v>
      </c>
      <c r="BX103" s="315">
        <f t="shared" si="258"/>
        <v>1.0000000000000009E-2</v>
      </c>
      <c r="BY103" s="315">
        <f t="shared" si="258"/>
        <v>1.0000000000000009E-2</v>
      </c>
      <c r="BZ103" s="315">
        <f t="shared" si="258"/>
        <v>1.0000000000000009E-2</v>
      </c>
      <c r="CA103" s="315">
        <f t="shared" si="258"/>
        <v>1.0000000000000009E-2</v>
      </c>
      <c r="CB103" s="315">
        <f t="shared" si="258"/>
        <v>1.0000000000000009E-2</v>
      </c>
      <c r="CC103" s="315">
        <f t="shared" si="258"/>
        <v>1.0000000000000009E-2</v>
      </c>
      <c r="CD103" s="315">
        <f t="shared" si="258"/>
        <v>1.0000000000000009E-2</v>
      </c>
      <c r="CE103" s="315">
        <f t="shared" si="258"/>
        <v>1.0000000000000009E-2</v>
      </c>
      <c r="CF103" s="315">
        <f t="shared" si="258"/>
        <v>1.0000000000000009E-2</v>
      </c>
      <c r="CG103" s="315">
        <f t="shared" ref="CG103:CJ103" si="259">1-CG100-CG97-CG94</f>
        <v>1.0000000000000009E-2</v>
      </c>
      <c r="CH103" s="315">
        <f t="shared" si="259"/>
        <v>1.0000000000000009E-2</v>
      </c>
      <c r="CI103" s="315">
        <f t="shared" si="259"/>
        <v>1.0000000000000009E-2</v>
      </c>
      <c r="CJ103" s="315">
        <f t="shared" si="259"/>
        <v>1.0000000000000009E-2</v>
      </c>
    </row>
    <row r="104" spans="2:88">
      <c r="B104" s="310"/>
      <c r="C104" s="310"/>
      <c r="D104" s="310"/>
      <c r="E104" s="310"/>
      <c r="F104" s="310"/>
      <c r="G104" s="310"/>
      <c r="H104" s="310"/>
      <c r="I104" s="310"/>
      <c r="J104" s="310"/>
      <c r="K104" s="310"/>
      <c r="L104" s="310"/>
      <c r="M104" s="310"/>
      <c r="N104" s="310"/>
      <c r="O104" s="310"/>
      <c r="P104" s="310"/>
      <c r="Q104" s="310"/>
      <c r="R104" s="310"/>
      <c r="S104" s="310"/>
      <c r="T104" s="310"/>
      <c r="U104" s="310"/>
      <c r="V104" s="310"/>
      <c r="W104" s="310"/>
      <c r="X104" s="310"/>
      <c r="Y104" s="310"/>
      <c r="Z104" s="310"/>
      <c r="AA104" s="310"/>
      <c r="AB104" s="310"/>
      <c r="AC104" s="310"/>
      <c r="AD104" s="310"/>
      <c r="AE104" s="310"/>
      <c r="AF104" s="310"/>
      <c r="AG104" s="310"/>
      <c r="AH104" s="310"/>
      <c r="AI104" s="310"/>
      <c r="AJ104" s="310"/>
      <c r="AK104" s="310"/>
      <c r="AL104" s="310"/>
      <c r="AM104" s="310"/>
      <c r="AN104" s="310"/>
      <c r="AO104" s="310"/>
      <c r="AP104" s="310"/>
      <c r="AQ104" s="310"/>
      <c r="AR104" s="310"/>
      <c r="AS104" s="310"/>
      <c r="AT104" s="310"/>
      <c r="AU104" s="310"/>
      <c r="AV104" s="310"/>
      <c r="AW104" s="310"/>
      <c r="AX104" s="310"/>
      <c r="AY104" s="310"/>
      <c r="AZ104" s="310"/>
      <c r="BA104" s="310"/>
      <c r="BB104" s="310"/>
      <c r="BC104" s="310"/>
      <c r="BD104" s="310"/>
      <c r="BE104" s="310"/>
      <c r="BF104" s="310"/>
      <c r="BG104" s="310"/>
      <c r="BH104" s="310"/>
      <c r="BI104" s="310"/>
      <c r="BJ104" s="310"/>
      <c r="BK104" s="310"/>
      <c r="BL104" s="310"/>
      <c r="BM104" s="310"/>
      <c r="BN104" s="310"/>
      <c r="BO104" s="310"/>
      <c r="BP104" s="310"/>
      <c r="BQ104" s="310"/>
      <c r="BR104" s="310"/>
      <c r="BS104" s="310"/>
      <c r="BT104" s="310"/>
      <c r="BU104" s="310"/>
      <c r="BV104" s="310"/>
      <c r="BW104" s="310"/>
      <c r="BX104" s="310"/>
      <c r="BY104" s="310"/>
      <c r="BZ104" s="310"/>
      <c r="CA104" s="310"/>
      <c r="CB104" s="310"/>
      <c r="CC104" s="310"/>
      <c r="CD104" s="310"/>
      <c r="CE104" s="310"/>
      <c r="CF104" s="310"/>
      <c r="CG104" s="310"/>
      <c r="CH104" s="310"/>
      <c r="CI104" s="310"/>
      <c r="CJ104" s="310"/>
    </row>
    <row r="105" spans="2:88">
      <c r="B105" s="316" t="s">
        <v>333</v>
      </c>
      <c r="C105" s="316"/>
      <c r="D105" s="316"/>
      <c r="E105" s="316"/>
      <c r="F105" s="316"/>
      <c r="G105" s="316"/>
      <c r="H105" s="316"/>
      <c r="I105" s="316"/>
      <c r="J105" s="316"/>
      <c r="K105" s="316"/>
      <c r="L105" s="316"/>
      <c r="M105" s="316"/>
      <c r="N105" s="316"/>
      <c r="O105" s="316"/>
      <c r="P105" s="316"/>
      <c r="Q105" s="316"/>
      <c r="R105" s="316"/>
      <c r="S105" s="316"/>
      <c r="T105" s="316"/>
      <c r="U105" s="316"/>
      <c r="V105" s="316"/>
      <c r="W105" s="316"/>
      <c r="X105" s="316"/>
      <c r="Y105" s="316"/>
      <c r="Z105" s="316"/>
      <c r="AA105" s="316"/>
      <c r="AB105" s="316"/>
      <c r="AC105" s="316"/>
      <c r="AD105" s="316"/>
      <c r="AE105" s="316"/>
      <c r="AF105" s="316"/>
      <c r="AG105" s="316"/>
      <c r="AH105" s="316"/>
      <c r="AI105" s="316"/>
      <c r="AJ105" s="316"/>
      <c r="AK105" s="316"/>
      <c r="AL105" s="316"/>
      <c r="AM105" s="316"/>
      <c r="AN105" s="316"/>
      <c r="AO105" s="316"/>
      <c r="AP105" s="316"/>
      <c r="AQ105" s="316"/>
      <c r="AR105" s="316"/>
      <c r="AS105" s="316"/>
      <c r="AT105" s="316"/>
      <c r="AU105" s="316"/>
      <c r="AV105" s="316"/>
      <c r="AW105" s="316"/>
      <c r="AX105" s="316"/>
      <c r="AY105" s="316"/>
      <c r="AZ105" s="316"/>
      <c r="BA105" s="316"/>
      <c r="BB105" s="316"/>
      <c r="BC105" s="316"/>
      <c r="BD105" s="316"/>
      <c r="BE105" s="316"/>
      <c r="BF105" s="316"/>
      <c r="BG105" s="316"/>
      <c r="BH105" s="316"/>
      <c r="BI105" s="316"/>
      <c r="BJ105" s="316"/>
      <c r="BK105" s="316"/>
      <c r="BL105" s="316"/>
      <c r="BM105" s="316"/>
      <c r="BN105" s="316"/>
      <c r="BO105" s="316"/>
      <c r="BP105" s="316"/>
      <c r="BQ105" s="316"/>
      <c r="BR105" s="316"/>
      <c r="BS105" s="310"/>
      <c r="BT105" s="310"/>
      <c r="BU105" s="310"/>
      <c r="BV105" s="310"/>
      <c r="BW105" s="310"/>
      <c r="BX105" s="310"/>
      <c r="BY105" s="310"/>
      <c r="BZ105" s="310"/>
      <c r="CA105" s="310"/>
      <c r="CB105" s="310"/>
      <c r="CC105" s="310"/>
      <c r="CD105" s="310"/>
      <c r="CE105" s="310"/>
      <c r="CF105" s="310"/>
      <c r="CG105" s="310"/>
      <c r="CH105" s="310"/>
      <c r="CI105" s="310"/>
      <c r="CJ105" s="310"/>
    </row>
    <row r="106" spans="2:88">
      <c r="B106" s="317" t="s">
        <v>354</v>
      </c>
      <c r="C106" s="317"/>
      <c r="D106" s="317"/>
      <c r="E106" s="317"/>
      <c r="F106" s="317"/>
      <c r="G106" s="317"/>
      <c r="H106" s="317"/>
      <c r="I106" s="317"/>
      <c r="J106" s="317"/>
      <c r="K106" s="317"/>
      <c r="L106" s="317"/>
      <c r="M106" s="317"/>
      <c r="N106" s="317"/>
      <c r="O106" s="317"/>
      <c r="P106" s="317"/>
      <c r="Q106" s="317"/>
      <c r="R106" s="317"/>
      <c r="S106" s="317"/>
      <c r="T106" s="317"/>
      <c r="U106" s="317"/>
      <c r="V106" s="317"/>
      <c r="W106" s="317"/>
      <c r="X106" s="317"/>
      <c r="Y106" s="317"/>
      <c r="Z106" s="317"/>
      <c r="AA106" s="317"/>
      <c r="AB106" s="317"/>
      <c r="AC106" s="317"/>
      <c r="AD106" s="317"/>
      <c r="AE106" s="317"/>
      <c r="AF106" s="317"/>
      <c r="AG106" s="317"/>
      <c r="AH106" s="317"/>
      <c r="AI106" s="317"/>
      <c r="AJ106" s="317"/>
      <c r="AK106" s="317"/>
      <c r="AL106" s="317"/>
      <c r="AM106" s="317"/>
      <c r="AN106" s="317"/>
      <c r="AO106" s="317"/>
      <c r="AP106" s="317"/>
      <c r="AQ106" s="318"/>
      <c r="AR106" s="318"/>
      <c r="AS106" s="318"/>
      <c r="AT106" s="318"/>
      <c r="AU106" s="318"/>
      <c r="AV106" s="318"/>
      <c r="AW106" s="318"/>
      <c r="AX106" s="318"/>
      <c r="AY106" s="318"/>
      <c r="AZ106" s="318"/>
      <c r="BA106" s="318"/>
      <c r="BB106" s="318"/>
      <c r="BC106" s="318"/>
      <c r="BD106" s="318"/>
      <c r="BE106" s="318"/>
      <c r="BF106" s="318"/>
      <c r="BG106" s="318"/>
      <c r="BH106" s="318"/>
      <c r="BI106" s="318"/>
      <c r="BJ106" s="318"/>
      <c r="BK106" s="318"/>
      <c r="BL106" s="318"/>
      <c r="BM106" s="318"/>
      <c r="BN106" s="318"/>
      <c r="BO106" s="318"/>
      <c r="BP106" s="318"/>
      <c r="BQ106" s="318"/>
      <c r="BR106" s="318"/>
      <c r="BS106" s="318"/>
      <c r="BT106" s="318"/>
      <c r="BU106" s="318"/>
      <c r="BV106" s="318"/>
      <c r="BW106" s="318">
        <f>BW93*BW107</f>
        <v>0</v>
      </c>
      <c r="BX106" s="318">
        <f t="shared" ref="BX106:CF106" si="260">BX93*BX107</f>
        <v>0</v>
      </c>
      <c r="BY106" s="318">
        <f t="shared" si="260"/>
        <v>42.707117074421895</v>
      </c>
      <c r="BZ106" s="318">
        <f t="shared" si="260"/>
        <v>151.11913376784184</v>
      </c>
      <c r="CA106" s="318">
        <f t="shared" si="260"/>
        <v>261.91104726735108</v>
      </c>
      <c r="CB106" s="318">
        <f t="shared" si="260"/>
        <v>330.9900859841149</v>
      </c>
      <c r="CC106" s="318">
        <f t="shared" si="260"/>
        <v>379.24844052059871</v>
      </c>
      <c r="CD106" s="318">
        <f t="shared" si="260"/>
        <v>405.97430121140331</v>
      </c>
      <c r="CE106" s="318">
        <f t="shared" si="260"/>
        <v>421.84113015041572</v>
      </c>
      <c r="CF106" s="318">
        <f t="shared" si="260"/>
        <v>438.0079064356396</v>
      </c>
      <c r="CG106" s="318">
        <f t="shared" ref="CG106" si="261">CG93*CG107</f>
        <v>442.82599340643156</v>
      </c>
      <c r="CH106" s="318">
        <f t="shared" ref="CH106" si="262">CH93*CH107</f>
        <v>447.69707933390225</v>
      </c>
      <c r="CI106" s="318">
        <f t="shared" ref="CI106" si="263">CI93*CI107</f>
        <v>452.62174720657515</v>
      </c>
      <c r="CJ106" s="318">
        <f t="shared" ref="CJ106" si="264">CJ93*CJ107</f>
        <v>457.60058642584738</v>
      </c>
    </row>
    <row r="107" spans="2:88">
      <c r="B107" s="313" t="s">
        <v>350</v>
      </c>
      <c r="C107" s="313"/>
      <c r="D107" s="313"/>
      <c r="E107" s="313"/>
      <c r="F107" s="313"/>
      <c r="G107" s="313"/>
      <c r="H107" s="313"/>
      <c r="I107" s="313"/>
      <c r="J107" s="313"/>
      <c r="K107" s="313"/>
      <c r="L107" s="313"/>
      <c r="M107" s="313"/>
      <c r="N107" s="313"/>
      <c r="O107" s="313"/>
      <c r="P107" s="313"/>
      <c r="Q107" s="313"/>
      <c r="R107" s="313"/>
      <c r="S107" s="313"/>
      <c r="T107" s="313"/>
      <c r="U107" s="313"/>
      <c r="V107" s="313"/>
      <c r="W107" s="313"/>
      <c r="X107" s="313"/>
      <c r="Y107" s="313"/>
      <c r="Z107" s="313"/>
      <c r="AA107" s="313"/>
      <c r="AB107" s="313"/>
      <c r="AC107" s="313"/>
      <c r="AD107" s="313"/>
      <c r="AE107" s="313"/>
      <c r="AF107" s="313"/>
      <c r="AG107" s="313"/>
      <c r="AH107" s="313"/>
      <c r="AI107" s="313"/>
      <c r="AJ107" s="313"/>
      <c r="AK107" s="313"/>
      <c r="AL107" s="313"/>
      <c r="AM107" s="313"/>
      <c r="AN107" s="313"/>
      <c r="AO107" s="313"/>
      <c r="AP107" s="313"/>
      <c r="AQ107" s="315"/>
      <c r="AR107" s="315"/>
      <c r="AS107" s="315"/>
      <c r="AT107" s="315"/>
      <c r="AU107" s="315"/>
      <c r="AV107" s="315"/>
      <c r="AW107" s="315"/>
      <c r="AX107" s="315"/>
      <c r="AY107" s="315"/>
      <c r="AZ107" s="315"/>
      <c r="BA107" s="315"/>
      <c r="BB107" s="315"/>
      <c r="BC107" s="315"/>
      <c r="BD107" s="315"/>
      <c r="BE107" s="315"/>
      <c r="BF107" s="315"/>
      <c r="BG107" s="315"/>
      <c r="BH107" s="315"/>
      <c r="BI107" s="315"/>
      <c r="BJ107" s="315"/>
      <c r="BK107" s="315"/>
      <c r="BL107" s="315"/>
      <c r="BM107" s="315"/>
      <c r="BN107" s="315"/>
      <c r="BO107" s="315"/>
      <c r="BP107" s="315"/>
      <c r="BQ107" s="315"/>
      <c r="BR107" s="315"/>
      <c r="BS107" s="315"/>
      <c r="BT107" s="315"/>
      <c r="BU107" s="315"/>
      <c r="BV107" s="315"/>
      <c r="BW107" s="315">
        <f t="shared" ref="BW107:CJ107" si="265">CHOOSE($BW$3,BW6,BW7,BW8)</f>
        <v>0</v>
      </c>
      <c r="BX107" s="315">
        <f t="shared" si="265"/>
        <v>0</v>
      </c>
      <c r="BY107" s="315">
        <f t="shared" si="265"/>
        <v>0.1</v>
      </c>
      <c r="BZ107" s="315">
        <f t="shared" si="265"/>
        <v>0.35</v>
      </c>
      <c r="CA107" s="315">
        <f t="shared" si="265"/>
        <v>0.6</v>
      </c>
      <c r="CB107" s="315">
        <f t="shared" si="265"/>
        <v>0.75</v>
      </c>
      <c r="CC107" s="315">
        <f t="shared" si="265"/>
        <v>0.85</v>
      </c>
      <c r="CD107" s="315">
        <f t="shared" si="265"/>
        <v>0.9</v>
      </c>
      <c r="CE107" s="315">
        <f t="shared" si="265"/>
        <v>0.92500000000000004</v>
      </c>
      <c r="CF107" s="315">
        <f t="shared" si="265"/>
        <v>0.95</v>
      </c>
      <c r="CG107" s="315">
        <f t="shared" si="265"/>
        <v>0.95</v>
      </c>
      <c r="CH107" s="315">
        <f t="shared" si="265"/>
        <v>0.95</v>
      </c>
      <c r="CI107" s="315">
        <f t="shared" si="265"/>
        <v>0.95</v>
      </c>
      <c r="CJ107" s="315">
        <f t="shared" si="265"/>
        <v>0.95</v>
      </c>
    </row>
    <row r="108" spans="2:88">
      <c r="B108" s="319"/>
      <c r="C108" s="319"/>
      <c r="D108" s="319"/>
      <c r="E108" s="319"/>
      <c r="F108" s="319"/>
      <c r="G108" s="319"/>
      <c r="H108" s="319"/>
      <c r="I108" s="319"/>
      <c r="J108" s="319"/>
      <c r="K108" s="319"/>
      <c r="L108" s="319"/>
      <c r="M108" s="319"/>
      <c r="N108" s="319"/>
      <c r="O108" s="319"/>
      <c r="P108" s="319"/>
      <c r="Q108" s="319"/>
      <c r="R108" s="319"/>
      <c r="S108" s="319"/>
      <c r="T108" s="319"/>
      <c r="U108" s="319"/>
      <c r="V108" s="319"/>
      <c r="W108" s="319"/>
      <c r="X108" s="319"/>
      <c r="Y108" s="319"/>
      <c r="Z108" s="319"/>
      <c r="AA108" s="319"/>
      <c r="AB108" s="319"/>
      <c r="AC108" s="319"/>
      <c r="AD108" s="319"/>
      <c r="AE108" s="319"/>
      <c r="AF108" s="319"/>
      <c r="AG108" s="319"/>
      <c r="AH108" s="319"/>
      <c r="AI108" s="319"/>
      <c r="AJ108" s="319"/>
      <c r="AK108" s="319"/>
      <c r="AL108" s="319"/>
      <c r="AM108" s="319"/>
      <c r="AN108" s="319"/>
      <c r="AO108" s="319"/>
      <c r="AP108" s="319"/>
      <c r="AQ108" s="320"/>
      <c r="AR108" s="320"/>
      <c r="AS108" s="320"/>
      <c r="AT108" s="320"/>
      <c r="AU108" s="320"/>
      <c r="AV108" s="320"/>
      <c r="AW108" s="320"/>
      <c r="AX108" s="320"/>
      <c r="AY108" s="320"/>
      <c r="AZ108" s="320"/>
      <c r="BA108" s="320"/>
      <c r="BB108" s="320"/>
      <c r="BC108" s="320"/>
      <c r="BD108" s="320"/>
      <c r="BE108" s="320"/>
      <c r="BF108" s="320"/>
      <c r="BG108" s="320"/>
      <c r="BH108" s="320"/>
      <c r="BI108" s="320"/>
      <c r="BJ108" s="320"/>
      <c r="BK108" s="320"/>
      <c r="BL108" s="320"/>
      <c r="BM108" s="320"/>
      <c r="BN108" s="320"/>
      <c r="BO108" s="320"/>
      <c r="BP108" s="320"/>
      <c r="BQ108" s="320"/>
      <c r="BR108" s="320"/>
      <c r="BS108" s="320"/>
      <c r="BT108" s="320"/>
      <c r="BU108" s="320"/>
      <c r="BV108" s="320"/>
      <c r="BW108" s="320"/>
      <c r="BX108" s="320"/>
      <c r="BY108" s="320"/>
      <c r="BZ108" s="320"/>
      <c r="CA108" s="320"/>
      <c r="CB108" s="320"/>
      <c r="CC108" s="320"/>
      <c r="CD108" s="320"/>
      <c r="CE108" s="320"/>
      <c r="CF108" s="320"/>
      <c r="CG108" s="320"/>
      <c r="CH108" s="320"/>
      <c r="CI108" s="320"/>
      <c r="CJ108" s="320"/>
    </row>
    <row r="109" spans="2:88">
      <c r="B109" s="319" t="s">
        <v>355</v>
      </c>
      <c r="C109" s="319"/>
      <c r="D109" s="319"/>
      <c r="E109" s="319"/>
      <c r="F109" s="319"/>
      <c r="G109" s="319"/>
      <c r="H109" s="319"/>
      <c r="I109" s="319"/>
      <c r="J109" s="319"/>
      <c r="K109" s="319"/>
      <c r="L109" s="319"/>
      <c r="M109" s="319"/>
      <c r="N109" s="319"/>
      <c r="O109" s="319"/>
      <c r="P109" s="319"/>
      <c r="Q109" s="319"/>
      <c r="R109" s="319"/>
      <c r="S109" s="319"/>
      <c r="T109" s="319"/>
      <c r="U109" s="319"/>
      <c r="V109" s="319"/>
      <c r="W109" s="319"/>
      <c r="X109" s="319"/>
      <c r="Y109" s="319"/>
      <c r="Z109" s="319"/>
      <c r="AA109" s="319"/>
      <c r="AB109" s="319"/>
      <c r="AC109" s="319"/>
      <c r="AD109" s="319"/>
      <c r="AE109" s="319"/>
      <c r="AF109" s="319"/>
      <c r="AG109" s="319"/>
      <c r="AH109" s="319"/>
      <c r="AI109" s="319"/>
      <c r="AJ109" s="319"/>
      <c r="AK109" s="319"/>
      <c r="AL109" s="319"/>
      <c r="AM109" s="319"/>
      <c r="AN109" s="319"/>
      <c r="AO109" s="319"/>
      <c r="AP109" s="319"/>
      <c r="AQ109" s="321"/>
      <c r="AR109" s="321"/>
      <c r="AS109" s="321"/>
      <c r="AT109" s="321"/>
      <c r="AU109" s="321"/>
      <c r="AV109" s="321"/>
      <c r="AW109" s="321"/>
      <c r="AX109" s="321"/>
      <c r="AY109" s="321"/>
      <c r="AZ109" s="321"/>
      <c r="BA109" s="321"/>
      <c r="BB109" s="321"/>
      <c r="BC109" s="321"/>
      <c r="BD109" s="321"/>
      <c r="BE109" s="321"/>
      <c r="BF109" s="321"/>
      <c r="BG109" s="321"/>
      <c r="BH109" s="321"/>
      <c r="BI109" s="321"/>
      <c r="BJ109" s="321"/>
      <c r="BK109" s="321"/>
      <c r="BL109" s="321"/>
      <c r="BM109" s="321"/>
      <c r="BN109" s="321"/>
      <c r="BO109" s="321"/>
      <c r="BP109" s="321"/>
      <c r="BQ109" s="321"/>
      <c r="BR109" s="321"/>
      <c r="BS109" s="321"/>
      <c r="BT109" s="321"/>
      <c r="BU109" s="321"/>
      <c r="BV109" s="321"/>
      <c r="BW109" s="321"/>
      <c r="BX109" s="321">
        <f>BW106</f>
        <v>0</v>
      </c>
      <c r="BY109" s="321">
        <f t="shared" ref="BY109:CF109" si="266">BX109+BX106</f>
        <v>0</v>
      </c>
      <c r="BZ109" s="321">
        <f t="shared" si="266"/>
        <v>42.707117074421895</v>
      </c>
      <c r="CA109" s="321">
        <f t="shared" si="266"/>
        <v>193.82625084226373</v>
      </c>
      <c r="CB109" s="321">
        <f t="shared" si="266"/>
        <v>455.73729810961481</v>
      </c>
      <c r="CC109" s="321">
        <f t="shared" si="266"/>
        <v>786.72738409372971</v>
      </c>
      <c r="CD109" s="321">
        <f t="shared" si="266"/>
        <v>1165.9758246143283</v>
      </c>
      <c r="CE109" s="321">
        <f t="shared" si="266"/>
        <v>1571.9501258257317</v>
      </c>
      <c r="CF109" s="321">
        <f t="shared" si="266"/>
        <v>1993.7912559761473</v>
      </c>
      <c r="CG109" s="321">
        <f t="shared" ref="CG109:CJ109" si="267">CF109+CF106</f>
        <v>2431.7991624117867</v>
      </c>
      <c r="CH109" s="321">
        <f t="shared" si="267"/>
        <v>2874.6251558182184</v>
      </c>
      <c r="CI109" s="321">
        <f t="shared" si="267"/>
        <v>3322.3222351521208</v>
      </c>
      <c r="CJ109" s="321">
        <f t="shared" si="267"/>
        <v>3774.9439823586958</v>
      </c>
    </row>
    <row r="110" spans="2:88" hidden="1" outlineLevel="1">
      <c r="B110" s="319"/>
      <c r="C110" s="319"/>
      <c r="D110" s="319"/>
      <c r="E110" s="319"/>
      <c r="F110" s="319"/>
      <c r="G110" s="319"/>
      <c r="H110" s="319"/>
      <c r="I110" s="319"/>
      <c r="J110" s="319"/>
      <c r="K110" s="319"/>
      <c r="L110" s="319"/>
      <c r="M110" s="319"/>
      <c r="N110" s="319"/>
      <c r="O110" s="319"/>
      <c r="P110" s="319"/>
      <c r="Q110" s="319"/>
      <c r="R110" s="319"/>
      <c r="S110" s="319"/>
      <c r="T110" s="319"/>
      <c r="U110" s="319"/>
      <c r="V110" s="319"/>
      <c r="W110" s="319"/>
      <c r="X110" s="319"/>
      <c r="Y110" s="319"/>
      <c r="Z110" s="319"/>
      <c r="AA110" s="319"/>
      <c r="AB110" s="319"/>
      <c r="AC110" s="319"/>
      <c r="AD110" s="319"/>
      <c r="AE110" s="319"/>
      <c r="AF110" s="319"/>
      <c r="AG110" s="319"/>
      <c r="AH110" s="319"/>
      <c r="AI110" s="319"/>
      <c r="AJ110" s="319"/>
      <c r="AK110" s="319"/>
      <c r="AL110" s="319"/>
      <c r="AM110" s="319"/>
      <c r="AN110" s="319"/>
      <c r="AO110" s="319"/>
      <c r="AP110" s="319"/>
      <c r="AQ110" s="320"/>
      <c r="AR110" s="320"/>
      <c r="AS110" s="320"/>
      <c r="AT110" s="320"/>
      <c r="AU110" s="320"/>
      <c r="AV110" s="320"/>
      <c r="AW110" s="320"/>
      <c r="AX110" s="320"/>
      <c r="AY110" s="320"/>
      <c r="AZ110" s="320"/>
      <c r="BA110" s="320"/>
      <c r="BB110" s="320"/>
      <c r="BC110" s="320"/>
      <c r="BD110" s="320"/>
      <c r="BE110" s="320"/>
      <c r="BF110" s="320"/>
      <c r="BG110" s="320"/>
      <c r="BH110" s="320"/>
      <c r="BI110" s="320"/>
      <c r="BJ110" s="320"/>
      <c r="BK110" s="320"/>
      <c r="BL110" s="320"/>
      <c r="BM110" s="320"/>
      <c r="BN110" s="320"/>
      <c r="BO110" s="320"/>
      <c r="BP110" s="320"/>
      <c r="BQ110" s="320"/>
      <c r="BR110" s="320"/>
      <c r="BS110" s="320"/>
      <c r="BT110" s="320"/>
      <c r="BU110" s="320"/>
      <c r="BV110" s="320"/>
      <c r="BW110" s="320"/>
      <c r="BX110" s="320"/>
      <c r="BY110" s="320"/>
      <c r="BZ110" s="320"/>
      <c r="CA110" s="320"/>
      <c r="CB110" s="320"/>
      <c r="CC110" s="320"/>
      <c r="CD110" s="320"/>
      <c r="CE110" s="320"/>
      <c r="CF110" s="320"/>
      <c r="CG110" s="320"/>
      <c r="CH110" s="320"/>
      <c r="CI110" s="320"/>
      <c r="CJ110" s="320"/>
    </row>
    <row r="111" spans="2:88" hidden="1" outlineLevel="1">
      <c r="B111" s="319" t="s">
        <v>351</v>
      </c>
      <c r="C111" s="319"/>
      <c r="D111" s="319"/>
      <c r="E111" s="319"/>
      <c r="F111" s="319"/>
      <c r="G111" s="319"/>
      <c r="H111" s="319"/>
      <c r="I111" s="319"/>
      <c r="J111" s="319"/>
      <c r="K111" s="319"/>
      <c r="L111" s="319"/>
      <c r="M111" s="319"/>
      <c r="N111" s="319"/>
      <c r="O111" s="319"/>
      <c r="P111" s="319"/>
      <c r="Q111" s="319"/>
      <c r="R111" s="319"/>
      <c r="S111" s="319"/>
      <c r="T111" s="319"/>
      <c r="U111" s="319"/>
      <c r="V111" s="319"/>
      <c r="W111" s="319"/>
      <c r="X111" s="319"/>
      <c r="Y111" s="319"/>
      <c r="Z111" s="319"/>
      <c r="AA111" s="319"/>
      <c r="AB111" s="319"/>
      <c r="AC111" s="319"/>
      <c r="AD111" s="319"/>
      <c r="AE111" s="319"/>
      <c r="AF111" s="319"/>
      <c r="AG111" s="319"/>
      <c r="AH111" s="319"/>
      <c r="AI111" s="319"/>
      <c r="AJ111" s="319"/>
      <c r="AK111" s="319"/>
      <c r="AL111" s="319"/>
      <c r="AM111" s="319"/>
      <c r="AN111" s="319"/>
      <c r="AO111" s="319"/>
      <c r="AP111" s="319"/>
      <c r="AQ111" s="321"/>
      <c r="AR111" s="321"/>
      <c r="AS111" s="321"/>
      <c r="AT111" s="321"/>
      <c r="AU111" s="321"/>
      <c r="AV111" s="321"/>
      <c r="AW111" s="321"/>
      <c r="AX111" s="321"/>
      <c r="AY111" s="321"/>
      <c r="AZ111" s="321"/>
      <c r="BA111" s="321"/>
      <c r="BB111" s="321"/>
      <c r="BC111" s="321"/>
      <c r="BD111" s="321"/>
      <c r="BE111" s="321"/>
      <c r="BF111" s="321"/>
      <c r="BG111" s="321"/>
      <c r="BH111" s="321"/>
      <c r="BI111" s="321"/>
      <c r="BJ111" s="321"/>
      <c r="BK111" s="321"/>
      <c r="BL111" s="321"/>
      <c r="BM111" s="321"/>
      <c r="BN111" s="321"/>
      <c r="BO111" s="321"/>
      <c r="BP111" s="321"/>
      <c r="BQ111" s="321"/>
      <c r="BR111" s="321"/>
      <c r="BS111" s="321"/>
      <c r="BT111" s="321"/>
      <c r="BU111" s="321"/>
      <c r="BV111" s="321"/>
      <c r="BW111" s="321">
        <f t="shared" ref="BW111:CC111" si="268">BR109*BW112</f>
        <v>0</v>
      </c>
      <c r="BX111" s="321">
        <f t="shared" si="268"/>
        <v>0</v>
      </c>
      <c r="BY111" s="321">
        <f t="shared" si="268"/>
        <v>0</v>
      </c>
      <c r="BZ111" s="321">
        <f t="shared" si="268"/>
        <v>0</v>
      </c>
      <c r="CA111" s="321">
        <f t="shared" si="268"/>
        <v>0</v>
      </c>
      <c r="CB111" s="321">
        <f t="shared" si="268"/>
        <v>0</v>
      </c>
      <c r="CC111" s="321">
        <f t="shared" si="268"/>
        <v>0</v>
      </c>
      <c r="CD111" s="321">
        <f>BY109*CD112*0.75</f>
        <v>0</v>
      </c>
      <c r="CE111" s="321">
        <f t="shared" ref="CE111:CJ111" si="269">BZ109*CE112*0.75</f>
        <v>0</v>
      </c>
      <c r="CF111" s="321">
        <f t="shared" si="269"/>
        <v>0</v>
      </c>
      <c r="CG111" s="321">
        <f t="shared" si="269"/>
        <v>0</v>
      </c>
      <c r="CH111" s="321">
        <f t="shared" si="269"/>
        <v>0</v>
      </c>
      <c r="CI111" s="321">
        <f t="shared" si="269"/>
        <v>0</v>
      </c>
      <c r="CJ111" s="321">
        <f t="shared" si="269"/>
        <v>0</v>
      </c>
    </row>
    <row r="112" spans="2:88" hidden="1" outlineLevel="1">
      <c r="B112" s="323" t="s">
        <v>350</v>
      </c>
      <c r="C112" s="323"/>
      <c r="D112" s="323"/>
      <c r="E112" s="323"/>
      <c r="F112" s="323"/>
      <c r="G112" s="323"/>
      <c r="H112" s="323"/>
      <c r="I112" s="323"/>
      <c r="J112" s="323"/>
      <c r="K112" s="323"/>
      <c r="L112" s="323"/>
      <c r="M112" s="323"/>
      <c r="N112" s="323"/>
      <c r="O112" s="323"/>
      <c r="P112" s="323"/>
      <c r="Q112" s="323"/>
      <c r="R112" s="323"/>
      <c r="S112" s="323"/>
      <c r="T112" s="323"/>
      <c r="U112" s="323"/>
      <c r="V112" s="323"/>
      <c r="W112" s="323"/>
      <c r="X112" s="323"/>
      <c r="Y112" s="323"/>
      <c r="Z112" s="323"/>
      <c r="AA112" s="323"/>
      <c r="AB112" s="323"/>
      <c r="AC112" s="323"/>
      <c r="AD112" s="323"/>
      <c r="AE112" s="323"/>
      <c r="AF112" s="323"/>
      <c r="AG112" s="323"/>
      <c r="AH112" s="323"/>
      <c r="AI112" s="323"/>
      <c r="AJ112" s="323"/>
      <c r="AK112" s="323"/>
      <c r="AL112" s="323"/>
      <c r="AM112" s="323"/>
      <c r="AN112" s="323"/>
      <c r="AO112" s="323"/>
      <c r="AP112" s="323"/>
      <c r="AQ112" s="324"/>
      <c r="AR112" s="324"/>
      <c r="AS112" s="324"/>
      <c r="AT112" s="324"/>
      <c r="AU112" s="324"/>
      <c r="AV112" s="324"/>
      <c r="AW112" s="324"/>
      <c r="AX112" s="324"/>
      <c r="AY112" s="324"/>
      <c r="AZ112" s="324"/>
      <c r="BA112" s="324"/>
      <c r="BB112" s="324"/>
      <c r="BC112" s="324"/>
      <c r="BD112" s="324"/>
      <c r="BE112" s="324"/>
      <c r="BF112" s="324"/>
      <c r="BG112" s="324"/>
      <c r="BH112" s="324"/>
      <c r="BI112" s="324"/>
      <c r="BJ112" s="324"/>
      <c r="BK112" s="324"/>
      <c r="BL112" s="324"/>
      <c r="BM112" s="324"/>
      <c r="BN112" s="324"/>
      <c r="BO112" s="324"/>
      <c r="BP112" s="324"/>
      <c r="BQ112" s="324"/>
      <c r="BR112" s="324"/>
      <c r="BS112" s="324"/>
      <c r="BT112" s="324"/>
      <c r="BU112" s="324"/>
      <c r="BV112" s="324"/>
      <c r="BW112" s="324">
        <f t="shared" ref="BW112:CC112" si="270">CHOOSE($BW$3,BW11,BW12,BW13)</f>
        <v>0</v>
      </c>
      <c r="BX112" s="324">
        <f t="shared" si="270"/>
        <v>0</v>
      </c>
      <c r="BY112" s="324">
        <f t="shared" si="270"/>
        <v>0</v>
      </c>
      <c r="BZ112" s="324">
        <f t="shared" si="270"/>
        <v>0</v>
      </c>
      <c r="CA112" s="324">
        <f t="shared" si="270"/>
        <v>0</v>
      </c>
      <c r="CB112" s="324">
        <f t="shared" si="270"/>
        <v>0</v>
      </c>
      <c r="CC112" s="324">
        <f t="shared" si="270"/>
        <v>0</v>
      </c>
      <c r="CD112" s="324">
        <v>0</v>
      </c>
      <c r="CE112" s="324">
        <f>CD112</f>
        <v>0</v>
      </c>
      <c r="CF112" s="324">
        <f t="shared" ref="CF112:CJ112" si="271">CE112</f>
        <v>0</v>
      </c>
      <c r="CG112" s="324">
        <f t="shared" si="271"/>
        <v>0</v>
      </c>
      <c r="CH112" s="324">
        <f t="shared" si="271"/>
        <v>0</v>
      </c>
      <c r="CI112" s="324">
        <f t="shared" si="271"/>
        <v>0</v>
      </c>
      <c r="CJ112" s="324">
        <f t="shared" si="271"/>
        <v>0</v>
      </c>
    </row>
    <row r="113" spans="2:88" collapsed="1">
      <c r="B113" s="317"/>
      <c r="C113" s="317"/>
      <c r="D113" s="317"/>
      <c r="E113" s="317"/>
      <c r="F113" s="317"/>
      <c r="G113" s="317"/>
      <c r="H113" s="317"/>
      <c r="I113" s="317"/>
      <c r="J113" s="317"/>
      <c r="K113" s="317"/>
      <c r="L113" s="317"/>
      <c r="M113" s="317"/>
      <c r="N113" s="317"/>
      <c r="O113" s="317"/>
      <c r="P113" s="317"/>
      <c r="Q113" s="317"/>
      <c r="R113" s="317"/>
      <c r="S113" s="317"/>
      <c r="T113" s="317"/>
      <c r="U113" s="317"/>
      <c r="V113" s="317"/>
      <c r="W113" s="317"/>
      <c r="X113" s="317"/>
      <c r="Y113" s="317"/>
      <c r="Z113" s="317"/>
      <c r="AA113" s="317"/>
      <c r="AB113" s="317"/>
      <c r="AC113" s="317"/>
      <c r="AD113" s="317"/>
      <c r="AE113" s="317"/>
      <c r="AF113" s="317"/>
      <c r="AG113" s="317"/>
      <c r="AH113" s="317"/>
      <c r="AI113" s="317"/>
      <c r="AJ113" s="317"/>
      <c r="AK113" s="317"/>
      <c r="AL113" s="317"/>
      <c r="AM113" s="317"/>
      <c r="AN113" s="317"/>
      <c r="AO113" s="317"/>
      <c r="AP113" s="317"/>
      <c r="AQ113" s="330"/>
      <c r="AR113" s="330"/>
      <c r="AS113" s="330"/>
      <c r="AT113" s="330"/>
      <c r="AU113" s="330"/>
      <c r="AV113" s="330"/>
      <c r="AW113" s="330"/>
      <c r="AX113" s="330"/>
      <c r="AY113" s="330"/>
      <c r="AZ113" s="330"/>
      <c r="BA113" s="330"/>
      <c r="BB113" s="330"/>
      <c r="BC113" s="330"/>
      <c r="BD113" s="330"/>
      <c r="BE113" s="330"/>
      <c r="BF113" s="330"/>
      <c r="BG113" s="330"/>
      <c r="BH113" s="330"/>
      <c r="BI113" s="330"/>
      <c r="BJ113" s="330"/>
      <c r="BK113" s="330"/>
      <c r="BL113" s="330"/>
      <c r="BM113" s="330"/>
      <c r="BN113" s="330"/>
      <c r="BO113" s="330"/>
      <c r="BP113" s="330"/>
      <c r="BQ113" s="330"/>
      <c r="BR113" s="330"/>
      <c r="BS113" s="330"/>
      <c r="BT113" s="330"/>
      <c r="BU113" s="330"/>
      <c r="BV113" s="330"/>
      <c r="BW113" s="330"/>
      <c r="BX113" s="330"/>
      <c r="BY113" s="330"/>
      <c r="BZ113" s="330"/>
      <c r="CA113" s="330"/>
      <c r="CB113" s="330"/>
      <c r="CC113" s="330"/>
      <c r="CD113" s="330"/>
      <c r="CE113" s="330"/>
      <c r="CF113" s="330"/>
      <c r="CG113" s="330"/>
      <c r="CH113" s="330"/>
      <c r="CI113" s="330"/>
      <c r="CJ113" s="330"/>
    </row>
    <row r="114" spans="2:88">
      <c r="B114" s="316" t="s">
        <v>335</v>
      </c>
      <c r="C114" s="316"/>
      <c r="D114" s="316"/>
      <c r="E114" s="316"/>
      <c r="F114" s="316"/>
      <c r="G114" s="316"/>
      <c r="H114" s="316"/>
      <c r="I114" s="316"/>
      <c r="J114" s="316"/>
      <c r="K114" s="316"/>
      <c r="L114" s="316"/>
      <c r="M114" s="316"/>
      <c r="N114" s="316"/>
      <c r="O114" s="316"/>
      <c r="P114" s="316"/>
      <c r="Q114" s="316"/>
      <c r="R114" s="316"/>
      <c r="S114" s="316"/>
      <c r="T114" s="316"/>
      <c r="U114" s="316"/>
      <c r="V114" s="316"/>
      <c r="W114" s="316"/>
      <c r="X114" s="316"/>
      <c r="Y114" s="316"/>
      <c r="Z114" s="316"/>
      <c r="AA114" s="316"/>
      <c r="AB114" s="316"/>
      <c r="AC114" s="316"/>
      <c r="AD114" s="316"/>
      <c r="AE114" s="316"/>
      <c r="AF114" s="316"/>
      <c r="AG114" s="316"/>
      <c r="AH114" s="316"/>
      <c r="AI114" s="316"/>
      <c r="AJ114" s="316"/>
      <c r="AK114" s="316"/>
      <c r="AL114" s="316"/>
      <c r="AM114" s="316"/>
      <c r="AN114" s="316"/>
      <c r="AO114" s="316"/>
      <c r="AP114" s="316"/>
      <c r="AQ114" s="310"/>
      <c r="AR114" s="310"/>
      <c r="AS114" s="310"/>
      <c r="AT114" s="310"/>
      <c r="AU114" s="310"/>
      <c r="AV114" s="310"/>
      <c r="AW114" s="310"/>
      <c r="AX114" s="310"/>
      <c r="AY114" s="310"/>
      <c r="AZ114" s="310"/>
      <c r="BA114" s="310"/>
      <c r="BB114" s="310"/>
      <c r="BC114" s="310"/>
      <c r="BD114" s="310"/>
      <c r="BE114" s="310"/>
      <c r="BF114" s="310"/>
      <c r="BG114" s="310"/>
      <c r="BH114" s="310"/>
      <c r="BI114" s="310"/>
      <c r="BJ114" s="310"/>
      <c r="BK114" s="310"/>
      <c r="BL114" s="310"/>
      <c r="BM114" s="310"/>
      <c r="BN114" s="310"/>
      <c r="BO114" s="310"/>
      <c r="BP114" s="310"/>
      <c r="BQ114" s="310"/>
      <c r="BR114" s="310"/>
      <c r="BS114" s="310"/>
      <c r="BT114" s="310"/>
      <c r="BU114" s="310"/>
      <c r="BV114" s="310"/>
      <c r="BW114" s="310"/>
      <c r="BX114" s="310"/>
      <c r="BY114" s="310"/>
      <c r="BZ114" s="310"/>
      <c r="CA114" s="310"/>
      <c r="CB114" s="310"/>
      <c r="CC114" s="310"/>
      <c r="CD114" s="310"/>
      <c r="CE114" s="310"/>
      <c r="CF114" s="310"/>
      <c r="CG114" s="310"/>
      <c r="CH114" s="310"/>
      <c r="CI114" s="310"/>
      <c r="CJ114" s="310"/>
    </row>
    <row r="115" spans="2:88">
      <c r="B115" s="317" t="s">
        <v>360</v>
      </c>
      <c r="C115" s="317"/>
      <c r="D115" s="317"/>
      <c r="E115" s="317"/>
      <c r="F115" s="317"/>
      <c r="G115" s="317"/>
      <c r="H115" s="317"/>
      <c r="I115" s="317"/>
      <c r="J115" s="317"/>
      <c r="K115" s="317"/>
      <c r="L115" s="317"/>
      <c r="M115" s="317"/>
      <c r="N115" s="317"/>
      <c r="O115" s="317"/>
      <c r="P115" s="317"/>
      <c r="Q115" s="317"/>
      <c r="R115" s="317"/>
      <c r="S115" s="317"/>
      <c r="T115" s="317"/>
      <c r="U115" s="317"/>
      <c r="V115" s="317"/>
      <c r="W115" s="317"/>
      <c r="X115" s="317"/>
      <c r="Y115" s="317"/>
      <c r="Z115" s="317"/>
      <c r="AA115" s="317"/>
      <c r="AB115" s="317"/>
      <c r="AC115" s="317"/>
      <c r="AD115" s="317"/>
      <c r="AE115" s="317"/>
      <c r="AF115" s="317"/>
      <c r="AG115" s="318">
        <v>0</v>
      </c>
      <c r="AH115" s="318">
        <f t="shared" ref="AH115:AR115" si="272">AG121</f>
        <v>118.7577397521662</v>
      </c>
      <c r="AI115" s="318">
        <f t="shared" si="272"/>
        <v>232.88392765399792</v>
      </c>
      <c r="AJ115" s="318">
        <f t="shared" si="272"/>
        <v>342.62451098452186</v>
      </c>
      <c r="AK115" s="318">
        <f t="shared" si="272"/>
        <v>448.21329772536507</v>
      </c>
      <c r="AL115" s="318">
        <f t="shared" si="272"/>
        <v>549.87256526435681</v>
      </c>
      <c r="AM115" s="318">
        <f t="shared" si="272"/>
        <v>647.81363868307687</v>
      </c>
      <c r="AN115" s="318">
        <f t="shared" si="272"/>
        <v>742.23744014936221</v>
      </c>
      <c r="AO115" s="318">
        <f t="shared" si="272"/>
        <v>833.33501085973808</v>
      </c>
      <c r="AP115" s="318">
        <f t="shared" si="272"/>
        <v>921.28800690449157</v>
      </c>
      <c r="AQ115" s="318">
        <f t="shared" si="272"/>
        <v>1006.2691703594724</v>
      </c>
      <c r="AR115" s="318">
        <f t="shared" si="272"/>
        <v>1088.4427768435064</v>
      </c>
      <c r="AS115" s="318">
        <f t="shared" ref="AS115:AZ115" si="273">AR121</f>
        <v>1167.9650607183607</v>
      </c>
      <c r="AT115" s="318">
        <f t="shared" si="273"/>
        <v>1244.9846190493597</v>
      </c>
      <c r="AU115" s="318">
        <f t="shared" si="273"/>
        <v>1319.6427953888449</v>
      </c>
      <c r="AV115" s="318">
        <f t="shared" si="273"/>
        <v>1392.0740443915672</v>
      </c>
      <c r="AW115" s="318">
        <f t="shared" si="273"/>
        <v>1462.4062782206472</v>
      </c>
      <c r="AX115" s="318">
        <f t="shared" si="273"/>
        <v>1530.7611956548085</v>
      </c>
      <c r="AY115" s="318">
        <f t="shared" si="273"/>
        <v>1597.2545947620588</v>
      </c>
      <c r="AZ115" s="318">
        <f t="shared" si="273"/>
        <v>1661.9966699617364</v>
      </c>
      <c r="BA115" s="318">
        <f t="shared" ref="BA115:BK115" si="274">AZ121</f>
        <v>1725.0922942557459</v>
      </c>
      <c r="BB115" s="318">
        <f t="shared" si="274"/>
        <v>1786.6412873707677</v>
      </c>
      <c r="BC115" s="318">
        <f t="shared" si="274"/>
        <v>1846.7386705161443</v>
      </c>
      <c r="BD115" s="318">
        <f t="shared" si="274"/>
        <v>1905.4749084269054</v>
      </c>
      <c r="BE115" s="318">
        <f t="shared" si="274"/>
        <v>1962.9361393279305</v>
      </c>
      <c r="BF115" s="318">
        <f t="shared" si="274"/>
        <v>2019.2043934234503</v>
      </c>
      <c r="BG115" s="318">
        <f t="shared" si="274"/>
        <v>2074.357800485875</v>
      </c>
      <c r="BH115" s="318">
        <f t="shared" si="274"/>
        <v>2128.470787089248</v>
      </c>
      <c r="BI115" s="318">
        <f t="shared" si="274"/>
        <v>2181.6142640053567</v>
      </c>
      <c r="BJ115" s="318">
        <f t="shared" si="274"/>
        <v>2233.8558042546365</v>
      </c>
      <c r="BK115" s="318">
        <f t="shared" si="274"/>
        <v>2285.2598122793975</v>
      </c>
      <c r="BL115" s="318">
        <f>BK121</f>
        <v>2335.8876846835324</v>
      </c>
      <c r="BM115" s="318">
        <f>BL121</f>
        <v>2385.7979629606598</v>
      </c>
      <c r="BN115" s="318">
        <f t="shared" ref="BN115:BV115" si="275">BM121</f>
        <v>2435.0464786115554</v>
      </c>
      <c r="BO115" s="318">
        <f t="shared" si="275"/>
        <v>2483.686491031694</v>
      </c>
      <c r="BP115" s="318">
        <f t="shared" si="275"/>
        <v>2531.7688185306838</v>
      </c>
      <c r="BQ115" s="318">
        <f t="shared" si="275"/>
        <v>2579.3419628272804</v>
      </c>
      <c r="BR115" s="318">
        <f t="shared" si="275"/>
        <v>2626.4522273465013</v>
      </c>
      <c r="BS115" s="318">
        <f t="shared" si="275"/>
        <v>2673.143829629028</v>
      </c>
      <c r="BT115" s="318">
        <f t="shared" si="275"/>
        <v>2719.4590081475767</v>
      </c>
      <c r="BU115" s="318">
        <f t="shared" si="275"/>
        <v>2765.4381238101978</v>
      </c>
      <c r="BV115" s="318">
        <f t="shared" si="275"/>
        <v>2811.1197564164577</v>
      </c>
      <c r="BW115" s="318">
        <f t="shared" ref="BW115:CJ115" si="276">BV121</f>
        <v>2856.5407963191692</v>
      </c>
      <c r="BX115" s="318">
        <f t="shared" si="276"/>
        <v>2901.7365315317043</v>
      </c>
      <c r="BY115" s="318">
        <f t="shared" si="276"/>
        <v>2946.7407305089255</v>
      </c>
      <c r="BZ115" s="318">
        <f t="shared" si="276"/>
        <v>2991.5857208183775</v>
      </c>
      <c r="CA115" s="318">
        <f t="shared" si="276"/>
        <v>3036.3024639075411</v>
      </c>
      <c r="CB115" s="318">
        <f t="shared" si="276"/>
        <v>3080.9206261626773</v>
      </c>
      <c r="CC115" s="318">
        <f t="shared" si="276"/>
        <v>3217.8962652298928</v>
      </c>
      <c r="CD115" s="318">
        <f t="shared" si="276"/>
        <v>3370.4064074094085</v>
      </c>
      <c r="CE115" s="318">
        <f t="shared" si="276"/>
        <v>3539.6894939410158</v>
      </c>
      <c r="CF115" s="318">
        <f t="shared" si="276"/>
        <v>3727.211055733675</v>
      </c>
      <c r="CG115" s="318">
        <f t="shared" si="276"/>
        <v>3916.0524298192572</v>
      </c>
      <c r="CH115" s="318">
        <f t="shared" si="276"/>
        <v>4106.2318487574184</v>
      </c>
      <c r="CI115" s="318">
        <f t="shared" si="276"/>
        <v>4297.767727092848</v>
      </c>
      <c r="CJ115" s="318">
        <f t="shared" si="276"/>
        <v>4490.6786634499722</v>
      </c>
    </row>
    <row r="116" spans="2:88">
      <c r="B116" s="319"/>
      <c r="C116" s="319"/>
      <c r="D116" s="319"/>
      <c r="E116" s="319"/>
      <c r="F116" s="319"/>
      <c r="G116" s="319"/>
      <c r="H116" s="319"/>
      <c r="I116" s="319"/>
      <c r="J116" s="319"/>
      <c r="K116" s="319"/>
      <c r="L116" s="319"/>
      <c r="M116" s="319"/>
      <c r="N116" s="319"/>
      <c r="O116" s="319"/>
      <c r="P116" s="319"/>
      <c r="Q116" s="319"/>
      <c r="R116" s="319"/>
      <c r="S116" s="319"/>
      <c r="T116" s="319"/>
      <c r="U116" s="319"/>
      <c r="V116" s="319"/>
      <c r="W116" s="319"/>
      <c r="X116" s="319"/>
      <c r="Y116" s="319"/>
      <c r="Z116" s="319"/>
      <c r="AA116" s="319"/>
      <c r="AB116" s="319"/>
      <c r="AC116" s="319"/>
      <c r="AD116" s="319"/>
      <c r="AE116" s="319"/>
      <c r="AF116" s="319"/>
      <c r="AG116" s="320"/>
      <c r="AH116" s="320"/>
      <c r="AI116" s="320"/>
      <c r="AJ116" s="320"/>
      <c r="AK116" s="320"/>
      <c r="AL116" s="320"/>
      <c r="AM116" s="320"/>
      <c r="AN116" s="320"/>
      <c r="AO116" s="320"/>
      <c r="AP116" s="320"/>
      <c r="AQ116" s="320"/>
      <c r="AR116" s="320"/>
      <c r="AS116" s="320"/>
      <c r="AT116" s="320"/>
      <c r="AU116" s="320"/>
      <c r="AV116" s="320"/>
      <c r="AW116" s="320"/>
      <c r="AX116" s="320"/>
      <c r="AY116" s="320"/>
      <c r="AZ116" s="320"/>
      <c r="BA116" s="320"/>
      <c r="BB116" s="320"/>
      <c r="BC116" s="320"/>
      <c r="BD116" s="320"/>
      <c r="BE116" s="320"/>
      <c r="BF116" s="320"/>
      <c r="BG116" s="320"/>
      <c r="BH116" s="320"/>
      <c r="BI116" s="320"/>
      <c r="BJ116" s="320"/>
      <c r="BK116" s="320"/>
      <c r="BL116" s="320"/>
      <c r="BM116" s="320"/>
      <c r="BN116" s="320"/>
      <c r="BO116" s="320"/>
      <c r="BP116" s="320"/>
      <c r="BQ116" s="320"/>
      <c r="BR116" s="320"/>
      <c r="BS116" s="320"/>
      <c r="BT116" s="320"/>
      <c r="BU116" s="320"/>
      <c r="BV116" s="320"/>
      <c r="BW116" s="320"/>
      <c r="BX116" s="320"/>
      <c r="BY116" s="320"/>
      <c r="BZ116" s="320"/>
      <c r="CA116" s="320"/>
      <c r="CB116" s="320"/>
      <c r="CC116" s="320"/>
      <c r="CD116" s="320"/>
      <c r="CE116" s="320"/>
      <c r="CF116" s="320"/>
      <c r="CG116" s="320"/>
      <c r="CH116" s="320"/>
      <c r="CI116" s="320"/>
      <c r="CJ116" s="320"/>
    </row>
    <row r="117" spans="2:88">
      <c r="B117" s="319" t="s">
        <v>341</v>
      </c>
      <c r="C117" s="319"/>
      <c r="D117" s="319"/>
      <c r="E117" s="319"/>
      <c r="F117" s="319"/>
      <c r="G117" s="319"/>
      <c r="H117" s="319"/>
      <c r="I117" s="319"/>
      <c r="J117" s="319"/>
      <c r="K117" s="319"/>
      <c r="L117" s="319"/>
      <c r="M117" s="319"/>
      <c r="N117" s="319"/>
      <c r="O117" s="319"/>
      <c r="P117" s="319"/>
      <c r="Q117" s="319"/>
      <c r="R117" s="319"/>
      <c r="S117" s="319"/>
      <c r="T117" s="319"/>
      <c r="U117" s="319"/>
      <c r="V117" s="319"/>
      <c r="W117" s="319"/>
      <c r="X117" s="319"/>
      <c r="Y117" s="319"/>
      <c r="Z117" s="319"/>
      <c r="AA117" s="319"/>
      <c r="AB117" s="319"/>
      <c r="AC117" s="319"/>
      <c r="AD117" s="319"/>
      <c r="AE117" s="319"/>
      <c r="AF117" s="319"/>
      <c r="AG117" s="322"/>
      <c r="AH117" s="322">
        <f>0.05*AG121</f>
        <v>5.9378869876083105</v>
      </c>
      <c r="AI117" s="322">
        <f t="shared" ref="AI117:CA117" si="277">0.05*AH121</f>
        <v>11.644196382699896</v>
      </c>
      <c r="AJ117" s="322">
        <f t="shared" si="277"/>
        <v>17.131225549226095</v>
      </c>
      <c r="AK117" s="322">
        <f t="shared" si="277"/>
        <v>22.410664886268254</v>
      </c>
      <c r="AL117" s="322">
        <f t="shared" si="277"/>
        <v>27.493628263217843</v>
      </c>
      <c r="AM117" s="322">
        <f t="shared" si="277"/>
        <v>32.390681934153847</v>
      </c>
      <c r="AN117" s="322">
        <f t="shared" si="277"/>
        <v>37.111872007468115</v>
      </c>
      <c r="AO117" s="322">
        <f t="shared" si="277"/>
        <v>41.666750542986904</v>
      </c>
      <c r="AP117" s="322">
        <f t="shared" si="277"/>
        <v>46.064400345224584</v>
      </c>
      <c r="AQ117" s="322">
        <f t="shared" si="277"/>
        <v>50.313458517973622</v>
      </c>
      <c r="AR117" s="322">
        <f t="shared" si="277"/>
        <v>54.422138842175322</v>
      </c>
      <c r="AS117" s="322">
        <f t="shared" si="277"/>
        <v>58.398253035918039</v>
      </c>
      <c r="AT117" s="322">
        <f t="shared" si="277"/>
        <v>62.24923095246799</v>
      </c>
      <c r="AU117" s="322">
        <f t="shared" si="277"/>
        <v>65.982139769442242</v>
      </c>
      <c r="AV117" s="322">
        <f t="shared" si="277"/>
        <v>69.603702219578366</v>
      </c>
      <c r="AW117" s="322">
        <f t="shared" si="277"/>
        <v>73.120313911032369</v>
      </c>
      <c r="AX117" s="322">
        <f t="shared" si="277"/>
        <v>76.538059782740433</v>
      </c>
      <c r="AY117" s="322">
        <f t="shared" si="277"/>
        <v>79.862729738102942</v>
      </c>
      <c r="AZ117" s="322">
        <f t="shared" si="277"/>
        <v>83.099833498086824</v>
      </c>
      <c r="BA117" s="322">
        <f t="shared" si="277"/>
        <v>86.254614712787301</v>
      </c>
      <c r="BB117" s="322">
        <f t="shared" si="277"/>
        <v>89.332064368538397</v>
      </c>
      <c r="BC117" s="322">
        <f t="shared" si="277"/>
        <v>92.336933525807225</v>
      </c>
      <c r="BD117" s="322">
        <f t="shared" si="277"/>
        <v>95.273745421345268</v>
      </c>
      <c r="BE117" s="322">
        <f t="shared" si="277"/>
        <v>98.146806966396525</v>
      </c>
      <c r="BF117" s="322">
        <f t="shared" si="277"/>
        <v>100.96021967117252</v>
      </c>
      <c r="BG117" s="322">
        <f t="shared" si="277"/>
        <v>103.71789002429375</v>
      </c>
      <c r="BH117" s="322">
        <f t="shared" si="277"/>
        <v>106.42353935446241</v>
      </c>
      <c r="BI117" s="322">
        <f t="shared" si="277"/>
        <v>109.08071320026784</v>
      </c>
      <c r="BJ117" s="322">
        <f t="shared" si="277"/>
        <v>111.69279021273184</v>
      </c>
      <c r="BK117" s="322">
        <f t="shared" si="277"/>
        <v>114.26299061396988</v>
      </c>
      <c r="BL117" s="322">
        <f t="shared" si="277"/>
        <v>116.79438423417662</v>
      </c>
      <c r="BM117" s="322">
        <f t="shared" si="277"/>
        <v>119.28989814803299</v>
      </c>
      <c r="BN117" s="322">
        <f t="shared" si="277"/>
        <v>121.75232393057777</v>
      </c>
      <c r="BO117" s="322">
        <f t="shared" si="277"/>
        <v>124.18432455158471</v>
      </c>
      <c r="BP117" s="322">
        <f t="shared" si="277"/>
        <v>126.58844092653419</v>
      </c>
      <c r="BQ117" s="322">
        <f t="shared" si="277"/>
        <v>128.96709814136403</v>
      </c>
      <c r="BR117" s="322">
        <f t="shared" si="277"/>
        <v>131.32261136732507</v>
      </c>
      <c r="BS117" s="322">
        <f t="shared" si="277"/>
        <v>133.65719148145141</v>
      </c>
      <c r="BT117" s="322">
        <f t="shared" si="277"/>
        <v>135.97295040737885</v>
      </c>
      <c r="BU117" s="322">
        <f t="shared" si="277"/>
        <v>138.2719061905099</v>
      </c>
      <c r="BV117" s="322">
        <f t="shared" si="277"/>
        <v>140.55598782082288</v>
      </c>
      <c r="BW117" s="322">
        <f t="shared" si="277"/>
        <v>142.82703981595847</v>
      </c>
      <c r="BX117" s="322">
        <f t="shared" si="277"/>
        <v>145.08682657658522</v>
      </c>
      <c r="BY117" s="322">
        <f t="shared" si="277"/>
        <v>147.33703652544628</v>
      </c>
      <c r="BZ117" s="322">
        <f t="shared" si="277"/>
        <v>149.57928604091887</v>
      </c>
      <c r="CA117" s="322">
        <f t="shared" si="277"/>
        <v>151.81512319537705</v>
      </c>
      <c r="CB117" s="322">
        <f>0.02*CA121</f>
        <v>61.618412523253546</v>
      </c>
      <c r="CC117" s="322">
        <f>0.015*CB121</f>
        <v>48.268443978448389</v>
      </c>
      <c r="CD117" s="322">
        <f>0.01*CC121</f>
        <v>33.704064074094084</v>
      </c>
      <c r="CE117" s="322">
        <f t="shared" ref="CE117:CJ117" si="278">0.005*CD121</f>
        <v>17.69844746970508</v>
      </c>
      <c r="CF117" s="322">
        <f t="shared" si="278"/>
        <v>18.636055278668376</v>
      </c>
      <c r="CG117" s="322">
        <f t="shared" si="278"/>
        <v>19.580262149096285</v>
      </c>
      <c r="CH117" s="322">
        <f t="shared" si="278"/>
        <v>20.531159243787094</v>
      </c>
      <c r="CI117" s="322">
        <f t="shared" si="278"/>
        <v>21.488838635464241</v>
      </c>
      <c r="CJ117" s="322">
        <f t="shared" si="278"/>
        <v>22.453393317249862</v>
      </c>
    </row>
    <row r="118" spans="2:88">
      <c r="B118" s="313"/>
      <c r="C118" s="313"/>
      <c r="D118" s="313"/>
      <c r="E118" s="313"/>
      <c r="F118" s="313"/>
      <c r="G118" s="313"/>
      <c r="H118" s="313"/>
      <c r="I118" s="313"/>
      <c r="J118" s="313"/>
      <c r="K118" s="313"/>
      <c r="L118" s="313"/>
      <c r="M118" s="313"/>
      <c r="N118" s="313"/>
      <c r="O118" s="313"/>
      <c r="P118" s="313"/>
      <c r="Q118" s="313"/>
      <c r="R118" s="313"/>
      <c r="S118" s="313"/>
      <c r="T118" s="313"/>
      <c r="U118" s="313"/>
      <c r="V118" s="313"/>
      <c r="W118" s="313"/>
      <c r="X118" s="313"/>
      <c r="Y118" s="313"/>
      <c r="Z118" s="313"/>
      <c r="AA118" s="313"/>
      <c r="AB118" s="313"/>
      <c r="AC118" s="313"/>
      <c r="AD118" s="313"/>
      <c r="AE118" s="313"/>
      <c r="AF118" s="313"/>
      <c r="AG118" s="315"/>
      <c r="AH118" s="315"/>
      <c r="AI118" s="315"/>
      <c r="AJ118" s="315"/>
      <c r="AK118" s="315"/>
      <c r="AL118" s="315"/>
      <c r="AM118" s="315"/>
      <c r="AN118" s="315"/>
      <c r="AO118" s="315"/>
      <c r="AP118" s="315"/>
      <c r="AQ118" s="315"/>
      <c r="AR118" s="315"/>
      <c r="AS118" s="315"/>
      <c r="AT118" s="315"/>
      <c r="AU118" s="315"/>
      <c r="AV118" s="315"/>
      <c r="AW118" s="315"/>
      <c r="AX118" s="315"/>
      <c r="AY118" s="315"/>
      <c r="AZ118" s="315"/>
      <c r="BA118" s="315"/>
      <c r="BB118" s="315"/>
      <c r="BC118" s="315"/>
      <c r="BD118" s="315"/>
      <c r="BE118" s="315"/>
      <c r="BF118" s="315"/>
      <c r="BG118" s="315"/>
      <c r="BH118" s="315"/>
      <c r="BI118" s="315"/>
      <c r="BJ118" s="315"/>
      <c r="BK118" s="315"/>
      <c r="BL118" s="315"/>
      <c r="BM118" s="315"/>
      <c r="BN118" s="315"/>
      <c r="BO118" s="315"/>
      <c r="BP118" s="315"/>
      <c r="BQ118" s="315"/>
      <c r="BR118" s="315"/>
      <c r="BS118" s="315"/>
      <c r="BT118" s="315"/>
      <c r="BU118" s="315"/>
      <c r="BV118" s="315"/>
      <c r="BW118" s="315"/>
      <c r="BX118" s="315"/>
      <c r="BY118" s="315"/>
      <c r="BZ118" s="315"/>
      <c r="CA118" s="315"/>
      <c r="CB118" s="315"/>
      <c r="CC118" s="315"/>
      <c r="CD118" s="315"/>
      <c r="CE118" s="315"/>
      <c r="CF118" s="315"/>
      <c r="CG118" s="315"/>
      <c r="CH118" s="315"/>
      <c r="CI118" s="315"/>
      <c r="CJ118" s="315"/>
    </row>
    <row r="119" spans="2:88">
      <c r="B119" s="319" t="s">
        <v>358</v>
      </c>
      <c r="C119" s="319"/>
      <c r="D119" s="319"/>
      <c r="E119" s="319"/>
      <c r="F119" s="319"/>
      <c r="G119" s="319"/>
      <c r="H119" s="319"/>
      <c r="I119" s="319"/>
      <c r="J119" s="319"/>
      <c r="K119" s="319"/>
      <c r="L119" s="319"/>
      <c r="M119" s="319"/>
      <c r="N119" s="319"/>
      <c r="O119" s="319"/>
      <c r="P119" s="319"/>
      <c r="Q119" s="319"/>
      <c r="R119" s="319"/>
      <c r="S119" s="319"/>
      <c r="T119" s="319"/>
      <c r="U119" s="319"/>
      <c r="V119" s="319"/>
      <c r="W119" s="319"/>
      <c r="X119" s="319"/>
      <c r="Y119" s="319"/>
      <c r="Z119" s="319"/>
      <c r="AA119" s="319"/>
      <c r="AB119" s="319"/>
      <c r="AC119" s="319"/>
      <c r="AD119" s="319"/>
      <c r="AE119" s="319"/>
      <c r="AF119" s="319"/>
      <c r="AG119" s="322">
        <f t="shared" ref="AG119:AR119" si="279">AG96</f>
        <v>118.7577397521662</v>
      </c>
      <c r="AH119" s="322">
        <f t="shared" si="279"/>
        <v>120.06407488944002</v>
      </c>
      <c r="AI119" s="322">
        <f t="shared" si="279"/>
        <v>121.38477971322386</v>
      </c>
      <c r="AJ119" s="322">
        <f t="shared" si="279"/>
        <v>122.72001229006931</v>
      </c>
      <c r="AK119" s="322">
        <f t="shared" si="279"/>
        <v>124.06993242526003</v>
      </c>
      <c r="AL119" s="322">
        <f t="shared" si="279"/>
        <v>125.4347016819379</v>
      </c>
      <c r="AM119" s="322">
        <f t="shared" si="279"/>
        <v>126.81448340043919</v>
      </c>
      <c r="AN119" s="322">
        <f t="shared" si="279"/>
        <v>128.20944271784401</v>
      </c>
      <c r="AO119" s="322">
        <f t="shared" si="279"/>
        <v>129.61974658774028</v>
      </c>
      <c r="AP119" s="322">
        <f t="shared" si="279"/>
        <v>131.0455638002054</v>
      </c>
      <c r="AQ119" s="322">
        <f t="shared" si="279"/>
        <v>132.48706500200765</v>
      </c>
      <c r="AR119" s="322">
        <f t="shared" si="279"/>
        <v>133.94442271702971</v>
      </c>
      <c r="AS119" s="322">
        <f t="shared" ref="AS119:AZ119" si="280">AS96</f>
        <v>135.41781136691705</v>
      </c>
      <c r="AT119" s="322">
        <f t="shared" si="280"/>
        <v>136.90740729195312</v>
      </c>
      <c r="AU119" s="322">
        <f t="shared" si="280"/>
        <v>138.41338877216458</v>
      </c>
      <c r="AV119" s="322">
        <f t="shared" si="280"/>
        <v>139.93593604865836</v>
      </c>
      <c r="AW119" s="322">
        <f t="shared" si="280"/>
        <v>141.47523134519361</v>
      </c>
      <c r="AX119" s="322">
        <f t="shared" si="280"/>
        <v>143.03145888999069</v>
      </c>
      <c r="AY119" s="322">
        <f t="shared" si="280"/>
        <v>144.60480493778059</v>
      </c>
      <c r="AZ119" s="322">
        <f t="shared" si="280"/>
        <v>146.19545779209614</v>
      </c>
      <c r="BA119" s="322">
        <f t="shared" ref="BA119:BM119" si="281">BA96</f>
        <v>147.80360782780917</v>
      </c>
      <c r="BB119" s="322">
        <f t="shared" si="281"/>
        <v>149.42944751391505</v>
      </c>
      <c r="BC119" s="322">
        <f t="shared" si="281"/>
        <v>151.07317143656812</v>
      </c>
      <c r="BD119" s="322">
        <f t="shared" si="281"/>
        <v>152.73497632237033</v>
      </c>
      <c r="BE119" s="322">
        <f t="shared" si="281"/>
        <v>154.41506106191639</v>
      </c>
      <c r="BF119" s="322">
        <f t="shared" si="281"/>
        <v>156.11362673359744</v>
      </c>
      <c r="BG119" s="322">
        <f t="shared" si="281"/>
        <v>157.83087662766704</v>
      </c>
      <c r="BH119" s="322">
        <f t="shared" si="281"/>
        <v>159.56701627057134</v>
      </c>
      <c r="BI119" s="322">
        <f t="shared" si="281"/>
        <v>161.32225344954759</v>
      </c>
      <c r="BJ119" s="322">
        <f t="shared" si="281"/>
        <v>163.09679823749261</v>
      </c>
      <c r="BK119" s="322">
        <f t="shared" si="281"/>
        <v>164.89086301810499</v>
      </c>
      <c r="BL119" s="322">
        <f t="shared" si="281"/>
        <v>166.70466251130415</v>
      </c>
      <c r="BM119" s="322">
        <f t="shared" si="281"/>
        <v>168.53841379892847</v>
      </c>
      <c r="BN119" s="322">
        <f t="shared" ref="BN119:BV119" si="282">BN96</f>
        <v>170.39233635071668</v>
      </c>
      <c r="BO119" s="322">
        <f t="shared" si="282"/>
        <v>172.26665205057452</v>
      </c>
      <c r="BP119" s="322">
        <f t="shared" si="282"/>
        <v>174.16158522313083</v>
      </c>
      <c r="BQ119" s="322">
        <f t="shared" si="282"/>
        <v>176.07736266058524</v>
      </c>
      <c r="BR119" s="322">
        <f t="shared" si="282"/>
        <v>178.01421364985165</v>
      </c>
      <c r="BS119" s="322">
        <f t="shared" si="282"/>
        <v>179.97237000000001</v>
      </c>
      <c r="BT119" s="322">
        <f t="shared" si="282"/>
        <v>181.95206607</v>
      </c>
      <c r="BU119" s="322">
        <f t="shared" si="282"/>
        <v>183.95353879677</v>
      </c>
      <c r="BV119" s="322">
        <f t="shared" si="282"/>
        <v>185.97702772353443</v>
      </c>
      <c r="BW119" s="322">
        <f t="shared" ref="BW119:CJ119" si="283">BW96</f>
        <v>188.0227750284933</v>
      </c>
      <c r="BX119" s="322">
        <f t="shared" si="283"/>
        <v>190.09102555380667</v>
      </c>
      <c r="BY119" s="322">
        <f t="shared" si="283"/>
        <v>192.18202683489855</v>
      </c>
      <c r="BZ119" s="322">
        <f t="shared" si="283"/>
        <v>194.29602913008242</v>
      </c>
      <c r="CA119" s="322">
        <f t="shared" si="283"/>
        <v>196.43328545051332</v>
      </c>
      <c r="CB119" s="322">
        <f t="shared" si="283"/>
        <v>198.59405159046895</v>
      </c>
      <c r="CC119" s="322">
        <f t="shared" si="283"/>
        <v>200.77858615796407</v>
      </c>
      <c r="CD119" s="322">
        <f t="shared" si="283"/>
        <v>202.98715060570166</v>
      </c>
      <c r="CE119" s="322">
        <f t="shared" si="283"/>
        <v>205.22000926236439</v>
      </c>
      <c r="CF119" s="322">
        <f t="shared" si="283"/>
        <v>207.47742936425038</v>
      </c>
      <c r="CG119" s="322">
        <f t="shared" si="283"/>
        <v>209.75968108725712</v>
      </c>
      <c r="CH119" s="322">
        <f t="shared" si="283"/>
        <v>212.0670375792169</v>
      </c>
      <c r="CI119" s="322">
        <f t="shared" si="283"/>
        <v>214.39977499258825</v>
      </c>
      <c r="CJ119" s="322">
        <f t="shared" si="283"/>
        <v>216.75817251750669</v>
      </c>
    </row>
    <row r="120" spans="2:88">
      <c r="B120" s="319"/>
      <c r="C120" s="319"/>
      <c r="D120" s="319"/>
      <c r="E120" s="319"/>
      <c r="F120" s="319"/>
      <c r="G120" s="319"/>
      <c r="H120" s="319"/>
      <c r="I120" s="319"/>
      <c r="J120" s="319"/>
      <c r="K120" s="319"/>
      <c r="L120" s="319"/>
      <c r="M120" s="319"/>
      <c r="N120" s="319"/>
      <c r="O120" s="319"/>
      <c r="P120" s="319"/>
      <c r="Q120" s="319"/>
      <c r="R120" s="319"/>
      <c r="S120" s="319"/>
      <c r="T120" s="319"/>
      <c r="U120" s="319"/>
      <c r="V120" s="319"/>
      <c r="W120" s="319"/>
      <c r="X120" s="319"/>
      <c r="Y120" s="319"/>
      <c r="Z120" s="319"/>
      <c r="AA120" s="319"/>
      <c r="AB120" s="319"/>
      <c r="AC120" s="319"/>
      <c r="AD120" s="319"/>
      <c r="AE120" s="319"/>
      <c r="AF120" s="319"/>
      <c r="AG120" s="320"/>
      <c r="AH120" s="320"/>
      <c r="AI120" s="320"/>
      <c r="AJ120" s="320"/>
      <c r="AK120" s="320"/>
      <c r="AL120" s="320"/>
      <c r="AM120" s="320"/>
      <c r="AN120" s="320"/>
      <c r="AO120" s="320"/>
      <c r="AP120" s="320"/>
      <c r="AQ120" s="320"/>
      <c r="AR120" s="320"/>
      <c r="AS120" s="320"/>
      <c r="AT120" s="320"/>
      <c r="AU120" s="320"/>
      <c r="AV120" s="320"/>
      <c r="AW120" s="320"/>
      <c r="AX120" s="320"/>
      <c r="AY120" s="320"/>
      <c r="AZ120" s="320"/>
      <c r="BA120" s="320"/>
      <c r="BB120" s="320"/>
      <c r="BC120" s="320"/>
      <c r="BD120" s="320"/>
      <c r="BE120" s="320"/>
      <c r="BF120" s="320"/>
      <c r="BG120" s="320"/>
      <c r="BH120" s="320"/>
      <c r="BI120" s="320"/>
      <c r="BJ120" s="320"/>
      <c r="BK120" s="320"/>
      <c r="BL120" s="320"/>
      <c r="BM120" s="320"/>
      <c r="BN120" s="320"/>
      <c r="BO120" s="320"/>
      <c r="BP120" s="320"/>
      <c r="BQ120" s="320"/>
      <c r="BR120" s="320"/>
      <c r="BS120" s="320"/>
      <c r="BT120" s="320"/>
      <c r="BU120" s="320"/>
      <c r="BV120" s="320"/>
      <c r="BW120" s="320"/>
      <c r="BX120" s="320"/>
      <c r="BY120" s="320"/>
      <c r="BZ120" s="320"/>
      <c r="CA120" s="320"/>
      <c r="CB120" s="320"/>
      <c r="CC120" s="320"/>
      <c r="CD120" s="320"/>
      <c r="CE120" s="320"/>
      <c r="CF120" s="320"/>
      <c r="CG120" s="320"/>
      <c r="CH120" s="320"/>
      <c r="CI120" s="320"/>
      <c r="CJ120" s="320"/>
    </row>
    <row r="121" spans="2:88">
      <c r="B121" s="319" t="s">
        <v>359</v>
      </c>
      <c r="C121" s="319"/>
      <c r="D121" s="319"/>
      <c r="E121" s="319"/>
      <c r="F121" s="319"/>
      <c r="G121" s="319"/>
      <c r="H121" s="319"/>
      <c r="I121" s="319"/>
      <c r="J121" s="319"/>
      <c r="K121" s="319"/>
      <c r="L121" s="319"/>
      <c r="M121" s="319"/>
      <c r="N121" s="319"/>
      <c r="O121" s="319"/>
      <c r="P121" s="319"/>
      <c r="Q121" s="319"/>
      <c r="R121" s="319"/>
      <c r="S121" s="319"/>
      <c r="T121" s="319"/>
      <c r="U121" s="319"/>
      <c r="V121" s="319"/>
      <c r="W121" s="319"/>
      <c r="X121" s="319"/>
      <c r="Y121" s="319"/>
      <c r="Z121" s="319"/>
      <c r="AA121" s="319"/>
      <c r="AB121" s="319"/>
      <c r="AC121" s="319"/>
      <c r="AD121" s="319"/>
      <c r="AE121" s="319"/>
      <c r="AF121" s="319"/>
      <c r="AG121" s="322">
        <f t="shared" ref="AG121:AR121" si="284">AG115-AG117+AG119</f>
        <v>118.7577397521662</v>
      </c>
      <c r="AH121" s="322">
        <f t="shared" si="284"/>
        <v>232.88392765399792</v>
      </c>
      <c r="AI121" s="322">
        <f t="shared" si="284"/>
        <v>342.62451098452186</v>
      </c>
      <c r="AJ121" s="322">
        <f t="shared" si="284"/>
        <v>448.21329772536507</v>
      </c>
      <c r="AK121" s="322">
        <f t="shared" si="284"/>
        <v>549.87256526435681</v>
      </c>
      <c r="AL121" s="322">
        <f t="shared" si="284"/>
        <v>647.81363868307687</v>
      </c>
      <c r="AM121" s="322">
        <f t="shared" si="284"/>
        <v>742.23744014936221</v>
      </c>
      <c r="AN121" s="322">
        <f t="shared" si="284"/>
        <v>833.33501085973808</v>
      </c>
      <c r="AO121" s="322">
        <f t="shared" si="284"/>
        <v>921.28800690449157</v>
      </c>
      <c r="AP121" s="322">
        <f t="shared" si="284"/>
        <v>1006.2691703594724</v>
      </c>
      <c r="AQ121" s="322">
        <f t="shared" si="284"/>
        <v>1088.4427768435064</v>
      </c>
      <c r="AR121" s="322">
        <f t="shared" si="284"/>
        <v>1167.9650607183607</v>
      </c>
      <c r="AS121" s="322">
        <f t="shared" ref="AS121:AZ121" si="285">AS115-AS117+AS119</f>
        <v>1244.9846190493597</v>
      </c>
      <c r="AT121" s="322">
        <f t="shared" si="285"/>
        <v>1319.6427953888449</v>
      </c>
      <c r="AU121" s="322">
        <f t="shared" si="285"/>
        <v>1392.0740443915672</v>
      </c>
      <c r="AV121" s="322">
        <f t="shared" si="285"/>
        <v>1462.4062782206472</v>
      </c>
      <c r="AW121" s="322">
        <f t="shared" si="285"/>
        <v>1530.7611956548085</v>
      </c>
      <c r="AX121" s="322">
        <f t="shared" si="285"/>
        <v>1597.2545947620588</v>
      </c>
      <c r="AY121" s="322">
        <f t="shared" si="285"/>
        <v>1661.9966699617364</v>
      </c>
      <c r="AZ121" s="322">
        <f t="shared" si="285"/>
        <v>1725.0922942557459</v>
      </c>
      <c r="BA121" s="322">
        <f t="shared" ref="BA121:BK121" si="286">BA115-BA117+BA119</f>
        <v>1786.6412873707677</v>
      </c>
      <c r="BB121" s="322">
        <f t="shared" si="286"/>
        <v>1846.7386705161443</v>
      </c>
      <c r="BC121" s="322">
        <f t="shared" si="286"/>
        <v>1905.4749084269054</v>
      </c>
      <c r="BD121" s="322">
        <f t="shared" si="286"/>
        <v>1962.9361393279305</v>
      </c>
      <c r="BE121" s="322">
        <f t="shared" si="286"/>
        <v>2019.2043934234503</v>
      </c>
      <c r="BF121" s="322">
        <f t="shared" si="286"/>
        <v>2074.357800485875</v>
      </c>
      <c r="BG121" s="322">
        <f t="shared" si="286"/>
        <v>2128.470787089248</v>
      </c>
      <c r="BH121" s="322">
        <f t="shared" si="286"/>
        <v>2181.6142640053567</v>
      </c>
      <c r="BI121" s="322">
        <f t="shared" si="286"/>
        <v>2233.8558042546365</v>
      </c>
      <c r="BJ121" s="322">
        <f t="shared" si="286"/>
        <v>2285.2598122793975</v>
      </c>
      <c r="BK121" s="322">
        <f t="shared" si="286"/>
        <v>2335.8876846835324</v>
      </c>
      <c r="BL121" s="322">
        <f>BL115-BL117+BL119</f>
        <v>2385.7979629606598</v>
      </c>
      <c r="BM121" s="322">
        <f>BM115-BM117+BM119</f>
        <v>2435.0464786115554</v>
      </c>
      <c r="BN121" s="322">
        <f t="shared" ref="BN121:BV121" si="287">BN115-BN117+BN119</f>
        <v>2483.686491031694</v>
      </c>
      <c r="BO121" s="322">
        <f t="shared" si="287"/>
        <v>2531.7688185306838</v>
      </c>
      <c r="BP121" s="322">
        <f t="shared" si="287"/>
        <v>2579.3419628272804</v>
      </c>
      <c r="BQ121" s="322">
        <f t="shared" si="287"/>
        <v>2626.4522273465013</v>
      </c>
      <c r="BR121" s="322">
        <f t="shared" si="287"/>
        <v>2673.143829629028</v>
      </c>
      <c r="BS121" s="322">
        <f t="shared" si="287"/>
        <v>2719.4590081475767</v>
      </c>
      <c r="BT121" s="322">
        <f t="shared" si="287"/>
        <v>2765.4381238101978</v>
      </c>
      <c r="BU121" s="322">
        <f t="shared" si="287"/>
        <v>2811.1197564164577</v>
      </c>
      <c r="BV121" s="322">
        <f t="shared" si="287"/>
        <v>2856.5407963191692</v>
      </c>
      <c r="BW121" s="322">
        <f t="shared" ref="BW121:CJ121" si="288">BW115-BW117+BW119</f>
        <v>2901.7365315317043</v>
      </c>
      <c r="BX121" s="322">
        <f t="shared" si="288"/>
        <v>2946.7407305089255</v>
      </c>
      <c r="BY121" s="322">
        <f t="shared" si="288"/>
        <v>2991.5857208183775</v>
      </c>
      <c r="BZ121" s="322">
        <f t="shared" si="288"/>
        <v>3036.3024639075411</v>
      </c>
      <c r="CA121" s="322">
        <f t="shared" si="288"/>
        <v>3080.9206261626773</v>
      </c>
      <c r="CB121" s="322">
        <f t="shared" si="288"/>
        <v>3217.8962652298928</v>
      </c>
      <c r="CC121" s="322">
        <f t="shared" si="288"/>
        <v>3370.4064074094085</v>
      </c>
      <c r="CD121" s="322">
        <f t="shared" si="288"/>
        <v>3539.6894939410158</v>
      </c>
      <c r="CE121" s="322">
        <f t="shared" si="288"/>
        <v>3727.211055733675</v>
      </c>
      <c r="CF121" s="322">
        <f t="shared" si="288"/>
        <v>3916.0524298192572</v>
      </c>
      <c r="CG121" s="322">
        <f t="shared" si="288"/>
        <v>4106.2318487574184</v>
      </c>
      <c r="CH121" s="322">
        <f t="shared" si="288"/>
        <v>4297.767727092848</v>
      </c>
      <c r="CI121" s="322">
        <f t="shared" si="288"/>
        <v>4490.6786634499722</v>
      </c>
      <c r="CJ121" s="322">
        <f t="shared" si="288"/>
        <v>4684.9834426502293</v>
      </c>
    </row>
    <row r="122" spans="2:88">
      <c r="B122" s="319"/>
      <c r="C122" s="319"/>
      <c r="D122" s="319"/>
      <c r="E122" s="319"/>
      <c r="F122" s="319"/>
      <c r="G122" s="319"/>
      <c r="H122" s="319"/>
      <c r="I122" s="319"/>
      <c r="J122" s="319"/>
      <c r="K122" s="319"/>
      <c r="L122" s="319"/>
      <c r="M122" s="319"/>
      <c r="N122" s="319"/>
      <c r="O122" s="319"/>
      <c r="P122" s="319"/>
      <c r="Q122" s="319"/>
      <c r="R122" s="319"/>
      <c r="S122" s="319"/>
      <c r="T122" s="319"/>
      <c r="U122" s="319"/>
      <c r="V122" s="319"/>
      <c r="W122" s="319"/>
      <c r="X122" s="319"/>
      <c r="Y122" s="319"/>
      <c r="Z122" s="319"/>
      <c r="AA122" s="319"/>
      <c r="AB122" s="319"/>
      <c r="AC122" s="319"/>
      <c r="AD122" s="319"/>
      <c r="AE122" s="319"/>
      <c r="AF122" s="319"/>
      <c r="AG122" s="319"/>
      <c r="AH122" s="319"/>
      <c r="AI122" s="319"/>
      <c r="AJ122" s="319"/>
      <c r="AK122" s="319"/>
      <c r="AL122" s="319"/>
      <c r="AM122" s="319"/>
      <c r="AN122" s="319"/>
      <c r="AO122" s="319"/>
      <c r="AP122" s="319"/>
      <c r="AQ122" s="320"/>
      <c r="AR122" s="320"/>
      <c r="AS122" s="320"/>
      <c r="AT122" s="320"/>
      <c r="AU122" s="320"/>
      <c r="AV122" s="320"/>
      <c r="AW122" s="320"/>
      <c r="AX122" s="320"/>
      <c r="AY122" s="320"/>
      <c r="AZ122" s="320"/>
      <c r="BA122" s="320"/>
      <c r="BB122" s="320"/>
      <c r="BC122" s="320"/>
      <c r="BD122" s="320"/>
      <c r="BE122" s="320"/>
      <c r="BF122" s="320"/>
      <c r="BG122" s="320"/>
      <c r="BH122" s="320"/>
      <c r="BI122" s="320"/>
      <c r="BJ122" s="320"/>
      <c r="BK122" s="320"/>
      <c r="BL122" s="320"/>
      <c r="BM122" s="320"/>
      <c r="BN122" s="320"/>
      <c r="BO122" s="320"/>
      <c r="BP122" s="320"/>
      <c r="BQ122" s="320"/>
      <c r="BR122" s="320"/>
      <c r="BS122" s="320"/>
      <c r="BT122" s="320"/>
      <c r="BU122" s="320"/>
      <c r="BV122" s="320"/>
      <c r="BW122" s="320"/>
      <c r="BX122" s="320"/>
      <c r="BY122" s="320"/>
      <c r="BZ122" s="320"/>
      <c r="CA122" s="320"/>
      <c r="CB122" s="320"/>
      <c r="CC122" s="320"/>
      <c r="CD122" s="320"/>
      <c r="CE122" s="320"/>
      <c r="CF122" s="320"/>
      <c r="CG122" s="320"/>
      <c r="CH122" s="320"/>
      <c r="CI122" s="320"/>
      <c r="CJ122" s="320"/>
    </row>
    <row r="123" spans="2:88">
      <c r="B123" s="319" t="s">
        <v>368</v>
      </c>
      <c r="C123" s="319"/>
      <c r="D123" s="319"/>
      <c r="E123" s="319"/>
      <c r="F123" s="319"/>
      <c r="G123" s="319"/>
      <c r="H123" s="319"/>
      <c r="I123" s="319"/>
      <c r="J123" s="319"/>
      <c r="K123" s="319"/>
      <c r="L123" s="319"/>
      <c r="M123" s="319"/>
      <c r="N123" s="319"/>
      <c r="O123" s="319"/>
      <c r="P123" s="319"/>
      <c r="Q123" s="319"/>
      <c r="R123" s="319"/>
      <c r="S123" s="319"/>
      <c r="T123" s="319"/>
      <c r="U123" s="319"/>
      <c r="V123" s="319"/>
      <c r="W123" s="319"/>
      <c r="X123" s="319"/>
      <c r="Y123" s="319"/>
      <c r="Z123" s="319"/>
      <c r="AA123" s="319"/>
      <c r="AB123" s="319"/>
      <c r="AC123" s="319"/>
      <c r="AD123" s="319"/>
      <c r="AE123" s="319"/>
      <c r="AF123" s="319"/>
      <c r="AG123" s="319"/>
      <c r="AH123" s="319"/>
      <c r="AI123" s="319"/>
      <c r="AJ123" s="319"/>
      <c r="AK123" s="319"/>
      <c r="AL123" s="319"/>
      <c r="AM123" s="319"/>
      <c r="AN123" s="319"/>
      <c r="AO123" s="319"/>
      <c r="AP123" s="319"/>
      <c r="AQ123" s="322"/>
      <c r="AR123" s="322"/>
      <c r="AS123" s="322"/>
      <c r="AT123" s="322"/>
      <c r="AU123" s="322"/>
      <c r="AV123" s="322"/>
      <c r="AW123" s="322"/>
      <c r="AX123" s="322"/>
      <c r="AY123" s="322"/>
      <c r="AZ123" s="322"/>
      <c r="BA123" s="322"/>
      <c r="BB123" s="322"/>
      <c r="BC123" s="322"/>
      <c r="BD123" s="322"/>
      <c r="BE123" s="322"/>
      <c r="BF123" s="322"/>
      <c r="BG123" s="322"/>
      <c r="BH123" s="322"/>
      <c r="BI123" s="322"/>
      <c r="BJ123" s="322"/>
      <c r="BK123" s="322"/>
      <c r="BL123" s="322"/>
      <c r="BM123" s="322"/>
      <c r="BN123" s="322"/>
      <c r="BO123" s="322"/>
      <c r="BP123" s="322"/>
      <c r="BQ123" s="322"/>
      <c r="BR123" s="322"/>
      <c r="BS123" s="322"/>
      <c r="BT123" s="322"/>
      <c r="BU123" s="322"/>
      <c r="BV123" s="322"/>
      <c r="BW123" s="322">
        <f t="shared" ref="BW123:CI123" si="289">BW125-BV125</f>
        <v>0</v>
      </c>
      <c r="BX123" s="322">
        <f t="shared" si="289"/>
        <v>0</v>
      </c>
      <c r="BY123" s="322">
        <f t="shared" si="289"/>
        <v>0</v>
      </c>
      <c r="BZ123" s="322">
        <f t="shared" si="289"/>
        <v>0</v>
      </c>
      <c r="CA123" s="322">
        <f t="shared" si="289"/>
        <v>246.47365009301424</v>
      </c>
      <c r="CB123" s="322">
        <f t="shared" si="289"/>
        <v>654.53730417135569</v>
      </c>
      <c r="CC123" s="322">
        <f t="shared" si="289"/>
        <v>716.78412129214598</v>
      </c>
      <c r="CD123" s="322">
        <f t="shared" si="289"/>
        <v>506.01862080809383</v>
      </c>
      <c r="CE123" s="322">
        <f t="shared" si="289"/>
        <v>410.68982153428942</v>
      </c>
      <c r="CF123" s="322">
        <f t="shared" si="289"/>
        <v>285.05423157096629</v>
      </c>
      <c r="CG123" s="322">
        <f t="shared" si="289"/>
        <v>219.0538186106246</v>
      </c>
      <c r="CH123" s="322">
        <f t="shared" si="289"/>
        <v>227.69190451007444</v>
      </c>
      <c r="CI123" s="322">
        <f t="shared" si="289"/>
        <v>236.42588490041408</v>
      </c>
      <c r="CJ123" s="322">
        <f>CJ125-CI125</f>
        <v>245.25739662920523</v>
      </c>
    </row>
    <row r="124" spans="2:88">
      <c r="B124" s="319"/>
      <c r="C124" s="319"/>
      <c r="D124" s="319"/>
      <c r="E124" s="319"/>
      <c r="F124" s="319"/>
      <c r="G124" s="319"/>
      <c r="H124" s="319"/>
      <c r="I124" s="319"/>
      <c r="J124" s="319"/>
      <c r="K124" s="319"/>
      <c r="L124" s="319"/>
      <c r="M124" s="319"/>
      <c r="N124" s="319"/>
      <c r="O124" s="319"/>
      <c r="P124" s="319"/>
      <c r="Q124" s="319"/>
      <c r="R124" s="319"/>
      <c r="S124" s="319"/>
      <c r="T124" s="319"/>
      <c r="U124" s="319"/>
      <c r="V124" s="319"/>
      <c r="W124" s="319"/>
      <c r="X124" s="319"/>
      <c r="Y124" s="319"/>
      <c r="Z124" s="319"/>
      <c r="AA124" s="319"/>
      <c r="AB124" s="319"/>
      <c r="AC124" s="319"/>
      <c r="AD124" s="319"/>
      <c r="AE124" s="319"/>
      <c r="AF124" s="319"/>
      <c r="AG124" s="319"/>
      <c r="AH124" s="319"/>
      <c r="AI124" s="319"/>
      <c r="AJ124" s="319"/>
      <c r="AK124" s="319"/>
      <c r="AL124" s="319"/>
      <c r="AM124" s="319"/>
      <c r="AN124" s="319"/>
      <c r="AO124" s="319"/>
      <c r="AP124" s="319"/>
      <c r="AQ124" s="320"/>
      <c r="AR124" s="320"/>
      <c r="AS124" s="320"/>
      <c r="AT124" s="320"/>
      <c r="AU124" s="320"/>
      <c r="AV124" s="320"/>
      <c r="AW124" s="320"/>
      <c r="AX124" s="320"/>
      <c r="AY124" s="320"/>
      <c r="AZ124" s="320"/>
      <c r="BA124" s="320"/>
      <c r="BB124" s="320"/>
      <c r="BC124" s="320"/>
      <c r="BD124" s="320"/>
      <c r="BE124" s="320"/>
      <c r="BF124" s="320"/>
      <c r="BG124" s="320"/>
      <c r="BH124" s="320"/>
      <c r="BI124" s="320"/>
      <c r="BJ124" s="320"/>
      <c r="BK124" s="320"/>
      <c r="BL124" s="320"/>
      <c r="BM124" s="320"/>
      <c r="BN124" s="320"/>
      <c r="BO124" s="320"/>
      <c r="BP124" s="320"/>
      <c r="BQ124" s="320"/>
      <c r="BR124" s="320"/>
      <c r="BS124" s="320"/>
      <c r="BT124" s="320"/>
      <c r="BU124" s="320"/>
      <c r="BV124" s="320"/>
      <c r="BW124" s="320"/>
      <c r="BX124" s="320"/>
      <c r="BY124" s="320"/>
      <c r="BZ124" s="320"/>
      <c r="CA124" s="320"/>
      <c r="CB124" s="320"/>
      <c r="CC124" s="320"/>
      <c r="CD124" s="320"/>
      <c r="CE124" s="320"/>
      <c r="CF124" s="320"/>
      <c r="CG124" s="320"/>
      <c r="CH124" s="320"/>
      <c r="CI124" s="320"/>
      <c r="CJ124" s="320"/>
    </row>
    <row r="125" spans="2:88">
      <c r="B125" s="319" t="s">
        <v>361</v>
      </c>
      <c r="C125" s="319"/>
      <c r="D125" s="319"/>
      <c r="E125" s="319"/>
      <c r="F125" s="319"/>
      <c r="G125" s="319"/>
      <c r="H125" s="319"/>
      <c r="I125" s="319"/>
      <c r="J125" s="319"/>
      <c r="K125" s="319"/>
      <c r="L125" s="319"/>
      <c r="M125" s="319"/>
      <c r="N125" s="319"/>
      <c r="O125" s="319"/>
      <c r="P125" s="319"/>
      <c r="Q125" s="319"/>
      <c r="R125" s="319"/>
      <c r="S125" s="319"/>
      <c r="T125" s="319"/>
      <c r="U125" s="319"/>
      <c r="V125" s="319"/>
      <c r="W125" s="319"/>
      <c r="X125" s="319"/>
      <c r="Y125" s="319"/>
      <c r="Z125" s="319"/>
      <c r="AA125" s="319"/>
      <c r="AB125" s="319"/>
      <c r="AC125" s="319"/>
      <c r="AD125" s="319"/>
      <c r="AE125" s="319"/>
      <c r="AF125" s="319"/>
      <c r="AG125" s="319"/>
      <c r="AH125" s="319"/>
      <c r="AI125" s="319"/>
      <c r="AJ125" s="319"/>
      <c r="AK125" s="319"/>
      <c r="AL125" s="319"/>
      <c r="AM125" s="319"/>
      <c r="AN125" s="319"/>
      <c r="AO125" s="319"/>
      <c r="AP125" s="319"/>
      <c r="AQ125" s="322"/>
      <c r="AR125" s="322"/>
      <c r="AS125" s="322"/>
      <c r="AT125" s="322"/>
      <c r="AU125" s="322"/>
      <c r="AV125" s="322"/>
      <c r="AW125" s="322"/>
      <c r="AX125" s="322"/>
      <c r="AY125" s="322"/>
      <c r="AZ125" s="322"/>
      <c r="BA125" s="322"/>
      <c r="BB125" s="322"/>
      <c r="BC125" s="322"/>
      <c r="BD125" s="322"/>
      <c r="BE125" s="322"/>
      <c r="BF125" s="322"/>
      <c r="BG125" s="322"/>
      <c r="BH125" s="322"/>
      <c r="BI125" s="322"/>
      <c r="BJ125" s="322"/>
      <c r="BK125" s="322"/>
      <c r="BL125" s="322"/>
      <c r="BM125" s="322"/>
      <c r="BN125" s="322"/>
      <c r="BO125" s="322"/>
      <c r="BP125" s="322"/>
      <c r="BQ125" s="322"/>
      <c r="BR125" s="322"/>
      <c r="BS125" s="322"/>
      <c r="BT125" s="322"/>
      <c r="BU125" s="322"/>
      <c r="BV125" s="322"/>
      <c r="BW125" s="322">
        <f t="shared" ref="BW125:CI125" si="290">BW121*BW126</f>
        <v>0</v>
      </c>
      <c r="BX125" s="322">
        <f t="shared" si="290"/>
        <v>0</v>
      </c>
      <c r="BY125" s="322">
        <f t="shared" si="290"/>
        <v>0</v>
      </c>
      <c r="BZ125" s="322">
        <f t="shared" si="290"/>
        <v>0</v>
      </c>
      <c r="CA125" s="322">
        <f t="shared" si="290"/>
        <v>246.47365009301424</v>
      </c>
      <c r="CB125" s="322">
        <f t="shared" si="290"/>
        <v>901.01095426436996</v>
      </c>
      <c r="CC125" s="322">
        <f t="shared" si="290"/>
        <v>1617.7950755565159</v>
      </c>
      <c r="CD125" s="322">
        <f t="shared" si="290"/>
        <v>2123.8136963646098</v>
      </c>
      <c r="CE125" s="322">
        <f t="shared" si="290"/>
        <v>2534.5035178988992</v>
      </c>
      <c r="CF125" s="322">
        <f t="shared" si="290"/>
        <v>2819.5577494698655</v>
      </c>
      <c r="CG125" s="322">
        <f t="shared" si="290"/>
        <v>3038.6115680804901</v>
      </c>
      <c r="CH125" s="322">
        <f t="shared" si="290"/>
        <v>3266.3034725905645</v>
      </c>
      <c r="CI125" s="322">
        <f t="shared" si="290"/>
        <v>3502.7293574909786</v>
      </c>
      <c r="CJ125" s="322">
        <f>CJ121*CJ126</f>
        <v>3747.9867541201838</v>
      </c>
    </row>
    <row r="126" spans="2:88">
      <c r="B126" s="313" t="s">
        <v>350</v>
      </c>
      <c r="C126" s="313"/>
      <c r="D126" s="313"/>
      <c r="E126" s="313"/>
      <c r="F126" s="313"/>
      <c r="G126" s="313"/>
      <c r="H126" s="313"/>
      <c r="I126" s="313"/>
      <c r="J126" s="313"/>
      <c r="K126" s="313"/>
      <c r="L126" s="313"/>
      <c r="M126" s="313"/>
      <c r="N126" s="313"/>
      <c r="O126" s="313"/>
      <c r="P126" s="313"/>
      <c r="Q126" s="313"/>
      <c r="R126" s="313"/>
      <c r="S126" s="313"/>
      <c r="T126" s="313"/>
      <c r="U126" s="313"/>
      <c r="V126" s="313"/>
      <c r="W126" s="313"/>
      <c r="X126" s="313"/>
      <c r="Y126" s="313"/>
      <c r="Z126" s="313"/>
      <c r="AA126" s="313"/>
      <c r="AB126" s="313"/>
      <c r="AC126" s="313"/>
      <c r="AD126" s="313"/>
      <c r="AE126" s="313"/>
      <c r="AF126" s="313"/>
      <c r="AG126" s="313"/>
      <c r="AH126" s="313"/>
      <c r="AI126" s="313"/>
      <c r="AJ126" s="313"/>
      <c r="AK126" s="313"/>
      <c r="AL126" s="313"/>
      <c r="AM126" s="313"/>
      <c r="AN126" s="313"/>
      <c r="AO126" s="313"/>
      <c r="AP126" s="313"/>
      <c r="AQ126" s="315"/>
      <c r="AR126" s="315"/>
      <c r="AS126" s="315"/>
      <c r="AT126" s="315"/>
      <c r="AU126" s="315"/>
      <c r="AV126" s="315"/>
      <c r="AW126" s="315"/>
      <c r="AX126" s="315"/>
      <c r="AY126" s="315"/>
      <c r="AZ126" s="315"/>
      <c r="BA126" s="315"/>
      <c r="BB126" s="315"/>
      <c r="BC126" s="315"/>
      <c r="BD126" s="315"/>
      <c r="BE126" s="315"/>
      <c r="BF126" s="315"/>
      <c r="BG126" s="315"/>
      <c r="BH126" s="315"/>
      <c r="BI126" s="315"/>
      <c r="BJ126" s="315"/>
      <c r="BK126" s="315"/>
      <c r="BL126" s="315"/>
      <c r="BM126" s="315"/>
      <c r="BN126" s="315"/>
      <c r="BO126" s="315"/>
      <c r="BP126" s="315"/>
      <c r="BQ126" s="315"/>
      <c r="BR126" s="315"/>
      <c r="BS126" s="315"/>
      <c r="BT126" s="315"/>
      <c r="BU126" s="315"/>
      <c r="BV126" s="315"/>
      <c r="BW126" s="315">
        <v>0</v>
      </c>
      <c r="BX126" s="315">
        <f t="shared" ref="BX126:CJ126" si="291">CHOOSE($BW$3,BX26,BX27,BX28)</f>
        <v>0</v>
      </c>
      <c r="BY126" s="315">
        <f t="shared" si="291"/>
        <v>0</v>
      </c>
      <c r="BZ126" s="315">
        <f t="shared" si="291"/>
        <v>0</v>
      </c>
      <c r="CA126" s="315">
        <f t="shared" si="291"/>
        <v>8.0000000000000016E-2</v>
      </c>
      <c r="CB126" s="315">
        <f t="shared" si="291"/>
        <v>0.27999999999999997</v>
      </c>
      <c r="CC126" s="315">
        <f t="shared" si="291"/>
        <v>0.48</v>
      </c>
      <c r="CD126" s="315">
        <f t="shared" si="291"/>
        <v>0.60000000000000009</v>
      </c>
      <c r="CE126" s="315">
        <f t="shared" si="291"/>
        <v>0.68</v>
      </c>
      <c r="CF126" s="315">
        <f t="shared" si="291"/>
        <v>0.72000000000000008</v>
      </c>
      <c r="CG126" s="315">
        <f t="shared" si="291"/>
        <v>0.7400000000000001</v>
      </c>
      <c r="CH126" s="315">
        <f t="shared" si="291"/>
        <v>0.76</v>
      </c>
      <c r="CI126" s="315">
        <f t="shared" si="291"/>
        <v>0.78</v>
      </c>
      <c r="CJ126" s="315">
        <f t="shared" si="291"/>
        <v>0.8</v>
      </c>
    </row>
    <row r="127" spans="2:88" hidden="1" outlineLevel="1">
      <c r="B127" s="319"/>
      <c r="C127" s="319"/>
      <c r="D127" s="319"/>
      <c r="E127" s="319"/>
      <c r="F127" s="319"/>
      <c r="G127" s="319"/>
      <c r="H127" s="319"/>
      <c r="I127" s="319"/>
      <c r="J127" s="319"/>
      <c r="K127" s="319"/>
      <c r="L127" s="319"/>
      <c r="M127" s="319"/>
      <c r="N127" s="319"/>
      <c r="O127" s="319"/>
      <c r="P127" s="319"/>
      <c r="Q127" s="319"/>
      <c r="R127" s="319"/>
      <c r="S127" s="319"/>
      <c r="T127" s="319"/>
      <c r="U127" s="319"/>
      <c r="V127" s="319"/>
      <c r="W127" s="319"/>
      <c r="X127" s="319"/>
      <c r="Y127" s="319"/>
      <c r="Z127" s="319"/>
      <c r="AA127" s="319"/>
      <c r="AB127" s="319"/>
      <c r="AC127" s="319"/>
      <c r="AD127" s="319"/>
      <c r="AE127" s="319"/>
      <c r="AF127" s="319"/>
      <c r="AG127" s="319"/>
      <c r="AH127" s="319"/>
      <c r="AI127" s="319"/>
      <c r="AJ127" s="319"/>
      <c r="AK127" s="319"/>
      <c r="AL127" s="319"/>
      <c r="AM127" s="319"/>
      <c r="AN127" s="319"/>
      <c r="AO127" s="319"/>
      <c r="AP127" s="319"/>
      <c r="AQ127" s="320"/>
      <c r="AR127" s="320"/>
      <c r="AS127" s="320"/>
      <c r="AT127" s="320"/>
      <c r="AU127" s="320"/>
      <c r="AV127" s="320"/>
      <c r="AW127" s="320"/>
      <c r="AX127" s="320"/>
      <c r="AY127" s="320"/>
      <c r="AZ127" s="320"/>
      <c r="BA127" s="320"/>
      <c r="BB127" s="320"/>
      <c r="BC127" s="320"/>
      <c r="BD127" s="320"/>
      <c r="BE127" s="320"/>
      <c r="BF127" s="320"/>
      <c r="BG127" s="320"/>
      <c r="BH127" s="320"/>
      <c r="BI127" s="320"/>
      <c r="BJ127" s="320"/>
      <c r="BK127" s="320"/>
      <c r="BL127" s="320"/>
      <c r="BM127" s="320"/>
      <c r="BN127" s="320"/>
      <c r="BO127" s="320"/>
      <c r="BP127" s="320"/>
      <c r="BQ127" s="320"/>
      <c r="BR127" s="320"/>
      <c r="BS127" s="320"/>
      <c r="BT127" s="320"/>
      <c r="BU127" s="320"/>
      <c r="BV127" s="320"/>
      <c r="BW127" s="320"/>
      <c r="BX127" s="320"/>
      <c r="BY127" s="320"/>
      <c r="BZ127" s="320"/>
      <c r="CA127" s="320"/>
      <c r="CB127" s="320"/>
      <c r="CC127" s="320"/>
      <c r="CD127" s="320"/>
      <c r="CE127" s="320"/>
      <c r="CF127" s="320"/>
      <c r="CG127" s="320"/>
      <c r="CH127" s="320"/>
      <c r="CI127" s="320"/>
      <c r="CJ127" s="320"/>
    </row>
    <row r="128" spans="2:88" hidden="1" outlineLevel="1">
      <c r="B128" s="319" t="s">
        <v>371</v>
      </c>
      <c r="C128" s="319"/>
      <c r="D128" s="319"/>
      <c r="E128" s="319"/>
      <c r="F128" s="319"/>
      <c r="G128" s="319"/>
      <c r="H128" s="319"/>
      <c r="I128" s="319"/>
      <c r="J128" s="319"/>
      <c r="K128" s="319"/>
      <c r="L128" s="319"/>
      <c r="M128" s="319"/>
      <c r="N128" s="319"/>
      <c r="O128" s="319"/>
      <c r="P128" s="319"/>
      <c r="Q128" s="319"/>
      <c r="R128" s="319"/>
      <c r="S128" s="319"/>
      <c r="T128" s="319"/>
      <c r="U128" s="319"/>
      <c r="V128" s="319"/>
      <c r="W128" s="319"/>
      <c r="X128" s="319"/>
      <c r="Y128" s="319"/>
      <c r="Z128" s="319"/>
      <c r="AA128" s="319"/>
      <c r="AB128" s="319"/>
      <c r="AC128" s="319"/>
      <c r="AD128" s="319"/>
      <c r="AE128" s="319"/>
      <c r="AF128" s="319"/>
      <c r="AG128" s="319"/>
      <c r="AH128" s="319"/>
      <c r="AI128" s="319"/>
      <c r="AJ128" s="319"/>
      <c r="AK128" s="319"/>
      <c r="AL128" s="319"/>
      <c r="AM128" s="319"/>
      <c r="AN128" s="319"/>
      <c r="AO128" s="319"/>
      <c r="AP128" s="319"/>
      <c r="AQ128" s="321"/>
      <c r="AR128" s="321"/>
      <c r="AS128" s="321"/>
      <c r="AT128" s="321"/>
      <c r="AU128" s="321"/>
      <c r="AV128" s="321"/>
      <c r="AW128" s="321"/>
      <c r="AX128" s="321"/>
      <c r="AY128" s="321"/>
      <c r="AZ128" s="321"/>
      <c r="BA128" s="321"/>
      <c r="BB128" s="321"/>
      <c r="BC128" s="321"/>
      <c r="BD128" s="321"/>
      <c r="BE128" s="321"/>
      <c r="BF128" s="321"/>
      <c r="BG128" s="321"/>
      <c r="BH128" s="321"/>
      <c r="BI128" s="321"/>
      <c r="BJ128" s="321"/>
      <c r="BK128" s="321"/>
      <c r="BL128" s="321"/>
      <c r="BM128" s="321"/>
      <c r="BN128" s="321"/>
      <c r="BO128" s="321"/>
      <c r="BP128" s="321"/>
      <c r="BQ128" s="321"/>
      <c r="BR128" s="321"/>
      <c r="BS128" s="321"/>
      <c r="BT128" s="321"/>
      <c r="BU128" s="321"/>
      <c r="BV128" s="321"/>
      <c r="BW128" s="321">
        <f t="shared" ref="BW128:CA128" si="292">BR125*BW129</f>
        <v>0</v>
      </c>
      <c r="BX128" s="321">
        <f t="shared" si="292"/>
        <v>0</v>
      </c>
      <c r="BY128" s="321">
        <f t="shared" si="292"/>
        <v>0</v>
      </c>
      <c r="BZ128" s="321">
        <f t="shared" si="292"/>
        <v>0</v>
      </c>
      <c r="CA128" s="321">
        <f t="shared" si="292"/>
        <v>0</v>
      </c>
      <c r="CB128" s="321">
        <f>BW125*CB129</f>
        <v>0</v>
      </c>
      <c r="CC128" s="321">
        <f t="shared" ref="CC128:CJ128" si="293">BX125*CC129</f>
        <v>0</v>
      </c>
      <c r="CD128" s="321">
        <f t="shared" si="293"/>
        <v>0</v>
      </c>
      <c r="CE128" s="321">
        <f t="shared" si="293"/>
        <v>0</v>
      </c>
      <c r="CF128" s="321">
        <f t="shared" si="293"/>
        <v>0</v>
      </c>
      <c r="CG128" s="321">
        <f t="shared" si="293"/>
        <v>0</v>
      </c>
      <c r="CH128" s="321">
        <f t="shared" si="293"/>
        <v>0</v>
      </c>
      <c r="CI128" s="321">
        <f t="shared" si="293"/>
        <v>0</v>
      </c>
      <c r="CJ128" s="321">
        <f t="shared" si="293"/>
        <v>0</v>
      </c>
    </row>
    <row r="129" spans="2:88" hidden="1" outlineLevel="1">
      <c r="B129" s="323" t="s">
        <v>350</v>
      </c>
      <c r="C129" s="323"/>
      <c r="D129" s="323"/>
      <c r="E129" s="323"/>
      <c r="F129" s="323"/>
      <c r="G129" s="323"/>
      <c r="H129" s="323"/>
      <c r="I129" s="323"/>
      <c r="J129" s="323"/>
      <c r="K129" s="323"/>
      <c r="L129" s="323"/>
      <c r="M129" s="323"/>
      <c r="N129" s="323"/>
      <c r="O129" s="323"/>
      <c r="P129" s="323"/>
      <c r="Q129" s="323"/>
      <c r="R129" s="323"/>
      <c r="S129" s="323"/>
      <c r="T129" s="323"/>
      <c r="U129" s="323"/>
      <c r="V129" s="323"/>
      <c r="W129" s="323"/>
      <c r="X129" s="323"/>
      <c r="Y129" s="323"/>
      <c r="Z129" s="323"/>
      <c r="AA129" s="323"/>
      <c r="AB129" s="323"/>
      <c r="AC129" s="323"/>
      <c r="AD129" s="323"/>
      <c r="AE129" s="323"/>
      <c r="AF129" s="323"/>
      <c r="AG129" s="323"/>
      <c r="AH129" s="323"/>
      <c r="AI129" s="323"/>
      <c r="AJ129" s="323"/>
      <c r="AK129" s="323"/>
      <c r="AL129" s="323"/>
      <c r="AM129" s="323"/>
      <c r="AN129" s="323"/>
      <c r="AO129" s="323"/>
      <c r="AP129" s="323"/>
      <c r="AQ129" s="324"/>
      <c r="AR129" s="324"/>
      <c r="AS129" s="324"/>
      <c r="AT129" s="324"/>
      <c r="AU129" s="324"/>
      <c r="AV129" s="324"/>
      <c r="AW129" s="324"/>
      <c r="AX129" s="324"/>
      <c r="AY129" s="324"/>
      <c r="AZ129" s="324"/>
      <c r="BA129" s="324"/>
      <c r="BB129" s="324"/>
      <c r="BC129" s="324"/>
      <c r="BD129" s="324"/>
      <c r="BE129" s="324"/>
      <c r="BF129" s="324"/>
      <c r="BG129" s="324"/>
      <c r="BH129" s="324"/>
      <c r="BI129" s="324"/>
      <c r="BJ129" s="324"/>
      <c r="BK129" s="324"/>
      <c r="BL129" s="324"/>
      <c r="BM129" s="324"/>
      <c r="BN129" s="324"/>
      <c r="BO129" s="324"/>
      <c r="BP129" s="324"/>
      <c r="BQ129" s="324"/>
      <c r="BR129" s="324"/>
      <c r="BS129" s="324"/>
      <c r="BT129" s="324"/>
      <c r="BU129" s="324"/>
      <c r="BV129" s="324"/>
      <c r="BW129" s="324">
        <f>CHOOSE($BW$3,BW31,BW32,BW33)</f>
        <v>0</v>
      </c>
      <c r="BX129" s="324">
        <f t="shared" ref="BX129:CE129" si="294">CHOOSE($BW$3,BX31,BX32,BX33)</f>
        <v>0</v>
      </c>
      <c r="BY129" s="324">
        <f t="shared" si="294"/>
        <v>0</v>
      </c>
      <c r="BZ129" s="324">
        <f t="shared" si="294"/>
        <v>0</v>
      </c>
      <c r="CA129" s="324">
        <f t="shared" si="294"/>
        <v>0</v>
      </c>
      <c r="CB129" s="324">
        <f t="shared" si="294"/>
        <v>0</v>
      </c>
      <c r="CC129" s="324">
        <f t="shared" si="294"/>
        <v>0</v>
      </c>
      <c r="CD129" s="324">
        <f t="shared" si="294"/>
        <v>0</v>
      </c>
      <c r="CE129" s="324">
        <f t="shared" si="294"/>
        <v>0</v>
      </c>
      <c r="CF129" s="324">
        <v>0</v>
      </c>
      <c r="CG129" s="324">
        <f>CF129</f>
        <v>0</v>
      </c>
      <c r="CH129" s="324">
        <f>CG129</f>
        <v>0</v>
      </c>
      <c r="CI129" s="324">
        <f>CH129</f>
        <v>0</v>
      </c>
      <c r="CJ129" s="324">
        <f>CI129</f>
        <v>0</v>
      </c>
    </row>
    <row r="130" spans="2:88" collapsed="1">
      <c r="B130" s="333"/>
      <c r="C130" s="333"/>
      <c r="D130" s="333"/>
      <c r="E130" s="333"/>
      <c r="F130" s="333"/>
      <c r="G130" s="333"/>
      <c r="H130" s="333"/>
      <c r="I130" s="333"/>
      <c r="J130" s="333"/>
      <c r="K130" s="333"/>
      <c r="L130" s="333"/>
      <c r="M130" s="333"/>
      <c r="N130" s="333"/>
      <c r="O130" s="333"/>
      <c r="P130" s="333"/>
      <c r="Q130" s="333"/>
      <c r="R130" s="333"/>
      <c r="S130" s="333"/>
      <c r="T130" s="333"/>
      <c r="U130" s="333"/>
      <c r="V130" s="333"/>
      <c r="W130" s="333"/>
      <c r="X130" s="333"/>
      <c r="Y130" s="333"/>
      <c r="Z130" s="333"/>
      <c r="AA130" s="333"/>
      <c r="AB130" s="333"/>
      <c r="AC130" s="333"/>
      <c r="AD130" s="333"/>
      <c r="AE130" s="333"/>
      <c r="AF130" s="333"/>
      <c r="AG130" s="333"/>
      <c r="AH130" s="333"/>
      <c r="AI130" s="333"/>
      <c r="AJ130" s="333"/>
      <c r="AK130" s="333"/>
      <c r="AL130" s="333"/>
      <c r="AM130" s="333"/>
      <c r="AN130" s="333"/>
      <c r="AO130" s="333"/>
      <c r="AP130" s="333"/>
      <c r="AQ130" s="334"/>
      <c r="AR130" s="334"/>
      <c r="AS130" s="334"/>
      <c r="AT130" s="334"/>
      <c r="AU130" s="334"/>
      <c r="AV130" s="334"/>
      <c r="AW130" s="334"/>
      <c r="AX130" s="334"/>
      <c r="AY130" s="334"/>
      <c r="AZ130" s="334"/>
      <c r="BA130" s="334"/>
      <c r="BB130" s="334"/>
      <c r="BC130" s="334"/>
      <c r="BD130" s="334"/>
      <c r="BE130" s="334"/>
      <c r="BF130" s="334"/>
      <c r="BG130" s="334"/>
      <c r="BH130" s="334"/>
      <c r="BI130" s="334"/>
      <c r="BJ130" s="334"/>
      <c r="BK130" s="334"/>
      <c r="BL130" s="334"/>
      <c r="BM130" s="334"/>
      <c r="BN130" s="334"/>
      <c r="BO130" s="334"/>
      <c r="BP130" s="334"/>
      <c r="BQ130" s="334"/>
      <c r="BR130" s="334"/>
      <c r="BS130" s="334"/>
      <c r="BT130" s="334"/>
      <c r="BU130" s="334"/>
      <c r="BV130" s="334"/>
      <c r="BW130" s="334"/>
      <c r="BX130" s="334"/>
      <c r="BY130" s="334"/>
      <c r="BZ130" s="334"/>
      <c r="CA130" s="334"/>
      <c r="CB130" s="334"/>
      <c r="CC130" s="334"/>
      <c r="CD130" s="334"/>
      <c r="CE130" s="334"/>
      <c r="CF130" s="334"/>
      <c r="CG130" s="334"/>
      <c r="CH130" s="334"/>
      <c r="CI130" s="334"/>
      <c r="CJ130" s="334"/>
    </row>
    <row r="131" spans="2:88" hidden="1" outlineLevel="1">
      <c r="B131" s="316" t="s">
        <v>337</v>
      </c>
      <c r="C131" s="316"/>
      <c r="D131" s="316"/>
      <c r="E131" s="316"/>
      <c r="F131" s="316"/>
      <c r="G131" s="316"/>
      <c r="H131" s="316"/>
      <c r="I131" s="316"/>
      <c r="J131" s="316"/>
      <c r="K131" s="316"/>
      <c r="L131" s="316"/>
      <c r="M131" s="316"/>
      <c r="N131" s="316"/>
      <c r="O131" s="316"/>
      <c r="P131" s="316"/>
      <c r="Q131" s="316"/>
      <c r="R131" s="316"/>
      <c r="S131" s="316"/>
      <c r="T131" s="316"/>
      <c r="U131" s="316"/>
      <c r="V131" s="316"/>
      <c r="W131" s="316"/>
      <c r="X131" s="316"/>
      <c r="Y131" s="316"/>
      <c r="Z131" s="316"/>
      <c r="AA131" s="316"/>
      <c r="AB131" s="316"/>
      <c r="AC131" s="316"/>
      <c r="AD131" s="316"/>
      <c r="AE131" s="316"/>
      <c r="AF131" s="316"/>
      <c r="AG131" s="316"/>
      <c r="AH131" s="316"/>
      <c r="AI131" s="316"/>
      <c r="AJ131" s="316"/>
      <c r="AK131" s="316"/>
      <c r="AL131" s="316"/>
      <c r="AM131" s="316"/>
      <c r="AN131" s="316"/>
      <c r="AO131" s="316"/>
      <c r="AP131" s="316"/>
      <c r="AQ131" s="310"/>
      <c r="AR131" s="310"/>
      <c r="AS131" s="310"/>
      <c r="AT131" s="310"/>
      <c r="AU131" s="310"/>
      <c r="AV131" s="310"/>
      <c r="AW131" s="310"/>
      <c r="AX131" s="310"/>
      <c r="AY131" s="310"/>
      <c r="AZ131" s="310"/>
      <c r="BA131" s="310"/>
      <c r="BB131" s="310"/>
      <c r="BC131" s="310"/>
      <c r="BD131" s="310"/>
      <c r="BE131" s="310"/>
      <c r="BF131" s="310"/>
      <c r="BG131" s="310"/>
      <c r="BH131" s="310"/>
      <c r="BI131" s="310"/>
      <c r="BJ131" s="310"/>
      <c r="BK131" s="310"/>
      <c r="BL131" s="310"/>
      <c r="BM131" s="310"/>
      <c r="BN131" s="310"/>
      <c r="BO131" s="310"/>
      <c r="BP131" s="310"/>
      <c r="BQ131" s="310"/>
      <c r="BR131" s="310"/>
      <c r="BS131" s="310"/>
      <c r="BT131" s="310"/>
      <c r="BU131" s="310"/>
      <c r="BV131" s="310"/>
      <c r="BW131" s="310"/>
      <c r="BX131" s="310"/>
      <c r="BY131" s="310"/>
      <c r="BZ131" s="310"/>
      <c r="CA131" s="310"/>
      <c r="CB131" s="310"/>
      <c r="CC131" s="310"/>
      <c r="CD131" s="310"/>
      <c r="CE131" s="310"/>
      <c r="CF131" s="310"/>
      <c r="CG131" s="310"/>
      <c r="CH131" s="310"/>
      <c r="CI131" s="310"/>
      <c r="CJ131" s="310"/>
    </row>
    <row r="132" spans="2:88" hidden="1" outlineLevel="1">
      <c r="B132" s="317" t="s">
        <v>362</v>
      </c>
      <c r="C132" s="318">
        <v>0</v>
      </c>
      <c r="D132" s="318">
        <f t="shared" ref="D132:U132" si="295">C138</f>
        <v>38.014102157294943</v>
      </c>
      <c r="E132" s="318">
        <f t="shared" si="295"/>
        <v>74.545654330455378</v>
      </c>
      <c r="F132" s="318">
        <f t="shared" si="295"/>
        <v>109.67338372504906</v>
      </c>
      <c r="G132" s="318">
        <f t="shared" si="295"/>
        <v>143.47213178313535</v>
      </c>
      <c r="H132" s="318">
        <f t="shared" si="295"/>
        <v>176.01304902800501</v>
      </c>
      <c r="I132" s="318">
        <f t="shared" si="295"/>
        <v>207.36378017280549</v>
      </c>
      <c r="J132" s="318">
        <f t="shared" si="295"/>
        <v>237.58863997992415</v>
      </c>
      <c r="K132" s="318">
        <f t="shared" si="295"/>
        <v>266.74878033366025</v>
      </c>
      <c r="L132" s="318">
        <f t="shared" si="295"/>
        <v>294.90234896558957</v>
      </c>
      <c r="M132" s="318">
        <f t="shared" si="295"/>
        <v>322.10464025005717</v>
      </c>
      <c r="N132" s="318">
        <f t="shared" si="295"/>
        <v>348.40823846636158</v>
      </c>
      <c r="O132" s="318">
        <f t="shared" si="295"/>
        <v>373.86315390436766</v>
      </c>
      <c r="P132" s="318">
        <f t="shared" si="295"/>
        <v>398.516952171448</v>
      </c>
      <c r="Q132" s="318">
        <f t="shared" si="295"/>
        <v>422.41487704075962</v>
      </c>
      <c r="R132" s="318">
        <f t="shared" si="295"/>
        <v>445.59996716386235</v>
      </c>
      <c r="S132" s="318">
        <f t="shared" si="295"/>
        <v>468.1131669545365</v>
      </c>
      <c r="T132" s="318">
        <f t="shared" si="295"/>
        <v>489.99343193531445</v>
      </c>
      <c r="U132" s="318">
        <f t="shared" si="295"/>
        <v>511.27782882366705</v>
      </c>
      <c r="V132" s="318">
        <f t="shared" ref="V132:AP132" si="296">U138</f>
        <v>532.00163062093839</v>
      </c>
      <c r="W132" s="318">
        <f t="shared" si="296"/>
        <v>552.19840695396908</v>
      </c>
      <c r="X132" s="318">
        <f t="shared" si="296"/>
        <v>571.90010990685312</v>
      </c>
      <c r="Y132" s="318">
        <f t="shared" si="296"/>
        <v>591.13715556839929</v>
      </c>
      <c r="Z132" s="318">
        <f t="shared" si="296"/>
        <v>609.93850150959395</v>
      </c>
      <c r="AA132" s="318">
        <f t="shared" si="296"/>
        <v>628.33172039464466</v>
      </c>
      <c r="AB132" s="318">
        <f t="shared" si="296"/>
        <v>646.34306991900871</v>
      </c>
      <c r="AC132" s="318">
        <f t="shared" si="296"/>
        <v>663.99755925813963</v>
      </c>
      <c r="AD132" s="318">
        <f t="shared" si="296"/>
        <v>681.31901220149985</v>
      </c>
      <c r="AE132" s="318">
        <f t="shared" si="296"/>
        <v>698.33012713766095</v>
      </c>
      <c r="AF132" s="318">
        <f t="shared" si="296"/>
        <v>715.05253404802261</v>
      </c>
      <c r="AG132" s="318">
        <f t="shared" si="296"/>
        <v>731.50684865880589</v>
      </c>
      <c r="AH132" s="318">
        <f t="shared" si="296"/>
        <v>747.71272389349508</v>
      </c>
      <c r="AI132" s="318">
        <f t="shared" si="296"/>
        <v>763.68889876079368</v>
      </c>
      <c r="AJ132" s="318">
        <f t="shared" si="296"/>
        <v>779.45324480640909</v>
      </c>
      <c r="AK132" s="318">
        <f t="shared" si="296"/>
        <v>795.02281025056391</v>
      </c>
      <c r="AL132" s="318">
        <f t="shared" si="296"/>
        <v>810.41386192704022</v>
      </c>
      <c r="AM132" s="318">
        <f t="shared" si="296"/>
        <v>825.64192513377168</v>
      </c>
      <c r="AN132" s="318">
        <f t="shared" si="296"/>
        <v>840.72182149950061</v>
      </c>
      <c r="AO132" s="318">
        <f t="shared" si="296"/>
        <v>855.66770496578954</v>
      </c>
      <c r="AP132" s="318">
        <f t="shared" si="296"/>
        <v>870.49309597871797</v>
      </c>
      <c r="AQ132" s="318">
        <f t="shared" ref="AQ132" si="297">AP138</f>
        <v>885.21091397987334</v>
      </c>
      <c r="AR132" s="318">
        <f>AQ138</f>
        <v>899.83350828177197</v>
      </c>
      <c r="AS132" s="318">
        <f t="shared" ref="AS132:BK132" si="298">AR138</f>
        <v>914.37268740858542</v>
      </c>
      <c r="AT132" s="318">
        <f t="shared" si="298"/>
        <v>928.83974697900817</v>
      </c>
      <c r="AU132" s="318">
        <f t="shared" si="298"/>
        <v>943.2454962042591</v>
      </c>
      <c r="AV132" s="318">
        <f t="shared" si="298"/>
        <v>957.60028307056382</v>
      </c>
      <c r="AW132" s="318">
        <f t="shared" si="298"/>
        <v>971.91401827199479</v>
      </c>
      <c r="AX132" s="318">
        <f t="shared" si="298"/>
        <v>986.19619795625886</v>
      </c>
      <c r="AY132" s="318">
        <f t="shared" si="298"/>
        <v>1000.4559253428863</v>
      </c>
      <c r="AZ132" s="318">
        <f t="shared" si="298"/>
        <v>1014.7019312703112</v>
      </c>
      <c r="BA132" s="318">
        <f t="shared" si="298"/>
        <v>1028.942593725505</v>
      </c>
      <c r="BB132" s="318">
        <f t="shared" si="298"/>
        <v>1043.1859564071449</v>
      </c>
      <c r="BC132" s="318">
        <f t="shared" si="298"/>
        <v>1057.4397463707498</v>
      </c>
      <c r="BD132" s="318">
        <f t="shared" si="298"/>
        <v>1071.7113908017982</v>
      </c>
      <c r="BE132" s="318">
        <f t="shared" si="298"/>
        <v>1086.0080329605396</v>
      </c>
      <c r="BF132" s="318">
        <f t="shared" si="298"/>
        <v>1100.3365473400311</v>
      </c>
      <c r="BG132" s="318">
        <f t="shared" si="298"/>
        <v>1114.7035540768507</v>
      </c>
      <c r="BH132" s="318">
        <f t="shared" si="298"/>
        <v>1129.1154326519713</v>
      </c>
      <c r="BI132" s="318">
        <f t="shared" si="298"/>
        <v>1143.5783349174046</v>
      </c>
      <c r="BJ132" s="318">
        <f t="shared" si="298"/>
        <v>1158.0981974824444</v>
      </c>
      <c r="BK132" s="318">
        <f t="shared" si="298"/>
        <v>1172.6807534916522</v>
      </c>
      <c r="BL132" s="318">
        <f>BK138</f>
        <v>1187.3315438251161</v>
      </c>
      <c r="BM132" s="318">
        <f>BL138</f>
        <v>1202.0559277499954</v>
      </c>
      <c r="BN132" s="318">
        <f t="shared" ref="BN132:CJ132" si="299">BM138</f>
        <v>1216.8590930509083</v>
      </c>
      <c r="BO132" s="318">
        <f t="shared" si="299"/>
        <v>1231.7460656653482</v>
      </c>
      <c r="BP132" s="318">
        <f t="shared" si="299"/>
        <v>1246.7217188490029</v>
      </c>
      <c r="BQ132" s="318">
        <f t="shared" si="299"/>
        <v>1261.7907818946107</v>
      </c>
      <c r="BR132" s="318">
        <f t="shared" si="299"/>
        <v>1276.957848426807</v>
      </c>
      <c r="BS132" s="318">
        <f t="shared" si="299"/>
        <v>1292.2273842942898</v>
      </c>
      <c r="BT132" s="318">
        <f t="shared" si="299"/>
        <v>1307.6037350795755</v>
      </c>
      <c r="BU132" s="318">
        <f t="shared" si="299"/>
        <v>1323.0911332455967</v>
      </c>
      <c r="BV132" s="318">
        <f t="shared" si="299"/>
        <v>1338.6937049374367</v>
      </c>
      <c r="BW132" s="318">
        <f t="shared" si="299"/>
        <v>1354.4154764565801</v>
      </c>
      <c r="BX132" s="318">
        <f t="shared" si="299"/>
        <v>1370.2603804241926</v>
      </c>
      <c r="BY132" s="318">
        <f t="shared" si="299"/>
        <v>1386.2322616491192</v>
      </c>
      <c r="BZ132" s="318">
        <f t="shared" si="299"/>
        <v>1402.3348827155071</v>
      </c>
      <c r="CA132" s="318">
        <f t="shared" si="299"/>
        <v>1418.5719293042127</v>
      </c>
      <c r="CB132" s="318">
        <f t="shared" si="299"/>
        <v>1434.9470152614524</v>
      </c>
      <c r="CC132" s="318">
        <f t="shared" si="299"/>
        <v>1451.4636874274772</v>
      </c>
      <c r="CD132" s="318">
        <f t="shared" si="299"/>
        <v>1468.1254302374207</v>
      </c>
      <c r="CE132" s="318">
        <f t="shared" si="299"/>
        <v>1484.9356701058616</v>
      </c>
      <c r="CF132" s="318">
        <f t="shared" si="299"/>
        <v>1501.897779606064</v>
      </c>
      <c r="CG132" s="318">
        <f t="shared" si="299"/>
        <v>1519.0150814543165</v>
      </c>
      <c r="CH132" s="318">
        <f t="shared" si="299"/>
        <v>1536.2908523092703</v>
      </c>
      <c r="CI132" s="318">
        <f t="shared" si="299"/>
        <v>1553.7283263956811</v>
      </c>
      <c r="CJ132" s="318">
        <f t="shared" si="299"/>
        <v>1571.3306989614919</v>
      </c>
    </row>
    <row r="133" spans="2:88" hidden="1" outlineLevel="1">
      <c r="B133" s="319"/>
      <c r="C133" s="320"/>
      <c r="D133" s="320"/>
      <c r="E133" s="320"/>
      <c r="F133" s="320"/>
      <c r="G133" s="320"/>
      <c r="H133" s="320"/>
      <c r="I133" s="320"/>
      <c r="J133" s="320"/>
      <c r="K133" s="320"/>
      <c r="L133" s="320"/>
      <c r="M133" s="320"/>
      <c r="N133" s="320"/>
      <c r="O133" s="320"/>
      <c r="P133" s="320"/>
      <c r="Q133" s="320"/>
      <c r="R133" s="320"/>
      <c r="S133" s="320"/>
      <c r="T133" s="320"/>
      <c r="U133" s="320"/>
      <c r="V133" s="320"/>
      <c r="W133" s="320"/>
      <c r="X133" s="320"/>
      <c r="Y133" s="320"/>
      <c r="Z133" s="320"/>
      <c r="AA133" s="320"/>
      <c r="AB133" s="320"/>
      <c r="AC133" s="320"/>
      <c r="AD133" s="320"/>
      <c r="AE133" s="320"/>
      <c r="AF133" s="320"/>
      <c r="AG133" s="320"/>
      <c r="AH133" s="320"/>
      <c r="AI133" s="320"/>
      <c r="AJ133" s="320"/>
      <c r="AK133" s="320"/>
      <c r="AL133" s="320"/>
      <c r="AM133" s="320"/>
      <c r="AN133" s="320"/>
      <c r="AO133" s="320"/>
      <c r="AP133" s="320"/>
      <c r="AQ133" s="320"/>
      <c r="AR133" s="320"/>
      <c r="AS133" s="320"/>
      <c r="AT133" s="320"/>
      <c r="AU133" s="320"/>
      <c r="AV133" s="320"/>
      <c r="AW133" s="320"/>
      <c r="AX133" s="320"/>
      <c r="AY133" s="320"/>
      <c r="AZ133" s="320"/>
      <c r="BA133" s="320"/>
      <c r="BB133" s="320"/>
      <c r="BC133" s="320"/>
      <c r="BD133" s="320"/>
      <c r="BE133" s="320"/>
      <c r="BF133" s="320"/>
      <c r="BG133" s="320"/>
      <c r="BH133" s="320"/>
      <c r="BI133" s="320"/>
      <c r="BJ133" s="320"/>
      <c r="BK133" s="320"/>
      <c r="BL133" s="320"/>
      <c r="BM133" s="320"/>
      <c r="BN133" s="320"/>
      <c r="BO133" s="320"/>
      <c r="BP133" s="320"/>
      <c r="BQ133" s="320"/>
      <c r="BR133" s="320"/>
      <c r="BS133" s="320"/>
      <c r="BT133" s="320"/>
      <c r="BU133" s="320"/>
      <c r="BV133" s="320"/>
      <c r="BW133" s="320"/>
      <c r="BX133" s="320"/>
      <c r="BY133" s="320"/>
      <c r="BZ133" s="320"/>
      <c r="CA133" s="320"/>
      <c r="CB133" s="320"/>
      <c r="CC133" s="320"/>
      <c r="CD133" s="320"/>
      <c r="CE133" s="320"/>
      <c r="CF133" s="320"/>
      <c r="CG133" s="320"/>
      <c r="CH133" s="320"/>
      <c r="CI133" s="320"/>
      <c r="CJ133" s="320"/>
    </row>
    <row r="134" spans="2:88" hidden="1" outlineLevel="1">
      <c r="B134" s="319" t="s">
        <v>341</v>
      </c>
      <c r="C134" s="322">
        <v>0</v>
      </c>
      <c r="D134" s="322">
        <f t="shared" ref="D134:AI134" si="300">0.05*C138</f>
        <v>1.9007051078647472</v>
      </c>
      <c r="E134" s="322">
        <f t="shared" si="300"/>
        <v>3.7272827165227689</v>
      </c>
      <c r="F134" s="322">
        <f t="shared" si="300"/>
        <v>5.4836691862524534</v>
      </c>
      <c r="G134" s="322">
        <f t="shared" si="300"/>
        <v>7.1736065891567682</v>
      </c>
      <c r="H134" s="322">
        <f t="shared" si="300"/>
        <v>8.8006524514002518</v>
      </c>
      <c r="I134" s="322">
        <f t="shared" si="300"/>
        <v>10.368189008640275</v>
      </c>
      <c r="J134" s="322">
        <f t="shared" si="300"/>
        <v>11.879431998996209</v>
      </c>
      <c r="K134" s="322">
        <f t="shared" si="300"/>
        <v>13.337439016683014</v>
      </c>
      <c r="L134" s="322">
        <f t="shared" si="300"/>
        <v>14.74511744827948</v>
      </c>
      <c r="M134" s="322">
        <f t="shared" si="300"/>
        <v>16.10523201250286</v>
      </c>
      <c r="N134" s="322">
        <f t="shared" si="300"/>
        <v>17.420411923318081</v>
      </c>
      <c r="O134" s="322">
        <f t="shared" si="300"/>
        <v>18.693157695218385</v>
      </c>
      <c r="P134" s="322">
        <f t="shared" si="300"/>
        <v>19.925847608572401</v>
      </c>
      <c r="Q134" s="322">
        <f t="shared" si="300"/>
        <v>21.120743852037982</v>
      </c>
      <c r="R134" s="322">
        <f t="shared" si="300"/>
        <v>22.279998358193119</v>
      </c>
      <c r="S134" s="322">
        <f t="shared" si="300"/>
        <v>23.405658347726828</v>
      </c>
      <c r="T134" s="322">
        <f t="shared" si="300"/>
        <v>24.499671596765722</v>
      </c>
      <c r="U134" s="322">
        <f t="shared" si="300"/>
        <v>25.563891441183355</v>
      </c>
      <c r="V134" s="322">
        <f t="shared" si="300"/>
        <v>26.600081531046921</v>
      </c>
      <c r="W134" s="322">
        <f t="shared" si="300"/>
        <v>27.609920347698456</v>
      </c>
      <c r="X134" s="322">
        <f t="shared" si="300"/>
        <v>28.595005495342658</v>
      </c>
      <c r="Y134" s="322">
        <f t="shared" si="300"/>
        <v>29.556857778419968</v>
      </c>
      <c r="Z134" s="322">
        <f t="shared" si="300"/>
        <v>30.496925075479698</v>
      </c>
      <c r="AA134" s="322">
        <f t="shared" si="300"/>
        <v>31.416586019732236</v>
      </c>
      <c r="AB134" s="322">
        <f t="shared" si="300"/>
        <v>32.317153495950436</v>
      </c>
      <c r="AC134" s="322">
        <f t="shared" si="300"/>
        <v>33.199877962906982</v>
      </c>
      <c r="AD134" s="322">
        <f t="shared" si="300"/>
        <v>34.065950610074992</v>
      </c>
      <c r="AE134" s="322">
        <f t="shared" si="300"/>
        <v>34.916506356883048</v>
      </c>
      <c r="AF134" s="322">
        <f t="shared" si="300"/>
        <v>35.75262670240113</v>
      </c>
      <c r="AG134" s="322">
        <f t="shared" si="300"/>
        <v>36.575342432940296</v>
      </c>
      <c r="AH134" s="322">
        <f t="shared" si="300"/>
        <v>37.385636194674753</v>
      </c>
      <c r="AI134" s="322">
        <f t="shared" si="300"/>
        <v>38.184444938039682</v>
      </c>
      <c r="AJ134" s="322">
        <f t="shared" ref="AJ134:CJ134" si="301">0.05*AI138</f>
        <v>38.97266224032046</v>
      </c>
      <c r="AK134" s="322">
        <f t="shared" si="301"/>
        <v>39.751140512528195</v>
      </c>
      <c r="AL134" s="322">
        <f t="shared" si="301"/>
        <v>40.520693096352012</v>
      </c>
      <c r="AM134" s="322">
        <f t="shared" si="301"/>
        <v>41.28209625668859</v>
      </c>
      <c r="AN134" s="322">
        <f t="shared" si="301"/>
        <v>42.036091074975033</v>
      </c>
      <c r="AO134" s="322">
        <f t="shared" si="301"/>
        <v>42.783385248289477</v>
      </c>
      <c r="AP134" s="322">
        <f t="shared" si="301"/>
        <v>43.524654798935899</v>
      </c>
      <c r="AQ134" s="322">
        <f t="shared" si="301"/>
        <v>44.260545698993667</v>
      </c>
      <c r="AR134" s="322">
        <f t="shared" si="301"/>
        <v>44.991675414088604</v>
      </c>
      <c r="AS134" s="322">
        <f t="shared" si="301"/>
        <v>45.718634370429271</v>
      </c>
      <c r="AT134" s="322">
        <f t="shared" si="301"/>
        <v>46.441987348950413</v>
      </c>
      <c r="AU134" s="322">
        <f t="shared" si="301"/>
        <v>47.162274810212956</v>
      </c>
      <c r="AV134" s="322">
        <f t="shared" si="301"/>
        <v>47.880014153528194</v>
      </c>
      <c r="AW134" s="322">
        <f t="shared" si="301"/>
        <v>48.595700913599742</v>
      </c>
      <c r="AX134" s="322">
        <f t="shared" si="301"/>
        <v>49.309809897812947</v>
      </c>
      <c r="AY134" s="322">
        <f t="shared" si="301"/>
        <v>50.022796267144315</v>
      </c>
      <c r="AZ134" s="322">
        <f t="shared" si="301"/>
        <v>50.735096563515562</v>
      </c>
      <c r="BA134" s="322">
        <f t="shared" si="301"/>
        <v>51.447129686275254</v>
      </c>
      <c r="BB134" s="322">
        <f t="shared" si="301"/>
        <v>52.159297820357246</v>
      </c>
      <c r="BC134" s="322">
        <f t="shared" si="301"/>
        <v>52.871987318537492</v>
      </c>
      <c r="BD134" s="322">
        <f t="shared" si="301"/>
        <v>53.585569540089914</v>
      </c>
      <c r="BE134" s="322">
        <f t="shared" si="301"/>
        <v>54.300401648026984</v>
      </c>
      <c r="BF134" s="322">
        <f t="shared" si="301"/>
        <v>55.016827367001554</v>
      </c>
      <c r="BG134" s="322">
        <f t="shared" si="301"/>
        <v>55.735177703842538</v>
      </c>
      <c r="BH134" s="322">
        <f t="shared" si="301"/>
        <v>56.455771632598569</v>
      </c>
      <c r="BI134" s="322">
        <f t="shared" si="301"/>
        <v>57.178916745870232</v>
      </c>
      <c r="BJ134" s="322">
        <f t="shared" si="301"/>
        <v>57.904909874122225</v>
      </c>
      <c r="BK134" s="322">
        <f t="shared" si="301"/>
        <v>58.634037674582615</v>
      </c>
      <c r="BL134" s="322">
        <f t="shared" si="301"/>
        <v>59.366577191255807</v>
      </c>
      <c r="BM134" s="322">
        <f t="shared" si="301"/>
        <v>60.102796387499772</v>
      </c>
      <c r="BN134" s="322">
        <f t="shared" si="301"/>
        <v>60.842954652545416</v>
      </c>
      <c r="BO134" s="322">
        <f t="shared" si="301"/>
        <v>61.58730328326741</v>
      </c>
      <c r="BP134" s="322">
        <f t="shared" si="301"/>
        <v>62.336085942450147</v>
      </c>
      <c r="BQ134" s="322">
        <f t="shared" si="301"/>
        <v>63.08953909473054</v>
      </c>
      <c r="BR134" s="322">
        <f t="shared" si="301"/>
        <v>63.847892421340354</v>
      </c>
      <c r="BS134" s="322">
        <f t="shared" si="301"/>
        <v>64.611369214714486</v>
      </c>
      <c r="BT134" s="322">
        <f t="shared" si="301"/>
        <v>65.380186753978776</v>
      </c>
      <c r="BU134" s="322">
        <f t="shared" si="301"/>
        <v>66.15455666227983</v>
      </c>
      <c r="BV134" s="322">
        <f t="shared" si="301"/>
        <v>66.934685246871837</v>
      </c>
      <c r="BW134" s="322">
        <f t="shared" si="301"/>
        <v>67.720773822829003</v>
      </c>
      <c r="BX134" s="322">
        <f t="shared" si="301"/>
        <v>68.513019021209629</v>
      </c>
      <c r="BY134" s="322">
        <f t="shared" si="301"/>
        <v>69.311613082455963</v>
      </c>
      <c r="BZ134" s="322">
        <f t="shared" si="301"/>
        <v>70.116744135775363</v>
      </c>
      <c r="CA134" s="322">
        <f t="shared" si="301"/>
        <v>70.928596465210646</v>
      </c>
      <c r="CB134" s="322">
        <f t="shared" si="301"/>
        <v>71.747350763072617</v>
      </c>
      <c r="CC134" s="322">
        <f t="shared" si="301"/>
        <v>72.57318437137387</v>
      </c>
      <c r="CD134" s="322">
        <f t="shared" si="301"/>
        <v>73.40627151187104</v>
      </c>
      <c r="CE134" s="322">
        <f t="shared" si="301"/>
        <v>74.246783505293081</v>
      </c>
      <c r="CF134" s="322">
        <f t="shared" si="301"/>
        <v>75.094888980303196</v>
      </c>
      <c r="CG134" s="322">
        <f t="shared" si="301"/>
        <v>75.950754072715824</v>
      </c>
      <c r="CH134" s="322">
        <f t="shared" si="301"/>
        <v>76.814542615463523</v>
      </c>
      <c r="CI134" s="322">
        <f t="shared" si="301"/>
        <v>77.686416319784058</v>
      </c>
      <c r="CJ134" s="322">
        <f t="shared" si="301"/>
        <v>78.566534948074604</v>
      </c>
    </row>
    <row r="135" spans="2:88" hidden="1" outlineLevel="1">
      <c r="B135" s="313"/>
      <c r="C135" s="315"/>
      <c r="D135" s="315"/>
      <c r="E135" s="315"/>
      <c r="F135" s="315"/>
      <c r="G135" s="315"/>
      <c r="H135" s="315"/>
      <c r="I135" s="315"/>
      <c r="J135" s="315"/>
      <c r="K135" s="315"/>
      <c r="L135" s="315"/>
      <c r="M135" s="315"/>
      <c r="N135" s="315"/>
      <c r="O135" s="315"/>
      <c r="P135" s="315"/>
      <c r="Q135" s="315"/>
      <c r="R135" s="315"/>
      <c r="S135" s="315"/>
      <c r="T135" s="315"/>
      <c r="U135" s="315"/>
      <c r="V135" s="315"/>
      <c r="W135" s="315"/>
      <c r="X135" s="315"/>
      <c r="Y135" s="315"/>
      <c r="Z135" s="315"/>
      <c r="AA135" s="315"/>
      <c r="AB135" s="315"/>
      <c r="AC135" s="315"/>
      <c r="AD135" s="315"/>
      <c r="AE135" s="315"/>
      <c r="AF135" s="315"/>
      <c r="AG135" s="315"/>
      <c r="AH135" s="315"/>
      <c r="AI135" s="315"/>
      <c r="AJ135" s="315"/>
      <c r="AK135" s="315"/>
      <c r="AL135" s="315"/>
      <c r="AM135" s="315"/>
      <c r="AN135" s="315"/>
      <c r="AO135" s="315"/>
      <c r="AP135" s="315"/>
      <c r="AQ135" s="315"/>
      <c r="AR135" s="315"/>
      <c r="AS135" s="315"/>
      <c r="AT135" s="315"/>
      <c r="AU135" s="315"/>
      <c r="AV135" s="315"/>
      <c r="AW135" s="315"/>
      <c r="AX135" s="315"/>
      <c r="AY135" s="315"/>
      <c r="AZ135" s="315"/>
      <c r="BA135" s="315"/>
      <c r="BB135" s="315"/>
      <c r="BC135" s="315"/>
      <c r="BD135" s="315"/>
      <c r="BE135" s="315"/>
      <c r="BF135" s="315"/>
      <c r="BG135" s="315"/>
      <c r="BH135" s="315"/>
      <c r="BI135" s="315"/>
      <c r="BJ135" s="315"/>
      <c r="BK135" s="315"/>
      <c r="BL135" s="315"/>
      <c r="BM135" s="315"/>
      <c r="BN135" s="315"/>
      <c r="BO135" s="315"/>
      <c r="BP135" s="315"/>
      <c r="BQ135" s="315"/>
      <c r="BR135" s="315"/>
      <c r="BS135" s="315"/>
      <c r="BT135" s="315"/>
      <c r="BU135" s="315"/>
      <c r="BV135" s="315"/>
      <c r="BW135" s="315"/>
      <c r="BX135" s="315"/>
      <c r="BY135" s="315"/>
      <c r="BZ135" s="315"/>
      <c r="CA135" s="315"/>
      <c r="CB135" s="315"/>
      <c r="CC135" s="315"/>
      <c r="CD135" s="315"/>
      <c r="CE135" s="315"/>
      <c r="CF135" s="315"/>
      <c r="CG135" s="315"/>
      <c r="CH135" s="315"/>
      <c r="CI135" s="315"/>
      <c r="CJ135" s="315"/>
    </row>
    <row r="136" spans="2:88" hidden="1" outlineLevel="1">
      <c r="B136" s="319" t="s">
        <v>363</v>
      </c>
      <c r="C136" s="322">
        <f t="shared" ref="C136:AH136" si="302">C99</f>
        <v>38.014102157294943</v>
      </c>
      <c r="D136" s="322">
        <f t="shared" si="302"/>
        <v>38.43225728102518</v>
      </c>
      <c r="E136" s="322">
        <f t="shared" si="302"/>
        <v>38.855012111116459</v>
      </c>
      <c r="F136" s="322">
        <f t="shared" si="302"/>
        <v>39.282417244338731</v>
      </c>
      <c r="G136" s="322">
        <f t="shared" si="302"/>
        <v>39.714523834026451</v>
      </c>
      <c r="H136" s="322">
        <f t="shared" si="302"/>
        <v>40.151383596200738</v>
      </c>
      <c r="I136" s="322">
        <f t="shared" si="302"/>
        <v>40.593048815758941</v>
      </c>
      <c r="J136" s="322">
        <f t="shared" si="302"/>
        <v>41.039572352732286</v>
      </c>
      <c r="K136" s="322">
        <f t="shared" si="302"/>
        <v>41.491007648612339</v>
      </c>
      <c r="L136" s="322">
        <f t="shared" si="302"/>
        <v>41.947408732747071</v>
      </c>
      <c r="M136" s="322">
        <f t="shared" si="302"/>
        <v>42.408830228807282</v>
      </c>
      <c r="N136" s="322">
        <f t="shared" si="302"/>
        <v>42.87532736132416</v>
      </c>
      <c r="O136" s="322">
        <f t="shared" si="302"/>
        <v>43.346955962298715</v>
      </c>
      <c r="P136" s="322">
        <f t="shared" si="302"/>
        <v>43.823772477883992</v>
      </c>
      <c r="Q136" s="322">
        <f t="shared" si="302"/>
        <v>44.305833975140715</v>
      </c>
      <c r="R136" s="322">
        <f t="shared" si="302"/>
        <v>44.793198148867255</v>
      </c>
      <c r="S136" s="322">
        <f t="shared" si="302"/>
        <v>45.285923328504786</v>
      </c>
      <c r="T136" s="322">
        <f t="shared" si="302"/>
        <v>45.784068485118333</v>
      </c>
      <c r="U136" s="322">
        <f t="shared" si="302"/>
        <v>46.287693238454636</v>
      </c>
      <c r="V136" s="322">
        <f t="shared" si="302"/>
        <v>46.79685786407763</v>
      </c>
      <c r="W136" s="322">
        <f t="shared" si="302"/>
        <v>47.311623300582475</v>
      </c>
      <c r="X136" s="322">
        <f t="shared" si="302"/>
        <v>47.83205115688888</v>
      </c>
      <c r="Y136" s="322">
        <f t="shared" si="302"/>
        <v>48.358203719614657</v>
      </c>
      <c r="Z136" s="322">
        <f t="shared" si="302"/>
        <v>48.890143960530409</v>
      </c>
      <c r="AA136" s="322">
        <f t="shared" si="302"/>
        <v>49.427935544096243</v>
      </c>
      <c r="AB136" s="322">
        <f t="shared" si="302"/>
        <v>49.97164283508129</v>
      </c>
      <c r="AC136" s="322">
        <f t="shared" si="302"/>
        <v>50.521330906267188</v>
      </c>
      <c r="AD136" s="322">
        <f t="shared" si="302"/>
        <v>51.07706554623612</v>
      </c>
      <c r="AE136" s="322">
        <f t="shared" si="302"/>
        <v>51.638913267244718</v>
      </c>
      <c r="AF136" s="322">
        <f t="shared" si="302"/>
        <v>52.206941313184394</v>
      </c>
      <c r="AG136" s="322">
        <f t="shared" si="302"/>
        <v>52.78121766762942</v>
      </c>
      <c r="AH136" s="322">
        <f t="shared" si="302"/>
        <v>53.361811061973341</v>
      </c>
      <c r="AI136" s="322">
        <f t="shared" ref="AI136:BN136" si="303">AI99</f>
        <v>53.948790983655044</v>
      </c>
      <c r="AJ136" s="322">
        <f t="shared" si="303"/>
        <v>54.542227684475243</v>
      </c>
      <c r="AK136" s="322">
        <f t="shared" si="303"/>
        <v>55.142192189004454</v>
      </c>
      <c r="AL136" s="322">
        <f t="shared" si="303"/>
        <v>55.748756303083503</v>
      </c>
      <c r="AM136" s="322">
        <f t="shared" si="303"/>
        <v>56.361992622417411</v>
      </c>
      <c r="AN136" s="322">
        <f t="shared" si="303"/>
        <v>56.981974541263995</v>
      </c>
      <c r="AO136" s="322">
        <f t="shared" si="303"/>
        <v>57.608776261217905</v>
      </c>
      <c r="AP136" s="322">
        <f t="shared" si="303"/>
        <v>58.242472800091292</v>
      </c>
      <c r="AQ136" s="322">
        <f t="shared" si="303"/>
        <v>58.88314000089229</v>
      </c>
      <c r="AR136" s="322">
        <f t="shared" si="303"/>
        <v>59.530854540902091</v>
      </c>
      <c r="AS136" s="322">
        <f t="shared" si="303"/>
        <v>60.185693940852012</v>
      </c>
      <c r="AT136" s="322">
        <f t="shared" si="303"/>
        <v>60.847736574201377</v>
      </c>
      <c r="AU136" s="322">
        <f t="shared" si="303"/>
        <v>61.517061676517585</v>
      </c>
      <c r="AV136" s="322">
        <f t="shared" si="303"/>
        <v>62.193749354959259</v>
      </c>
      <c r="AW136" s="322">
        <f t="shared" si="303"/>
        <v>62.877880597863815</v>
      </c>
      <c r="AX136" s="322">
        <f t="shared" si="303"/>
        <v>63.569537284440301</v>
      </c>
      <c r="AY136" s="322">
        <f t="shared" si="303"/>
        <v>64.268802194569147</v>
      </c>
      <c r="AZ136" s="322">
        <f t="shared" si="303"/>
        <v>64.975759018709383</v>
      </c>
      <c r="BA136" s="322">
        <f t="shared" si="303"/>
        <v>65.690492367915184</v>
      </c>
      <c r="BB136" s="322">
        <f t="shared" si="303"/>
        <v>66.41308778396224</v>
      </c>
      <c r="BC136" s="322">
        <f t="shared" si="303"/>
        <v>67.143631749585822</v>
      </c>
      <c r="BD136" s="322">
        <f t="shared" si="303"/>
        <v>67.882211698831256</v>
      </c>
      <c r="BE136" s="322">
        <f t="shared" si="303"/>
        <v>68.628916027518386</v>
      </c>
      <c r="BF136" s="322">
        <f t="shared" si="303"/>
        <v>69.383834103821087</v>
      </c>
      <c r="BG136" s="322">
        <f t="shared" si="303"/>
        <v>70.14705627896312</v>
      </c>
      <c r="BH136" s="322">
        <f t="shared" si="303"/>
        <v>70.918673898031699</v>
      </c>
      <c r="BI136" s="322">
        <f t="shared" si="303"/>
        <v>71.698779310910041</v>
      </c>
      <c r="BJ136" s="322">
        <f t="shared" si="303"/>
        <v>72.487465883330032</v>
      </c>
      <c r="BK136" s="322">
        <f t="shared" si="303"/>
        <v>73.284828008046659</v>
      </c>
      <c r="BL136" s="322">
        <f t="shared" si="303"/>
        <v>74.090961116135162</v>
      </c>
      <c r="BM136" s="322">
        <f t="shared" si="303"/>
        <v>74.905961688412646</v>
      </c>
      <c r="BN136" s="322">
        <f t="shared" si="303"/>
        <v>75.729927266985186</v>
      </c>
      <c r="BO136" s="322">
        <f t="shared" ref="BO136:CJ136" si="304">BO99</f>
        <v>76.562956466922003</v>
      </c>
      <c r="BP136" s="322">
        <f t="shared" si="304"/>
        <v>77.40514898805813</v>
      </c>
      <c r="BQ136" s="322">
        <f t="shared" si="304"/>
        <v>78.25660562692677</v>
      </c>
      <c r="BR136" s="322">
        <f t="shared" si="304"/>
        <v>79.11742828882295</v>
      </c>
      <c r="BS136" s="322">
        <f t="shared" si="304"/>
        <v>79.987719999999996</v>
      </c>
      <c r="BT136" s="322">
        <f t="shared" si="304"/>
        <v>80.867584919999999</v>
      </c>
      <c r="BU136" s="322">
        <f t="shared" si="304"/>
        <v>81.757128354119985</v>
      </c>
      <c r="BV136" s="322">
        <f t="shared" si="304"/>
        <v>82.656456766015296</v>
      </c>
      <c r="BW136" s="322">
        <f t="shared" si="304"/>
        <v>83.565677790441455</v>
      </c>
      <c r="BX136" s="322">
        <f t="shared" si="304"/>
        <v>84.484900246136291</v>
      </c>
      <c r="BY136" s="322">
        <f t="shared" si="304"/>
        <v>85.414234148843789</v>
      </c>
      <c r="BZ136" s="322">
        <f t="shared" si="304"/>
        <v>86.353790724481058</v>
      </c>
      <c r="CA136" s="322">
        <f t="shared" si="304"/>
        <v>87.30368242245035</v>
      </c>
      <c r="CB136" s="322">
        <f t="shared" si="304"/>
        <v>88.264022929097308</v>
      </c>
      <c r="CC136" s="322">
        <f t="shared" si="304"/>
        <v>89.234927181317346</v>
      </c>
      <c r="CD136" s="322">
        <f t="shared" si="304"/>
        <v>90.216511380311843</v>
      </c>
      <c r="CE136" s="322">
        <f t="shared" si="304"/>
        <v>91.20889300549527</v>
      </c>
      <c r="CF136" s="322">
        <f t="shared" si="304"/>
        <v>92.21219082855572</v>
      </c>
      <c r="CG136" s="322">
        <f t="shared" si="304"/>
        <v>93.226524927669814</v>
      </c>
      <c r="CH136" s="322">
        <f t="shared" si="304"/>
        <v>94.252016701874169</v>
      </c>
      <c r="CI136" s="322">
        <f t="shared" si="304"/>
        <v>95.288788885594769</v>
      </c>
      <c r="CJ136" s="322">
        <f t="shared" si="304"/>
        <v>96.336965563336307</v>
      </c>
    </row>
    <row r="137" spans="2:88" hidden="1" outlineLevel="1">
      <c r="B137" s="319"/>
      <c r="C137" s="320"/>
      <c r="D137" s="320"/>
      <c r="E137" s="320"/>
      <c r="F137" s="320"/>
      <c r="G137" s="320"/>
      <c r="H137" s="320"/>
      <c r="I137" s="320"/>
      <c r="J137" s="320"/>
      <c r="K137" s="320"/>
      <c r="L137" s="320"/>
      <c r="M137" s="320"/>
      <c r="N137" s="320"/>
      <c r="O137" s="320"/>
      <c r="P137" s="320"/>
      <c r="Q137" s="320"/>
      <c r="R137" s="320"/>
      <c r="S137" s="320"/>
      <c r="T137" s="320"/>
      <c r="U137" s="320"/>
      <c r="V137" s="320"/>
      <c r="W137" s="320"/>
      <c r="X137" s="320"/>
      <c r="Y137" s="320"/>
      <c r="Z137" s="320"/>
      <c r="AA137" s="320"/>
      <c r="AB137" s="320"/>
      <c r="AC137" s="320"/>
      <c r="AD137" s="320"/>
      <c r="AE137" s="320"/>
      <c r="AF137" s="320"/>
      <c r="AG137" s="320"/>
      <c r="AH137" s="320"/>
      <c r="AI137" s="320"/>
      <c r="AJ137" s="320"/>
      <c r="AK137" s="320"/>
      <c r="AL137" s="320"/>
      <c r="AM137" s="320"/>
      <c r="AN137" s="320"/>
      <c r="AO137" s="320"/>
      <c r="AP137" s="320"/>
      <c r="AQ137" s="320"/>
      <c r="AR137" s="320"/>
      <c r="AS137" s="320"/>
      <c r="AT137" s="320"/>
      <c r="AU137" s="320"/>
      <c r="AV137" s="320"/>
      <c r="AW137" s="320"/>
      <c r="AX137" s="320"/>
      <c r="AY137" s="320"/>
      <c r="AZ137" s="320"/>
      <c r="BA137" s="320"/>
      <c r="BB137" s="320"/>
      <c r="BC137" s="320"/>
      <c r="BD137" s="320"/>
      <c r="BE137" s="320"/>
      <c r="BF137" s="320"/>
      <c r="BG137" s="320"/>
      <c r="BH137" s="320"/>
      <c r="BI137" s="320"/>
      <c r="BJ137" s="320"/>
      <c r="BK137" s="320"/>
      <c r="BL137" s="320"/>
      <c r="BM137" s="320"/>
      <c r="BN137" s="320"/>
      <c r="BO137" s="320"/>
      <c r="BP137" s="320"/>
      <c r="BQ137" s="320"/>
      <c r="BR137" s="320"/>
      <c r="BS137" s="320"/>
      <c r="BT137" s="320"/>
      <c r="BU137" s="320"/>
      <c r="BV137" s="320"/>
      <c r="BW137" s="320"/>
      <c r="BX137" s="320"/>
      <c r="BY137" s="320"/>
      <c r="BZ137" s="320"/>
      <c r="CA137" s="320"/>
      <c r="CB137" s="320"/>
      <c r="CC137" s="320"/>
      <c r="CD137" s="320"/>
      <c r="CE137" s="320"/>
      <c r="CF137" s="320"/>
      <c r="CG137" s="320"/>
      <c r="CH137" s="320"/>
      <c r="CI137" s="320"/>
      <c r="CJ137" s="320"/>
    </row>
    <row r="138" spans="2:88" hidden="1" outlineLevel="1">
      <c r="B138" s="319" t="s">
        <v>364</v>
      </c>
      <c r="C138" s="322">
        <f t="shared" ref="C138:U138" si="305">C132-C134+C136</f>
        <v>38.014102157294943</v>
      </c>
      <c r="D138" s="322">
        <f t="shared" si="305"/>
        <v>74.545654330455378</v>
      </c>
      <c r="E138" s="322">
        <f t="shared" si="305"/>
        <v>109.67338372504906</v>
      </c>
      <c r="F138" s="322">
        <f t="shared" si="305"/>
        <v>143.47213178313535</v>
      </c>
      <c r="G138" s="322">
        <f t="shared" si="305"/>
        <v>176.01304902800501</v>
      </c>
      <c r="H138" s="322">
        <f t="shared" si="305"/>
        <v>207.36378017280549</v>
      </c>
      <c r="I138" s="322">
        <f t="shared" si="305"/>
        <v>237.58863997992415</v>
      </c>
      <c r="J138" s="322">
        <f t="shared" si="305"/>
        <v>266.74878033366025</v>
      </c>
      <c r="K138" s="322">
        <f t="shared" si="305"/>
        <v>294.90234896558957</v>
      </c>
      <c r="L138" s="322">
        <f t="shared" si="305"/>
        <v>322.10464025005717</v>
      </c>
      <c r="M138" s="322">
        <f t="shared" si="305"/>
        <v>348.40823846636158</v>
      </c>
      <c r="N138" s="322">
        <f t="shared" si="305"/>
        <v>373.86315390436766</v>
      </c>
      <c r="O138" s="322">
        <f t="shared" si="305"/>
        <v>398.516952171448</v>
      </c>
      <c r="P138" s="322">
        <f t="shared" si="305"/>
        <v>422.41487704075962</v>
      </c>
      <c r="Q138" s="322">
        <f t="shared" si="305"/>
        <v>445.59996716386235</v>
      </c>
      <c r="R138" s="322">
        <f t="shared" si="305"/>
        <v>468.1131669545365</v>
      </c>
      <c r="S138" s="322">
        <f t="shared" si="305"/>
        <v>489.99343193531445</v>
      </c>
      <c r="T138" s="322">
        <f t="shared" si="305"/>
        <v>511.27782882366705</v>
      </c>
      <c r="U138" s="322">
        <f t="shared" si="305"/>
        <v>532.00163062093839</v>
      </c>
      <c r="V138" s="322">
        <f t="shared" ref="V138:AP138" si="306">V132-V134+V136</f>
        <v>552.19840695396908</v>
      </c>
      <c r="W138" s="322">
        <f t="shared" si="306"/>
        <v>571.90010990685312</v>
      </c>
      <c r="X138" s="322">
        <f t="shared" si="306"/>
        <v>591.13715556839929</v>
      </c>
      <c r="Y138" s="322">
        <f t="shared" si="306"/>
        <v>609.93850150959395</v>
      </c>
      <c r="Z138" s="322">
        <f t="shared" si="306"/>
        <v>628.33172039464466</v>
      </c>
      <c r="AA138" s="322">
        <f t="shared" si="306"/>
        <v>646.34306991900871</v>
      </c>
      <c r="AB138" s="322">
        <f t="shared" si="306"/>
        <v>663.99755925813963</v>
      </c>
      <c r="AC138" s="322">
        <f t="shared" si="306"/>
        <v>681.31901220149985</v>
      </c>
      <c r="AD138" s="322">
        <f t="shared" si="306"/>
        <v>698.33012713766095</v>
      </c>
      <c r="AE138" s="322">
        <f t="shared" si="306"/>
        <v>715.05253404802261</v>
      </c>
      <c r="AF138" s="322">
        <f t="shared" si="306"/>
        <v>731.50684865880589</v>
      </c>
      <c r="AG138" s="322">
        <f t="shared" si="306"/>
        <v>747.71272389349508</v>
      </c>
      <c r="AH138" s="322">
        <f t="shared" si="306"/>
        <v>763.68889876079368</v>
      </c>
      <c r="AI138" s="322">
        <f t="shared" si="306"/>
        <v>779.45324480640909</v>
      </c>
      <c r="AJ138" s="322">
        <f t="shared" si="306"/>
        <v>795.02281025056391</v>
      </c>
      <c r="AK138" s="322">
        <f t="shared" si="306"/>
        <v>810.41386192704022</v>
      </c>
      <c r="AL138" s="322">
        <f t="shared" si="306"/>
        <v>825.64192513377168</v>
      </c>
      <c r="AM138" s="322">
        <f t="shared" si="306"/>
        <v>840.72182149950061</v>
      </c>
      <c r="AN138" s="322">
        <f t="shared" si="306"/>
        <v>855.66770496578954</v>
      </c>
      <c r="AO138" s="322">
        <f t="shared" si="306"/>
        <v>870.49309597871797</v>
      </c>
      <c r="AP138" s="322">
        <f t="shared" si="306"/>
        <v>885.21091397987334</v>
      </c>
      <c r="AQ138" s="322">
        <f t="shared" ref="AQ138" si="307">AQ132-AQ134+AQ136</f>
        <v>899.83350828177197</v>
      </c>
      <c r="AR138" s="322">
        <f>AR132-AR134+AR136</f>
        <v>914.37268740858542</v>
      </c>
      <c r="AS138" s="322">
        <f t="shared" ref="AS138:BK138" si="308">AS132-AS134+AS136</f>
        <v>928.83974697900817</v>
      </c>
      <c r="AT138" s="322">
        <f t="shared" si="308"/>
        <v>943.2454962042591</v>
      </c>
      <c r="AU138" s="322">
        <f t="shared" si="308"/>
        <v>957.60028307056382</v>
      </c>
      <c r="AV138" s="322">
        <f t="shared" si="308"/>
        <v>971.91401827199479</v>
      </c>
      <c r="AW138" s="322">
        <f t="shared" si="308"/>
        <v>986.19619795625886</v>
      </c>
      <c r="AX138" s="322">
        <f t="shared" si="308"/>
        <v>1000.4559253428863</v>
      </c>
      <c r="AY138" s="322">
        <f t="shared" si="308"/>
        <v>1014.7019312703112</v>
      </c>
      <c r="AZ138" s="322">
        <f t="shared" si="308"/>
        <v>1028.942593725505</v>
      </c>
      <c r="BA138" s="322">
        <f t="shared" si="308"/>
        <v>1043.1859564071449</v>
      </c>
      <c r="BB138" s="322">
        <f t="shared" si="308"/>
        <v>1057.4397463707498</v>
      </c>
      <c r="BC138" s="322">
        <f t="shared" si="308"/>
        <v>1071.7113908017982</v>
      </c>
      <c r="BD138" s="322">
        <f t="shared" si="308"/>
        <v>1086.0080329605396</v>
      </c>
      <c r="BE138" s="322">
        <f t="shared" si="308"/>
        <v>1100.3365473400311</v>
      </c>
      <c r="BF138" s="322">
        <f t="shared" si="308"/>
        <v>1114.7035540768507</v>
      </c>
      <c r="BG138" s="322">
        <f t="shared" si="308"/>
        <v>1129.1154326519713</v>
      </c>
      <c r="BH138" s="322">
        <f t="shared" si="308"/>
        <v>1143.5783349174046</v>
      </c>
      <c r="BI138" s="322">
        <f t="shared" si="308"/>
        <v>1158.0981974824444</v>
      </c>
      <c r="BJ138" s="322">
        <f t="shared" si="308"/>
        <v>1172.6807534916522</v>
      </c>
      <c r="BK138" s="322">
        <f t="shared" si="308"/>
        <v>1187.3315438251161</v>
      </c>
      <c r="BL138" s="322">
        <f>BL132-BL134+BL136</f>
        <v>1202.0559277499954</v>
      </c>
      <c r="BM138" s="322">
        <f>BM132-BM134+BM136</f>
        <v>1216.8590930509083</v>
      </c>
      <c r="BN138" s="322">
        <f t="shared" ref="BN138:CJ138" si="309">BN132-BN134+BN136</f>
        <v>1231.7460656653482</v>
      </c>
      <c r="BO138" s="322">
        <f t="shared" si="309"/>
        <v>1246.7217188490029</v>
      </c>
      <c r="BP138" s="322">
        <f t="shared" si="309"/>
        <v>1261.7907818946107</v>
      </c>
      <c r="BQ138" s="322">
        <f t="shared" si="309"/>
        <v>1276.957848426807</v>
      </c>
      <c r="BR138" s="322">
        <f t="shared" si="309"/>
        <v>1292.2273842942898</v>
      </c>
      <c r="BS138" s="322">
        <f t="shared" si="309"/>
        <v>1307.6037350795755</v>
      </c>
      <c r="BT138" s="322">
        <f t="shared" si="309"/>
        <v>1323.0911332455967</v>
      </c>
      <c r="BU138" s="322">
        <f t="shared" si="309"/>
        <v>1338.6937049374367</v>
      </c>
      <c r="BV138" s="322">
        <f t="shared" si="309"/>
        <v>1354.4154764565801</v>
      </c>
      <c r="BW138" s="322">
        <f t="shared" si="309"/>
        <v>1370.2603804241926</v>
      </c>
      <c r="BX138" s="322">
        <f t="shared" si="309"/>
        <v>1386.2322616491192</v>
      </c>
      <c r="BY138" s="322">
        <f t="shared" si="309"/>
        <v>1402.3348827155071</v>
      </c>
      <c r="BZ138" s="322">
        <f t="shared" si="309"/>
        <v>1418.5719293042127</v>
      </c>
      <c r="CA138" s="322">
        <f t="shared" si="309"/>
        <v>1434.9470152614524</v>
      </c>
      <c r="CB138" s="322">
        <f t="shared" si="309"/>
        <v>1451.4636874274772</v>
      </c>
      <c r="CC138" s="322">
        <f t="shared" si="309"/>
        <v>1468.1254302374207</v>
      </c>
      <c r="CD138" s="322">
        <f t="shared" si="309"/>
        <v>1484.9356701058616</v>
      </c>
      <c r="CE138" s="322">
        <f t="shared" si="309"/>
        <v>1501.897779606064</v>
      </c>
      <c r="CF138" s="322">
        <f t="shared" si="309"/>
        <v>1519.0150814543165</v>
      </c>
      <c r="CG138" s="322">
        <f t="shared" si="309"/>
        <v>1536.2908523092703</v>
      </c>
      <c r="CH138" s="322">
        <f t="shared" si="309"/>
        <v>1553.7283263956811</v>
      </c>
      <c r="CI138" s="322">
        <f t="shared" si="309"/>
        <v>1571.3306989614919</v>
      </c>
      <c r="CJ138" s="322">
        <f t="shared" si="309"/>
        <v>1589.1011295767535</v>
      </c>
    </row>
    <row r="139" spans="2:88" hidden="1" outlineLevel="1">
      <c r="B139" s="319"/>
      <c r="C139" s="319"/>
      <c r="D139" s="319"/>
      <c r="E139" s="319"/>
      <c r="F139" s="319"/>
      <c r="G139" s="319"/>
      <c r="H139" s="319"/>
      <c r="I139" s="319"/>
      <c r="J139" s="319"/>
      <c r="K139" s="319"/>
      <c r="L139" s="319"/>
      <c r="M139" s="319"/>
      <c r="N139" s="319"/>
      <c r="O139" s="319"/>
      <c r="P139" s="319"/>
      <c r="Q139" s="319"/>
      <c r="R139" s="319"/>
      <c r="S139" s="319"/>
      <c r="T139" s="319"/>
      <c r="U139" s="319"/>
      <c r="V139" s="319"/>
      <c r="W139" s="319"/>
      <c r="X139" s="319"/>
      <c r="Y139" s="319"/>
      <c r="Z139" s="319"/>
      <c r="AA139" s="319"/>
      <c r="AB139" s="319"/>
      <c r="AC139" s="319"/>
      <c r="AD139" s="319"/>
      <c r="AE139" s="319"/>
      <c r="AF139" s="319"/>
      <c r="AG139" s="319"/>
      <c r="AH139" s="319"/>
      <c r="AI139" s="319"/>
      <c r="AJ139" s="319"/>
      <c r="AK139" s="319"/>
      <c r="AL139" s="319"/>
      <c r="AM139" s="319"/>
      <c r="AN139" s="319"/>
      <c r="AO139" s="319"/>
      <c r="AP139" s="319"/>
      <c r="AQ139" s="320"/>
      <c r="AR139" s="320"/>
      <c r="AS139" s="320"/>
      <c r="AT139" s="320"/>
      <c r="AU139" s="320"/>
      <c r="AV139" s="320"/>
      <c r="AW139" s="320"/>
      <c r="AX139" s="320"/>
      <c r="AY139" s="320"/>
      <c r="AZ139" s="320"/>
      <c r="BA139" s="320"/>
      <c r="BB139" s="320"/>
      <c r="BC139" s="320"/>
      <c r="BD139" s="320"/>
      <c r="BE139" s="320"/>
      <c r="BF139" s="320"/>
      <c r="BG139" s="320"/>
      <c r="BH139" s="320"/>
      <c r="BI139" s="320"/>
      <c r="BJ139" s="320"/>
      <c r="BK139" s="320"/>
      <c r="BL139" s="320"/>
      <c r="BM139" s="320"/>
      <c r="BN139" s="320"/>
      <c r="BO139" s="320"/>
      <c r="BP139" s="320"/>
      <c r="BQ139" s="320"/>
      <c r="BR139" s="320"/>
      <c r="BS139" s="320"/>
      <c r="BT139" s="320"/>
      <c r="BU139" s="320"/>
      <c r="BV139" s="320"/>
      <c r="BW139" s="320"/>
      <c r="BX139" s="320"/>
      <c r="BY139" s="320"/>
      <c r="BZ139" s="320"/>
      <c r="CA139" s="320"/>
      <c r="CB139" s="320"/>
      <c r="CC139" s="320"/>
      <c r="CD139" s="320"/>
      <c r="CE139" s="320"/>
      <c r="CF139" s="320"/>
      <c r="CG139" s="320"/>
      <c r="CH139" s="320"/>
      <c r="CI139" s="320"/>
      <c r="CJ139" s="320"/>
    </row>
    <row r="140" spans="2:88" hidden="1" outlineLevel="1">
      <c r="B140" s="319" t="s">
        <v>370</v>
      </c>
      <c r="C140" s="322"/>
      <c r="D140" s="322"/>
      <c r="E140" s="322"/>
      <c r="F140" s="322"/>
      <c r="G140" s="322"/>
      <c r="H140" s="322"/>
      <c r="I140" s="322"/>
      <c r="J140" s="322"/>
      <c r="K140" s="322"/>
      <c r="L140" s="322"/>
      <c r="M140" s="322"/>
      <c r="N140" s="322"/>
      <c r="O140" s="322"/>
      <c r="P140" s="322"/>
      <c r="Q140" s="322"/>
      <c r="R140" s="322"/>
      <c r="S140" s="322"/>
      <c r="T140" s="322"/>
      <c r="U140" s="322"/>
      <c r="V140" s="322"/>
      <c r="W140" s="322"/>
      <c r="X140" s="322"/>
      <c r="Y140" s="322"/>
      <c r="Z140" s="322"/>
      <c r="AA140" s="322"/>
      <c r="AB140" s="322"/>
      <c r="AC140" s="322"/>
      <c r="AD140" s="322"/>
      <c r="AE140" s="322"/>
      <c r="AF140" s="322"/>
      <c r="AG140" s="322"/>
      <c r="AH140" s="322"/>
      <c r="AI140" s="322"/>
      <c r="AJ140" s="322"/>
      <c r="AK140" s="322"/>
      <c r="AL140" s="322"/>
      <c r="AM140" s="322"/>
      <c r="AN140" s="322"/>
      <c r="AO140" s="322"/>
      <c r="AP140" s="322"/>
      <c r="AQ140" s="322"/>
      <c r="AR140" s="322"/>
      <c r="AS140" s="322"/>
      <c r="AT140" s="322"/>
      <c r="AU140" s="322"/>
      <c r="AV140" s="322"/>
      <c r="AW140" s="322"/>
      <c r="AX140" s="322"/>
      <c r="AY140" s="322"/>
      <c r="AZ140" s="322"/>
      <c r="BA140" s="322"/>
      <c r="BB140" s="322"/>
      <c r="BC140" s="322"/>
      <c r="BD140" s="322"/>
      <c r="BE140" s="322"/>
      <c r="BF140" s="322"/>
      <c r="BG140" s="322"/>
      <c r="BH140" s="322"/>
      <c r="BI140" s="322"/>
      <c r="BJ140" s="322"/>
      <c r="BK140" s="322"/>
      <c r="BL140" s="322"/>
      <c r="BM140" s="322"/>
      <c r="BN140" s="322"/>
      <c r="BO140" s="322"/>
      <c r="BP140" s="322"/>
      <c r="BQ140" s="322"/>
      <c r="BR140" s="322"/>
      <c r="BS140" s="322"/>
      <c r="BT140" s="322"/>
      <c r="BU140" s="322"/>
      <c r="BV140" s="322"/>
      <c r="BW140" s="322">
        <f t="shared" ref="BW140:CI140" si="310">BW142-BV142</f>
        <v>0</v>
      </c>
      <c r="BX140" s="322">
        <f t="shared" si="310"/>
        <v>0</v>
      </c>
      <c r="BY140" s="322">
        <f t="shared" si="310"/>
        <v>0</v>
      </c>
      <c r="BZ140" s="322">
        <f t="shared" si="310"/>
        <v>0</v>
      </c>
      <c r="CA140" s="322">
        <f t="shared" si="310"/>
        <v>0</v>
      </c>
      <c r="CB140" s="322">
        <f t="shared" si="310"/>
        <v>0</v>
      </c>
      <c r="CC140" s="322">
        <f t="shared" si="310"/>
        <v>0</v>
      </c>
      <c r="CD140" s="322">
        <f t="shared" si="310"/>
        <v>0</v>
      </c>
      <c r="CE140" s="322">
        <f t="shared" si="310"/>
        <v>0</v>
      </c>
      <c r="CF140" s="322">
        <f t="shared" si="310"/>
        <v>0</v>
      </c>
      <c r="CG140" s="322">
        <f t="shared" si="310"/>
        <v>0</v>
      </c>
      <c r="CH140" s="322">
        <f t="shared" si="310"/>
        <v>0</v>
      </c>
      <c r="CI140" s="322">
        <f t="shared" si="310"/>
        <v>0</v>
      </c>
      <c r="CJ140" s="322">
        <f>CJ142-CI142</f>
        <v>0</v>
      </c>
    </row>
    <row r="141" spans="2:88" hidden="1" outlineLevel="1">
      <c r="B141" s="319"/>
      <c r="C141" s="319"/>
      <c r="D141" s="319"/>
      <c r="E141" s="319"/>
      <c r="F141" s="319"/>
      <c r="G141" s="319"/>
      <c r="H141" s="319"/>
      <c r="I141" s="319"/>
      <c r="J141" s="319"/>
      <c r="K141" s="319"/>
      <c r="L141" s="319"/>
      <c r="M141" s="319"/>
      <c r="N141" s="319"/>
      <c r="O141" s="319"/>
      <c r="P141" s="319"/>
      <c r="Q141" s="319"/>
      <c r="R141" s="319"/>
      <c r="S141" s="319"/>
      <c r="T141" s="319"/>
      <c r="U141" s="319"/>
      <c r="V141" s="319"/>
      <c r="W141" s="319"/>
      <c r="X141" s="319"/>
      <c r="Y141" s="319"/>
      <c r="Z141" s="319"/>
      <c r="AA141" s="319"/>
      <c r="AB141" s="319"/>
      <c r="AC141" s="319"/>
      <c r="AD141" s="319"/>
      <c r="AE141" s="319"/>
      <c r="AF141" s="319"/>
      <c r="AG141" s="319"/>
      <c r="AH141" s="319"/>
      <c r="AI141" s="319"/>
      <c r="AJ141" s="319"/>
      <c r="AK141" s="319"/>
      <c r="AL141" s="319"/>
      <c r="AM141" s="319"/>
      <c r="AN141" s="319"/>
      <c r="AO141" s="319"/>
      <c r="AP141" s="319"/>
      <c r="AQ141" s="320"/>
      <c r="AR141" s="320"/>
      <c r="AS141" s="320"/>
      <c r="AT141" s="320"/>
      <c r="AU141" s="320"/>
      <c r="AV141" s="320"/>
      <c r="AW141" s="320"/>
      <c r="AX141" s="320"/>
      <c r="AY141" s="320"/>
      <c r="AZ141" s="320"/>
      <c r="BA141" s="320"/>
      <c r="BB141" s="320"/>
      <c r="BC141" s="320"/>
      <c r="BD141" s="320"/>
      <c r="BE141" s="320"/>
      <c r="BF141" s="320"/>
      <c r="BG141" s="320"/>
      <c r="BH141" s="320"/>
      <c r="BI141" s="320"/>
      <c r="BJ141" s="320"/>
      <c r="BK141" s="320"/>
      <c r="BL141" s="320"/>
      <c r="BM141" s="320"/>
      <c r="BN141" s="320"/>
      <c r="BO141" s="320"/>
      <c r="BP141" s="320"/>
      <c r="BQ141" s="320"/>
      <c r="BR141" s="320"/>
      <c r="BS141" s="320"/>
      <c r="BT141" s="320"/>
      <c r="BU141" s="320"/>
      <c r="BV141" s="320"/>
      <c r="BW141" s="320"/>
      <c r="BX141" s="320"/>
      <c r="BY141" s="320"/>
      <c r="BZ141" s="320"/>
      <c r="CA141" s="320"/>
      <c r="CB141" s="320"/>
      <c r="CC141" s="320"/>
      <c r="CD141" s="320"/>
      <c r="CE141" s="320"/>
      <c r="CF141" s="320"/>
      <c r="CG141" s="320"/>
      <c r="CH141" s="320"/>
      <c r="CI141" s="320"/>
      <c r="CJ141" s="320"/>
    </row>
    <row r="142" spans="2:88" hidden="1" outlineLevel="1">
      <c r="B142" s="319" t="s">
        <v>369</v>
      </c>
      <c r="C142" s="319"/>
      <c r="D142" s="319"/>
      <c r="E142" s="319"/>
      <c r="F142" s="319"/>
      <c r="G142" s="319"/>
      <c r="H142" s="319"/>
      <c r="I142" s="319"/>
      <c r="J142" s="319"/>
      <c r="K142" s="319"/>
      <c r="L142" s="319"/>
      <c r="M142" s="319"/>
      <c r="N142" s="319"/>
      <c r="O142" s="319"/>
      <c r="P142" s="319"/>
      <c r="Q142" s="319"/>
      <c r="R142" s="319"/>
      <c r="S142" s="319"/>
      <c r="T142" s="319"/>
      <c r="U142" s="319"/>
      <c r="V142" s="319"/>
      <c r="W142" s="319"/>
      <c r="X142" s="319"/>
      <c r="Y142" s="319"/>
      <c r="Z142" s="319"/>
      <c r="AA142" s="319"/>
      <c r="AB142" s="319"/>
      <c r="AC142" s="319"/>
      <c r="AD142" s="319"/>
      <c r="AE142" s="319"/>
      <c r="AF142" s="319"/>
      <c r="AG142" s="319"/>
      <c r="AH142" s="319"/>
      <c r="AI142" s="319"/>
      <c r="AJ142" s="319"/>
      <c r="AK142" s="319"/>
      <c r="AL142" s="319"/>
      <c r="AM142" s="319"/>
      <c r="AN142" s="319"/>
      <c r="AO142" s="319"/>
      <c r="AP142" s="319"/>
      <c r="AQ142" s="322"/>
      <c r="AR142" s="322"/>
      <c r="AS142" s="322"/>
      <c r="AT142" s="322"/>
      <c r="AU142" s="322"/>
      <c r="AV142" s="322"/>
      <c r="AW142" s="322"/>
      <c r="AX142" s="322"/>
      <c r="AY142" s="322"/>
      <c r="AZ142" s="322"/>
      <c r="BA142" s="322"/>
      <c r="BB142" s="322"/>
      <c r="BC142" s="322"/>
      <c r="BD142" s="322"/>
      <c r="BE142" s="322"/>
      <c r="BF142" s="322"/>
      <c r="BG142" s="322"/>
      <c r="BH142" s="322"/>
      <c r="BI142" s="322"/>
      <c r="BJ142" s="322"/>
      <c r="BK142" s="322"/>
      <c r="BL142" s="322"/>
      <c r="BM142" s="322"/>
      <c r="BN142" s="322"/>
      <c r="BO142" s="322"/>
      <c r="BP142" s="322"/>
      <c r="BQ142" s="322"/>
      <c r="BR142" s="322"/>
      <c r="BS142" s="322"/>
      <c r="BT142" s="322"/>
      <c r="BU142" s="322"/>
      <c r="BV142" s="322"/>
      <c r="BW142" s="322">
        <f t="shared" ref="BW142:CI142" si="311">BW138*BW143</f>
        <v>0</v>
      </c>
      <c r="BX142" s="322">
        <f t="shared" si="311"/>
        <v>0</v>
      </c>
      <c r="BY142" s="322">
        <f t="shared" si="311"/>
        <v>0</v>
      </c>
      <c r="BZ142" s="322">
        <f t="shared" si="311"/>
        <v>0</v>
      </c>
      <c r="CA142" s="322">
        <f t="shared" si="311"/>
        <v>0</v>
      </c>
      <c r="CB142" s="322">
        <f t="shared" si="311"/>
        <v>0</v>
      </c>
      <c r="CC142" s="322">
        <f t="shared" si="311"/>
        <v>0</v>
      </c>
      <c r="CD142" s="322">
        <f t="shared" si="311"/>
        <v>0</v>
      </c>
      <c r="CE142" s="322">
        <f t="shared" si="311"/>
        <v>0</v>
      </c>
      <c r="CF142" s="322">
        <f t="shared" si="311"/>
        <v>0</v>
      </c>
      <c r="CG142" s="322">
        <f t="shared" si="311"/>
        <v>0</v>
      </c>
      <c r="CH142" s="322">
        <f t="shared" si="311"/>
        <v>0</v>
      </c>
      <c r="CI142" s="322">
        <f t="shared" si="311"/>
        <v>0</v>
      </c>
      <c r="CJ142" s="322">
        <f>CJ138*CJ143</f>
        <v>0</v>
      </c>
    </row>
    <row r="143" spans="2:88" hidden="1" outlineLevel="1">
      <c r="B143" s="313" t="s">
        <v>350</v>
      </c>
      <c r="C143" s="313"/>
      <c r="D143" s="313"/>
      <c r="E143" s="313"/>
      <c r="F143" s="313"/>
      <c r="G143" s="313"/>
      <c r="H143" s="313"/>
      <c r="I143" s="313"/>
      <c r="J143" s="313"/>
      <c r="K143" s="313"/>
      <c r="L143" s="313"/>
      <c r="M143" s="313"/>
      <c r="N143" s="313"/>
      <c r="O143" s="313"/>
      <c r="P143" s="313"/>
      <c r="Q143" s="313"/>
      <c r="R143" s="313"/>
      <c r="S143" s="313"/>
      <c r="T143" s="313"/>
      <c r="U143" s="313"/>
      <c r="V143" s="313"/>
      <c r="W143" s="313"/>
      <c r="X143" s="313"/>
      <c r="Y143" s="313"/>
      <c r="Z143" s="313"/>
      <c r="AA143" s="313"/>
      <c r="AB143" s="313"/>
      <c r="AC143" s="313"/>
      <c r="AD143" s="313"/>
      <c r="AE143" s="313"/>
      <c r="AF143" s="313"/>
      <c r="AG143" s="313"/>
      <c r="AH143" s="313"/>
      <c r="AI143" s="313"/>
      <c r="AJ143" s="313"/>
      <c r="AK143" s="313"/>
      <c r="AL143" s="313"/>
      <c r="AM143" s="313"/>
      <c r="AN143" s="313"/>
      <c r="AO143" s="313"/>
      <c r="AP143" s="313"/>
      <c r="AQ143" s="315"/>
      <c r="AR143" s="315"/>
      <c r="AS143" s="315"/>
      <c r="AT143" s="315"/>
      <c r="AU143" s="315"/>
      <c r="AV143" s="315"/>
      <c r="AW143" s="315"/>
      <c r="AX143" s="315"/>
      <c r="AY143" s="315"/>
      <c r="AZ143" s="315"/>
      <c r="BA143" s="315"/>
      <c r="BB143" s="315"/>
      <c r="BC143" s="315"/>
      <c r="BD143" s="315"/>
      <c r="BE143" s="315"/>
      <c r="BF143" s="315"/>
      <c r="BG143" s="315"/>
      <c r="BH143" s="315"/>
      <c r="BI143" s="315"/>
      <c r="BJ143" s="315"/>
      <c r="BK143" s="315"/>
      <c r="BL143" s="315"/>
      <c r="BM143" s="315"/>
      <c r="BN143" s="315"/>
      <c r="BO143" s="315"/>
      <c r="BP143" s="315"/>
      <c r="BQ143" s="315"/>
      <c r="BR143" s="315"/>
      <c r="BS143" s="315"/>
      <c r="BT143" s="315"/>
      <c r="BU143" s="315"/>
      <c r="BV143" s="315"/>
      <c r="BW143" s="315">
        <f t="shared" ref="BW143:CJ143" si="312">CHOOSE($BW$3,BW46,BW47,BW48)</f>
        <v>0</v>
      </c>
      <c r="BX143" s="315">
        <f t="shared" si="312"/>
        <v>0</v>
      </c>
      <c r="BY143" s="315">
        <f t="shared" si="312"/>
        <v>0</v>
      </c>
      <c r="BZ143" s="315">
        <f t="shared" si="312"/>
        <v>0</v>
      </c>
      <c r="CA143" s="315">
        <f t="shared" si="312"/>
        <v>0</v>
      </c>
      <c r="CB143" s="315">
        <f t="shared" si="312"/>
        <v>0</v>
      </c>
      <c r="CC143" s="315">
        <f t="shared" si="312"/>
        <v>0</v>
      </c>
      <c r="CD143" s="315">
        <f t="shared" si="312"/>
        <v>0</v>
      </c>
      <c r="CE143" s="315">
        <f t="shared" si="312"/>
        <v>0</v>
      </c>
      <c r="CF143" s="315">
        <f t="shared" si="312"/>
        <v>0</v>
      </c>
      <c r="CG143" s="315">
        <f t="shared" si="312"/>
        <v>0</v>
      </c>
      <c r="CH143" s="315">
        <f t="shared" si="312"/>
        <v>0</v>
      </c>
      <c r="CI143" s="315">
        <f t="shared" si="312"/>
        <v>0</v>
      </c>
      <c r="CJ143" s="315">
        <f t="shared" si="312"/>
        <v>0</v>
      </c>
    </row>
    <row r="144" spans="2:88" hidden="1" outlineLevel="2">
      <c r="B144" s="319"/>
      <c r="C144" s="319"/>
      <c r="D144" s="319"/>
      <c r="E144" s="319"/>
      <c r="F144" s="319"/>
      <c r="G144" s="319"/>
      <c r="H144" s="319"/>
      <c r="I144" s="319"/>
      <c r="J144" s="319"/>
      <c r="K144" s="319"/>
      <c r="L144" s="319"/>
      <c r="M144" s="319"/>
      <c r="N144" s="319"/>
      <c r="O144" s="319"/>
      <c r="P144" s="319"/>
      <c r="Q144" s="319"/>
      <c r="R144" s="319"/>
      <c r="S144" s="319"/>
      <c r="T144" s="319"/>
      <c r="U144" s="319"/>
      <c r="V144" s="319"/>
      <c r="W144" s="319"/>
      <c r="X144" s="319"/>
      <c r="Y144" s="319"/>
      <c r="Z144" s="319"/>
      <c r="AA144" s="319"/>
      <c r="AB144" s="319"/>
      <c r="AC144" s="319"/>
      <c r="AD144" s="319"/>
      <c r="AE144" s="319"/>
      <c r="AF144" s="319"/>
      <c r="AG144" s="319"/>
      <c r="AH144" s="319"/>
      <c r="AI144" s="319"/>
      <c r="AJ144" s="319"/>
      <c r="AK144" s="319"/>
      <c r="AL144" s="319"/>
      <c r="AM144" s="319"/>
      <c r="AN144" s="319"/>
      <c r="AO144" s="319"/>
      <c r="AP144" s="319"/>
      <c r="AQ144" s="320"/>
      <c r="AR144" s="320"/>
      <c r="AS144" s="320"/>
      <c r="AT144" s="320"/>
      <c r="AU144" s="320"/>
      <c r="AV144" s="320"/>
      <c r="AW144" s="320"/>
      <c r="AX144" s="320"/>
      <c r="AY144" s="320"/>
      <c r="AZ144" s="320"/>
      <c r="BA144" s="320"/>
      <c r="BB144" s="320"/>
      <c r="BC144" s="320"/>
      <c r="BD144" s="320"/>
      <c r="BE144" s="320"/>
      <c r="BF144" s="320"/>
      <c r="BG144" s="320"/>
      <c r="BH144" s="320"/>
      <c r="BI144" s="320"/>
      <c r="BJ144" s="320"/>
      <c r="BK144" s="320"/>
      <c r="BL144" s="320"/>
      <c r="BM144" s="320"/>
      <c r="BN144" s="320"/>
      <c r="BO144" s="320"/>
      <c r="BP144" s="320"/>
      <c r="BQ144" s="320"/>
      <c r="BR144" s="320"/>
      <c r="BS144" s="320"/>
      <c r="BT144" s="320"/>
      <c r="BU144" s="320"/>
      <c r="BV144" s="320"/>
      <c r="BW144" s="320"/>
      <c r="BX144" s="320"/>
      <c r="BY144" s="320"/>
      <c r="BZ144" s="320"/>
      <c r="CA144" s="320"/>
      <c r="CB144" s="320"/>
      <c r="CC144" s="320"/>
      <c r="CD144" s="320"/>
      <c r="CE144" s="320"/>
      <c r="CF144" s="320"/>
      <c r="CG144" s="320"/>
      <c r="CH144" s="320"/>
      <c r="CI144" s="320"/>
      <c r="CJ144" s="320"/>
    </row>
    <row r="145" spans="2:88" hidden="1" outlineLevel="2">
      <c r="B145" s="319" t="s">
        <v>373</v>
      </c>
      <c r="C145" s="319"/>
      <c r="D145" s="319"/>
      <c r="E145" s="319"/>
      <c r="F145" s="319"/>
      <c r="G145" s="319"/>
      <c r="H145" s="319"/>
      <c r="I145" s="319"/>
      <c r="J145" s="319"/>
      <c r="K145" s="319"/>
      <c r="L145" s="319"/>
      <c r="M145" s="319"/>
      <c r="N145" s="319"/>
      <c r="O145" s="319"/>
      <c r="P145" s="319"/>
      <c r="Q145" s="319"/>
      <c r="R145" s="319"/>
      <c r="S145" s="319"/>
      <c r="T145" s="319"/>
      <c r="U145" s="319"/>
      <c r="V145" s="319"/>
      <c r="W145" s="319"/>
      <c r="X145" s="319"/>
      <c r="Y145" s="319"/>
      <c r="Z145" s="319"/>
      <c r="AA145" s="319"/>
      <c r="AB145" s="319"/>
      <c r="AC145" s="319"/>
      <c r="AD145" s="319"/>
      <c r="AE145" s="319"/>
      <c r="AF145" s="319"/>
      <c r="AG145" s="319"/>
      <c r="AH145" s="319"/>
      <c r="AI145" s="319"/>
      <c r="AJ145" s="319"/>
      <c r="AK145" s="319"/>
      <c r="AL145" s="319"/>
      <c r="AM145" s="319"/>
      <c r="AN145" s="319"/>
      <c r="AO145" s="319"/>
      <c r="AP145" s="319"/>
      <c r="AQ145" s="321"/>
      <c r="AR145" s="321"/>
      <c r="AS145" s="321"/>
      <c r="AT145" s="321"/>
      <c r="AU145" s="321"/>
      <c r="AV145" s="321"/>
      <c r="AW145" s="321"/>
      <c r="AX145" s="321"/>
      <c r="AY145" s="321"/>
      <c r="AZ145" s="321"/>
      <c r="BA145" s="321"/>
      <c r="BB145" s="321"/>
      <c r="BC145" s="321"/>
      <c r="BD145" s="321"/>
      <c r="BE145" s="321"/>
      <c r="BF145" s="321"/>
      <c r="BG145" s="321"/>
      <c r="BH145" s="321"/>
      <c r="BI145" s="321"/>
      <c r="BJ145" s="321"/>
      <c r="BK145" s="321"/>
      <c r="BL145" s="321"/>
      <c r="BM145" s="321"/>
      <c r="BN145" s="321"/>
      <c r="BO145" s="321"/>
      <c r="BP145" s="321"/>
      <c r="BQ145" s="321"/>
      <c r="BR145" s="321"/>
      <c r="BS145" s="321"/>
      <c r="BT145" s="321"/>
      <c r="BU145" s="321"/>
      <c r="BV145" s="321"/>
      <c r="BW145" s="321">
        <f t="shared" ref="BW145" si="313">BR142*BW146</f>
        <v>0</v>
      </c>
      <c r="BX145" s="321">
        <f t="shared" ref="BX145" si="314">BS142*BX146</f>
        <v>0</v>
      </c>
      <c r="BY145" s="321">
        <f t="shared" ref="BY145" si="315">BT142*BY146</f>
        <v>0</v>
      </c>
      <c r="BZ145" s="321">
        <f t="shared" ref="BZ145" si="316">BU142*BZ146</f>
        <v>0</v>
      </c>
      <c r="CA145" s="321">
        <f t="shared" ref="CA145" si="317">BV142*CA146</f>
        <v>0</v>
      </c>
      <c r="CB145" s="321">
        <f t="shared" ref="CB145" si="318">BW142*CB146</f>
        <v>0</v>
      </c>
      <c r="CC145" s="321">
        <f t="shared" ref="CC145" si="319">BX142*CC146</f>
        <v>0</v>
      </c>
      <c r="CD145" s="321">
        <f t="shared" ref="CD145" si="320">BY142*CD146</f>
        <v>0</v>
      </c>
      <c r="CE145" s="321">
        <f t="shared" ref="CE145" si="321">BZ142*CE146</f>
        <v>0</v>
      </c>
      <c r="CF145" s="321">
        <f t="shared" ref="CF145" si="322">CA142*CF146</f>
        <v>0</v>
      </c>
      <c r="CG145" s="321">
        <f t="shared" ref="CG145" si="323">CB142*CG146</f>
        <v>0</v>
      </c>
      <c r="CH145" s="321">
        <f t="shared" ref="CH145" si="324">CC142*CH146</f>
        <v>0</v>
      </c>
      <c r="CI145" s="321">
        <f t="shared" ref="CI145" si="325">CD142*CI146</f>
        <v>0</v>
      </c>
      <c r="CJ145" s="321">
        <f t="shared" ref="CJ145" si="326">CE142*CJ146</f>
        <v>0</v>
      </c>
    </row>
    <row r="146" spans="2:88" hidden="1" outlineLevel="2">
      <c r="B146" s="313" t="s">
        <v>350</v>
      </c>
      <c r="C146" s="313"/>
      <c r="D146" s="313"/>
      <c r="E146" s="313"/>
      <c r="F146" s="313"/>
      <c r="G146" s="313"/>
      <c r="H146" s="313"/>
      <c r="I146" s="313"/>
      <c r="J146" s="313"/>
      <c r="K146" s="313"/>
      <c r="L146" s="313"/>
      <c r="M146" s="313"/>
      <c r="N146" s="313"/>
      <c r="O146" s="313"/>
      <c r="P146" s="313"/>
      <c r="Q146" s="313"/>
      <c r="R146" s="313"/>
      <c r="S146" s="313"/>
      <c r="T146" s="313"/>
      <c r="U146" s="313"/>
      <c r="V146" s="313"/>
      <c r="W146" s="313"/>
      <c r="X146" s="313"/>
      <c r="Y146" s="313"/>
      <c r="Z146" s="313"/>
      <c r="AA146" s="313"/>
      <c r="AB146" s="313"/>
      <c r="AC146" s="313"/>
      <c r="AD146" s="313"/>
      <c r="AE146" s="313"/>
      <c r="AF146" s="313"/>
      <c r="AG146" s="313"/>
      <c r="AH146" s="313"/>
      <c r="AI146" s="313"/>
      <c r="AJ146" s="313"/>
      <c r="AK146" s="313"/>
      <c r="AL146" s="313"/>
      <c r="AM146" s="313"/>
      <c r="AN146" s="313"/>
      <c r="AO146" s="313"/>
      <c r="AP146" s="313"/>
      <c r="AQ146" s="315"/>
      <c r="AR146" s="315"/>
      <c r="AS146" s="315"/>
      <c r="AT146" s="315"/>
      <c r="AU146" s="315"/>
      <c r="AV146" s="315"/>
      <c r="AW146" s="315"/>
      <c r="AX146" s="315"/>
      <c r="AY146" s="315"/>
      <c r="AZ146" s="315"/>
      <c r="BA146" s="315"/>
      <c r="BB146" s="315"/>
      <c r="BC146" s="315"/>
      <c r="BD146" s="315"/>
      <c r="BE146" s="315"/>
      <c r="BF146" s="315"/>
      <c r="BG146" s="315"/>
      <c r="BH146" s="315"/>
      <c r="BI146" s="315"/>
      <c r="BJ146" s="315"/>
      <c r="BK146" s="315"/>
      <c r="BL146" s="315"/>
      <c r="BM146" s="315"/>
      <c r="BN146" s="315"/>
      <c r="BO146" s="315"/>
      <c r="BP146" s="315"/>
      <c r="BQ146" s="315"/>
      <c r="BR146" s="315"/>
      <c r="BS146" s="315"/>
      <c r="BT146" s="315"/>
      <c r="BU146" s="315"/>
      <c r="BV146" s="315"/>
      <c r="BW146" s="315">
        <f>CHOOSE($BW$3,BW51,BW52,BW53)</f>
        <v>0</v>
      </c>
      <c r="BX146" s="315">
        <f t="shared" ref="BX146:CJ146" si="327">CHOOSE($BW$3,BX51,BX52,BX53)</f>
        <v>0</v>
      </c>
      <c r="BY146" s="315">
        <f t="shared" si="327"/>
        <v>0</v>
      </c>
      <c r="BZ146" s="315">
        <f t="shared" si="327"/>
        <v>0</v>
      </c>
      <c r="CA146" s="315">
        <f t="shared" si="327"/>
        <v>0</v>
      </c>
      <c r="CB146" s="315">
        <f t="shared" si="327"/>
        <v>0</v>
      </c>
      <c r="CC146" s="315">
        <f t="shared" si="327"/>
        <v>0</v>
      </c>
      <c r="CD146" s="315">
        <f t="shared" si="327"/>
        <v>0</v>
      </c>
      <c r="CE146" s="315">
        <f t="shared" si="327"/>
        <v>0</v>
      </c>
      <c r="CF146" s="315">
        <f t="shared" si="327"/>
        <v>0</v>
      </c>
      <c r="CG146" s="315">
        <f t="shared" si="327"/>
        <v>0</v>
      </c>
      <c r="CH146" s="315">
        <f t="shared" si="327"/>
        <v>0</v>
      </c>
      <c r="CI146" s="315">
        <f t="shared" si="327"/>
        <v>0</v>
      </c>
      <c r="CJ146" s="315">
        <f t="shared" si="327"/>
        <v>0</v>
      </c>
    </row>
    <row r="147" spans="2:88" hidden="1" outlineLevel="1" collapsed="1">
      <c r="B147" s="353"/>
      <c r="C147" s="353"/>
      <c r="D147" s="353"/>
      <c r="E147" s="353"/>
      <c r="F147" s="353"/>
      <c r="G147" s="353"/>
      <c r="H147" s="353"/>
      <c r="I147" s="353"/>
      <c r="J147" s="353"/>
      <c r="K147" s="353"/>
      <c r="L147" s="353"/>
      <c r="M147" s="353"/>
      <c r="N147" s="353"/>
      <c r="O147" s="353"/>
      <c r="P147" s="353"/>
      <c r="Q147" s="353"/>
      <c r="R147" s="353"/>
      <c r="S147" s="353"/>
      <c r="T147" s="353"/>
      <c r="U147" s="353"/>
      <c r="V147" s="353"/>
      <c r="W147" s="353"/>
      <c r="X147" s="353"/>
      <c r="Y147" s="353"/>
      <c r="Z147" s="353"/>
      <c r="AA147" s="353"/>
      <c r="AB147" s="353"/>
      <c r="AC147" s="353"/>
      <c r="AD147" s="353"/>
      <c r="AE147" s="353"/>
      <c r="AF147" s="353"/>
      <c r="AG147" s="353"/>
      <c r="AH147" s="353"/>
      <c r="AI147" s="353"/>
      <c r="AJ147" s="353"/>
      <c r="AK147" s="353"/>
      <c r="AL147" s="353"/>
      <c r="AM147" s="353"/>
      <c r="AN147" s="353"/>
      <c r="AO147" s="353"/>
      <c r="AP147" s="353"/>
      <c r="AQ147" s="354"/>
      <c r="AR147" s="354"/>
      <c r="AS147" s="354"/>
      <c r="AT147" s="354"/>
      <c r="AU147" s="354"/>
      <c r="AV147" s="354"/>
      <c r="AW147" s="354"/>
      <c r="AX147" s="354"/>
      <c r="AY147" s="354"/>
      <c r="AZ147" s="354"/>
      <c r="BA147" s="354"/>
      <c r="BB147" s="354"/>
      <c r="BC147" s="354"/>
      <c r="BD147" s="354"/>
      <c r="BE147" s="354"/>
      <c r="BF147" s="354"/>
      <c r="BG147" s="354"/>
      <c r="BH147" s="354"/>
      <c r="BI147" s="354"/>
      <c r="BJ147" s="354"/>
      <c r="BK147" s="354"/>
      <c r="BL147" s="354"/>
      <c r="BM147" s="354"/>
      <c r="BN147" s="354"/>
      <c r="BO147" s="354"/>
      <c r="BP147" s="354"/>
      <c r="BQ147" s="354"/>
      <c r="BR147" s="354"/>
      <c r="BS147" s="354"/>
      <c r="BT147" s="354"/>
      <c r="BU147" s="354"/>
      <c r="BV147" s="354"/>
      <c r="BW147" s="354"/>
      <c r="BX147" s="354"/>
      <c r="BY147" s="354"/>
      <c r="BZ147" s="354"/>
      <c r="CA147" s="354"/>
      <c r="CB147" s="354"/>
      <c r="CC147" s="354"/>
      <c r="CD147" s="354"/>
      <c r="CE147" s="354"/>
      <c r="CF147" s="354"/>
      <c r="CG147" s="354"/>
      <c r="CH147" s="354"/>
      <c r="CI147" s="354"/>
      <c r="CJ147" s="354"/>
    </row>
    <row r="148" spans="2:88" hidden="1" outlineLevel="1">
      <c r="B148" s="316" t="s">
        <v>339</v>
      </c>
      <c r="C148" s="316"/>
      <c r="D148" s="316"/>
      <c r="E148" s="316"/>
      <c r="F148" s="316"/>
      <c r="G148" s="316"/>
      <c r="H148" s="316"/>
      <c r="I148" s="316"/>
      <c r="J148" s="316"/>
      <c r="K148" s="316"/>
      <c r="L148" s="316"/>
      <c r="M148" s="316"/>
      <c r="N148" s="316"/>
      <c r="O148" s="316"/>
      <c r="P148" s="316"/>
      <c r="Q148" s="316"/>
      <c r="R148" s="316"/>
      <c r="S148" s="316"/>
      <c r="T148" s="316"/>
      <c r="U148" s="316"/>
      <c r="V148" s="316"/>
      <c r="W148" s="316"/>
      <c r="X148" s="316"/>
      <c r="Y148" s="316"/>
      <c r="Z148" s="316"/>
      <c r="AA148" s="316"/>
      <c r="AB148" s="316"/>
      <c r="AC148" s="316"/>
      <c r="AD148" s="316"/>
      <c r="AE148" s="316"/>
      <c r="AF148" s="316"/>
      <c r="AG148" s="316"/>
      <c r="AH148" s="316"/>
      <c r="AI148" s="316"/>
      <c r="AJ148" s="316"/>
      <c r="AK148" s="316"/>
      <c r="AL148" s="316"/>
      <c r="AM148" s="316"/>
      <c r="AN148" s="316"/>
      <c r="AO148" s="316"/>
      <c r="AP148" s="316"/>
      <c r="AQ148" s="310"/>
      <c r="AR148" s="310"/>
      <c r="AS148" s="310"/>
      <c r="AT148" s="310"/>
      <c r="AU148" s="310"/>
      <c r="AV148" s="310"/>
      <c r="AW148" s="310"/>
      <c r="AX148" s="310"/>
      <c r="AY148" s="310"/>
      <c r="AZ148" s="310"/>
      <c r="BA148" s="310"/>
      <c r="BB148" s="310"/>
      <c r="BC148" s="310"/>
      <c r="BD148" s="310"/>
      <c r="BE148" s="310"/>
      <c r="BF148" s="310"/>
      <c r="BG148" s="310"/>
      <c r="BH148" s="310"/>
      <c r="BI148" s="310"/>
      <c r="BJ148" s="310"/>
      <c r="BK148" s="310"/>
      <c r="BL148" s="310"/>
      <c r="BM148" s="310"/>
      <c r="BN148" s="310"/>
      <c r="BO148" s="310"/>
      <c r="BP148" s="310"/>
      <c r="BQ148" s="310"/>
      <c r="BR148" s="310"/>
      <c r="BS148" s="310"/>
      <c r="BT148" s="310"/>
      <c r="BU148" s="310"/>
      <c r="BV148" s="310"/>
      <c r="BW148" s="310"/>
      <c r="BX148" s="310"/>
      <c r="BY148" s="310"/>
      <c r="BZ148" s="310"/>
      <c r="CA148" s="310"/>
      <c r="CB148" s="310"/>
      <c r="CC148" s="310"/>
      <c r="CD148" s="310"/>
      <c r="CE148" s="310"/>
      <c r="CF148" s="310"/>
      <c r="CG148" s="310"/>
      <c r="CH148" s="310"/>
      <c r="CI148" s="310"/>
      <c r="CJ148" s="310"/>
    </row>
    <row r="149" spans="2:88" hidden="1" outlineLevel="1">
      <c r="B149" s="317" t="s">
        <v>365</v>
      </c>
      <c r="C149" s="318">
        <v>0</v>
      </c>
      <c r="D149" s="318">
        <f t="shared" ref="D149:AQ149" si="328">C155</f>
        <v>3.1678418464412483</v>
      </c>
      <c r="E149" s="318">
        <f t="shared" si="328"/>
        <v>6.2121378608712874</v>
      </c>
      <c r="F149" s="318">
        <f t="shared" si="328"/>
        <v>9.1394486437540969</v>
      </c>
      <c r="G149" s="318">
        <f t="shared" si="328"/>
        <v>11.956010981927957</v>
      </c>
      <c r="H149" s="318">
        <f t="shared" si="328"/>
        <v>14.667754085667099</v>
      </c>
      <c r="I149" s="318">
        <f t="shared" si="328"/>
        <v>17.280315014400475</v>
      </c>
      <c r="J149" s="318">
        <f t="shared" si="328"/>
        <v>19.799053331660364</v>
      </c>
      <c r="K149" s="318">
        <f t="shared" si="328"/>
        <v>22.229065027805039</v>
      </c>
      <c r="L149" s="318">
        <f t="shared" si="328"/>
        <v>24.575195747132483</v>
      </c>
      <c r="M149" s="318">
        <f t="shared" si="328"/>
        <v>26.842053354171451</v>
      </c>
      <c r="N149" s="318">
        <f t="shared" si="328"/>
        <v>29.034019872196822</v>
      </c>
      <c r="O149" s="318">
        <f t="shared" si="328"/>
        <v>31.155262825363998</v>
      </c>
      <c r="P149" s="318">
        <f t="shared" si="328"/>
        <v>33.209746014287362</v>
      </c>
      <c r="Q149" s="318">
        <f t="shared" si="328"/>
        <v>35.201239753396663</v>
      </c>
      <c r="R149" s="318">
        <f t="shared" si="328"/>
        <v>37.133330596988557</v>
      </c>
      <c r="S149" s="318">
        <f t="shared" si="328"/>
        <v>39.009430579544741</v>
      </c>
      <c r="T149" s="318">
        <f t="shared" si="328"/>
        <v>40.832785994609573</v>
      </c>
      <c r="U149" s="318">
        <f t="shared" si="328"/>
        <v>42.606485735305625</v>
      </c>
      <c r="V149" s="318">
        <f t="shared" si="328"/>
        <v>44.333469218411565</v>
      </c>
      <c r="W149" s="318">
        <f t="shared" si="328"/>
        <v>46.016533912830795</v>
      </c>
      <c r="X149" s="318">
        <f t="shared" si="328"/>
        <v>47.6583424922378</v>
      </c>
      <c r="Y149" s="318">
        <f t="shared" si="328"/>
        <v>49.261429630699986</v>
      </c>
      <c r="Z149" s="318">
        <f t="shared" si="328"/>
        <v>50.828208459132874</v>
      </c>
      <c r="AA149" s="318">
        <f t="shared" si="328"/>
        <v>52.360976699553767</v>
      </c>
      <c r="AB149" s="318">
        <f t="shared" si="328"/>
        <v>53.861922493250766</v>
      </c>
      <c r="AC149" s="318">
        <f t="shared" si="328"/>
        <v>55.333129938178338</v>
      </c>
      <c r="AD149" s="318">
        <f t="shared" si="328"/>
        <v>56.776584350125027</v>
      </c>
      <c r="AE149" s="318">
        <f t="shared" si="328"/>
        <v>58.194177261471793</v>
      </c>
      <c r="AF149" s="318">
        <f t="shared" si="328"/>
        <v>59.587711170668598</v>
      </c>
      <c r="AG149" s="318">
        <f t="shared" si="328"/>
        <v>60.958904054900536</v>
      </c>
      <c r="AH149" s="318">
        <f t="shared" si="328"/>
        <v>62.309393657791297</v>
      </c>
      <c r="AI149" s="318">
        <f t="shared" si="328"/>
        <v>63.640741563399509</v>
      </c>
      <c r="AJ149" s="318">
        <f t="shared" si="328"/>
        <v>64.954437067200786</v>
      </c>
      <c r="AK149" s="318">
        <f t="shared" si="328"/>
        <v>66.251900854213687</v>
      </c>
      <c r="AL149" s="318">
        <f t="shared" si="328"/>
        <v>67.534488493920051</v>
      </c>
      <c r="AM149" s="318">
        <f t="shared" si="328"/>
        <v>68.803493761147678</v>
      </c>
      <c r="AN149" s="318">
        <f t="shared" si="328"/>
        <v>70.060151791625088</v>
      </c>
      <c r="AO149" s="318">
        <f t="shared" si="328"/>
        <v>71.3056420804825</v>
      </c>
      <c r="AP149" s="318">
        <f t="shared" si="328"/>
        <v>72.541091331559869</v>
      </c>
      <c r="AQ149" s="318">
        <f t="shared" si="328"/>
        <v>73.767576164989478</v>
      </c>
      <c r="AR149" s="318">
        <f>AQ155</f>
        <v>74.986125690147702</v>
      </c>
      <c r="AS149" s="318">
        <f t="shared" ref="AS149:BK149" si="329">AR155</f>
        <v>76.197723950715499</v>
      </c>
      <c r="AT149" s="318">
        <f t="shared" si="329"/>
        <v>77.403312248250728</v>
      </c>
      <c r="AU149" s="318">
        <f t="shared" si="329"/>
        <v>78.603791350354982</v>
      </c>
      <c r="AV149" s="318">
        <f t="shared" si="329"/>
        <v>79.800023589213708</v>
      </c>
      <c r="AW149" s="318">
        <f t="shared" si="329"/>
        <v>80.992834855999632</v>
      </c>
      <c r="AX149" s="318">
        <f t="shared" si="329"/>
        <v>82.183016496354981</v>
      </c>
      <c r="AY149" s="318">
        <f t="shared" si="329"/>
        <v>83.371327111907263</v>
      </c>
      <c r="AZ149" s="318">
        <f t="shared" si="329"/>
        <v>84.558494272526005</v>
      </c>
      <c r="BA149" s="318">
        <f t="shared" si="329"/>
        <v>85.745216143792163</v>
      </c>
      <c r="BB149" s="318">
        <f t="shared" si="329"/>
        <v>86.932163033928816</v>
      </c>
      <c r="BC149" s="318">
        <f t="shared" si="329"/>
        <v>88.119978864229225</v>
      </c>
      <c r="BD149" s="318">
        <f t="shared" si="329"/>
        <v>89.309282566816591</v>
      </c>
      <c r="BE149" s="318">
        <f t="shared" si="329"/>
        <v>90.500669413378375</v>
      </c>
      <c r="BF149" s="318">
        <f t="shared" si="329"/>
        <v>91.694712278335999</v>
      </c>
      <c r="BG149" s="318">
        <f t="shared" si="329"/>
        <v>92.891962839737616</v>
      </c>
      <c r="BH149" s="318">
        <f t="shared" si="329"/>
        <v>94.092952720997673</v>
      </c>
      <c r="BI149" s="318">
        <f t="shared" si="329"/>
        <v>95.298194576450442</v>
      </c>
      <c r="BJ149" s="318">
        <f t="shared" si="329"/>
        <v>96.508183123537094</v>
      </c>
      <c r="BK149" s="318">
        <f t="shared" si="329"/>
        <v>97.723396124304415</v>
      </c>
      <c r="BL149" s="318">
        <f>BK155</f>
        <v>98.944295318759757</v>
      </c>
      <c r="BM149" s="318">
        <f>BL155</f>
        <v>100.17132731249971</v>
      </c>
      <c r="BN149" s="318">
        <f t="shared" ref="BN149:CJ149" si="330">BM155</f>
        <v>101.40492442090913</v>
      </c>
      <c r="BO149" s="318">
        <f t="shared" si="330"/>
        <v>102.64550547211245</v>
      </c>
      <c r="BP149" s="318">
        <f t="shared" si="330"/>
        <v>103.89347657075032</v>
      </c>
      <c r="BQ149" s="318">
        <f t="shared" si="330"/>
        <v>105.14923182455099</v>
      </c>
      <c r="BR149" s="318">
        <f t="shared" si="330"/>
        <v>106.41315403556735</v>
      </c>
      <c r="BS149" s="318">
        <f t="shared" si="330"/>
        <v>107.68561535785756</v>
      </c>
      <c r="BT149" s="318">
        <f t="shared" si="330"/>
        <v>108.96697792329802</v>
      </c>
      <c r="BU149" s="318">
        <f t="shared" si="330"/>
        <v>110.25759443713312</v>
      </c>
      <c r="BV149" s="318">
        <f t="shared" si="330"/>
        <v>111.55780874478648</v>
      </c>
      <c r="BW149" s="318">
        <f t="shared" si="330"/>
        <v>112.86795637138178</v>
      </c>
      <c r="BX149" s="318">
        <f t="shared" si="330"/>
        <v>114.18836503534949</v>
      </c>
      <c r="BY149" s="318">
        <f t="shared" si="330"/>
        <v>115.51935513742671</v>
      </c>
      <c r="BZ149" s="318">
        <f t="shared" si="330"/>
        <v>116.86124022629237</v>
      </c>
      <c r="CA149" s="318">
        <f t="shared" si="330"/>
        <v>118.21432744201785</v>
      </c>
      <c r="CB149" s="318">
        <f t="shared" si="330"/>
        <v>119.5789179384545</v>
      </c>
      <c r="CC149" s="318">
        <f t="shared" si="330"/>
        <v>120.95530728562322</v>
      </c>
      <c r="CD149" s="318">
        <f t="shared" si="330"/>
        <v>122.3437858531185</v>
      </c>
      <c r="CE149" s="318">
        <f t="shared" si="330"/>
        <v>123.74463917548857</v>
      </c>
      <c r="CF149" s="318">
        <f t="shared" si="330"/>
        <v>125.15814830050542</v>
      </c>
      <c r="CG149" s="318">
        <f t="shared" si="330"/>
        <v>126.58459012119313</v>
      </c>
      <c r="CH149" s="318">
        <f t="shared" si="330"/>
        <v>128.0242376924393</v>
      </c>
      <c r="CI149" s="318">
        <f t="shared" si="330"/>
        <v>129.47736053297351</v>
      </c>
      <c r="CJ149" s="318">
        <f t="shared" si="330"/>
        <v>130.94422491345773</v>
      </c>
    </row>
    <row r="150" spans="2:88" hidden="1" outlineLevel="1">
      <c r="B150" s="319"/>
      <c r="C150" s="320"/>
      <c r="D150" s="320"/>
      <c r="E150" s="320"/>
      <c r="F150" s="320"/>
      <c r="G150" s="320"/>
      <c r="H150" s="320"/>
      <c r="I150" s="320"/>
      <c r="J150" s="320"/>
      <c r="K150" s="320"/>
      <c r="L150" s="320"/>
      <c r="M150" s="320"/>
      <c r="N150" s="320"/>
      <c r="O150" s="320"/>
      <c r="P150" s="320"/>
      <c r="Q150" s="320"/>
      <c r="R150" s="320"/>
      <c r="S150" s="320"/>
      <c r="T150" s="320"/>
      <c r="U150" s="320"/>
      <c r="V150" s="320"/>
      <c r="W150" s="320"/>
      <c r="X150" s="320"/>
      <c r="Y150" s="320"/>
      <c r="Z150" s="320"/>
      <c r="AA150" s="320"/>
      <c r="AB150" s="320"/>
      <c r="AC150" s="320"/>
      <c r="AD150" s="320"/>
      <c r="AE150" s="320"/>
      <c r="AF150" s="320"/>
      <c r="AG150" s="320"/>
      <c r="AH150" s="320"/>
      <c r="AI150" s="320"/>
      <c r="AJ150" s="320"/>
      <c r="AK150" s="320"/>
      <c r="AL150" s="320"/>
      <c r="AM150" s="320"/>
      <c r="AN150" s="320"/>
      <c r="AO150" s="320"/>
      <c r="AP150" s="320"/>
      <c r="AQ150" s="320"/>
      <c r="AR150" s="320"/>
      <c r="AS150" s="320"/>
      <c r="AT150" s="320"/>
      <c r="AU150" s="320"/>
      <c r="AV150" s="320"/>
      <c r="AW150" s="320"/>
      <c r="AX150" s="320"/>
      <c r="AY150" s="320"/>
      <c r="AZ150" s="320"/>
      <c r="BA150" s="320"/>
      <c r="BB150" s="320"/>
      <c r="BC150" s="320"/>
      <c r="BD150" s="320"/>
      <c r="BE150" s="320"/>
      <c r="BF150" s="320"/>
      <c r="BG150" s="320"/>
      <c r="BH150" s="320"/>
      <c r="BI150" s="320"/>
      <c r="BJ150" s="320"/>
      <c r="BK150" s="320"/>
      <c r="BL150" s="320"/>
      <c r="BM150" s="320"/>
      <c r="BN150" s="320"/>
      <c r="BO150" s="320"/>
      <c r="BP150" s="320"/>
      <c r="BQ150" s="320"/>
      <c r="BR150" s="320"/>
      <c r="BS150" s="320"/>
      <c r="BT150" s="320"/>
      <c r="BU150" s="320"/>
      <c r="BV150" s="320"/>
      <c r="BW150" s="320"/>
      <c r="BX150" s="320"/>
      <c r="BY150" s="320"/>
      <c r="BZ150" s="320"/>
      <c r="CA150" s="320"/>
      <c r="CB150" s="320"/>
      <c r="CC150" s="320"/>
      <c r="CD150" s="320"/>
      <c r="CE150" s="320"/>
      <c r="CF150" s="320"/>
      <c r="CG150" s="320"/>
      <c r="CH150" s="320"/>
      <c r="CI150" s="320"/>
      <c r="CJ150" s="320"/>
    </row>
    <row r="151" spans="2:88" hidden="1" outlineLevel="1">
      <c r="B151" s="319" t="s">
        <v>341</v>
      </c>
      <c r="C151" s="322">
        <v>0</v>
      </c>
      <c r="D151" s="322">
        <f>0.05*C155</f>
        <v>0.15839209232206242</v>
      </c>
      <c r="E151" s="322">
        <f t="shared" ref="E151:BP151" si="331">0.05*D155</f>
        <v>0.31060689304356437</v>
      </c>
      <c r="F151" s="322">
        <f t="shared" si="331"/>
        <v>0.45697243218770489</v>
      </c>
      <c r="G151" s="322">
        <f t="shared" si="331"/>
        <v>0.5978005490963979</v>
      </c>
      <c r="H151" s="322">
        <f t="shared" si="331"/>
        <v>0.73338770428335498</v>
      </c>
      <c r="I151" s="322">
        <f t="shared" si="331"/>
        <v>0.86401575072002379</v>
      </c>
      <c r="J151" s="322">
        <f t="shared" si="331"/>
        <v>0.98995266658301828</v>
      </c>
      <c r="K151" s="322">
        <f t="shared" si="331"/>
        <v>1.111453251390252</v>
      </c>
      <c r="L151" s="322">
        <f t="shared" si="331"/>
        <v>1.2287597873566243</v>
      </c>
      <c r="M151" s="322">
        <f t="shared" si="331"/>
        <v>1.3421026677085726</v>
      </c>
      <c r="N151" s="322">
        <f t="shared" si="331"/>
        <v>1.4517009936098413</v>
      </c>
      <c r="O151" s="322">
        <f t="shared" si="331"/>
        <v>1.5577631412682</v>
      </c>
      <c r="P151" s="322">
        <f t="shared" si="331"/>
        <v>1.6604873007143681</v>
      </c>
      <c r="Q151" s="322">
        <f t="shared" si="331"/>
        <v>1.7600619876698333</v>
      </c>
      <c r="R151" s="322">
        <f t="shared" si="331"/>
        <v>1.856666529849428</v>
      </c>
      <c r="S151" s="322">
        <f t="shared" si="331"/>
        <v>1.9504715289772372</v>
      </c>
      <c r="T151" s="322">
        <f t="shared" si="331"/>
        <v>2.0416392997304786</v>
      </c>
      <c r="U151" s="322">
        <f t="shared" si="331"/>
        <v>2.1303242867652812</v>
      </c>
      <c r="V151" s="322">
        <f t="shared" si="331"/>
        <v>2.2166734609205783</v>
      </c>
      <c r="W151" s="322">
        <f t="shared" si="331"/>
        <v>2.3008266956415397</v>
      </c>
      <c r="X151" s="322">
        <f t="shared" si="331"/>
        <v>2.3829171246118901</v>
      </c>
      <c r="Y151" s="322">
        <f t="shared" si="331"/>
        <v>2.4630714815349997</v>
      </c>
      <c r="Z151" s="322">
        <f t="shared" si="331"/>
        <v>2.5414104229566439</v>
      </c>
      <c r="AA151" s="322">
        <f t="shared" si="331"/>
        <v>2.6180488349776887</v>
      </c>
      <c r="AB151" s="322">
        <f t="shared" si="331"/>
        <v>2.6930961246625387</v>
      </c>
      <c r="AC151" s="322">
        <f t="shared" si="331"/>
        <v>2.7666564969089169</v>
      </c>
      <c r="AD151" s="322">
        <f t="shared" si="331"/>
        <v>2.8388292175062517</v>
      </c>
      <c r="AE151" s="322">
        <f t="shared" si="331"/>
        <v>2.9097088630735897</v>
      </c>
      <c r="AF151" s="322">
        <f t="shared" si="331"/>
        <v>2.9793855585334299</v>
      </c>
      <c r="AG151" s="322">
        <f t="shared" si="331"/>
        <v>3.0479452027450269</v>
      </c>
      <c r="AH151" s="322">
        <f t="shared" si="331"/>
        <v>3.1154696828895649</v>
      </c>
      <c r="AI151" s="322">
        <f t="shared" si="331"/>
        <v>3.1820370781699756</v>
      </c>
      <c r="AJ151" s="322">
        <f t="shared" si="331"/>
        <v>3.2477218533600394</v>
      </c>
      <c r="AK151" s="322">
        <f t="shared" si="331"/>
        <v>3.3125950427106847</v>
      </c>
      <c r="AL151" s="322">
        <f t="shared" si="331"/>
        <v>3.3767244246960026</v>
      </c>
      <c r="AM151" s="322">
        <f t="shared" si="331"/>
        <v>3.4401746880573842</v>
      </c>
      <c r="AN151" s="322">
        <f t="shared" si="331"/>
        <v>3.5030075895812547</v>
      </c>
      <c r="AO151" s="322">
        <f t="shared" si="331"/>
        <v>3.5652821040241252</v>
      </c>
      <c r="AP151" s="322">
        <f t="shared" si="331"/>
        <v>3.6270545665779936</v>
      </c>
      <c r="AQ151" s="322">
        <f t="shared" si="331"/>
        <v>3.6883788082494742</v>
      </c>
      <c r="AR151" s="322">
        <f t="shared" si="331"/>
        <v>3.7493062845073855</v>
      </c>
      <c r="AS151" s="322">
        <f t="shared" si="331"/>
        <v>3.809886197535775</v>
      </c>
      <c r="AT151" s="322">
        <f t="shared" si="331"/>
        <v>3.8701656124125368</v>
      </c>
      <c r="AU151" s="322">
        <f t="shared" si="331"/>
        <v>3.9301895675177492</v>
      </c>
      <c r="AV151" s="322">
        <f t="shared" si="331"/>
        <v>3.9900011794606858</v>
      </c>
      <c r="AW151" s="322">
        <f t="shared" si="331"/>
        <v>4.0496417427999818</v>
      </c>
      <c r="AX151" s="322">
        <f t="shared" si="331"/>
        <v>4.1091508248177488</v>
      </c>
      <c r="AY151" s="322">
        <f t="shared" si="331"/>
        <v>4.1685663555953631</v>
      </c>
      <c r="AZ151" s="322">
        <f t="shared" si="331"/>
        <v>4.2279247136263001</v>
      </c>
      <c r="BA151" s="322">
        <f t="shared" si="331"/>
        <v>4.2872608071896083</v>
      </c>
      <c r="BB151" s="322">
        <f t="shared" si="331"/>
        <v>4.346608151696441</v>
      </c>
      <c r="BC151" s="322">
        <f t="shared" si="331"/>
        <v>4.4059989432114612</v>
      </c>
      <c r="BD151" s="322">
        <f t="shared" si="331"/>
        <v>4.4654641283408294</v>
      </c>
      <c r="BE151" s="322">
        <f t="shared" si="331"/>
        <v>4.5250334706689186</v>
      </c>
      <c r="BF151" s="322">
        <f t="shared" si="331"/>
        <v>4.5847356139168003</v>
      </c>
      <c r="BG151" s="322">
        <f t="shared" si="331"/>
        <v>4.6445981419868811</v>
      </c>
      <c r="BH151" s="322">
        <f t="shared" si="331"/>
        <v>4.7046476360498835</v>
      </c>
      <c r="BI151" s="322">
        <f t="shared" si="331"/>
        <v>4.7649097288225226</v>
      </c>
      <c r="BJ151" s="322">
        <f t="shared" si="331"/>
        <v>4.8254091561768551</v>
      </c>
      <c r="BK151" s="322">
        <f t="shared" si="331"/>
        <v>4.8861698062152215</v>
      </c>
      <c r="BL151" s="322">
        <f t="shared" si="331"/>
        <v>4.9472147659379884</v>
      </c>
      <c r="BM151" s="322">
        <f t="shared" si="331"/>
        <v>5.0085663656249864</v>
      </c>
      <c r="BN151" s="322">
        <f t="shared" si="331"/>
        <v>5.0702462210454566</v>
      </c>
      <c r="BO151" s="322">
        <f t="shared" si="331"/>
        <v>5.1322752736056225</v>
      </c>
      <c r="BP151" s="322">
        <f t="shared" si="331"/>
        <v>5.1946738285375167</v>
      </c>
      <c r="BQ151" s="322">
        <f t="shared" ref="BQ151:CJ151" si="332">0.05*BP155</f>
        <v>5.2574615912275497</v>
      </c>
      <c r="BR151" s="322">
        <f t="shared" si="332"/>
        <v>5.3206577017783676</v>
      </c>
      <c r="BS151" s="322">
        <f t="shared" si="332"/>
        <v>5.3842807678928786</v>
      </c>
      <c r="BT151" s="322">
        <f t="shared" si="332"/>
        <v>5.4483488961649016</v>
      </c>
      <c r="BU151" s="322">
        <f t="shared" si="332"/>
        <v>5.5128797218566561</v>
      </c>
      <c r="BV151" s="322">
        <f t="shared" si="332"/>
        <v>5.5778904372393248</v>
      </c>
      <c r="BW151" s="322">
        <f t="shared" si="332"/>
        <v>5.6433978185690892</v>
      </c>
      <c r="BX151" s="322">
        <f t="shared" si="332"/>
        <v>5.7094182517674748</v>
      </c>
      <c r="BY151" s="322">
        <f t="shared" si="332"/>
        <v>5.7759677568713359</v>
      </c>
      <c r="BZ151" s="322">
        <f t="shared" si="332"/>
        <v>5.8430620113146183</v>
      </c>
      <c r="CA151" s="322">
        <f t="shared" si="332"/>
        <v>5.9107163721008931</v>
      </c>
      <c r="CB151" s="322">
        <f t="shared" si="332"/>
        <v>5.9789458969227249</v>
      </c>
      <c r="CC151" s="322">
        <f t="shared" si="332"/>
        <v>6.0477653642811617</v>
      </c>
      <c r="CD151" s="322">
        <f t="shared" si="332"/>
        <v>6.1171892926559259</v>
      </c>
      <c r="CE151" s="322">
        <f t="shared" si="332"/>
        <v>6.1872319587744293</v>
      </c>
      <c r="CF151" s="322">
        <f t="shared" si="332"/>
        <v>6.2579074150252714</v>
      </c>
      <c r="CG151" s="322">
        <f t="shared" si="332"/>
        <v>6.3292295060596571</v>
      </c>
      <c r="CH151" s="322">
        <f t="shared" si="332"/>
        <v>6.401211884621965</v>
      </c>
      <c r="CI151" s="322">
        <f t="shared" si="332"/>
        <v>6.4738680266486757</v>
      </c>
      <c r="CJ151" s="322">
        <f t="shared" si="332"/>
        <v>6.5472112456728873</v>
      </c>
    </row>
    <row r="152" spans="2:88" hidden="1" outlineLevel="1">
      <c r="B152" s="313"/>
      <c r="C152" s="315"/>
      <c r="D152" s="315"/>
      <c r="E152" s="315"/>
      <c r="F152" s="315"/>
      <c r="G152" s="315"/>
      <c r="H152" s="315"/>
      <c r="I152" s="315"/>
      <c r="J152" s="315"/>
      <c r="K152" s="315"/>
      <c r="L152" s="315"/>
      <c r="M152" s="315"/>
      <c r="N152" s="315"/>
      <c r="O152" s="315"/>
      <c r="P152" s="315"/>
      <c r="Q152" s="315"/>
      <c r="R152" s="315"/>
      <c r="S152" s="315"/>
      <c r="T152" s="315"/>
      <c r="U152" s="315"/>
      <c r="V152" s="315"/>
      <c r="W152" s="315"/>
      <c r="X152" s="315"/>
      <c r="Y152" s="315"/>
      <c r="Z152" s="315"/>
      <c r="AA152" s="315"/>
      <c r="AB152" s="315"/>
      <c r="AC152" s="315"/>
      <c r="AD152" s="315"/>
      <c r="AE152" s="315"/>
      <c r="AF152" s="315"/>
      <c r="AG152" s="315"/>
      <c r="AH152" s="315"/>
      <c r="AI152" s="315"/>
      <c r="AJ152" s="315"/>
      <c r="AK152" s="315"/>
      <c r="AL152" s="315"/>
      <c r="AM152" s="315"/>
      <c r="AN152" s="315"/>
      <c r="AO152" s="315"/>
      <c r="AP152" s="315"/>
      <c r="AQ152" s="315"/>
      <c r="AR152" s="315"/>
      <c r="AS152" s="315"/>
      <c r="AT152" s="315"/>
      <c r="AU152" s="315"/>
      <c r="AV152" s="315"/>
      <c r="AW152" s="315"/>
      <c r="AX152" s="315"/>
      <c r="AY152" s="315"/>
      <c r="AZ152" s="315"/>
      <c r="BA152" s="315"/>
      <c r="BB152" s="315"/>
      <c r="BC152" s="315"/>
      <c r="BD152" s="315"/>
      <c r="BE152" s="315"/>
      <c r="BF152" s="315"/>
      <c r="BG152" s="315"/>
      <c r="BH152" s="315"/>
      <c r="BI152" s="315"/>
      <c r="BJ152" s="315"/>
      <c r="BK152" s="315"/>
      <c r="BL152" s="315"/>
      <c r="BM152" s="315"/>
      <c r="BN152" s="315"/>
      <c r="BO152" s="315"/>
      <c r="BP152" s="315"/>
      <c r="BQ152" s="315"/>
      <c r="BR152" s="315"/>
      <c r="BS152" s="315"/>
      <c r="BT152" s="315"/>
      <c r="BU152" s="315"/>
      <c r="BV152" s="315"/>
      <c r="BW152" s="315"/>
      <c r="BX152" s="315"/>
      <c r="BY152" s="315"/>
      <c r="BZ152" s="315"/>
      <c r="CA152" s="315"/>
      <c r="CB152" s="315"/>
      <c r="CC152" s="315"/>
      <c r="CD152" s="315"/>
      <c r="CE152" s="315"/>
      <c r="CF152" s="315"/>
      <c r="CG152" s="315"/>
      <c r="CH152" s="315"/>
      <c r="CI152" s="315"/>
      <c r="CJ152" s="315"/>
    </row>
    <row r="153" spans="2:88" hidden="1" outlineLevel="1">
      <c r="B153" s="319" t="s">
        <v>366</v>
      </c>
      <c r="C153" s="322">
        <f>C102</f>
        <v>3.1678418464412483</v>
      </c>
      <c r="D153" s="322">
        <f t="shared" ref="D153:BO153" si="333">D102</f>
        <v>3.2026881067521016</v>
      </c>
      <c r="E153" s="322">
        <f t="shared" si="333"/>
        <v>3.2379176759263744</v>
      </c>
      <c r="F153" s="322">
        <f t="shared" si="333"/>
        <v>3.273534770361564</v>
      </c>
      <c r="G153" s="322">
        <f t="shared" si="333"/>
        <v>3.3095436528355409</v>
      </c>
      <c r="H153" s="322">
        <f t="shared" si="333"/>
        <v>3.3459486330167314</v>
      </c>
      <c r="I153" s="322">
        <f t="shared" si="333"/>
        <v>3.3827540679799148</v>
      </c>
      <c r="J153" s="322">
        <f t="shared" si="333"/>
        <v>3.4199643627276939</v>
      </c>
      <c r="K153" s="322">
        <f t="shared" si="333"/>
        <v>3.4575839707176979</v>
      </c>
      <c r="L153" s="322">
        <f t="shared" si="333"/>
        <v>3.4956173943955924</v>
      </c>
      <c r="M153" s="322">
        <f t="shared" si="333"/>
        <v>3.5340691857339435</v>
      </c>
      <c r="N153" s="322">
        <f t="shared" si="333"/>
        <v>3.5729439467770168</v>
      </c>
      <c r="O153" s="322">
        <f t="shared" si="333"/>
        <v>3.6122463301915633</v>
      </c>
      <c r="P153" s="322">
        <f t="shared" si="333"/>
        <v>3.6519810398236694</v>
      </c>
      <c r="Q153" s="322">
        <f t="shared" si="333"/>
        <v>3.6921528312617293</v>
      </c>
      <c r="R153" s="322">
        <f t="shared" si="333"/>
        <v>3.732766512405608</v>
      </c>
      <c r="S153" s="322">
        <f t="shared" si="333"/>
        <v>3.7738269440420691</v>
      </c>
      <c r="T153" s="322">
        <f t="shared" si="333"/>
        <v>3.8153390404265313</v>
      </c>
      <c r="U153" s="322">
        <f t="shared" si="333"/>
        <v>3.8573077698712233</v>
      </c>
      <c r="V153" s="322">
        <f t="shared" si="333"/>
        <v>3.8997381553398061</v>
      </c>
      <c r="W153" s="322">
        <f t="shared" si="333"/>
        <v>3.9426352750485432</v>
      </c>
      <c r="X153" s="322">
        <f t="shared" si="333"/>
        <v>3.9860042630740771</v>
      </c>
      <c r="Y153" s="322">
        <f t="shared" si="333"/>
        <v>4.029850309967892</v>
      </c>
      <c r="Z153" s="322">
        <f t="shared" si="333"/>
        <v>4.0741786633775376</v>
      </c>
      <c r="AA153" s="322">
        <f t="shared" si="333"/>
        <v>4.1189946286746908</v>
      </c>
      <c r="AB153" s="322">
        <f t="shared" si="333"/>
        <v>4.1643035695901114</v>
      </c>
      <c r="AC153" s="322">
        <f t="shared" si="333"/>
        <v>4.2101109088556026</v>
      </c>
      <c r="AD153" s="322">
        <f t="shared" si="333"/>
        <v>4.2564221288530142</v>
      </c>
      <c r="AE153" s="322">
        <f t="shared" si="333"/>
        <v>4.303242772270397</v>
      </c>
      <c r="AF153" s="322">
        <f t="shared" si="333"/>
        <v>4.3505784427653698</v>
      </c>
      <c r="AG153" s="322">
        <f t="shared" si="333"/>
        <v>4.3984348056357891</v>
      </c>
      <c r="AH153" s="322">
        <f t="shared" si="333"/>
        <v>4.4468175884977823</v>
      </c>
      <c r="AI153" s="322">
        <f t="shared" si="333"/>
        <v>4.4957325819712572</v>
      </c>
      <c r="AJ153" s="322">
        <f t="shared" si="333"/>
        <v>4.5451856403729405</v>
      </c>
      <c r="AK153" s="322">
        <f t="shared" si="333"/>
        <v>4.5951826824170423</v>
      </c>
      <c r="AL153" s="322">
        <f t="shared" si="333"/>
        <v>4.6457296919236297</v>
      </c>
      <c r="AM153" s="322">
        <f t="shared" si="333"/>
        <v>4.6968327185347887</v>
      </c>
      <c r="AN153" s="322">
        <f t="shared" si="333"/>
        <v>4.7484978784386707</v>
      </c>
      <c r="AO153" s="322">
        <f t="shared" si="333"/>
        <v>4.8007313551014965</v>
      </c>
      <c r="AP153" s="322">
        <f t="shared" si="333"/>
        <v>4.8535394000076115</v>
      </c>
      <c r="AQ153" s="322">
        <f t="shared" si="333"/>
        <v>4.906928333407695</v>
      </c>
      <c r="AR153" s="322">
        <f t="shared" si="333"/>
        <v>4.960904545075179</v>
      </c>
      <c r="AS153" s="322">
        <f t="shared" si="333"/>
        <v>5.0154744950710057</v>
      </c>
      <c r="AT153" s="322">
        <f t="shared" si="333"/>
        <v>5.0706447145167859</v>
      </c>
      <c r="AU153" s="322">
        <f t="shared" si="333"/>
        <v>5.1264218063764702</v>
      </c>
      <c r="AV153" s="322">
        <f t="shared" si="333"/>
        <v>5.1828124462466096</v>
      </c>
      <c r="AW153" s="322">
        <f t="shared" si="333"/>
        <v>5.2398233831553229</v>
      </c>
      <c r="AX153" s="322">
        <f t="shared" si="333"/>
        <v>5.2974614403700295</v>
      </c>
      <c r="AY153" s="322">
        <f t="shared" si="333"/>
        <v>5.3557335162140998</v>
      </c>
      <c r="AZ153" s="322">
        <f t="shared" si="333"/>
        <v>5.4146465848924539</v>
      </c>
      <c r="BA153" s="322">
        <f t="shared" si="333"/>
        <v>5.4742076973262703</v>
      </c>
      <c r="BB153" s="322">
        <f t="shared" si="333"/>
        <v>5.5344239819968584</v>
      </c>
      <c r="BC153" s="322">
        <f t="shared" si="333"/>
        <v>5.5953026457988235</v>
      </c>
      <c r="BD153" s="322">
        <f t="shared" si="333"/>
        <v>5.6568509749026097</v>
      </c>
      <c r="BE153" s="322">
        <f t="shared" si="333"/>
        <v>5.7190763356265375</v>
      </c>
      <c r="BF153" s="322">
        <f t="shared" si="333"/>
        <v>5.781986175318429</v>
      </c>
      <c r="BG153" s="322">
        <f t="shared" si="333"/>
        <v>5.8455880232469317</v>
      </c>
      <c r="BH153" s="322">
        <f t="shared" si="333"/>
        <v>5.9098894915026463</v>
      </c>
      <c r="BI153" s="322">
        <f t="shared" si="333"/>
        <v>5.9748982759091751</v>
      </c>
      <c r="BJ153" s="322">
        <f t="shared" si="333"/>
        <v>6.0406221569441749</v>
      </c>
      <c r="BK153" s="322">
        <f t="shared" si="333"/>
        <v>6.1070690006705606</v>
      </c>
      <c r="BL153" s="322">
        <f t="shared" si="333"/>
        <v>6.1742467596779358</v>
      </c>
      <c r="BM153" s="322">
        <f t="shared" si="333"/>
        <v>6.2421634740343928</v>
      </c>
      <c r="BN153" s="322">
        <f t="shared" si="333"/>
        <v>6.3108272722487708</v>
      </c>
      <c r="BO153" s="322">
        <f t="shared" si="333"/>
        <v>6.3802463722435059</v>
      </c>
      <c r="BP153" s="322">
        <f t="shared" ref="BP153:CJ153" si="334">BP102</f>
        <v>6.450429082338184</v>
      </c>
      <c r="BQ153" s="322">
        <f t="shared" si="334"/>
        <v>6.5213838022439026</v>
      </c>
      <c r="BR153" s="322">
        <f t="shared" si="334"/>
        <v>6.5931190240685851</v>
      </c>
      <c r="BS153" s="322">
        <f t="shared" si="334"/>
        <v>6.6656433333333398</v>
      </c>
      <c r="BT153" s="322">
        <f t="shared" si="334"/>
        <v>6.7389654100000058</v>
      </c>
      <c r="BU153" s="322">
        <f t="shared" si="334"/>
        <v>6.8130940295100055</v>
      </c>
      <c r="BV153" s="322">
        <f t="shared" si="334"/>
        <v>6.8880380638346139</v>
      </c>
      <c r="BW153" s="322">
        <f t="shared" si="334"/>
        <v>6.9638064825367945</v>
      </c>
      <c r="BX153" s="322">
        <f t="shared" si="334"/>
        <v>7.0404083538446978</v>
      </c>
      <c r="BY153" s="322">
        <f t="shared" si="334"/>
        <v>7.117852845736989</v>
      </c>
      <c r="BZ153" s="322">
        <f t="shared" si="334"/>
        <v>7.1961492270400953</v>
      </c>
      <c r="CA153" s="322">
        <f t="shared" si="334"/>
        <v>7.2753068685375357</v>
      </c>
      <c r="CB153" s="322">
        <f t="shared" si="334"/>
        <v>7.3553352440914486</v>
      </c>
      <c r="CC153" s="322">
        <f t="shared" si="334"/>
        <v>7.4362439317764526</v>
      </c>
      <c r="CD153" s="322">
        <f t="shared" si="334"/>
        <v>7.518042615025994</v>
      </c>
      <c r="CE153" s="322">
        <f t="shared" si="334"/>
        <v>7.6007410837912799</v>
      </c>
      <c r="CF153" s="322">
        <f t="shared" si="334"/>
        <v>7.6843492357129835</v>
      </c>
      <c r="CG153" s="322">
        <f t="shared" si="334"/>
        <v>7.7688770773058256</v>
      </c>
      <c r="CH153" s="322">
        <f t="shared" si="334"/>
        <v>7.8543347251561872</v>
      </c>
      <c r="CI153" s="322">
        <f t="shared" si="334"/>
        <v>7.9407324071329048</v>
      </c>
      <c r="CJ153" s="322">
        <f t="shared" si="334"/>
        <v>8.0280804636113654</v>
      </c>
    </row>
    <row r="154" spans="2:88" hidden="1" outlineLevel="1">
      <c r="B154" s="319"/>
      <c r="C154" s="320"/>
      <c r="D154" s="320"/>
      <c r="E154" s="320"/>
      <c r="F154" s="320"/>
      <c r="G154" s="320"/>
      <c r="H154" s="320"/>
      <c r="I154" s="320"/>
      <c r="J154" s="320"/>
      <c r="K154" s="320"/>
      <c r="L154" s="320"/>
      <c r="M154" s="320"/>
      <c r="N154" s="320"/>
      <c r="O154" s="320"/>
      <c r="P154" s="320"/>
      <c r="Q154" s="320"/>
      <c r="R154" s="320"/>
      <c r="S154" s="320"/>
      <c r="T154" s="320"/>
      <c r="U154" s="320"/>
      <c r="V154" s="320"/>
      <c r="W154" s="320"/>
      <c r="X154" s="320"/>
      <c r="Y154" s="320"/>
      <c r="Z154" s="320"/>
      <c r="AA154" s="320"/>
      <c r="AB154" s="320"/>
      <c r="AC154" s="320"/>
      <c r="AD154" s="320"/>
      <c r="AE154" s="320"/>
      <c r="AF154" s="320"/>
      <c r="AG154" s="320"/>
      <c r="AH154" s="320"/>
      <c r="AI154" s="320"/>
      <c r="AJ154" s="320"/>
      <c r="AK154" s="320"/>
      <c r="AL154" s="320"/>
      <c r="AM154" s="320"/>
      <c r="AN154" s="320"/>
      <c r="AO154" s="320"/>
      <c r="AP154" s="320"/>
      <c r="AQ154" s="320"/>
      <c r="AR154" s="320"/>
      <c r="AS154" s="320"/>
      <c r="AT154" s="320"/>
      <c r="AU154" s="320"/>
      <c r="AV154" s="320"/>
      <c r="AW154" s="320"/>
      <c r="AX154" s="320"/>
      <c r="AY154" s="320"/>
      <c r="AZ154" s="320"/>
      <c r="BA154" s="320"/>
      <c r="BB154" s="320"/>
      <c r="BC154" s="320"/>
      <c r="BD154" s="320"/>
      <c r="BE154" s="320"/>
      <c r="BF154" s="320"/>
      <c r="BG154" s="320"/>
      <c r="BH154" s="320"/>
      <c r="BI154" s="320"/>
      <c r="BJ154" s="320"/>
      <c r="BK154" s="320"/>
      <c r="BL154" s="320"/>
      <c r="BM154" s="320"/>
      <c r="BN154" s="320"/>
      <c r="BO154" s="320"/>
      <c r="BP154" s="320"/>
      <c r="BQ154" s="320"/>
      <c r="BR154" s="320"/>
      <c r="BS154" s="320"/>
      <c r="BT154" s="320"/>
      <c r="BU154" s="320"/>
      <c r="BV154" s="320"/>
      <c r="BW154" s="320"/>
      <c r="BX154" s="320"/>
      <c r="BY154" s="320"/>
      <c r="BZ154" s="320"/>
      <c r="CA154" s="320"/>
      <c r="CB154" s="320"/>
      <c r="CC154" s="320"/>
      <c r="CD154" s="320"/>
      <c r="CE154" s="320"/>
      <c r="CF154" s="320"/>
      <c r="CG154" s="320"/>
      <c r="CH154" s="320"/>
      <c r="CI154" s="320"/>
      <c r="CJ154" s="320"/>
    </row>
    <row r="155" spans="2:88" hidden="1" outlineLevel="1">
      <c r="B155" s="319" t="s">
        <v>367</v>
      </c>
      <c r="C155" s="322">
        <f t="shared" ref="C155:AQ155" si="335">C149-C151+C153</f>
        <v>3.1678418464412483</v>
      </c>
      <c r="D155" s="322">
        <f t="shared" si="335"/>
        <v>6.2121378608712874</v>
      </c>
      <c r="E155" s="322">
        <f t="shared" si="335"/>
        <v>9.1394486437540969</v>
      </c>
      <c r="F155" s="322">
        <f t="shared" si="335"/>
        <v>11.956010981927957</v>
      </c>
      <c r="G155" s="322">
        <f t="shared" si="335"/>
        <v>14.667754085667099</v>
      </c>
      <c r="H155" s="322">
        <f t="shared" si="335"/>
        <v>17.280315014400475</v>
      </c>
      <c r="I155" s="322">
        <f t="shared" si="335"/>
        <v>19.799053331660364</v>
      </c>
      <c r="J155" s="322">
        <f t="shared" si="335"/>
        <v>22.229065027805039</v>
      </c>
      <c r="K155" s="322">
        <f t="shared" si="335"/>
        <v>24.575195747132483</v>
      </c>
      <c r="L155" s="322">
        <f t="shared" si="335"/>
        <v>26.842053354171451</v>
      </c>
      <c r="M155" s="322">
        <f t="shared" si="335"/>
        <v>29.034019872196822</v>
      </c>
      <c r="N155" s="322">
        <f t="shared" si="335"/>
        <v>31.155262825363998</v>
      </c>
      <c r="O155" s="322">
        <f t="shared" si="335"/>
        <v>33.209746014287362</v>
      </c>
      <c r="P155" s="322">
        <f t="shared" si="335"/>
        <v>35.201239753396663</v>
      </c>
      <c r="Q155" s="322">
        <f t="shared" si="335"/>
        <v>37.133330596988557</v>
      </c>
      <c r="R155" s="322">
        <f t="shared" si="335"/>
        <v>39.009430579544741</v>
      </c>
      <c r="S155" s="322">
        <f t="shared" si="335"/>
        <v>40.832785994609573</v>
      </c>
      <c r="T155" s="322">
        <f t="shared" si="335"/>
        <v>42.606485735305625</v>
      </c>
      <c r="U155" s="322">
        <f t="shared" si="335"/>
        <v>44.333469218411565</v>
      </c>
      <c r="V155" s="322">
        <f t="shared" si="335"/>
        <v>46.016533912830795</v>
      </c>
      <c r="W155" s="322">
        <f t="shared" si="335"/>
        <v>47.6583424922378</v>
      </c>
      <c r="X155" s="322">
        <f t="shared" si="335"/>
        <v>49.261429630699986</v>
      </c>
      <c r="Y155" s="322">
        <f t="shared" si="335"/>
        <v>50.828208459132874</v>
      </c>
      <c r="Z155" s="322">
        <f t="shared" si="335"/>
        <v>52.360976699553767</v>
      </c>
      <c r="AA155" s="322">
        <f t="shared" si="335"/>
        <v>53.861922493250766</v>
      </c>
      <c r="AB155" s="322">
        <f t="shared" si="335"/>
        <v>55.333129938178338</v>
      </c>
      <c r="AC155" s="322">
        <f t="shared" si="335"/>
        <v>56.776584350125027</v>
      </c>
      <c r="AD155" s="322">
        <f t="shared" si="335"/>
        <v>58.194177261471793</v>
      </c>
      <c r="AE155" s="322">
        <f t="shared" si="335"/>
        <v>59.587711170668598</v>
      </c>
      <c r="AF155" s="322">
        <f t="shared" si="335"/>
        <v>60.958904054900536</v>
      </c>
      <c r="AG155" s="322">
        <f t="shared" si="335"/>
        <v>62.309393657791297</v>
      </c>
      <c r="AH155" s="322">
        <f t="shared" si="335"/>
        <v>63.640741563399509</v>
      </c>
      <c r="AI155" s="322">
        <f t="shared" si="335"/>
        <v>64.954437067200786</v>
      </c>
      <c r="AJ155" s="322">
        <f t="shared" si="335"/>
        <v>66.251900854213687</v>
      </c>
      <c r="AK155" s="322">
        <f t="shared" si="335"/>
        <v>67.534488493920051</v>
      </c>
      <c r="AL155" s="322">
        <f t="shared" si="335"/>
        <v>68.803493761147678</v>
      </c>
      <c r="AM155" s="322">
        <f t="shared" si="335"/>
        <v>70.060151791625088</v>
      </c>
      <c r="AN155" s="322">
        <f t="shared" si="335"/>
        <v>71.3056420804825</v>
      </c>
      <c r="AO155" s="322">
        <f t="shared" si="335"/>
        <v>72.541091331559869</v>
      </c>
      <c r="AP155" s="322">
        <f t="shared" si="335"/>
        <v>73.767576164989478</v>
      </c>
      <c r="AQ155" s="322">
        <f t="shared" si="335"/>
        <v>74.986125690147702</v>
      </c>
      <c r="AR155" s="322">
        <f>AR149-AR151+AR153</f>
        <v>76.197723950715499</v>
      </c>
      <c r="AS155" s="322">
        <f t="shared" ref="AS155:BK155" si="336">AS149-AS151+AS153</f>
        <v>77.403312248250728</v>
      </c>
      <c r="AT155" s="322">
        <f t="shared" si="336"/>
        <v>78.603791350354982</v>
      </c>
      <c r="AU155" s="322">
        <f t="shared" si="336"/>
        <v>79.800023589213708</v>
      </c>
      <c r="AV155" s="322">
        <f t="shared" si="336"/>
        <v>80.992834855999632</v>
      </c>
      <c r="AW155" s="322">
        <f t="shared" si="336"/>
        <v>82.183016496354981</v>
      </c>
      <c r="AX155" s="322">
        <f t="shared" si="336"/>
        <v>83.371327111907263</v>
      </c>
      <c r="AY155" s="322">
        <f t="shared" si="336"/>
        <v>84.558494272526005</v>
      </c>
      <c r="AZ155" s="322">
        <f t="shared" si="336"/>
        <v>85.745216143792163</v>
      </c>
      <c r="BA155" s="322">
        <f t="shared" si="336"/>
        <v>86.932163033928816</v>
      </c>
      <c r="BB155" s="322">
        <f t="shared" si="336"/>
        <v>88.119978864229225</v>
      </c>
      <c r="BC155" s="322">
        <f t="shared" si="336"/>
        <v>89.309282566816591</v>
      </c>
      <c r="BD155" s="322">
        <f t="shared" si="336"/>
        <v>90.500669413378375</v>
      </c>
      <c r="BE155" s="322">
        <f t="shared" si="336"/>
        <v>91.694712278335999</v>
      </c>
      <c r="BF155" s="322">
        <f t="shared" si="336"/>
        <v>92.891962839737616</v>
      </c>
      <c r="BG155" s="322">
        <f t="shared" si="336"/>
        <v>94.092952720997673</v>
      </c>
      <c r="BH155" s="322">
        <f t="shared" si="336"/>
        <v>95.298194576450442</v>
      </c>
      <c r="BI155" s="322">
        <f t="shared" si="336"/>
        <v>96.508183123537094</v>
      </c>
      <c r="BJ155" s="322">
        <f t="shared" si="336"/>
        <v>97.723396124304415</v>
      </c>
      <c r="BK155" s="322">
        <f t="shared" si="336"/>
        <v>98.944295318759757</v>
      </c>
      <c r="BL155" s="322">
        <f>BL149-BL151+BL153</f>
        <v>100.17132731249971</v>
      </c>
      <c r="BM155" s="322">
        <f>BM149-BM151+BM153</f>
        <v>101.40492442090913</v>
      </c>
      <c r="BN155" s="322">
        <f t="shared" ref="BN155:CJ155" si="337">BN149-BN151+BN153</f>
        <v>102.64550547211245</v>
      </c>
      <c r="BO155" s="322">
        <f t="shared" si="337"/>
        <v>103.89347657075032</v>
      </c>
      <c r="BP155" s="322">
        <f t="shared" si="337"/>
        <v>105.14923182455099</v>
      </c>
      <c r="BQ155" s="322">
        <f t="shared" si="337"/>
        <v>106.41315403556735</v>
      </c>
      <c r="BR155" s="322">
        <f t="shared" si="337"/>
        <v>107.68561535785756</v>
      </c>
      <c r="BS155" s="322">
        <f t="shared" si="337"/>
        <v>108.96697792329802</v>
      </c>
      <c r="BT155" s="322">
        <f t="shared" si="337"/>
        <v>110.25759443713312</v>
      </c>
      <c r="BU155" s="322">
        <f t="shared" si="337"/>
        <v>111.55780874478648</v>
      </c>
      <c r="BV155" s="322">
        <f t="shared" si="337"/>
        <v>112.86795637138178</v>
      </c>
      <c r="BW155" s="322">
        <f t="shared" si="337"/>
        <v>114.18836503534949</v>
      </c>
      <c r="BX155" s="322">
        <f t="shared" si="337"/>
        <v>115.51935513742671</v>
      </c>
      <c r="BY155" s="322">
        <f t="shared" si="337"/>
        <v>116.86124022629237</v>
      </c>
      <c r="BZ155" s="322">
        <f t="shared" si="337"/>
        <v>118.21432744201785</v>
      </c>
      <c r="CA155" s="322">
        <f t="shared" si="337"/>
        <v>119.5789179384545</v>
      </c>
      <c r="CB155" s="322">
        <f t="shared" si="337"/>
        <v>120.95530728562322</v>
      </c>
      <c r="CC155" s="322">
        <f t="shared" si="337"/>
        <v>122.3437858531185</v>
      </c>
      <c r="CD155" s="322">
        <f t="shared" si="337"/>
        <v>123.74463917548857</v>
      </c>
      <c r="CE155" s="322">
        <f t="shared" si="337"/>
        <v>125.15814830050542</v>
      </c>
      <c r="CF155" s="322">
        <f t="shared" si="337"/>
        <v>126.58459012119313</v>
      </c>
      <c r="CG155" s="322">
        <f t="shared" si="337"/>
        <v>128.0242376924393</v>
      </c>
      <c r="CH155" s="322">
        <f t="shared" si="337"/>
        <v>129.47736053297351</v>
      </c>
      <c r="CI155" s="322">
        <f t="shared" si="337"/>
        <v>130.94422491345773</v>
      </c>
      <c r="CJ155" s="322">
        <f t="shared" si="337"/>
        <v>132.42509413139621</v>
      </c>
    </row>
    <row r="156" spans="2:88" hidden="1" outlineLevel="1">
      <c r="B156" s="319"/>
      <c r="C156" s="319"/>
      <c r="D156" s="319"/>
      <c r="E156" s="319"/>
      <c r="F156" s="319"/>
      <c r="G156" s="319"/>
      <c r="H156" s="319"/>
      <c r="I156" s="319"/>
      <c r="J156" s="319"/>
      <c r="K156" s="319"/>
      <c r="L156" s="319"/>
      <c r="M156" s="319"/>
      <c r="N156" s="319"/>
      <c r="O156" s="319"/>
      <c r="P156" s="319"/>
      <c r="Q156" s="319"/>
      <c r="R156" s="319"/>
      <c r="S156" s="319"/>
      <c r="T156" s="319"/>
      <c r="U156" s="319"/>
      <c r="V156" s="319"/>
      <c r="W156" s="319"/>
      <c r="X156" s="319"/>
      <c r="Y156" s="319"/>
      <c r="Z156" s="319"/>
      <c r="AA156" s="319"/>
      <c r="AB156" s="319"/>
      <c r="AC156" s="319"/>
      <c r="AD156" s="319"/>
      <c r="AE156" s="319"/>
      <c r="AF156" s="319"/>
      <c r="AG156" s="319"/>
      <c r="AH156" s="319"/>
      <c r="AI156" s="319"/>
      <c r="AJ156" s="319"/>
      <c r="AK156" s="319"/>
      <c r="AL156" s="319"/>
      <c r="AM156" s="319"/>
      <c r="AN156" s="319"/>
      <c r="AO156" s="319"/>
      <c r="AP156" s="319"/>
      <c r="AQ156" s="320"/>
      <c r="AR156" s="320"/>
      <c r="AS156" s="320"/>
      <c r="AT156" s="320"/>
      <c r="AU156" s="320"/>
      <c r="AV156" s="320"/>
      <c r="AW156" s="320"/>
      <c r="AX156" s="320"/>
      <c r="AY156" s="320"/>
      <c r="AZ156" s="320"/>
      <c r="BA156" s="320"/>
      <c r="BB156" s="320"/>
      <c r="BC156" s="320"/>
      <c r="BD156" s="320"/>
      <c r="BE156" s="320"/>
      <c r="BF156" s="320"/>
      <c r="BG156" s="320"/>
      <c r="BH156" s="320"/>
      <c r="BI156" s="320"/>
      <c r="BJ156" s="320"/>
      <c r="BK156" s="320"/>
      <c r="BL156" s="320"/>
      <c r="BM156" s="320"/>
      <c r="BN156" s="320"/>
      <c r="BO156" s="320"/>
      <c r="BP156" s="320"/>
      <c r="BQ156" s="320"/>
      <c r="BR156" s="320"/>
      <c r="BS156" s="320"/>
      <c r="BT156" s="320"/>
      <c r="BU156" s="320"/>
      <c r="BV156" s="320"/>
      <c r="BW156" s="320"/>
      <c r="BX156" s="320"/>
      <c r="BY156" s="320"/>
      <c r="BZ156" s="320"/>
      <c r="CA156" s="320"/>
      <c r="CB156" s="320"/>
      <c r="CC156" s="320"/>
      <c r="CD156" s="320"/>
      <c r="CE156" s="320"/>
      <c r="CF156" s="320"/>
      <c r="CG156" s="320"/>
      <c r="CH156" s="320"/>
      <c r="CI156" s="320"/>
      <c r="CJ156" s="320"/>
    </row>
    <row r="157" spans="2:88" hidden="1" outlineLevel="1">
      <c r="B157" s="319" t="s">
        <v>377</v>
      </c>
      <c r="C157" s="319"/>
      <c r="D157" s="319"/>
      <c r="E157" s="319"/>
      <c r="F157" s="319"/>
      <c r="G157" s="319"/>
      <c r="H157" s="319"/>
      <c r="I157" s="319"/>
      <c r="J157" s="319"/>
      <c r="K157" s="319"/>
      <c r="L157" s="319"/>
      <c r="M157" s="319"/>
      <c r="N157" s="319"/>
      <c r="O157" s="319"/>
      <c r="P157" s="319"/>
      <c r="Q157" s="319"/>
      <c r="R157" s="319"/>
      <c r="S157" s="319"/>
      <c r="T157" s="319"/>
      <c r="U157" s="319"/>
      <c r="V157" s="319"/>
      <c r="W157" s="319"/>
      <c r="X157" s="319"/>
      <c r="Y157" s="319"/>
      <c r="Z157" s="319"/>
      <c r="AA157" s="319"/>
      <c r="AB157" s="319"/>
      <c r="AC157" s="319"/>
      <c r="AD157" s="319"/>
      <c r="AE157" s="319"/>
      <c r="AF157" s="319"/>
      <c r="AG157" s="319"/>
      <c r="AH157" s="319"/>
      <c r="AI157" s="319"/>
      <c r="AJ157" s="319"/>
      <c r="AK157" s="319"/>
      <c r="AL157" s="319"/>
      <c r="AM157" s="319"/>
      <c r="AN157" s="319"/>
      <c r="AO157" s="319"/>
      <c r="AP157" s="319"/>
      <c r="AQ157" s="322"/>
      <c r="AR157" s="322"/>
      <c r="AS157" s="322"/>
      <c r="AT157" s="322"/>
      <c r="AU157" s="322"/>
      <c r="AV157" s="322"/>
      <c r="AW157" s="322"/>
      <c r="AX157" s="322"/>
      <c r="AY157" s="322"/>
      <c r="AZ157" s="322"/>
      <c r="BA157" s="322"/>
      <c r="BB157" s="322"/>
      <c r="BC157" s="322"/>
      <c r="BD157" s="322"/>
      <c r="BE157" s="322"/>
      <c r="BF157" s="322"/>
      <c r="BG157" s="322"/>
      <c r="BH157" s="322"/>
      <c r="BI157" s="322"/>
      <c r="BJ157" s="322"/>
      <c r="BK157" s="322"/>
      <c r="BL157" s="322"/>
      <c r="BM157" s="322"/>
      <c r="BN157" s="322"/>
      <c r="BO157" s="322"/>
      <c r="BP157" s="322"/>
      <c r="BQ157" s="322"/>
      <c r="BR157" s="322"/>
      <c r="BS157" s="322"/>
      <c r="BT157" s="322"/>
      <c r="BU157" s="322"/>
      <c r="BV157" s="322"/>
      <c r="BW157" s="322">
        <f>BW159-BV159</f>
        <v>0</v>
      </c>
      <c r="BX157" s="322">
        <f t="shared" ref="BX157:CJ157" si="338">BX159-BW159</f>
        <v>0</v>
      </c>
      <c r="BY157" s="322">
        <f t="shared" si="338"/>
        <v>0</v>
      </c>
      <c r="BZ157" s="322">
        <f t="shared" si="338"/>
        <v>0</v>
      </c>
      <c r="CA157" s="322">
        <f t="shared" si="338"/>
        <v>0</v>
      </c>
      <c r="CB157" s="322">
        <f t="shared" si="338"/>
        <v>0</v>
      </c>
      <c r="CC157" s="322">
        <f t="shared" si="338"/>
        <v>0</v>
      </c>
      <c r="CD157" s="322">
        <f t="shared" si="338"/>
        <v>0</v>
      </c>
      <c r="CE157" s="322">
        <f t="shared" si="338"/>
        <v>0</v>
      </c>
      <c r="CF157" s="322">
        <f t="shared" si="338"/>
        <v>0</v>
      </c>
      <c r="CG157" s="322">
        <f t="shared" si="338"/>
        <v>0</v>
      </c>
      <c r="CH157" s="322">
        <f t="shared" si="338"/>
        <v>0</v>
      </c>
      <c r="CI157" s="322">
        <f t="shared" si="338"/>
        <v>0</v>
      </c>
      <c r="CJ157" s="322">
        <f t="shared" si="338"/>
        <v>0</v>
      </c>
    </row>
    <row r="158" spans="2:88" hidden="1" outlineLevel="1">
      <c r="B158" s="319"/>
      <c r="C158" s="319"/>
      <c r="D158" s="319"/>
      <c r="E158" s="319"/>
      <c r="F158" s="319"/>
      <c r="G158" s="319"/>
      <c r="H158" s="319"/>
      <c r="I158" s="319"/>
      <c r="J158" s="319"/>
      <c r="K158" s="319"/>
      <c r="L158" s="319"/>
      <c r="M158" s="319"/>
      <c r="N158" s="319"/>
      <c r="O158" s="319"/>
      <c r="P158" s="319"/>
      <c r="Q158" s="319"/>
      <c r="R158" s="319"/>
      <c r="S158" s="319"/>
      <c r="T158" s="319"/>
      <c r="U158" s="319"/>
      <c r="V158" s="319"/>
      <c r="W158" s="319"/>
      <c r="X158" s="319"/>
      <c r="Y158" s="319"/>
      <c r="Z158" s="319"/>
      <c r="AA158" s="319"/>
      <c r="AB158" s="319"/>
      <c r="AC158" s="319"/>
      <c r="AD158" s="319"/>
      <c r="AE158" s="319"/>
      <c r="AF158" s="319"/>
      <c r="AG158" s="319"/>
      <c r="AH158" s="319"/>
      <c r="AI158" s="319"/>
      <c r="AJ158" s="319"/>
      <c r="AK158" s="319"/>
      <c r="AL158" s="319"/>
      <c r="AM158" s="319"/>
      <c r="AN158" s="319"/>
      <c r="AO158" s="319"/>
      <c r="AP158" s="319"/>
      <c r="AQ158" s="320"/>
      <c r="AR158" s="320"/>
      <c r="AS158" s="320"/>
      <c r="AT158" s="320"/>
      <c r="AU158" s="320"/>
      <c r="AV158" s="320"/>
      <c r="AW158" s="320"/>
      <c r="AX158" s="320"/>
      <c r="AY158" s="320"/>
      <c r="AZ158" s="320"/>
      <c r="BA158" s="320"/>
      <c r="BB158" s="320"/>
      <c r="BC158" s="320"/>
      <c r="BD158" s="320"/>
      <c r="BE158" s="320"/>
      <c r="BF158" s="320"/>
      <c r="BG158" s="320"/>
      <c r="BH158" s="320"/>
      <c r="BI158" s="320"/>
      <c r="BJ158" s="320"/>
      <c r="BK158" s="320"/>
      <c r="BL158" s="320"/>
      <c r="BM158" s="320"/>
      <c r="BN158" s="320"/>
      <c r="BO158" s="320"/>
      <c r="BP158" s="320"/>
      <c r="BQ158" s="320"/>
      <c r="BR158" s="320"/>
      <c r="BS158" s="320"/>
      <c r="BT158" s="320"/>
      <c r="BU158" s="320"/>
      <c r="BV158" s="320"/>
      <c r="BW158" s="320"/>
      <c r="BX158" s="320"/>
      <c r="BY158" s="320"/>
      <c r="BZ158" s="320"/>
      <c r="CA158" s="320"/>
      <c r="CB158" s="320"/>
      <c r="CC158" s="320"/>
      <c r="CD158" s="320"/>
      <c r="CE158" s="320"/>
      <c r="CF158" s="320"/>
      <c r="CG158" s="320"/>
      <c r="CH158" s="320"/>
      <c r="CI158" s="320"/>
      <c r="CJ158" s="320"/>
    </row>
    <row r="159" spans="2:88" hidden="1" outlineLevel="1">
      <c r="B159" s="319" t="s">
        <v>376</v>
      </c>
      <c r="C159" s="319"/>
      <c r="D159" s="319"/>
      <c r="E159" s="319"/>
      <c r="F159" s="319"/>
      <c r="G159" s="319"/>
      <c r="H159" s="319"/>
      <c r="I159" s="319"/>
      <c r="J159" s="319"/>
      <c r="K159" s="319"/>
      <c r="L159" s="319"/>
      <c r="M159" s="319"/>
      <c r="N159" s="319"/>
      <c r="O159" s="319"/>
      <c r="P159" s="319"/>
      <c r="Q159" s="319"/>
      <c r="R159" s="319"/>
      <c r="S159" s="319"/>
      <c r="T159" s="319"/>
      <c r="U159" s="319"/>
      <c r="V159" s="319"/>
      <c r="W159" s="319"/>
      <c r="X159" s="319"/>
      <c r="Y159" s="319"/>
      <c r="Z159" s="319"/>
      <c r="AA159" s="319"/>
      <c r="AB159" s="319"/>
      <c r="AC159" s="319"/>
      <c r="AD159" s="319"/>
      <c r="AE159" s="319"/>
      <c r="AF159" s="319"/>
      <c r="AG159" s="319"/>
      <c r="AH159" s="319"/>
      <c r="AI159" s="319"/>
      <c r="AJ159" s="319"/>
      <c r="AK159" s="319"/>
      <c r="AL159" s="319"/>
      <c r="AM159" s="319"/>
      <c r="AN159" s="319"/>
      <c r="AO159" s="319"/>
      <c r="AP159" s="319"/>
      <c r="AQ159" s="322"/>
      <c r="AR159" s="322"/>
      <c r="AS159" s="322"/>
      <c r="AT159" s="322"/>
      <c r="AU159" s="322"/>
      <c r="AV159" s="322"/>
      <c r="AW159" s="322"/>
      <c r="AX159" s="322"/>
      <c r="AY159" s="322"/>
      <c r="AZ159" s="322"/>
      <c r="BA159" s="322"/>
      <c r="BB159" s="322"/>
      <c r="BC159" s="322"/>
      <c r="BD159" s="322"/>
      <c r="BE159" s="322"/>
      <c r="BF159" s="322"/>
      <c r="BG159" s="322"/>
      <c r="BH159" s="322"/>
      <c r="BI159" s="322"/>
      <c r="BJ159" s="322"/>
      <c r="BK159" s="322"/>
      <c r="BL159" s="322"/>
      <c r="BM159" s="322"/>
      <c r="BN159" s="322"/>
      <c r="BO159" s="322"/>
      <c r="BP159" s="322"/>
      <c r="BQ159" s="322"/>
      <c r="BR159" s="322"/>
      <c r="BS159" s="322"/>
      <c r="BT159" s="322"/>
      <c r="BU159" s="322"/>
      <c r="BV159" s="322"/>
      <c r="BW159" s="322">
        <f>BW153*BW160</f>
        <v>0</v>
      </c>
      <c r="BX159" s="322">
        <f t="shared" ref="BX159" si="339">BX153*BX160</f>
        <v>0</v>
      </c>
      <c r="BY159" s="322">
        <f t="shared" ref="BY159" si="340">BY153*BY160</f>
        <v>0</v>
      </c>
      <c r="BZ159" s="322">
        <f t="shared" ref="BZ159" si="341">BZ153*BZ160</f>
        <v>0</v>
      </c>
      <c r="CA159" s="322">
        <f t="shared" ref="CA159" si="342">CA153*CA160</f>
        <v>0</v>
      </c>
      <c r="CB159" s="322">
        <f t="shared" ref="CB159" si="343">CB153*CB160</f>
        <v>0</v>
      </c>
      <c r="CC159" s="322">
        <f t="shared" ref="CC159" si="344">CC153*CC160</f>
        <v>0</v>
      </c>
      <c r="CD159" s="322">
        <f t="shared" ref="CD159" si="345">CD153*CD160</f>
        <v>0</v>
      </c>
      <c r="CE159" s="322">
        <f t="shared" ref="CE159" si="346">CE153*CE160</f>
        <v>0</v>
      </c>
      <c r="CF159" s="322">
        <f t="shared" ref="CF159" si="347">CF153*CF160</f>
        <v>0</v>
      </c>
      <c r="CG159" s="322">
        <f t="shared" ref="CG159" si="348">CG153*CG160</f>
        <v>0</v>
      </c>
      <c r="CH159" s="322">
        <f t="shared" ref="CH159" si="349">CH153*CH160</f>
        <v>0</v>
      </c>
      <c r="CI159" s="322">
        <f t="shared" ref="CI159" si="350">CI153*CI160</f>
        <v>0</v>
      </c>
      <c r="CJ159" s="322">
        <f t="shared" ref="CJ159" si="351">CJ153*CJ160</f>
        <v>0</v>
      </c>
    </row>
    <row r="160" spans="2:88" hidden="1" outlineLevel="1">
      <c r="B160" s="313" t="s">
        <v>350</v>
      </c>
      <c r="C160" s="313"/>
      <c r="D160" s="313"/>
      <c r="E160" s="313"/>
      <c r="F160" s="313"/>
      <c r="G160" s="313"/>
      <c r="H160" s="313"/>
      <c r="I160" s="313"/>
      <c r="J160" s="313"/>
      <c r="K160" s="313"/>
      <c r="L160" s="313"/>
      <c r="M160" s="313"/>
      <c r="N160" s="313"/>
      <c r="O160" s="313"/>
      <c r="P160" s="313"/>
      <c r="Q160" s="313"/>
      <c r="R160" s="313"/>
      <c r="S160" s="313"/>
      <c r="T160" s="313"/>
      <c r="U160" s="313"/>
      <c r="V160" s="313"/>
      <c r="W160" s="313"/>
      <c r="X160" s="313"/>
      <c r="Y160" s="313"/>
      <c r="Z160" s="313"/>
      <c r="AA160" s="313"/>
      <c r="AB160" s="313"/>
      <c r="AC160" s="313"/>
      <c r="AD160" s="313"/>
      <c r="AE160" s="313"/>
      <c r="AF160" s="313"/>
      <c r="AG160" s="313"/>
      <c r="AH160" s="313"/>
      <c r="AI160" s="313"/>
      <c r="AJ160" s="313"/>
      <c r="AK160" s="313"/>
      <c r="AL160" s="313"/>
      <c r="AM160" s="313"/>
      <c r="AN160" s="313"/>
      <c r="AO160" s="313"/>
      <c r="AP160" s="313"/>
      <c r="AQ160" s="315"/>
      <c r="AR160" s="315"/>
      <c r="AS160" s="315"/>
      <c r="AT160" s="315"/>
      <c r="AU160" s="315"/>
      <c r="AV160" s="315"/>
      <c r="AW160" s="315"/>
      <c r="AX160" s="315"/>
      <c r="AY160" s="315"/>
      <c r="AZ160" s="315"/>
      <c r="BA160" s="315"/>
      <c r="BB160" s="315"/>
      <c r="BC160" s="315"/>
      <c r="BD160" s="315"/>
      <c r="BE160" s="315"/>
      <c r="BF160" s="315"/>
      <c r="BG160" s="315"/>
      <c r="BH160" s="315"/>
      <c r="BI160" s="315"/>
      <c r="BJ160" s="315"/>
      <c r="BK160" s="315"/>
      <c r="BL160" s="315"/>
      <c r="BM160" s="315"/>
      <c r="BN160" s="315"/>
      <c r="BO160" s="315"/>
      <c r="BP160" s="315"/>
      <c r="BQ160" s="315"/>
      <c r="BR160" s="315"/>
      <c r="BS160" s="315"/>
      <c r="BT160" s="315"/>
      <c r="BU160" s="315"/>
      <c r="BV160" s="315"/>
      <c r="BW160" s="315">
        <f t="shared" ref="BW160" si="352">CHOOSE($BW$3,BW76,BW77,BW78)</f>
        <v>0</v>
      </c>
      <c r="BX160" s="315">
        <f>CHOOSE($BW$3,BX76,BX77,BX78)</f>
        <v>0</v>
      </c>
      <c r="BY160" s="315">
        <f t="shared" ref="BY160:CJ160" si="353">CHOOSE($BW$3,BY76,BY77,BY78)</f>
        <v>0</v>
      </c>
      <c r="BZ160" s="315">
        <f t="shared" si="353"/>
        <v>0</v>
      </c>
      <c r="CA160" s="315">
        <f t="shared" si="353"/>
        <v>0</v>
      </c>
      <c r="CB160" s="315">
        <f t="shared" si="353"/>
        <v>0</v>
      </c>
      <c r="CC160" s="315">
        <f t="shared" si="353"/>
        <v>0</v>
      </c>
      <c r="CD160" s="315">
        <f t="shared" si="353"/>
        <v>0</v>
      </c>
      <c r="CE160" s="315">
        <f t="shared" si="353"/>
        <v>0</v>
      </c>
      <c r="CF160" s="315">
        <f t="shared" si="353"/>
        <v>0</v>
      </c>
      <c r="CG160" s="315">
        <f t="shared" si="353"/>
        <v>0</v>
      </c>
      <c r="CH160" s="315">
        <f t="shared" si="353"/>
        <v>0</v>
      </c>
      <c r="CI160" s="315">
        <f t="shared" si="353"/>
        <v>0</v>
      </c>
      <c r="CJ160" s="315">
        <f t="shared" si="353"/>
        <v>0</v>
      </c>
    </row>
    <row r="161" spans="2:88" hidden="1" outlineLevel="2">
      <c r="B161" s="319"/>
      <c r="C161" s="319"/>
      <c r="D161" s="319"/>
      <c r="E161" s="319"/>
      <c r="F161" s="319"/>
      <c r="G161" s="319"/>
      <c r="H161" s="319"/>
      <c r="I161" s="319"/>
      <c r="J161" s="319"/>
      <c r="K161" s="319"/>
      <c r="L161" s="319"/>
      <c r="M161" s="319"/>
      <c r="N161" s="319"/>
      <c r="O161" s="319"/>
      <c r="P161" s="319"/>
      <c r="Q161" s="319"/>
      <c r="R161" s="319"/>
      <c r="S161" s="319"/>
      <c r="T161" s="319"/>
      <c r="U161" s="319"/>
      <c r="V161" s="319"/>
      <c r="W161" s="319"/>
      <c r="X161" s="319"/>
      <c r="Y161" s="319"/>
      <c r="Z161" s="319"/>
      <c r="AA161" s="319"/>
      <c r="AB161" s="319"/>
      <c r="AC161" s="319"/>
      <c r="AD161" s="319"/>
      <c r="AE161" s="319"/>
      <c r="AF161" s="319"/>
      <c r="AG161" s="319"/>
      <c r="AH161" s="319"/>
      <c r="AI161" s="319"/>
      <c r="AJ161" s="319"/>
      <c r="AK161" s="319"/>
      <c r="AL161" s="319"/>
      <c r="AM161" s="319"/>
      <c r="AN161" s="319"/>
      <c r="AO161" s="319"/>
      <c r="AP161" s="319"/>
      <c r="AQ161" s="320"/>
      <c r="AR161" s="320"/>
      <c r="AS161" s="320"/>
      <c r="AT161" s="320"/>
      <c r="AU161" s="320"/>
      <c r="AV161" s="320"/>
      <c r="AW161" s="320"/>
      <c r="AX161" s="320"/>
      <c r="AY161" s="320"/>
      <c r="AZ161" s="320"/>
      <c r="BA161" s="320"/>
      <c r="BB161" s="320"/>
      <c r="BC161" s="320"/>
      <c r="BD161" s="320"/>
      <c r="BE161" s="320"/>
      <c r="BF161" s="320"/>
      <c r="BG161" s="320"/>
      <c r="BH161" s="320"/>
      <c r="BI161" s="320"/>
      <c r="BJ161" s="320"/>
      <c r="BK161" s="320"/>
      <c r="BL161" s="320"/>
      <c r="BM161" s="320"/>
      <c r="BN161" s="320"/>
      <c r="BO161" s="320"/>
      <c r="BP161" s="320"/>
      <c r="BQ161" s="320"/>
      <c r="BR161" s="320"/>
      <c r="BS161" s="320"/>
      <c r="BT161" s="320"/>
      <c r="BU161" s="320"/>
      <c r="BV161" s="320"/>
      <c r="BW161" s="320"/>
      <c r="BX161" s="320"/>
      <c r="BY161" s="320"/>
      <c r="BZ161" s="320"/>
      <c r="CA161" s="320"/>
      <c r="CB161" s="320"/>
      <c r="CC161" s="320"/>
      <c r="CD161" s="320"/>
      <c r="CE161" s="320"/>
      <c r="CF161" s="320"/>
      <c r="CG161" s="320"/>
      <c r="CH161" s="320"/>
      <c r="CI161" s="320"/>
      <c r="CJ161" s="320"/>
    </row>
    <row r="162" spans="2:88" hidden="1" outlineLevel="2">
      <c r="B162" s="319" t="s">
        <v>375</v>
      </c>
      <c r="C162" s="319"/>
      <c r="D162" s="319"/>
      <c r="E162" s="319"/>
      <c r="F162" s="319"/>
      <c r="G162" s="319"/>
      <c r="H162" s="319"/>
      <c r="I162" s="319"/>
      <c r="J162" s="319"/>
      <c r="K162" s="319"/>
      <c r="L162" s="319"/>
      <c r="M162" s="319"/>
      <c r="N162" s="319"/>
      <c r="O162" s="319"/>
      <c r="P162" s="319"/>
      <c r="Q162" s="319"/>
      <c r="R162" s="319"/>
      <c r="S162" s="319"/>
      <c r="T162" s="319"/>
      <c r="U162" s="319"/>
      <c r="V162" s="319"/>
      <c r="W162" s="319"/>
      <c r="X162" s="319"/>
      <c r="Y162" s="319"/>
      <c r="Z162" s="319"/>
      <c r="AA162" s="319"/>
      <c r="AB162" s="319"/>
      <c r="AC162" s="319"/>
      <c r="AD162" s="319"/>
      <c r="AE162" s="319"/>
      <c r="AF162" s="319"/>
      <c r="AG162" s="319"/>
      <c r="AH162" s="319"/>
      <c r="AI162" s="319"/>
      <c r="AJ162" s="319"/>
      <c r="AK162" s="319"/>
      <c r="AL162" s="319"/>
      <c r="AM162" s="319"/>
      <c r="AN162" s="319"/>
      <c r="AO162" s="319"/>
      <c r="AP162" s="319"/>
      <c r="AQ162" s="321"/>
      <c r="AR162" s="321"/>
      <c r="AS162" s="321"/>
      <c r="AT162" s="321"/>
      <c r="AU162" s="321"/>
      <c r="AV162" s="321"/>
      <c r="AW162" s="321"/>
      <c r="AX162" s="321"/>
      <c r="AY162" s="321"/>
      <c r="AZ162" s="321"/>
      <c r="BA162" s="321"/>
      <c r="BB162" s="321"/>
      <c r="BC162" s="321"/>
      <c r="BD162" s="321"/>
      <c r="BE162" s="321"/>
      <c r="BF162" s="321"/>
      <c r="BG162" s="321"/>
      <c r="BH162" s="321"/>
      <c r="BI162" s="321"/>
      <c r="BJ162" s="321"/>
      <c r="BK162" s="321"/>
      <c r="BL162" s="321"/>
      <c r="BM162" s="321"/>
      <c r="BN162" s="321"/>
      <c r="BO162" s="321"/>
      <c r="BP162" s="321"/>
      <c r="BQ162" s="321"/>
      <c r="BR162" s="321"/>
      <c r="BS162" s="321"/>
      <c r="BT162" s="321"/>
      <c r="BU162" s="321"/>
      <c r="BV162" s="321"/>
      <c r="BW162" s="321">
        <f t="shared" ref="BW162" si="354">BR159*BW163</f>
        <v>0</v>
      </c>
      <c r="BX162" s="321">
        <f t="shared" ref="BX162" si="355">BS159*BX163</f>
        <v>0</v>
      </c>
      <c r="BY162" s="321">
        <f t="shared" ref="BY162" si="356">BT159*BY163</f>
        <v>0</v>
      </c>
      <c r="BZ162" s="321">
        <f t="shared" ref="BZ162" si="357">BU159*BZ163</f>
        <v>0</v>
      </c>
      <c r="CA162" s="321">
        <f t="shared" ref="CA162" si="358">BV159*CA163</f>
        <v>0</v>
      </c>
      <c r="CB162" s="321">
        <f t="shared" ref="CB162" si="359">BW159*CB163</f>
        <v>0</v>
      </c>
      <c r="CC162" s="321">
        <f t="shared" ref="CC162" si="360">BX159*CC163</f>
        <v>0</v>
      </c>
      <c r="CD162" s="321">
        <f t="shared" ref="CD162" si="361">BY159*CD163</f>
        <v>0</v>
      </c>
      <c r="CE162" s="321">
        <f t="shared" ref="CE162" si="362">BZ159*CE163</f>
        <v>0</v>
      </c>
      <c r="CF162" s="321">
        <f t="shared" ref="CF162" si="363">CA159*CF163</f>
        <v>0</v>
      </c>
      <c r="CG162" s="321">
        <f t="shared" ref="CG162" si="364">CB159*CG163</f>
        <v>0</v>
      </c>
      <c r="CH162" s="321">
        <f t="shared" ref="CH162" si="365">CC159*CH163</f>
        <v>0</v>
      </c>
      <c r="CI162" s="321">
        <f t="shared" ref="CI162" si="366">CD159*CI163</f>
        <v>0</v>
      </c>
      <c r="CJ162" s="321">
        <f t="shared" ref="CJ162" si="367">CE159*CJ163</f>
        <v>0</v>
      </c>
    </row>
    <row r="163" spans="2:88" hidden="1" outlineLevel="2">
      <c r="B163" s="323" t="s">
        <v>350</v>
      </c>
      <c r="C163" s="323"/>
      <c r="D163" s="323"/>
      <c r="E163" s="323"/>
      <c r="F163" s="323"/>
      <c r="G163" s="323"/>
      <c r="H163" s="323"/>
      <c r="I163" s="323"/>
      <c r="J163" s="323"/>
      <c r="K163" s="323"/>
      <c r="L163" s="323"/>
      <c r="M163" s="323"/>
      <c r="N163" s="323"/>
      <c r="O163" s="323"/>
      <c r="P163" s="323"/>
      <c r="Q163" s="323"/>
      <c r="R163" s="323"/>
      <c r="S163" s="323"/>
      <c r="T163" s="323"/>
      <c r="U163" s="323"/>
      <c r="V163" s="323"/>
      <c r="W163" s="323"/>
      <c r="X163" s="323"/>
      <c r="Y163" s="323"/>
      <c r="Z163" s="323"/>
      <c r="AA163" s="323"/>
      <c r="AB163" s="323"/>
      <c r="AC163" s="323"/>
      <c r="AD163" s="323"/>
      <c r="AE163" s="323"/>
      <c r="AF163" s="323"/>
      <c r="AG163" s="323"/>
      <c r="AH163" s="323"/>
      <c r="AI163" s="323"/>
      <c r="AJ163" s="323"/>
      <c r="AK163" s="323"/>
      <c r="AL163" s="323"/>
      <c r="AM163" s="323"/>
      <c r="AN163" s="323"/>
      <c r="AO163" s="323"/>
      <c r="AP163" s="323"/>
      <c r="AQ163" s="324"/>
      <c r="AR163" s="324"/>
      <c r="AS163" s="324"/>
      <c r="AT163" s="324"/>
      <c r="AU163" s="324"/>
      <c r="AV163" s="324"/>
      <c r="AW163" s="324"/>
      <c r="AX163" s="324"/>
      <c r="AY163" s="324"/>
      <c r="AZ163" s="324"/>
      <c r="BA163" s="324"/>
      <c r="BB163" s="324"/>
      <c r="BC163" s="324"/>
      <c r="BD163" s="324"/>
      <c r="BE163" s="324"/>
      <c r="BF163" s="324"/>
      <c r="BG163" s="324"/>
      <c r="BH163" s="324"/>
      <c r="BI163" s="324"/>
      <c r="BJ163" s="324"/>
      <c r="BK163" s="324"/>
      <c r="BL163" s="324"/>
      <c r="BM163" s="324"/>
      <c r="BN163" s="324"/>
      <c r="BO163" s="324"/>
      <c r="BP163" s="324"/>
      <c r="BQ163" s="324"/>
      <c r="BR163" s="324"/>
      <c r="BS163" s="324"/>
      <c r="BT163" s="324"/>
      <c r="BU163" s="324"/>
      <c r="BV163" s="324"/>
      <c r="BW163" s="324">
        <f>CHOOSE($BW$3,BW71,BW72,BW73)</f>
        <v>0</v>
      </c>
      <c r="BX163" s="324">
        <f t="shared" ref="BX163:CJ163" si="368">CHOOSE($BW$3,BX71,BX72,BX73)</f>
        <v>0</v>
      </c>
      <c r="BY163" s="324">
        <f t="shared" si="368"/>
        <v>0</v>
      </c>
      <c r="BZ163" s="324">
        <f t="shared" si="368"/>
        <v>0</v>
      </c>
      <c r="CA163" s="324">
        <f t="shared" si="368"/>
        <v>0</v>
      </c>
      <c r="CB163" s="324">
        <f t="shared" si="368"/>
        <v>0</v>
      </c>
      <c r="CC163" s="324">
        <f t="shared" si="368"/>
        <v>0</v>
      </c>
      <c r="CD163" s="324">
        <f t="shared" si="368"/>
        <v>0</v>
      </c>
      <c r="CE163" s="324">
        <f t="shared" si="368"/>
        <v>0</v>
      </c>
      <c r="CF163" s="324">
        <f t="shared" si="368"/>
        <v>0</v>
      </c>
      <c r="CG163" s="324">
        <f t="shared" si="368"/>
        <v>0</v>
      </c>
      <c r="CH163" s="324">
        <f t="shared" si="368"/>
        <v>0</v>
      </c>
      <c r="CI163" s="324">
        <f t="shared" si="368"/>
        <v>0</v>
      </c>
      <c r="CJ163" s="324">
        <f t="shared" si="368"/>
        <v>0</v>
      </c>
    </row>
    <row r="164" spans="2:88" hidden="1" outlineLevel="1" collapsed="1">
      <c r="B164" s="319"/>
      <c r="C164" s="319"/>
      <c r="D164" s="319"/>
      <c r="E164" s="319"/>
      <c r="F164" s="319"/>
      <c r="G164" s="319"/>
      <c r="H164" s="319"/>
      <c r="I164" s="319"/>
      <c r="J164" s="319"/>
      <c r="K164" s="319"/>
      <c r="L164" s="319"/>
      <c r="M164" s="319"/>
      <c r="N164" s="319"/>
      <c r="O164" s="319"/>
      <c r="P164" s="319"/>
      <c r="Q164" s="319"/>
      <c r="R164" s="319"/>
      <c r="S164" s="319"/>
      <c r="T164" s="319"/>
      <c r="U164" s="319"/>
      <c r="V164" s="319"/>
      <c r="W164" s="319"/>
      <c r="X164" s="319"/>
      <c r="Y164" s="319"/>
      <c r="Z164" s="319"/>
      <c r="AA164" s="319"/>
      <c r="AB164" s="319"/>
      <c r="AC164" s="319"/>
      <c r="AD164" s="319"/>
      <c r="AE164" s="319"/>
      <c r="AF164" s="319"/>
      <c r="AG164" s="319"/>
      <c r="AH164" s="319"/>
      <c r="AI164" s="319"/>
      <c r="AJ164" s="319"/>
      <c r="AK164" s="319"/>
      <c r="AL164" s="319"/>
      <c r="AM164" s="319"/>
      <c r="AN164" s="319"/>
      <c r="AO164" s="319"/>
      <c r="AP164" s="319"/>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c r="BP164" s="319"/>
      <c r="BQ164" s="319"/>
      <c r="BR164" s="319"/>
      <c r="BS164" s="310"/>
      <c r="BT164" s="310"/>
      <c r="BU164" s="310"/>
      <c r="BV164" s="310"/>
      <c r="BW164" s="310"/>
      <c r="BX164" s="310"/>
      <c r="BY164" s="310"/>
      <c r="BZ164" s="310"/>
      <c r="CA164" s="310"/>
      <c r="CB164" s="310"/>
      <c r="CC164" s="310"/>
      <c r="CD164" s="310"/>
      <c r="CE164" s="310"/>
      <c r="CF164" s="310"/>
      <c r="CG164" s="310"/>
      <c r="CH164" s="310"/>
      <c r="CI164" s="310"/>
      <c r="CJ164" s="310"/>
    </row>
    <row r="165" spans="2:88" collapsed="1">
      <c r="B165" s="319"/>
      <c r="C165" s="319"/>
      <c r="D165" s="319"/>
      <c r="E165" s="319"/>
      <c r="F165" s="319"/>
      <c r="G165" s="319"/>
      <c r="H165" s="319"/>
      <c r="I165" s="319"/>
      <c r="J165" s="319"/>
      <c r="K165" s="319"/>
      <c r="L165" s="319"/>
      <c r="M165" s="319"/>
      <c r="N165" s="319"/>
      <c r="O165" s="319"/>
      <c r="P165" s="319"/>
      <c r="Q165" s="319"/>
      <c r="R165" s="319"/>
      <c r="S165" s="319"/>
      <c r="T165" s="319"/>
      <c r="U165" s="319"/>
      <c r="V165" s="319"/>
      <c r="W165" s="319"/>
      <c r="X165" s="319"/>
      <c r="Y165" s="319"/>
      <c r="Z165" s="319"/>
      <c r="AA165" s="319"/>
      <c r="AB165" s="319"/>
      <c r="AC165" s="319"/>
      <c r="AD165" s="319"/>
      <c r="AE165" s="319"/>
      <c r="AF165" s="319"/>
      <c r="AG165" s="319"/>
      <c r="AH165" s="319"/>
      <c r="AI165" s="319"/>
      <c r="AJ165" s="319"/>
      <c r="AK165" s="319"/>
      <c r="AL165" s="319"/>
      <c r="AM165" s="319"/>
      <c r="AN165" s="319"/>
      <c r="AO165" s="319"/>
      <c r="AP165" s="319"/>
      <c r="AQ165" s="319"/>
      <c r="AR165" s="319"/>
      <c r="AS165" s="319"/>
      <c r="AT165" s="319"/>
      <c r="AU165" s="319"/>
      <c r="AV165" s="319"/>
      <c r="AW165" s="319"/>
      <c r="AX165" s="319"/>
      <c r="AY165" s="319"/>
      <c r="AZ165" s="319"/>
      <c r="BA165" s="319"/>
      <c r="BB165" s="319"/>
      <c r="BC165" s="319"/>
      <c r="BD165" s="319"/>
      <c r="BE165" s="319"/>
      <c r="BF165" s="319"/>
      <c r="BG165" s="319"/>
      <c r="BH165" s="319"/>
      <c r="BI165" s="319"/>
      <c r="BJ165" s="319"/>
      <c r="BK165" s="319"/>
      <c r="BL165" s="319"/>
      <c r="BM165" s="319"/>
      <c r="BN165" s="319"/>
      <c r="BO165" s="319"/>
      <c r="BP165" s="319"/>
      <c r="BQ165" s="319"/>
      <c r="BR165" s="319"/>
      <c r="BS165" s="310"/>
      <c r="BT165" s="310"/>
      <c r="BU165" s="310"/>
      <c r="BV165" s="310"/>
      <c r="BW165" s="310"/>
      <c r="BX165" s="310"/>
      <c r="BY165" s="310"/>
      <c r="BZ165" s="310"/>
      <c r="CA165" s="310"/>
      <c r="CB165" s="310"/>
      <c r="CC165" s="310"/>
      <c r="CD165" s="310"/>
      <c r="CE165" s="310"/>
      <c r="CF165" s="310"/>
      <c r="CG165" s="310"/>
      <c r="CH165" s="310"/>
      <c r="CI165" s="310"/>
      <c r="CJ165" s="310"/>
    </row>
    <row r="166" spans="2:88" hidden="1" outlineLevel="1">
      <c r="B166" s="357" t="s">
        <v>412</v>
      </c>
      <c r="C166" s="364"/>
      <c r="D166" s="364"/>
      <c r="E166" s="364"/>
      <c r="F166" s="364"/>
      <c r="G166" s="364"/>
      <c r="H166" s="364"/>
      <c r="I166" s="364"/>
      <c r="J166" s="364"/>
      <c r="K166" s="364"/>
      <c r="L166" s="364"/>
      <c r="M166" s="364"/>
      <c r="N166" s="364"/>
      <c r="O166" s="364"/>
      <c r="P166" s="364"/>
      <c r="Q166" s="364"/>
      <c r="R166" s="364"/>
      <c r="S166" s="364"/>
      <c r="T166" s="364"/>
      <c r="U166" s="364"/>
      <c r="V166" s="364"/>
      <c r="W166" s="364"/>
      <c r="X166" s="364"/>
      <c r="Y166" s="364"/>
      <c r="Z166" s="364"/>
      <c r="AA166" s="364"/>
      <c r="AB166" s="364"/>
      <c r="AC166" s="364"/>
      <c r="AD166" s="364"/>
      <c r="AE166" s="364"/>
      <c r="AF166" s="364"/>
      <c r="AG166" s="364"/>
      <c r="AH166" s="364"/>
      <c r="AI166" s="364"/>
      <c r="AJ166" s="364"/>
      <c r="AK166" s="364"/>
      <c r="AL166" s="364"/>
      <c r="AM166" s="364"/>
      <c r="AN166" s="364"/>
      <c r="AO166" s="364"/>
      <c r="AP166" s="364"/>
      <c r="AQ166" s="364"/>
      <c r="AR166" s="364"/>
      <c r="AS166" s="364"/>
      <c r="AT166" s="364"/>
      <c r="AU166" s="364"/>
      <c r="AV166" s="364"/>
      <c r="AW166" s="364"/>
      <c r="AX166" s="364"/>
      <c r="AY166" s="364"/>
      <c r="AZ166" s="364"/>
      <c r="BA166" s="364"/>
      <c r="BB166" s="364"/>
      <c r="BC166" s="364"/>
      <c r="BD166" s="364"/>
      <c r="BE166" s="364"/>
      <c r="BF166" s="364"/>
      <c r="BG166" s="364"/>
      <c r="BH166" s="364"/>
      <c r="BI166" s="364"/>
      <c r="BJ166" s="364"/>
      <c r="BK166" s="364"/>
      <c r="BL166" s="364"/>
      <c r="BM166" s="364"/>
      <c r="BN166" s="364"/>
      <c r="BO166" s="364"/>
      <c r="BP166" s="364"/>
      <c r="BQ166" s="364"/>
      <c r="BR166" s="364"/>
      <c r="BS166" s="358"/>
      <c r="BT166" s="358"/>
      <c r="BU166" s="358"/>
      <c r="BV166" s="358"/>
      <c r="BW166" s="365">
        <v>750000</v>
      </c>
      <c r="BX166" s="365">
        <f>BW166*(1+BX170)</f>
        <v>757500</v>
      </c>
      <c r="BY166" s="365">
        <f t="shared" ref="BY166:CJ166" si="369">BX166*(1+BY170)</f>
        <v>765075</v>
      </c>
      <c r="BZ166" s="365">
        <f t="shared" si="369"/>
        <v>772725.75</v>
      </c>
      <c r="CA166" s="365">
        <f t="shared" si="369"/>
        <v>780453.00749999995</v>
      </c>
      <c r="CB166" s="365">
        <f t="shared" si="369"/>
        <v>788257.53757499997</v>
      </c>
      <c r="CC166" s="365">
        <f t="shared" si="369"/>
        <v>796140.11295074993</v>
      </c>
      <c r="CD166" s="365">
        <f t="shared" si="369"/>
        <v>804101.51408025739</v>
      </c>
      <c r="CE166" s="365">
        <f t="shared" si="369"/>
        <v>812142.52922105999</v>
      </c>
      <c r="CF166" s="365">
        <f t="shared" si="369"/>
        <v>820263.95451327064</v>
      </c>
      <c r="CG166" s="365">
        <f t="shared" si="369"/>
        <v>828466.5940584034</v>
      </c>
      <c r="CH166" s="365">
        <f t="shared" si="369"/>
        <v>836751.25999898743</v>
      </c>
      <c r="CI166" s="365">
        <f t="shared" si="369"/>
        <v>845118.77259897732</v>
      </c>
      <c r="CJ166" s="365">
        <f t="shared" si="369"/>
        <v>853569.96032496705</v>
      </c>
    </row>
    <row r="167" spans="2:88" hidden="1" outlineLevel="1">
      <c r="B167" s="357" t="s">
        <v>414</v>
      </c>
      <c r="C167" s="364"/>
      <c r="D167" s="364"/>
      <c r="E167" s="364"/>
      <c r="F167" s="364"/>
      <c r="G167" s="364"/>
      <c r="H167" s="364"/>
      <c r="I167" s="364"/>
      <c r="J167" s="364"/>
      <c r="K167" s="364"/>
      <c r="L167" s="364"/>
      <c r="M167" s="364"/>
      <c r="N167" s="364"/>
      <c r="O167" s="364"/>
      <c r="P167" s="364"/>
      <c r="Q167" s="364"/>
      <c r="R167" s="364"/>
      <c r="S167" s="364"/>
      <c r="T167" s="364"/>
      <c r="U167" s="364"/>
      <c r="V167" s="364"/>
      <c r="W167" s="364"/>
      <c r="X167" s="364"/>
      <c r="Y167" s="364"/>
      <c r="Z167" s="364"/>
      <c r="AA167" s="364"/>
      <c r="AB167" s="364"/>
      <c r="AC167" s="364"/>
      <c r="AD167" s="364"/>
      <c r="AE167" s="364"/>
      <c r="AF167" s="364"/>
      <c r="AG167" s="364"/>
      <c r="AH167" s="364"/>
      <c r="AI167" s="364"/>
      <c r="AJ167" s="364"/>
      <c r="AK167" s="364"/>
      <c r="AL167" s="364"/>
      <c r="AM167" s="364"/>
      <c r="AN167" s="364"/>
      <c r="AO167" s="364"/>
      <c r="AP167" s="364"/>
      <c r="AQ167" s="364"/>
      <c r="AR167" s="364"/>
      <c r="AS167" s="364"/>
      <c r="AT167" s="364"/>
      <c r="AU167" s="364"/>
      <c r="AV167" s="364"/>
      <c r="AW167" s="364"/>
      <c r="AX167" s="364"/>
      <c r="AY167" s="364"/>
      <c r="AZ167" s="364"/>
      <c r="BA167" s="364"/>
      <c r="BB167" s="364"/>
      <c r="BC167" s="364"/>
      <c r="BD167" s="364"/>
      <c r="BE167" s="364"/>
      <c r="BF167" s="364"/>
      <c r="BG167" s="364"/>
      <c r="BH167" s="364"/>
      <c r="BI167" s="364"/>
      <c r="BJ167" s="364"/>
      <c r="BK167" s="364"/>
      <c r="BL167" s="364"/>
      <c r="BM167" s="364"/>
      <c r="BN167" s="364"/>
      <c r="BO167" s="364"/>
      <c r="BP167" s="364"/>
      <c r="BQ167" s="364"/>
      <c r="BR167" s="364"/>
      <c r="BS167" s="358"/>
      <c r="BT167" s="358"/>
      <c r="BU167" s="358"/>
      <c r="BV167" s="358"/>
      <c r="BW167" s="365">
        <v>1250000</v>
      </c>
      <c r="BX167" s="365">
        <f>BW167*(1+BX170)</f>
        <v>1262500</v>
      </c>
      <c r="BY167" s="365">
        <f t="shared" ref="BY167:CJ167" si="370">BX167*(1+BY170)</f>
        <v>1275125</v>
      </c>
      <c r="BZ167" s="365">
        <f t="shared" si="370"/>
        <v>1287876.25</v>
      </c>
      <c r="CA167" s="365">
        <f t="shared" si="370"/>
        <v>1300755.0125</v>
      </c>
      <c r="CB167" s="365">
        <f t="shared" si="370"/>
        <v>1313762.562625</v>
      </c>
      <c r="CC167" s="365">
        <f t="shared" si="370"/>
        <v>1326900.18825125</v>
      </c>
      <c r="CD167" s="365">
        <f t="shared" si="370"/>
        <v>1340169.1901337625</v>
      </c>
      <c r="CE167" s="365">
        <f t="shared" si="370"/>
        <v>1353570.8820351001</v>
      </c>
      <c r="CF167" s="365">
        <f t="shared" si="370"/>
        <v>1367106.5908554511</v>
      </c>
      <c r="CG167" s="365">
        <f t="shared" si="370"/>
        <v>1380777.6567640055</v>
      </c>
      <c r="CH167" s="365">
        <f t="shared" si="370"/>
        <v>1394585.4333316456</v>
      </c>
      <c r="CI167" s="365">
        <f t="shared" si="370"/>
        <v>1408531.287664962</v>
      </c>
      <c r="CJ167" s="365">
        <f t="shared" si="370"/>
        <v>1422616.6005416117</v>
      </c>
    </row>
    <row r="168" spans="2:88" hidden="1" outlineLevel="1">
      <c r="B168" s="357" t="s">
        <v>415</v>
      </c>
      <c r="C168" s="364"/>
      <c r="D168" s="364"/>
      <c r="E168" s="364"/>
      <c r="F168" s="364"/>
      <c r="G168" s="364"/>
      <c r="H168" s="364"/>
      <c r="I168" s="364"/>
      <c r="J168" s="364"/>
      <c r="K168" s="364"/>
      <c r="L168" s="364"/>
      <c r="M168" s="364"/>
      <c r="N168" s="364"/>
      <c r="O168" s="364"/>
      <c r="P168" s="364"/>
      <c r="Q168" s="364"/>
      <c r="R168" s="364"/>
      <c r="S168" s="364"/>
      <c r="T168" s="364"/>
      <c r="U168" s="364"/>
      <c r="V168" s="364"/>
      <c r="W168" s="364"/>
      <c r="X168" s="364"/>
      <c r="Y168" s="364"/>
      <c r="Z168" s="364"/>
      <c r="AA168" s="364"/>
      <c r="AB168" s="364"/>
      <c r="AC168" s="364"/>
      <c r="AD168" s="364"/>
      <c r="AE168" s="364"/>
      <c r="AF168" s="364"/>
      <c r="AG168" s="364"/>
      <c r="AH168" s="364"/>
      <c r="AI168" s="364"/>
      <c r="AJ168" s="364"/>
      <c r="AK168" s="364"/>
      <c r="AL168" s="364"/>
      <c r="AM168" s="364"/>
      <c r="AN168" s="364"/>
      <c r="AO168" s="364"/>
      <c r="AP168" s="364"/>
      <c r="AQ168" s="364"/>
      <c r="AR168" s="364"/>
      <c r="AS168" s="364"/>
      <c r="AT168" s="364"/>
      <c r="AU168" s="364"/>
      <c r="AV168" s="364"/>
      <c r="AW168" s="364"/>
      <c r="AX168" s="364"/>
      <c r="AY168" s="364"/>
      <c r="AZ168" s="364"/>
      <c r="BA168" s="364"/>
      <c r="BB168" s="364"/>
      <c r="BC168" s="364"/>
      <c r="BD168" s="364"/>
      <c r="BE168" s="364"/>
      <c r="BF168" s="364"/>
      <c r="BG168" s="364"/>
      <c r="BH168" s="364"/>
      <c r="BI168" s="364"/>
      <c r="BJ168" s="364"/>
      <c r="BK168" s="364"/>
      <c r="BL168" s="364"/>
      <c r="BM168" s="364"/>
      <c r="BN168" s="364"/>
      <c r="BO168" s="364"/>
      <c r="BP168" s="364"/>
      <c r="BQ168" s="364"/>
      <c r="BR168" s="364"/>
      <c r="BS168" s="358"/>
      <c r="BT168" s="358"/>
      <c r="BU168" s="358"/>
      <c r="BV168" s="358"/>
      <c r="BW168" s="365">
        <v>1750000</v>
      </c>
      <c r="BX168" s="365">
        <f>BW168*(1+BX170)</f>
        <v>1767500</v>
      </c>
      <c r="BY168" s="365">
        <f t="shared" ref="BY168:CJ168" si="371">BX168*(1+BY170)</f>
        <v>1785175</v>
      </c>
      <c r="BZ168" s="365">
        <f t="shared" si="371"/>
        <v>1803026.75</v>
      </c>
      <c r="CA168" s="365">
        <f t="shared" si="371"/>
        <v>1821057.0175000001</v>
      </c>
      <c r="CB168" s="365">
        <f t="shared" si="371"/>
        <v>1839267.5876750001</v>
      </c>
      <c r="CC168" s="365">
        <f t="shared" si="371"/>
        <v>1857660.26355175</v>
      </c>
      <c r="CD168" s="365">
        <f t="shared" si="371"/>
        <v>1876236.8661872675</v>
      </c>
      <c r="CE168" s="365">
        <f t="shared" si="371"/>
        <v>1894999.23484914</v>
      </c>
      <c r="CF168" s="365">
        <f t="shared" si="371"/>
        <v>1913949.2271976315</v>
      </c>
      <c r="CG168" s="365">
        <f t="shared" si="371"/>
        <v>1933088.7194696078</v>
      </c>
      <c r="CH168" s="365">
        <f t="shared" si="371"/>
        <v>1952419.6066643039</v>
      </c>
      <c r="CI168" s="365">
        <f t="shared" si="371"/>
        <v>1971943.802730947</v>
      </c>
      <c r="CJ168" s="365">
        <f t="shared" si="371"/>
        <v>1991663.2407582565</v>
      </c>
    </row>
    <row r="169" spans="2:88" collapsed="1">
      <c r="B169" s="311" t="s">
        <v>356</v>
      </c>
      <c r="C169" s="311"/>
      <c r="D169" s="311"/>
      <c r="E169" s="311"/>
      <c r="F169" s="311"/>
      <c r="G169" s="311"/>
      <c r="H169" s="311"/>
      <c r="I169" s="311"/>
      <c r="J169" s="311"/>
      <c r="K169" s="311"/>
      <c r="L169" s="311"/>
      <c r="M169" s="311"/>
      <c r="N169" s="311"/>
      <c r="O169" s="311"/>
      <c r="P169" s="311"/>
      <c r="Q169" s="311"/>
      <c r="R169" s="311"/>
      <c r="S169" s="311"/>
      <c r="T169" s="311"/>
      <c r="U169" s="311"/>
      <c r="V169" s="311"/>
      <c r="W169" s="311"/>
      <c r="X169" s="311"/>
      <c r="Y169" s="311"/>
      <c r="Z169" s="311"/>
      <c r="AA169" s="311"/>
      <c r="AB169" s="311"/>
      <c r="AC169" s="311"/>
      <c r="AD169" s="311"/>
      <c r="AE169" s="311"/>
      <c r="AF169" s="311"/>
      <c r="AG169" s="311"/>
      <c r="AH169" s="311"/>
      <c r="AI169" s="311"/>
      <c r="AJ169" s="311"/>
      <c r="AK169" s="311"/>
      <c r="AL169" s="311"/>
      <c r="AM169" s="311"/>
      <c r="AN169" s="311"/>
      <c r="AO169" s="311"/>
      <c r="AP169" s="311"/>
      <c r="AQ169" s="311"/>
      <c r="AR169" s="311"/>
      <c r="AS169" s="311"/>
      <c r="AT169" s="311"/>
      <c r="AU169" s="311"/>
      <c r="AV169" s="311"/>
      <c r="AW169" s="311"/>
      <c r="AX169" s="311"/>
      <c r="AY169" s="311"/>
      <c r="AZ169" s="311"/>
      <c r="BA169" s="311"/>
      <c r="BB169" s="311"/>
      <c r="BC169" s="311"/>
      <c r="BD169" s="311"/>
      <c r="BE169" s="311"/>
      <c r="BF169" s="311"/>
      <c r="BG169" s="311"/>
      <c r="BH169" s="311"/>
      <c r="BI169" s="311"/>
      <c r="BJ169" s="311"/>
      <c r="BK169" s="311"/>
      <c r="BL169" s="311"/>
      <c r="BM169" s="311"/>
      <c r="BN169" s="311"/>
      <c r="BO169" s="311"/>
      <c r="BP169" s="311"/>
      <c r="BQ169" s="311"/>
      <c r="BR169" s="311"/>
      <c r="BS169" s="310"/>
      <c r="BT169" s="310"/>
      <c r="BU169" s="310"/>
      <c r="BV169" s="310"/>
      <c r="BW169" s="314">
        <f>CHOOSE($CE$3,BW166,BW167,BW168)</f>
        <v>1250000</v>
      </c>
      <c r="BX169" s="314">
        <f t="shared" ref="BX169:CJ169" si="372">CHOOSE($CE$3,BX166,BX167,BX168)</f>
        <v>1262500</v>
      </c>
      <c r="BY169" s="314">
        <f t="shared" si="372"/>
        <v>1275125</v>
      </c>
      <c r="BZ169" s="314">
        <f t="shared" si="372"/>
        <v>1287876.25</v>
      </c>
      <c r="CA169" s="314">
        <f t="shared" si="372"/>
        <v>1300755.0125</v>
      </c>
      <c r="CB169" s="314">
        <f t="shared" si="372"/>
        <v>1313762.562625</v>
      </c>
      <c r="CC169" s="314">
        <f t="shared" si="372"/>
        <v>1326900.18825125</v>
      </c>
      <c r="CD169" s="314">
        <f t="shared" si="372"/>
        <v>1340169.1901337625</v>
      </c>
      <c r="CE169" s="314">
        <f t="shared" si="372"/>
        <v>1353570.8820351001</v>
      </c>
      <c r="CF169" s="314">
        <f t="shared" si="372"/>
        <v>1367106.5908554511</v>
      </c>
      <c r="CG169" s="314">
        <f t="shared" si="372"/>
        <v>1380777.6567640055</v>
      </c>
      <c r="CH169" s="314">
        <f t="shared" si="372"/>
        <v>1394585.4333316456</v>
      </c>
      <c r="CI169" s="314">
        <f t="shared" si="372"/>
        <v>1408531.287664962</v>
      </c>
      <c r="CJ169" s="314">
        <f t="shared" si="372"/>
        <v>1422616.6005416117</v>
      </c>
    </row>
    <row r="170" spans="2:88">
      <c r="B170" s="325" t="s">
        <v>342</v>
      </c>
      <c r="C170" s="325"/>
      <c r="D170" s="325"/>
      <c r="E170" s="325"/>
      <c r="F170" s="325"/>
      <c r="G170" s="325"/>
      <c r="H170" s="325"/>
      <c r="I170" s="325"/>
      <c r="J170" s="325"/>
      <c r="K170" s="325"/>
      <c r="L170" s="325"/>
      <c r="M170" s="325"/>
      <c r="N170" s="325"/>
      <c r="O170" s="325"/>
      <c r="P170" s="325"/>
      <c r="Q170" s="325"/>
      <c r="R170" s="325"/>
      <c r="S170" s="325"/>
      <c r="T170" s="325"/>
      <c r="U170" s="325"/>
      <c r="V170" s="325"/>
      <c r="W170" s="325"/>
      <c r="X170" s="325"/>
      <c r="Y170" s="325"/>
      <c r="Z170" s="325"/>
      <c r="AA170" s="325"/>
      <c r="AB170" s="325"/>
      <c r="AC170" s="325"/>
      <c r="AD170" s="325"/>
      <c r="AE170" s="325"/>
      <c r="AF170" s="325"/>
      <c r="AG170" s="325"/>
      <c r="AH170" s="325"/>
      <c r="AI170" s="325"/>
      <c r="AJ170" s="325"/>
      <c r="AK170" s="325"/>
      <c r="AL170" s="325"/>
      <c r="AM170" s="325"/>
      <c r="AN170" s="325"/>
      <c r="AO170" s="325"/>
      <c r="AP170" s="325"/>
      <c r="AQ170" s="325"/>
      <c r="AR170" s="325"/>
      <c r="AS170" s="325"/>
      <c r="AT170" s="325"/>
      <c r="AU170" s="325"/>
      <c r="AV170" s="325"/>
      <c r="AW170" s="325"/>
      <c r="AX170" s="325"/>
      <c r="AY170" s="325"/>
      <c r="AZ170" s="325"/>
      <c r="BA170" s="325"/>
      <c r="BB170" s="325"/>
      <c r="BC170" s="325"/>
      <c r="BD170" s="325"/>
      <c r="BE170" s="325"/>
      <c r="BF170" s="325"/>
      <c r="BG170" s="325"/>
      <c r="BH170" s="325"/>
      <c r="BI170" s="325"/>
      <c r="BJ170" s="325"/>
      <c r="BK170" s="325"/>
      <c r="BL170" s="325"/>
      <c r="BM170" s="325"/>
      <c r="BN170" s="325"/>
      <c r="BO170" s="325"/>
      <c r="BP170" s="325"/>
      <c r="BQ170" s="325"/>
      <c r="BR170" s="325"/>
      <c r="BS170" s="310"/>
      <c r="BT170" s="310"/>
      <c r="BU170" s="310"/>
      <c r="BV170" s="310"/>
      <c r="BW170" s="315"/>
      <c r="BX170" s="315">
        <v>0.01</v>
      </c>
      <c r="BY170" s="315">
        <f t="shared" ref="BY170:CF170" si="373">BX170</f>
        <v>0.01</v>
      </c>
      <c r="BZ170" s="315">
        <f t="shared" si="373"/>
        <v>0.01</v>
      </c>
      <c r="CA170" s="315">
        <f t="shared" si="373"/>
        <v>0.01</v>
      </c>
      <c r="CB170" s="315">
        <f t="shared" si="373"/>
        <v>0.01</v>
      </c>
      <c r="CC170" s="315">
        <f t="shared" si="373"/>
        <v>0.01</v>
      </c>
      <c r="CD170" s="315">
        <f t="shared" si="373"/>
        <v>0.01</v>
      </c>
      <c r="CE170" s="315">
        <f t="shared" si="373"/>
        <v>0.01</v>
      </c>
      <c r="CF170" s="315">
        <f t="shared" si="373"/>
        <v>0.01</v>
      </c>
      <c r="CG170" s="315">
        <f t="shared" ref="CG170" si="374">CF170</f>
        <v>0.01</v>
      </c>
      <c r="CH170" s="315">
        <f t="shared" ref="CH170" si="375">CG170</f>
        <v>0.01</v>
      </c>
      <c r="CI170" s="315">
        <f t="shared" ref="CI170" si="376">CH170</f>
        <v>0.01</v>
      </c>
      <c r="CJ170" s="315">
        <f t="shared" ref="CJ170" si="377">CI170</f>
        <v>0.01</v>
      </c>
    </row>
    <row r="171" spans="2:88">
      <c r="B171" s="311" t="s">
        <v>343</v>
      </c>
      <c r="C171" s="311"/>
      <c r="D171" s="311"/>
      <c r="E171" s="311"/>
      <c r="F171" s="311"/>
      <c r="G171" s="311"/>
      <c r="H171" s="311"/>
      <c r="I171" s="311"/>
      <c r="J171" s="311"/>
      <c r="K171" s="311"/>
      <c r="L171" s="311"/>
      <c r="M171" s="311"/>
      <c r="N171" s="311"/>
      <c r="O171" s="311"/>
      <c r="P171" s="311"/>
      <c r="Q171" s="311"/>
      <c r="R171" s="311"/>
      <c r="S171" s="311"/>
      <c r="T171" s="311"/>
      <c r="U171" s="311"/>
      <c r="V171" s="311"/>
      <c r="W171" s="311"/>
      <c r="X171" s="311"/>
      <c r="Y171" s="311"/>
      <c r="Z171" s="311"/>
      <c r="AA171" s="311"/>
      <c r="AB171" s="311"/>
      <c r="AC171" s="311"/>
      <c r="AD171" s="311"/>
      <c r="AE171" s="311"/>
      <c r="AF171" s="311"/>
      <c r="AG171" s="311"/>
      <c r="AH171" s="311"/>
      <c r="AI171" s="311"/>
      <c r="AJ171" s="311"/>
      <c r="AK171" s="311"/>
      <c r="AL171" s="311"/>
      <c r="AM171" s="311"/>
      <c r="AN171" s="311"/>
      <c r="AO171" s="311"/>
      <c r="AP171" s="311"/>
      <c r="AQ171" s="311"/>
      <c r="AR171" s="311"/>
      <c r="AS171" s="311"/>
      <c r="AT171" s="311"/>
      <c r="AU171" s="311"/>
      <c r="AV171" s="311"/>
      <c r="AW171" s="311"/>
      <c r="AX171" s="311"/>
      <c r="AY171" s="311"/>
      <c r="AZ171" s="311"/>
      <c r="BA171" s="311"/>
      <c r="BB171" s="311"/>
      <c r="BC171" s="311"/>
      <c r="BD171" s="311"/>
      <c r="BE171" s="311"/>
      <c r="BF171" s="311"/>
      <c r="BG171" s="311"/>
      <c r="BH171" s="311"/>
      <c r="BI171" s="311"/>
      <c r="BJ171" s="311"/>
      <c r="BK171" s="311"/>
      <c r="BL171" s="311"/>
      <c r="BM171" s="311"/>
      <c r="BN171" s="311"/>
      <c r="BO171" s="311"/>
      <c r="BP171" s="311"/>
      <c r="BQ171" s="311"/>
      <c r="BR171" s="311"/>
      <c r="BS171" s="310"/>
      <c r="BT171" s="310"/>
      <c r="BU171" s="310"/>
      <c r="BV171" s="310"/>
      <c r="BW171" s="314">
        <f t="shared" ref="BW171:CF171" si="378">BW169*(1-BW172)</f>
        <v>1125000</v>
      </c>
      <c r="BX171" s="314">
        <f t="shared" si="378"/>
        <v>1136250</v>
      </c>
      <c r="BY171" s="314">
        <f t="shared" si="378"/>
        <v>1147612.5</v>
      </c>
      <c r="BZ171" s="314">
        <f t="shared" si="378"/>
        <v>1159088.625</v>
      </c>
      <c r="CA171" s="314">
        <f t="shared" si="378"/>
        <v>1170679.51125</v>
      </c>
      <c r="CB171" s="314">
        <f t="shared" si="378"/>
        <v>1182386.3063624999</v>
      </c>
      <c r="CC171" s="314">
        <f t="shared" si="378"/>
        <v>1194210.169426125</v>
      </c>
      <c r="CD171" s="314">
        <f t="shared" si="378"/>
        <v>1206152.2711203864</v>
      </c>
      <c r="CE171" s="314">
        <f t="shared" si="378"/>
        <v>1218213.7938315901</v>
      </c>
      <c r="CF171" s="314">
        <f t="shared" si="378"/>
        <v>1230395.9317699061</v>
      </c>
      <c r="CG171" s="314">
        <f t="shared" ref="CG171:CJ171" si="379">CG169*(1-CG172)</f>
        <v>1242699.8910876049</v>
      </c>
      <c r="CH171" s="314">
        <f t="shared" si="379"/>
        <v>1255126.8899984811</v>
      </c>
      <c r="CI171" s="314">
        <f t="shared" si="379"/>
        <v>1267678.1588984658</v>
      </c>
      <c r="CJ171" s="314">
        <f t="shared" si="379"/>
        <v>1280354.9404874505</v>
      </c>
    </row>
    <row r="172" spans="2:88">
      <c r="B172" s="325" t="s">
        <v>344</v>
      </c>
      <c r="C172" s="325"/>
      <c r="D172" s="325"/>
      <c r="E172" s="325"/>
      <c r="F172" s="325"/>
      <c r="G172" s="325"/>
      <c r="H172" s="325"/>
      <c r="I172" s="325"/>
      <c r="J172" s="325"/>
      <c r="K172" s="325"/>
      <c r="L172" s="325"/>
      <c r="M172" s="325"/>
      <c r="N172" s="325"/>
      <c r="O172" s="325"/>
      <c r="P172" s="325"/>
      <c r="Q172" s="325"/>
      <c r="R172" s="325"/>
      <c r="S172" s="325"/>
      <c r="T172" s="325"/>
      <c r="U172" s="325"/>
      <c r="V172" s="325"/>
      <c r="W172" s="325"/>
      <c r="X172" s="325"/>
      <c r="Y172" s="325"/>
      <c r="Z172" s="325"/>
      <c r="AA172" s="325"/>
      <c r="AB172" s="325"/>
      <c r="AC172" s="325"/>
      <c r="AD172" s="325"/>
      <c r="AE172" s="325"/>
      <c r="AF172" s="325"/>
      <c r="AG172" s="325"/>
      <c r="AH172" s="325"/>
      <c r="AI172" s="325"/>
      <c r="AJ172" s="325"/>
      <c r="AK172" s="325"/>
      <c r="AL172" s="325"/>
      <c r="AM172" s="325"/>
      <c r="AN172" s="325"/>
      <c r="AO172" s="325"/>
      <c r="AP172" s="325"/>
      <c r="AQ172" s="325"/>
      <c r="AR172" s="325"/>
      <c r="AS172" s="325"/>
      <c r="AT172" s="325"/>
      <c r="AU172" s="325"/>
      <c r="AV172" s="325"/>
      <c r="AW172" s="325"/>
      <c r="AX172" s="325"/>
      <c r="AY172" s="325"/>
      <c r="AZ172" s="325"/>
      <c r="BA172" s="325"/>
      <c r="BB172" s="325"/>
      <c r="BC172" s="325"/>
      <c r="BD172" s="325"/>
      <c r="BE172" s="325"/>
      <c r="BF172" s="325"/>
      <c r="BG172" s="325"/>
      <c r="BH172" s="325"/>
      <c r="BI172" s="325"/>
      <c r="BJ172" s="325"/>
      <c r="BK172" s="325"/>
      <c r="BL172" s="325"/>
      <c r="BM172" s="325"/>
      <c r="BN172" s="325"/>
      <c r="BO172" s="325"/>
      <c r="BP172" s="325"/>
      <c r="BQ172" s="325"/>
      <c r="BR172" s="325"/>
      <c r="BS172" s="310"/>
      <c r="BT172" s="310"/>
      <c r="BU172" s="310"/>
      <c r="BV172" s="310"/>
      <c r="BW172" s="315">
        <v>0.1</v>
      </c>
      <c r="BX172" s="315">
        <f>BW172</f>
        <v>0.1</v>
      </c>
      <c r="BY172" s="315">
        <f t="shared" ref="BY172:CF172" si="380">BX172</f>
        <v>0.1</v>
      </c>
      <c r="BZ172" s="315">
        <f t="shared" si="380"/>
        <v>0.1</v>
      </c>
      <c r="CA172" s="315">
        <f t="shared" si="380"/>
        <v>0.1</v>
      </c>
      <c r="CB172" s="315">
        <f t="shared" si="380"/>
        <v>0.1</v>
      </c>
      <c r="CC172" s="315">
        <f t="shared" si="380"/>
        <v>0.1</v>
      </c>
      <c r="CD172" s="315">
        <f t="shared" si="380"/>
        <v>0.1</v>
      </c>
      <c r="CE172" s="315">
        <f t="shared" si="380"/>
        <v>0.1</v>
      </c>
      <c r="CF172" s="315">
        <f t="shared" si="380"/>
        <v>0.1</v>
      </c>
      <c r="CG172" s="315">
        <f t="shared" ref="CG172" si="381">CF172</f>
        <v>0.1</v>
      </c>
      <c r="CH172" s="315">
        <f t="shared" ref="CH172" si="382">CG172</f>
        <v>0.1</v>
      </c>
      <c r="CI172" s="315">
        <f t="shared" ref="CI172" si="383">CH172</f>
        <v>0.1</v>
      </c>
      <c r="CJ172" s="315">
        <f t="shared" ref="CJ172" si="384">CI172</f>
        <v>0.1</v>
      </c>
    </row>
    <row r="173" spans="2:88" hidden="1" outlineLevel="1">
      <c r="B173" s="310"/>
      <c r="C173" s="310"/>
      <c r="D173" s="310"/>
      <c r="E173" s="310"/>
      <c r="F173" s="310"/>
      <c r="G173" s="310"/>
      <c r="H173" s="310"/>
      <c r="I173" s="310"/>
      <c r="J173" s="310"/>
      <c r="K173" s="310"/>
      <c r="L173" s="310"/>
      <c r="M173" s="310"/>
      <c r="N173" s="310"/>
      <c r="O173" s="310"/>
      <c r="P173" s="310"/>
      <c r="Q173" s="310"/>
      <c r="R173" s="310"/>
      <c r="S173" s="310"/>
      <c r="T173" s="310"/>
      <c r="U173" s="310"/>
      <c r="V173" s="310"/>
      <c r="W173" s="310"/>
      <c r="X173" s="310"/>
      <c r="Y173" s="310"/>
      <c r="Z173" s="310"/>
      <c r="AA173" s="310"/>
      <c r="AB173" s="310"/>
      <c r="AC173" s="310"/>
      <c r="AD173" s="310"/>
      <c r="AE173" s="310"/>
      <c r="AF173" s="310"/>
      <c r="AG173" s="310"/>
      <c r="AH173" s="310"/>
      <c r="AI173" s="310"/>
      <c r="AJ173" s="310"/>
      <c r="AK173" s="310"/>
      <c r="AL173" s="310"/>
      <c r="AM173" s="310"/>
      <c r="AN173" s="310"/>
      <c r="AO173" s="310"/>
      <c r="AP173" s="310"/>
      <c r="AQ173" s="310"/>
      <c r="AR173" s="310"/>
      <c r="AS173" s="310"/>
      <c r="AT173" s="310"/>
      <c r="AU173" s="310"/>
      <c r="AV173" s="310"/>
      <c r="AW173" s="310"/>
      <c r="AX173" s="310"/>
      <c r="AY173" s="310"/>
      <c r="AZ173" s="310"/>
      <c r="BA173" s="310"/>
      <c r="BB173" s="310"/>
      <c r="BC173" s="310"/>
      <c r="BD173" s="310"/>
      <c r="BE173" s="310"/>
      <c r="BF173" s="310"/>
      <c r="BG173" s="310"/>
      <c r="BH173" s="310"/>
      <c r="BI173" s="310"/>
      <c r="BJ173" s="310"/>
      <c r="BK173" s="310"/>
      <c r="BL173" s="310"/>
      <c r="BM173" s="310"/>
      <c r="BN173" s="310"/>
      <c r="BO173" s="310"/>
      <c r="BP173" s="310"/>
      <c r="BQ173" s="310"/>
      <c r="BR173" s="310"/>
      <c r="BS173" s="310"/>
      <c r="BT173" s="310"/>
      <c r="BU173" s="310"/>
      <c r="BV173" s="310"/>
      <c r="BW173" s="310"/>
      <c r="BX173" s="310"/>
      <c r="BY173" s="310"/>
      <c r="BZ173" s="310"/>
      <c r="CA173" s="310"/>
      <c r="CB173" s="310"/>
      <c r="CC173" s="310"/>
      <c r="CD173" s="310"/>
      <c r="CE173" s="310"/>
      <c r="CF173" s="310"/>
      <c r="CG173" s="310"/>
      <c r="CH173" s="310"/>
      <c r="CI173" s="310"/>
      <c r="CJ173" s="310"/>
    </row>
    <row r="174" spans="2:88" hidden="1" outlineLevel="1">
      <c r="B174" s="311" t="s">
        <v>357</v>
      </c>
      <c r="C174" s="311"/>
      <c r="D174" s="311"/>
      <c r="E174" s="311"/>
      <c r="F174" s="311"/>
      <c r="G174" s="311"/>
      <c r="H174" s="311"/>
      <c r="I174" s="311"/>
      <c r="J174" s="311"/>
      <c r="K174" s="311"/>
      <c r="L174" s="311"/>
      <c r="M174" s="311"/>
      <c r="N174" s="311"/>
      <c r="O174" s="311"/>
      <c r="P174" s="311"/>
      <c r="Q174" s="311"/>
      <c r="R174" s="311"/>
      <c r="S174" s="311"/>
      <c r="T174" s="311"/>
      <c r="U174" s="311"/>
      <c r="V174" s="311"/>
      <c r="W174" s="311"/>
      <c r="X174" s="311"/>
      <c r="Y174" s="311"/>
      <c r="Z174" s="311"/>
      <c r="AA174" s="311"/>
      <c r="AB174" s="311"/>
      <c r="AC174" s="311"/>
      <c r="AD174" s="311"/>
      <c r="AE174" s="311"/>
      <c r="AF174" s="311"/>
      <c r="AG174" s="311"/>
      <c r="AH174" s="311"/>
      <c r="AI174" s="311"/>
      <c r="AJ174" s="311"/>
      <c r="AK174" s="311"/>
      <c r="AL174" s="311"/>
      <c r="AM174" s="311"/>
      <c r="AN174" s="311"/>
      <c r="AO174" s="311"/>
      <c r="AP174" s="311"/>
      <c r="AQ174" s="311"/>
      <c r="AR174" s="311"/>
      <c r="AS174" s="311"/>
      <c r="AT174" s="311"/>
      <c r="AU174" s="311"/>
      <c r="AV174" s="311"/>
      <c r="AW174" s="311"/>
      <c r="AX174" s="311"/>
      <c r="AY174" s="311"/>
      <c r="AZ174" s="311"/>
      <c r="BA174" s="311"/>
      <c r="BB174" s="311"/>
      <c r="BC174" s="311"/>
      <c r="BD174" s="311"/>
      <c r="BE174" s="311"/>
      <c r="BF174" s="311"/>
      <c r="BG174" s="311"/>
      <c r="BH174" s="311"/>
      <c r="BI174" s="311"/>
      <c r="BJ174" s="311"/>
      <c r="BK174" s="311"/>
      <c r="BL174" s="311"/>
      <c r="BM174" s="311"/>
      <c r="BN174" s="311"/>
      <c r="BO174" s="311"/>
      <c r="BP174" s="311"/>
      <c r="BQ174" s="311"/>
      <c r="BR174" s="311"/>
      <c r="BS174" s="310"/>
      <c r="BT174" s="310"/>
      <c r="BU174" s="310"/>
      <c r="BV174" s="310"/>
      <c r="BW174" s="314">
        <f>BW169*0.5</f>
        <v>625000</v>
      </c>
      <c r="BX174" s="314">
        <f t="shared" ref="BX174" si="385">BW174*(1+BX175)</f>
        <v>631250</v>
      </c>
      <c r="BY174" s="314">
        <f t="shared" ref="BY174" si="386">BX174*(1+BY175)</f>
        <v>637562.5</v>
      </c>
      <c r="BZ174" s="314">
        <f t="shared" ref="BZ174" si="387">BY174*(1+BZ175)</f>
        <v>643938.125</v>
      </c>
      <c r="CA174" s="314">
        <f t="shared" ref="CA174" si="388">BZ174*(1+CA175)</f>
        <v>650377.50624999998</v>
      </c>
      <c r="CB174" s="314">
        <f t="shared" ref="CB174" si="389">CA174*(1+CB175)</f>
        <v>656881.28131250001</v>
      </c>
      <c r="CC174" s="314">
        <f t="shared" ref="CC174" si="390">CB174*(1+CC175)</f>
        <v>663450.09412562498</v>
      </c>
      <c r="CD174" s="314">
        <f t="shared" ref="CD174" si="391">CC174*(1+CD175)</f>
        <v>670084.59506688127</v>
      </c>
      <c r="CE174" s="314">
        <f t="shared" ref="CE174" si="392">CD174*(1+CE175)</f>
        <v>676785.44101755007</v>
      </c>
      <c r="CF174" s="314">
        <f t="shared" ref="CF174" si="393">CE174*(1+CF175)</f>
        <v>683553.29542772553</v>
      </c>
      <c r="CG174" s="314">
        <f t="shared" ref="CG174" si="394">CF174*(1+CG175)</f>
        <v>690388.82838200277</v>
      </c>
      <c r="CH174" s="314">
        <f t="shared" ref="CH174" si="395">CG174*(1+CH175)</f>
        <v>697292.71666582278</v>
      </c>
      <c r="CI174" s="314">
        <f t="shared" ref="CI174" si="396">CH174*(1+CI175)</f>
        <v>704265.643832481</v>
      </c>
      <c r="CJ174" s="314">
        <f t="shared" ref="CJ174" si="397">CI174*(1+CJ175)</f>
        <v>711308.30027080583</v>
      </c>
    </row>
    <row r="175" spans="2:88" hidden="1" outlineLevel="1">
      <c r="B175" s="325" t="s">
        <v>342</v>
      </c>
      <c r="C175" s="325"/>
      <c r="D175" s="325"/>
      <c r="E175" s="325"/>
      <c r="F175" s="325"/>
      <c r="G175" s="325"/>
      <c r="H175" s="325"/>
      <c r="I175" s="325"/>
      <c r="J175" s="325"/>
      <c r="K175" s="325"/>
      <c r="L175" s="325"/>
      <c r="M175" s="325"/>
      <c r="N175" s="325"/>
      <c r="O175" s="325"/>
      <c r="P175" s="325"/>
      <c r="Q175" s="325"/>
      <c r="R175" s="325"/>
      <c r="S175" s="325"/>
      <c r="T175" s="325"/>
      <c r="U175" s="325"/>
      <c r="V175" s="325"/>
      <c r="W175" s="325"/>
      <c r="X175" s="325"/>
      <c r="Y175" s="325"/>
      <c r="Z175" s="325"/>
      <c r="AA175" s="325"/>
      <c r="AB175" s="325"/>
      <c r="AC175" s="325"/>
      <c r="AD175" s="325"/>
      <c r="AE175" s="325"/>
      <c r="AF175" s="325"/>
      <c r="AG175" s="325"/>
      <c r="AH175" s="325"/>
      <c r="AI175" s="325"/>
      <c r="AJ175" s="325"/>
      <c r="AK175" s="325"/>
      <c r="AL175" s="325"/>
      <c r="AM175" s="325"/>
      <c r="AN175" s="325"/>
      <c r="AO175" s="325"/>
      <c r="AP175" s="325"/>
      <c r="AQ175" s="325"/>
      <c r="AR175" s="325"/>
      <c r="AS175" s="325"/>
      <c r="AT175" s="325"/>
      <c r="AU175" s="325"/>
      <c r="AV175" s="325"/>
      <c r="AW175" s="325"/>
      <c r="AX175" s="325"/>
      <c r="AY175" s="325"/>
      <c r="AZ175" s="325"/>
      <c r="BA175" s="325"/>
      <c r="BB175" s="325"/>
      <c r="BC175" s="325"/>
      <c r="BD175" s="325"/>
      <c r="BE175" s="325"/>
      <c r="BF175" s="325"/>
      <c r="BG175" s="325"/>
      <c r="BH175" s="325"/>
      <c r="BI175" s="325"/>
      <c r="BJ175" s="325"/>
      <c r="BK175" s="325"/>
      <c r="BL175" s="325"/>
      <c r="BM175" s="325"/>
      <c r="BN175" s="325"/>
      <c r="BO175" s="325"/>
      <c r="BP175" s="325"/>
      <c r="BQ175" s="325"/>
      <c r="BR175" s="325"/>
      <c r="BS175" s="310"/>
      <c r="BT175" s="310"/>
      <c r="BU175" s="310"/>
      <c r="BV175" s="310"/>
      <c r="BW175" s="315"/>
      <c r="BX175" s="315">
        <v>0.01</v>
      </c>
      <c r="BY175" s="315">
        <f t="shared" ref="BY175" si="398">BX175</f>
        <v>0.01</v>
      </c>
      <c r="BZ175" s="315">
        <f t="shared" ref="BZ175" si="399">BY175</f>
        <v>0.01</v>
      </c>
      <c r="CA175" s="315">
        <f t="shared" ref="CA175" si="400">BZ175</f>
        <v>0.01</v>
      </c>
      <c r="CB175" s="315">
        <f t="shared" ref="CB175" si="401">CA175</f>
        <v>0.01</v>
      </c>
      <c r="CC175" s="315">
        <f t="shared" ref="CC175" si="402">CB175</f>
        <v>0.01</v>
      </c>
      <c r="CD175" s="315">
        <f t="shared" ref="CD175" si="403">CC175</f>
        <v>0.01</v>
      </c>
      <c r="CE175" s="315">
        <f t="shared" ref="CE175" si="404">CD175</f>
        <v>0.01</v>
      </c>
      <c r="CF175" s="315">
        <f t="shared" ref="CF175" si="405">CE175</f>
        <v>0.01</v>
      </c>
      <c r="CG175" s="315">
        <f t="shared" ref="CG175" si="406">CF175</f>
        <v>0.01</v>
      </c>
      <c r="CH175" s="315">
        <f t="shared" ref="CH175" si="407">CG175</f>
        <v>0.01</v>
      </c>
      <c r="CI175" s="315">
        <f t="shared" ref="CI175" si="408">CH175</f>
        <v>0.01</v>
      </c>
      <c r="CJ175" s="315">
        <f t="shared" ref="CJ175" si="409">CI175</f>
        <v>0.01</v>
      </c>
    </row>
    <row r="176" spans="2:88" hidden="1" outlineLevel="1">
      <c r="B176" s="311" t="s">
        <v>343</v>
      </c>
      <c r="C176" s="311"/>
      <c r="D176" s="311"/>
      <c r="E176" s="311"/>
      <c r="F176" s="311"/>
      <c r="G176" s="311"/>
      <c r="H176" s="311"/>
      <c r="I176" s="311"/>
      <c r="J176" s="311"/>
      <c r="K176" s="311"/>
      <c r="L176" s="311"/>
      <c r="M176" s="311"/>
      <c r="N176" s="311"/>
      <c r="O176" s="311"/>
      <c r="P176" s="311"/>
      <c r="Q176" s="311"/>
      <c r="R176" s="311"/>
      <c r="S176" s="311"/>
      <c r="T176" s="311"/>
      <c r="U176" s="311"/>
      <c r="V176" s="311"/>
      <c r="W176" s="311"/>
      <c r="X176" s="311"/>
      <c r="Y176" s="311"/>
      <c r="Z176" s="311"/>
      <c r="AA176" s="311"/>
      <c r="AB176" s="311"/>
      <c r="AC176" s="311"/>
      <c r="AD176" s="311"/>
      <c r="AE176" s="311"/>
      <c r="AF176" s="311"/>
      <c r="AG176" s="311"/>
      <c r="AH176" s="311"/>
      <c r="AI176" s="311"/>
      <c r="AJ176" s="311"/>
      <c r="AK176" s="311"/>
      <c r="AL176" s="311"/>
      <c r="AM176" s="311"/>
      <c r="AN176" s="311"/>
      <c r="AO176" s="311"/>
      <c r="AP176" s="311"/>
      <c r="AQ176" s="311"/>
      <c r="AR176" s="311"/>
      <c r="AS176" s="311"/>
      <c r="AT176" s="311"/>
      <c r="AU176" s="311"/>
      <c r="AV176" s="311"/>
      <c r="AW176" s="311"/>
      <c r="AX176" s="311"/>
      <c r="AY176" s="311"/>
      <c r="AZ176" s="311"/>
      <c r="BA176" s="311"/>
      <c r="BB176" s="311"/>
      <c r="BC176" s="311"/>
      <c r="BD176" s="311"/>
      <c r="BE176" s="311"/>
      <c r="BF176" s="311"/>
      <c r="BG176" s="311"/>
      <c r="BH176" s="311"/>
      <c r="BI176" s="311"/>
      <c r="BJ176" s="311"/>
      <c r="BK176" s="311"/>
      <c r="BL176" s="311"/>
      <c r="BM176" s="311"/>
      <c r="BN176" s="311"/>
      <c r="BO176" s="311"/>
      <c r="BP176" s="311"/>
      <c r="BQ176" s="311"/>
      <c r="BR176" s="311"/>
      <c r="BS176" s="310"/>
      <c r="BT176" s="310"/>
      <c r="BU176" s="310"/>
      <c r="BV176" s="310"/>
      <c r="BW176" s="314">
        <f t="shared" ref="BW176:CF176" si="410">BW174*(1-BW177)</f>
        <v>562500</v>
      </c>
      <c r="BX176" s="314">
        <f t="shared" si="410"/>
        <v>568125</v>
      </c>
      <c r="BY176" s="314">
        <f t="shared" si="410"/>
        <v>573806.25</v>
      </c>
      <c r="BZ176" s="314">
        <f t="shared" si="410"/>
        <v>579544.3125</v>
      </c>
      <c r="CA176" s="314">
        <f t="shared" si="410"/>
        <v>585339.75562499999</v>
      </c>
      <c r="CB176" s="314">
        <f t="shared" si="410"/>
        <v>591193.15318124997</v>
      </c>
      <c r="CC176" s="314">
        <f t="shared" si="410"/>
        <v>597105.0847130625</v>
      </c>
      <c r="CD176" s="314">
        <f t="shared" si="410"/>
        <v>603076.13556019322</v>
      </c>
      <c r="CE176" s="314">
        <f t="shared" si="410"/>
        <v>609106.89691579505</v>
      </c>
      <c r="CF176" s="314">
        <f t="shared" si="410"/>
        <v>615197.96588495304</v>
      </c>
      <c r="CG176" s="314">
        <f t="shared" ref="CG176:CJ176" si="411">CG174*(1-CG177)</f>
        <v>621349.94554380246</v>
      </c>
      <c r="CH176" s="314">
        <f t="shared" si="411"/>
        <v>627563.44499924057</v>
      </c>
      <c r="CI176" s="314">
        <f t="shared" si="411"/>
        <v>633839.0794492329</v>
      </c>
      <c r="CJ176" s="314">
        <f t="shared" si="411"/>
        <v>640177.47024372523</v>
      </c>
    </row>
    <row r="177" spans="2:88" hidden="1" outlineLevel="1">
      <c r="B177" s="325" t="s">
        <v>344</v>
      </c>
      <c r="C177" s="325"/>
      <c r="D177" s="325"/>
      <c r="E177" s="325"/>
      <c r="F177" s="325"/>
      <c r="G177" s="325"/>
      <c r="H177" s="325"/>
      <c r="I177" s="325"/>
      <c r="J177" s="325"/>
      <c r="K177" s="325"/>
      <c r="L177" s="325"/>
      <c r="M177" s="325"/>
      <c r="N177" s="325"/>
      <c r="O177" s="325"/>
      <c r="P177" s="325"/>
      <c r="Q177" s="325"/>
      <c r="R177" s="325"/>
      <c r="S177" s="325"/>
      <c r="T177" s="325"/>
      <c r="U177" s="325"/>
      <c r="V177" s="325"/>
      <c r="W177" s="325"/>
      <c r="X177" s="325"/>
      <c r="Y177" s="325"/>
      <c r="Z177" s="325"/>
      <c r="AA177" s="325"/>
      <c r="AB177" s="325"/>
      <c r="AC177" s="325"/>
      <c r="AD177" s="325"/>
      <c r="AE177" s="325"/>
      <c r="AF177" s="325"/>
      <c r="AG177" s="325"/>
      <c r="AH177" s="325"/>
      <c r="AI177" s="325"/>
      <c r="AJ177" s="325"/>
      <c r="AK177" s="325"/>
      <c r="AL177" s="325"/>
      <c r="AM177" s="325"/>
      <c r="AN177" s="325"/>
      <c r="AO177" s="325"/>
      <c r="AP177" s="325"/>
      <c r="AQ177" s="325"/>
      <c r="AR177" s="325"/>
      <c r="AS177" s="325"/>
      <c r="AT177" s="325"/>
      <c r="AU177" s="325"/>
      <c r="AV177" s="325"/>
      <c r="AW177" s="325"/>
      <c r="AX177" s="325"/>
      <c r="AY177" s="325"/>
      <c r="AZ177" s="325"/>
      <c r="BA177" s="325"/>
      <c r="BB177" s="325"/>
      <c r="BC177" s="325"/>
      <c r="BD177" s="325"/>
      <c r="BE177" s="325"/>
      <c r="BF177" s="325"/>
      <c r="BG177" s="325"/>
      <c r="BH177" s="325"/>
      <c r="BI177" s="325"/>
      <c r="BJ177" s="325"/>
      <c r="BK177" s="325"/>
      <c r="BL177" s="325"/>
      <c r="BM177" s="325"/>
      <c r="BN177" s="325"/>
      <c r="BO177" s="325"/>
      <c r="BP177" s="325"/>
      <c r="BQ177" s="325"/>
      <c r="BR177" s="325"/>
      <c r="BS177" s="310"/>
      <c r="BT177" s="310"/>
      <c r="BU177" s="310"/>
      <c r="BV177" s="310"/>
      <c r="BW177" s="315">
        <v>0.1</v>
      </c>
      <c r="BX177" s="315">
        <f>BW177</f>
        <v>0.1</v>
      </c>
      <c r="BY177" s="315">
        <f t="shared" ref="BY177" si="412">BX177</f>
        <v>0.1</v>
      </c>
      <c r="BZ177" s="315">
        <f t="shared" ref="BZ177" si="413">BY177</f>
        <v>0.1</v>
      </c>
      <c r="CA177" s="315">
        <f t="shared" ref="CA177" si="414">BZ177</f>
        <v>0.1</v>
      </c>
      <c r="CB177" s="315">
        <f t="shared" ref="CB177" si="415">CA177</f>
        <v>0.1</v>
      </c>
      <c r="CC177" s="315">
        <f t="shared" ref="CC177" si="416">CB177</f>
        <v>0.1</v>
      </c>
      <c r="CD177" s="315">
        <f t="shared" ref="CD177" si="417">CC177</f>
        <v>0.1</v>
      </c>
      <c r="CE177" s="315">
        <f t="shared" ref="CE177" si="418">CD177</f>
        <v>0.1</v>
      </c>
      <c r="CF177" s="315">
        <f t="shared" ref="CF177" si="419">CE177</f>
        <v>0.1</v>
      </c>
      <c r="CG177" s="315">
        <f t="shared" ref="CG177" si="420">CF177</f>
        <v>0.1</v>
      </c>
      <c r="CH177" s="315">
        <f t="shared" ref="CH177" si="421">CG177</f>
        <v>0.1</v>
      </c>
      <c r="CI177" s="315">
        <f t="shared" ref="CI177" si="422">CH177</f>
        <v>0.1</v>
      </c>
      <c r="CJ177" s="315">
        <f t="shared" ref="CJ177" si="423">CI177</f>
        <v>0.1</v>
      </c>
    </row>
    <row r="178" spans="2:88" collapsed="1">
      <c r="B178" s="325"/>
      <c r="C178" s="325"/>
      <c r="D178" s="325"/>
      <c r="E178" s="325"/>
      <c r="F178" s="325"/>
      <c r="G178" s="325"/>
      <c r="H178" s="325"/>
      <c r="I178" s="325"/>
      <c r="J178" s="325"/>
      <c r="K178" s="325"/>
      <c r="L178" s="325"/>
      <c r="M178" s="325"/>
      <c r="N178" s="325"/>
      <c r="O178" s="325"/>
      <c r="P178" s="325"/>
      <c r="Q178" s="325"/>
      <c r="R178" s="325"/>
      <c r="S178" s="325"/>
      <c r="T178" s="325"/>
      <c r="U178" s="325"/>
      <c r="V178" s="325"/>
      <c r="W178" s="325"/>
      <c r="X178" s="325"/>
      <c r="Y178" s="325"/>
      <c r="Z178" s="325"/>
      <c r="AA178" s="325"/>
      <c r="AB178" s="325"/>
      <c r="AC178" s="325"/>
      <c r="AD178" s="325"/>
      <c r="AE178" s="325"/>
      <c r="AF178" s="325"/>
      <c r="AG178" s="325"/>
      <c r="AH178" s="325"/>
      <c r="AI178" s="325"/>
      <c r="AJ178" s="325"/>
      <c r="AK178" s="325"/>
      <c r="AL178" s="325"/>
      <c r="AM178" s="325"/>
      <c r="AN178" s="325"/>
      <c r="AO178" s="325"/>
      <c r="AP178" s="325"/>
      <c r="AQ178" s="325"/>
      <c r="AR178" s="325"/>
      <c r="AS178" s="325"/>
      <c r="AT178" s="325"/>
      <c r="AU178" s="325"/>
      <c r="AV178" s="325"/>
      <c r="AW178" s="325"/>
      <c r="AX178" s="325"/>
      <c r="AY178" s="325"/>
      <c r="AZ178" s="325"/>
      <c r="BA178" s="325"/>
      <c r="BB178" s="325"/>
      <c r="BC178" s="325"/>
      <c r="BD178" s="325"/>
      <c r="BE178" s="325"/>
      <c r="BF178" s="325"/>
      <c r="BG178" s="325"/>
      <c r="BH178" s="325"/>
      <c r="BI178" s="325"/>
      <c r="BJ178" s="325"/>
      <c r="BK178" s="325"/>
      <c r="BL178" s="325"/>
      <c r="BM178" s="325"/>
      <c r="BN178" s="325"/>
      <c r="BO178" s="325"/>
      <c r="BP178" s="325"/>
      <c r="BQ178" s="325"/>
      <c r="BR178" s="325"/>
      <c r="BS178" s="310"/>
      <c r="BT178" s="310"/>
      <c r="BU178" s="310"/>
      <c r="BV178" s="310"/>
      <c r="BW178" s="315"/>
      <c r="BX178" s="315"/>
      <c r="BY178" s="315"/>
      <c r="BZ178" s="315"/>
      <c r="CA178" s="315"/>
      <c r="CB178" s="315"/>
      <c r="CC178" s="315"/>
      <c r="CD178" s="315"/>
      <c r="CE178" s="315"/>
      <c r="CF178" s="315"/>
      <c r="CG178" s="315"/>
      <c r="CH178" s="315"/>
      <c r="CI178" s="315"/>
      <c r="CJ178" s="315"/>
    </row>
    <row r="179" spans="2:88" collapsed="1">
      <c r="B179" s="310" t="s">
        <v>348</v>
      </c>
      <c r="C179" s="310"/>
      <c r="D179" s="310"/>
      <c r="E179" s="310"/>
      <c r="F179" s="310"/>
      <c r="G179" s="310"/>
      <c r="H179" s="310"/>
      <c r="I179" s="310"/>
      <c r="J179" s="310"/>
      <c r="K179" s="310"/>
      <c r="L179" s="310"/>
      <c r="M179" s="310"/>
      <c r="N179" s="310"/>
      <c r="O179" s="310"/>
      <c r="P179" s="310"/>
      <c r="Q179" s="310"/>
      <c r="R179" s="310"/>
      <c r="S179" s="310"/>
      <c r="T179" s="310"/>
      <c r="U179" s="310"/>
      <c r="V179" s="310"/>
      <c r="W179" s="310"/>
      <c r="X179" s="310"/>
      <c r="Y179" s="310"/>
      <c r="Z179" s="310"/>
      <c r="AA179" s="310"/>
      <c r="AB179" s="310"/>
      <c r="AC179" s="310"/>
      <c r="AD179" s="310"/>
      <c r="AE179" s="310"/>
      <c r="AF179" s="310"/>
      <c r="AG179" s="310"/>
      <c r="AH179" s="310"/>
      <c r="AI179" s="310"/>
      <c r="AJ179" s="310"/>
      <c r="AK179" s="310"/>
      <c r="AL179" s="310"/>
      <c r="AM179" s="310"/>
      <c r="AN179" s="310"/>
      <c r="AO179" s="310"/>
      <c r="AP179" s="310"/>
      <c r="AQ179" s="310"/>
      <c r="AR179" s="310"/>
      <c r="AS179" s="310"/>
      <c r="AT179" s="310"/>
      <c r="AU179" s="310"/>
      <c r="AV179" s="310"/>
      <c r="AW179" s="310"/>
      <c r="AX179" s="310"/>
      <c r="AY179" s="310"/>
      <c r="AZ179" s="310"/>
      <c r="BA179" s="310"/>
      <c r="BB179" s="310"/>
      <c r="BC179" s="310"/>
      <c r="BD179" s="310"/>
      <c r="BE179" s="310"/>
      <c r="BF179" s="310"/>
      <c r="BG179" s="310"/>
      <c r="BH179" s="310"/>
      <c r="BI179" s="310"/>
      <c r="BJ179" s="310"/>
      <c r="BK179" s="310"/>
      <c r="BL179" s="310"/>
      <c r="BM179" s="310"/>
      <c r="BN179" s="310"/>
      <c r="BO179" s="310"/>
      <c r="BP179" s="310"/>
      <c r="BQ179" s="310"/>
      <c r="BR179" s="310"/>
      <c r="BS179" s="310"/>
      <c r="BT179" s="310"/>
      <c r="BU179" s="310"/>
      <c r="BV179" s="310"/>
      <c r="BW179" s="331">
        <f>BW106*BW171/1000000</f>
        <v>0</v>
      </c>
      <c r="BX179" s="331">
        <f t="shared" ref="BX179:CJ179" si="424">BX106*BX171/1000000</f>
        <v>0</v>
      </c>
      <c r="BY179" s="331">
        <f t="shared" si="424"/>
        <v>49.011221393569997</v>
      </c>
      <c r="BZ179" s="331">
        <f t="shared" si="424"/>
        <v>175.16046897015889</v>
      </c>
      <c r="CA179" s="331">
        <f t="shared" si="424"/>
        <v>306.61389680591822</v>
      </c>
      <c r="CB179" s="331">
        <f t="shared" si="424"/>
        <v>391.3581452093639</v>
      </c>
      <c r="CC179" s="331">
        <f t="shared" si="424"/>
        <v>452.9023444086979</v>
      </c>
      <c r="CD179" s="331">
        <f t="shared" si="424"/>
        <v>489.66682542264601</v>
      </c>
      <c r="CE179" s="331">
        <f t="shared" si="424"/>
        <v>513.89268355474348</v>
      </c>
      <c r="CF179" s="331">
        <f t="shared" si="424"/>
        <v>538.92314616146462</v>
      </c>
      <c r="CG179" s="331">
        <f t="shared" si="424"/>
        <v>550.29981377693298</v>
      </c>
      <c r="CH179" s="331">
        <f t="shared" si="424"/>
        <v>561.91664284576404</v>
      </c>
      <c r="CI179" s="331">
        <f t="shared" si="424"/>
        <v>573.77870317623797</v>
      </c>
      <c r="CJ179" s="331">
        <f t="shared" si="424"/>
        <v>585.89117160028832</v>
      </c>
    </row>
    <row r="180" spans="2:88" hidden="1" outlineLevel="1">
      <c r="B180" s="310" t="s">
        <v>347</v>
      </c>
      <c r="C180" s="310"/>
      <c r="D180" s="310"/>
      <c r="E180" s="310"/>
      <c r="F180" s="310"/>
      <c r="G180" s="310"/>
      <c r="H180" s="310"/>
      <c r="I180" s="310"/>
      <c r="J180" s="310"/>
      <c r="K180" s="310"/>
      <c r="L180" s="310"/>
      <c r="M180" s="310"/>
      <c r="N180" s="310"/>
      <c r="O180" s="310"/>
      <c r="P180" s="310"/>
      <c r="Q180" s="310"/>
      <c r="R180" s="310"/>
      <c r="S180" s="310"/>
      <c r="T180" s="310"/>
      <c r="U180" s="310"/>
      <c r="V180" s="310"/>
      <c r="W180" s="310"/>
      <c r="X180" s="310"/>
      <c r="Y180" s="310"/>
      <c r="Z180" s="310"/>
      <c r="AA180" s="310"/>
      <c r="AB180" s="310"/>
      <c r="AC180" s="310"/>
      <c r="AD180" s="310"/>
      <c r="AE180" s="310"/>
      <c r="AF180" s="310"/>
      <c r="AG180" s="310"/>
      <c r="AH180" s="310"/>
      <c r="AI180" s="310"/>
      <c r="AJ180" s="310"/>
      <c r="AK180" s="310"/>
      <c r="AL180" s="310"/>
      <c r="AM180" s="310"/>
      <c r="AN180" s="310"/>
      <c r="AO180" s="310"/>
      <c r="AP180" s="310"/>
      <c r="AQ180" s="310"/>
      <c r="AR180" s="310"/>
      <c r="AS180" s="310"/>
      <c r="AT180" s="310"/>
      <c r="AU180" s="310"/>
      <c r="AV180" s="310"/>
      <c r="AW180" s="310"/>
      <c r="AX180" s="310"/>
      <c r="AY180" s="310"/>
      <c r="AZ180" s="310"/>
      <c r="BA180" s="310"/>
      <c r="BB180" s="310"/>
      <c r="BC180" s="310"/>
      <c r="BD180" s="310"/>
      <c r="BE180" s="310"/>
      <c r="BF180" s="310"/>
      <c r="BG180" s="310"/>
      <c r="BH180" s="310"/>
      <c r="BI180" s="310"/>
      <c r="BJ180" s="310"/>
      <c r="BK180" s="310"/>
      <c r="BL180" s="310"/>
      <c r="BM180" s="310"/>
      <c r="BN180" s="310"/>
      <c r="BO180" s="310"/>
      <c r="BP180" s="310"/>
      <c r="BQ180" s="310"/>
      <c r="BR180" s="310"/>
      <c r="BS180" s="310"/>
      <c r="BT180" s="310"/>
      <c r="BU180" s="310"/>
      <c r="BV180" s="310"/>
      <c r="BW180" s="331">
        <f>BW111*BW176/1000000</f>
        <v>0</v>
      </c>
      <c r="BX180" s="331">
        <f t="shared" ref="BX180:CJ180" si="425">BX111*BX176/1000000</f>
        <v>0</v>
      </c>
      <c r="BY180" s="331">
        <f t="shared" si="425"/>
        <v>0</v>
      </c>
      <c r="BZ180" s="331">
        <f t="shared" si="425"/>
        <v>0</v>
      </c>
      <c r="CA180" s="331">
        <f t="shared" si="425"/>
        <v>0</v>
      </c>
      <c r="CB180" s="331">
        <f t="shared" si="425"/>
        <v>0</v>
      </c>
      <c r="CC180" s="331">
        <f t="shared" si="425"/>
        <v>0</v>
      </c>
      <c r="CD180" s="331">
        <f t="shared" si="425"/>
        <v>0</v>
      </c>
      <c r="CE180" s="331">
        <f t="shared" si="425"/>
        <v>0</v>
      </c>
      <c r="CF180" s="331">
        <f t="shared" si="425"/>
        <v>0</v>
      </c>
      <c r="CG180" s="331">
        <f t="shared" si="425"/>
        <v>0</v>
      </c>
      <c r="CH180" s="331">
        <f t="shared" si="425"/>
        <v>0</v>
      </c>
      <c r="CI180" s="331">
        <f t="shared" si="425"/>
        <v>0</v>
      </c>
      <c r="CJ180" s="331">
        <f t="shared" si="425"/>
        <v>0</v>
      </c>
    </row>
    <row r="181" spans="2:88" collapsed="1">
      <c r="B181" s="310"/>
      <c r="C181" s="310"/>
      <c r="D181" s="310"/>
      <c r="E181" s="310"/>
      <c r="F181" s="310"/>
      <c r="G181" s="310"/>
      <c r="H181" s="310"/>
      <c r="I181" s="310"/>
      <c r="J181" s="310"/>
      <c r="K181" s="310"/>
      <c r="L181" s="310"/>
      <c r="M181" s="310"/>
      <c r="N181" s="310"/>
      <c r="O181" s="310"/>
      <c r="P181" s="310"/>
      <c r="Q181" s="310"/>
      <c r="R181" s="310"/>
      <c r="S181" s="310"/>
      <c r="T181" s="310"/>
      <c r="U181" s="310"/>
      <c r="V181" s="310"/>
      <c r="W181" s="310"/>
      <c r="X181" s="310"/>
      <c r="Y181" s="310"/>
      <c r="Z181" s="310"/>
      <c r="AA181" s="310"/>
      <c r="AB181" s="310"/>
      <c r="AC181" s="310"/>
      <c r="AD181" s="310"/>
      <c r="AE181" s="310"/>
      <c r="AF181" s="310"/>
      <c r="AG181" s="310"/>
      <c r="AH181" s="310"/>
      <c r="AI181" s="310"/>
      <c r="AJ181" s="310"/>
      <c r="AK181" s="310"/>
      <c r="AL181" s="310"/>
      <c r="AM181" s="310"/>
      <c r="AN181" s="310"/>
      <c r="AO181" s="310"/>
      <c r="AP181" s="310"/>
      <c r="AQ181" s="310"/>
      <c r="AR181" s="310"/>
      <c r="AS181" s="310"/>
      <c r="AT181" s="310"/>
      <c r="AU181" s="310"/>
      <c r="AV181" s="310"/>
      <c r="AW181" s="310"/>
      <c r="AX181" s="310"/>
      <c r="AY181" s="310"/>
      <c r="AZ181" s="310"/>
      <c r="BA181" s="310"/>
      <c r="BB181" s="310"/>
      <c r="BC181" s="310"/>
      <c r="BD181" s="310"/>
      <c r="BE181" s="310"/>
      <c r="BF181" s="310"/>
      <c r="BG181" s="310"/>
      <c r="BH181" s="310"/>
      <c r="BI181" s="310"/>
      <c r="BJ181" s="310"/>
      <c r="BK181" s="310"/>
      <c r="BL181" s="310"/>
      <c r="BM181" s="310"/>
      <c r="BN181" s="310"/>
      <c r="BO181" s="310"/>
      <c r="BP181" s="310"/>
      <c r="BQ181" s="310"/>
      <c r="BR181" s="310"/>
      <c r="BS181" s="310"/>
      <c r="BT181" s="310"/>
      <c r="BU181" s="310"/>
      <c r="BV181" s="310"/>
      <c r="BW181" s="332"/>
      <c r="BX181" s="332"/>
      <c r="BY181" s="332"/>
      <c r="BZ181" s="332"/>
      <c r="CA181" s="332"/>
      <c r="CB181" s="332"/>
      <c r="CC181" s="332"/>
      <c r="CD181" s="332"/>
      <c r="CE181" s="332"/>
      <c r="CF181" s="332"/>
      <c r="CG181" s="332"/>
      <c r="CH181" s="332"/>
      <c r="CI181" s="332"/>
      <c r="CJ181" s="332"/>
    </row>
    <row r="182" spans="2:88">
      <c r="B182" s="310" t="s">
        <v>407</v>
      </c>
      <c r="C182" s="310"/>
      <c r="D182" s="310"/>
      <c r="E182" s="310"/>
      <c r="F182" s="310"/>
      <c r="G182" s="310"/>
      <c r="H182" s="310"/>
      <c r="I182" s="310"/>
      <c r="J182" s="310"/>
      <c r="K182" s="310"/>
      <c r="L182" s="310"/>
      <c r="M182" s="310"/>
      <c r="N182" s="310"/>
      <c r="O182" s="310"/>
      <c r="P182" s="310"/>
      <c r="Q182" s="310"/>
      <c r="R182" s="310"/>
      <c r="S182" s="310"/>
      <c r="T182" s="310"/>
      <c r="U182" s="310"/>
      <c r="V182" s="310"/>
      <c r="W182" s="310"/>
      <c r="X182" s="310"/>
      <c r="Y182" s="310"/>
      <c r="Z182" s="310"/>
      <c r="AA182" s="310"/>
      <c r="AB182" s="310"/>
      <c r="AC182" s="310"/>
      <c r="AD182" s="310"/>
      <c r="AE182" s="310"/>
      <c r="AF182" s="310"/>
      <c r="AG182" s="310"/>
      <c r="AH182" s="310"/>
      <c r="AI182" s="310"/>
      <c r="AJ182" s="310"/>
      <c r="AK182" s="310"/>
      <c r="AL182" s="310"/>
      <c r="AM182" s="310"/>
      <c r="AN182" s="310"/>
      <c r="AO182" s="310"/>
      <c r="AP182" s="310"/>
      <c r="AQ182" s="310"/>
      <c r="AR182" s="310"/>
      <c r="AS182" s="310"/>
      <c r="AT182" s="310"/>
      <c r="AU182" s="310"/>
      <c r="AV182" s="310"/>
      <c r="AW182" s="310"/>
      <c r="AX182" s="310"/>
      <c r="AY182" s="310"/>
      <c r="AZ182" s="310"/>
      <c r="BA182" s="310"/>
      <c r="BB182" s="310"/>
      <c r="BC182" s="310"/>
      <c r="BD182" s="310"/>
      <c r="BE182" s="310"/>
      <c r="BF182" s="310"/>
      <c r="BG182" s="310"/>
      <c r="BH182" s="310"/>
      <c r="BI182" s="310"/>
      <c r="BJ182" s="310"/>
      <c r="BK182" s="310"/>
      <c r="BL182" s="310"/>
      <c r="BM182" s="310"/>
      <c r="BN182" s="310"/>
      <c r="BO182" s="310"/>
      <c r="BP182" s="310"/>
      <c r="BQ182" s="310"/>
      <c r="BR182" s="310"/>
      <c r="BS182" s="310"/>
      <c r="BT182" s="310"/>
      <c r="BU182" s="310"/>
      <c r="BV182" s="310"/>
      <c r="BW182" s="331">
        <f>(BW123+BW140+BW157)*BW171/1000000</f>
        <v>0</v>
      </c>
      <c r="BX182" s="331">
        <f t="shared" ref="BX182:CJ182" si="426">(BX123+BX140+BX157)*BX171/1000000</f>
        <v>0</v>
      </c>
      <c r="BY182" s="331">
        <f t="shared" si="426"/>
        <v>0</v>
      </c>
      <c r="BZ182" s="331">
        <f t="shared" si="426"/>
        <v>0</v>
      </c>
      <c r="CA182" s="331">
        <f t="shared" si="426"/>
        <v>288.5416522268934</v>
      </c>
      <c r="CB182" s="331">
        <f t="shared" si="426"/>
        <v>773.91594545563737</v>
      </c>
      <c r="CC182" s="331">
        <f t="shared" si="426"/>
        <v>855.99088693024976</v>
      </c>
      <c r="CD182" s="331">
        <f t="shared" si="426"/>
        <v>610.33550871688794</v>
      </c>
      <c r="CE182" s="331">
        <f t="shared" si="426"/>
        <v>500.30800557930542</v>
      </c>
      <c r="CF182" s="331">
        <f t="shared" si="426"/>
        <v>350.72956685871361</v>
      </c>
      <c r="CG182" s="331">
        <f t="shared" si="426"/>
        <v>272.21815652974715</v>
      </c>
      <c r="CH182" s="331">
        <f t="shared" si="426"/>
        <v>285.78223198556088</v>
      </c>
      <c r="CI182" s="331">
        <f t="shared" si="426"/>
        <v>299.71193048649752</v>
      </c>
      <c r="CJ182" s="331">
        <f t="shared" si="426"/>
        <v>314.01651946529313</v>
      </c>
    </row>
    <row r="183" spans="2:88" hidden="1" outlineLevel="1">
      <c r="B183" s="310" t="s">
        <v>408</v>
      </c>
      <c r="C183" s="310"/>
      <c r="D183" s="310"/>
      <c r="E183" s="310"/>
      <c r="F183" s="310"/>
      <c r="G183" s="310"/>
      <c r="H183" s="310"/>
      <c r="I183" s="310"/>
      <c r="J183" s="310"/>
      <c r="K183" s="310"/>
      <c r="L183" s="310"/>
      <c r="M183" s="310"/>
      <c r="N183" s="310"/>
      <c r="O183" s="310"/>
      <c r="P183" s="310"/>
      <c r="Q183" s="310"/>
      <c r="R183" s="310"/>
      <c r="S183" s="310"/>
      <c r="T183" s="310"/>
      <c r="U183" s="310"/>
      <c r="V183" s="310"/>
      <c r="W183" s="310"/>
      <c r="X183" s="310"/>
      <c r="Y183" s="310"/>
      <c r="Z183" s="310"/>
      <c r="AA183" s="310"/>
      <c r="AB183" s="310"/>
      <c r="AC183" s="310"/>
      <c r="AD183" s="310"/>
      <c r="AE183" s="310"/>
      <c r="AF183" s="310"/>
      <c r="AG183" s="310"/>
      <c r="AH183" s="310"/>
      <c r="AI183" s="310"/>
      <c r="AJ183" s="310"/>
      <c r="AK183" s="310"/>
      <c r="AL183" s="310"/>
      <c r="AM183" s="310"/>
      <c r="AN183" s="310"/>
      <c r="AO183" s="310"/>
      <c r="AP183" s="310"/>
      <c r="AQ183" s="310"/>
      <c r="AR183" s="310"/>
      <c r="AS183" s="310"/>
      <c r="AT183" s="310"/>
      <c r="AU183" s="310"/>
      <c r="AV183" s="310"/>
      <c r="AW183" s="310"/>
      <c r="AX183" s="310"/>
      <c r="AY183" s="310"/>
      <c r="AZ183" s="310"/>
      <c r="BA183" s="310"/>
      <c r="BB183" s="310"/>
      <c r="BC183" s="310"/>
      <c r="BD183" s="310"/>
      <c r="BE183" s="310"/>
      <c r="BF183" s="310"/>
      <c r="BG183" s="310"/>
      <c r="BH183" s="310"/>
      <c r="BI183" s="310"/>
      <c r="BJ183" s="310"/>
      <c r="BK183" s="310"/>
      <c r="BL183" s="310"/>
      <c r="BM183" s="310"/>
      <c r="BN183" s="310"/>
      <c r="BO183" s="310"/>
      <c r="BP183" s="310"/>
      <c r="BQ183" s="310"/>
      <c r="BR183" s="310"/>
      <c r="BS183" s="310"/>
      <c r="BT183" s="310"/>
      <c r="BU183" s="310"/>
      <c r="BV183" s="310"/>
      <c r="BW183" s="331">
        <f>(BW162+BW145+BW128)*BW176/1000000</f>
        <v>0</v>
      </c>
      <c r="BX183" s="331">
        <f t="shared" ref="BX183:CJ183" si="427">(BX162+BX145+BX128)*BX176/1000000</f>
        <v>0</v>
      </c>
      <c r="BY183" s="331">
        <f t="shared" si="427"/>
        <v>0</v>
      </c>
      <c r="BZ183" s="331">
        <f t="shared" si="427"/>
        <v>0</v>
      </c>
      <c r="CA183" s="331">
        <f t="shared" si="427"/>
        <v>0</v>
      </c>
      <c r="CB183" s="331">
        <f t="shared" si="427"/>
        <v>0</v>
      </c>
      <c r="CC183" s="331">
        <f t="shared" si="427"/>
        <v>0</v>
      </c>
      <c r="CD183" s="331">
        <f t="shared" si="427"/>
        <v>0</v>
      </c>
      <c r="CE183" s="331">
        <f t="shared" si="427"/>
        <v>0</v>
      </c>
      <c r="CF183" s="331">
        <f t="shared" si="427"/>
        <v>0</v>
      </c>
      <c r="CG183" s="331">
        <f t="shared" si="427"/>
        <v>0</v>
      </c>
      <c r="CH183" s="331">
        <f t="shared" si="427"/>
        <v>0</v>
      </c>
      <c r="CI183" s="331">
        <f t="shared" si="427"/>
        <v>0</v>
      </c>
      <c r="CJ183" s="331">
        <f t="shared" si="427"/>
        <v>0</v>
      </c>
    </row>
    <row r="184" spans="2:88" collapsed="1">
      <c r="B184" s="310"/>
      <c r="C184" s="310"/>
      <c r="D184" s="310"/>
      <c r="E184" s="310"/>
      <c r="F184" s="310"/>
      <c r="G184" s="310"/>
      <c r="H184" s="310"/>
      <c r="I184" s="310"/>
      <c r="J184" s="310"/>
      <c r="K184" s="310"/>
      <c r="L184" s="310"/>
      <c r="M184" s="310"/>
      <c r="N184" s="310"/>
      <c r="O184" s="310"/>
      <c r="P184" s="310"/>
      <c r="Q184" s="310"/>
      <c r="R184" s="310"/>
      <c r="S184" s="310"/>
      <c r="T184" s="310"/>
      <c r="U184" s="310"/>
      <c r="V184" s="310"/>
      <c r="W184" s="310"/>
      <c r="X184" s="310"/>
      <c r="Y184" s="310"/>
      <c r="Z184" s="310"/>
      <c r="AA184" s="310"/>
      <c r="AB184" s="310"/>
      <c r="AC184" s="310"/>
      <c r="AD184" s="310"/>
      <c r="AE184" s="310"/>
      <c r="AF184" s="310"/>
      <c r="AG184" s="310"/>
      <c r="AH184" s="310"/>
      <c r="AI184" s="310"/>
      <c r="AJ184" s="310"/>
      <c r="AK184" s="310"/>
      <c r="AL184" s="310"/>
      <c r="AM184" s="310"/>
      <c r="AN184" s="310"/>
      <c r="AO184" s="310"/>
      <c r="AP184" s="310"/>
      <c r="AQ184" s="310"/>
      <c r="AR184" s="310"/>
      <c r="AS184" s="310"/>
      <c r="AT184" s="310"/>
      <c r="AU184" s="310"/>
      <c r="AV184" s="310"/>
      <c r="AW184" s="310"/>
      <c r="AX184" s="310"/>
      <c r="AY184" s="310"/>
      <c r="AZ184" s="310"/>
      <c r="BA184" s="310"/>
      <c r="BB184" s="310"/>
      <c r="BC184" s="310"/>
      <c r="BD184" s="310"/>
      <c r="BE184" s="310"/>
      <c r="BF184" s="310"/>
      <c r="BG184" s="310"/>
      <c r="BH184" s="310"/>
      <c r="BI184" s="310"/>
      <c r="BJ184" s="310"/>
      <c r="BK184" s="310"/>
      <c r="BL184" s="310"/>
      <c r="BM184" s="310"/>
      <c r="BN184" s="310"/>
      <c r="BO184" s="310"/>
      <c r="BP184" s="310"/>
      <c r="BQ184" s="310"/>
      <c r="BR184" s="310"/>
      <c r="BS184" s="310"/>
      <c r="BT184" s="310"/>
      <c r="BU184" s="310"/>
      <c r="BV184" s="310"/>
      <c r="BW184" s="331"/>
      <c r="BX184" s="331"/>
      <c r="BY184" s="331"/>
      <c r="BZ184" s="331"/>
      <c r="CA184" s="331"/>
      <c r="CB184" s="331"/>
      <c r="CC184" s="331"/>
      <c r="CD184" s="331"/>
      <c r="CE184" s="331"/>
      <c r="CF184" s="331"/>
      <c r="CG184" s="331"/>
      <c r="CH184" s="331"/>
      <c r="CI184" s="331"/>
      <c r="CJ184" s="331"/>
    </row>
    <row r="185" spans="2:88" hidden="1" outlineLevel="1">
      <c r="B185" s="357" t="s">
        <v>58</v>
      </c>
      <c r="C185" s="357"/>
      <c r="D185" s="357"/>
      <c r="E185" s="357"/>
      <c r="F185" s="357"/>
      <c r="G185" s="357"/>
      <c r="H185" s="357"/>
      <c r="I185" s="357"/>
      <c r="J185" s="357"/>
      <c r="K185" s="357"/>
      <c r="L185" s="357"/>
      <c r="M185" s="357"/>
      <c r="N185" s="357"/>
      <c r="O185" s="357"/>
      <c r="P185" s="357"/>
      <c r="Q185" s="357"/>
      <c r="R185" s="357"/>
      <c r="S185" s="357"/>
      <c r="T185" s="357"/>
      <c r="U185" s="357"/>
      <c r="V185" s="357"/>
      <c r="W185" s="357"/>
      <c r="X185" s="357"/>
      <c r="Y185" s="357"/>
      <c r="Z185" s="357"/>
      <c r="AA185" s="357"/>
      <c r="AB185" s="357"/>
      <c r="AC185" s="357"/>
      <c r="AD185" s="357"/>
      <c r="AE185" s="357"/>
      <c r="AF185" s="357"/>
      <c r="AG185" s="357"/>
      <c r="AH185" s="357"/>
      <c r="AI185" s="357"/>
      <c r="AJ185" s="357"/>
      <c r="AK185" s="357"/>
      <c r="AL185" s="357"/>
      <c r="AM185" s="357"/>
      <c r="AN185" s="357"/>
      <c r="AO185" s="357"/>
      <c r="AP185" s="357"/>
      <c r="AQ185" s="357"/>
      <c r="AR185" s="357"/>
      <c r="AS185" s="357"/>
      <c r="AT185" s="357"/>
      <c r="AU185" s="357"/>
      <c r="AV185" s="357"/>
      <c r="AW185" s="357"/>
      <c r="AX185" s="357"/>
      <c r="AY185" s="357"/>
      <c r="AZ185" s="357"/>
      <c r="BA185" s="357"/>
      <c r="BB185" s="357"/>
      <c r="BC185" s="357"/>
      <c r="BD185" s="357"/>
      <c r="BE185" s="357"/>
      <c r="BF185" s="357"/>
      <c r="BG185" s="357"/>
      <c r="BH185" s="357"/>
      <c r="BI185" s="357"/>
      <c r="BJ185" s="357"/>
      <c r="BK185" s="357"/>
      <c r="BL185" s="357"/>
      <c r="BM185" s="357"/>
      <c r="BN185" s="357"/>
      <c r="BO185" s="357"/>
      <c r="BP185" s="357"/>
      <c r="BQ185" s="357"/>
      <c r="BR185" s="357"/>
      <c r="BS185" s="358"/>
      <c r="BT185" s="358"/>
      <c r="BU185" s="358"/>
      <c r="BV185" s="358"/>
      <c r="BW185" s="359">
        <v>1</v>
      </c>
      <c r="BX185" s="359">
        <f>BW185</f>
        <v>1</v>
      </c>
      <c r="BY185" s="359">
        <f t="shared" ref="BY185:CJ185" si="428">BX185</f>
        <v>1</v>
      </c>
      <c r="BZ185" s="359">
        <f t="shared" si="428"/>
        <v>1</v>
      </c>
      <c r="CA185" s="359">
        <f t="shared" si="428"/>
        <v>1</v>
      </c>
      <c r="CB185" s="359">
        <f t="shared" si="428"/>
        <v>1</v>
      </c>
      <c r="CC185" s="359">
        <f t="shared" si="428"/>
        <v>1</v>
      </c>
      <c r="CD185" s="359">
        <f t="shared" si="428"/>
        <v>1</v>
      </c>
      <c r="CE185" s="359">
        <f t="shared" si="428"/>
        <v>1</v>
      </c>
      <c r="CF185" s="359">
        <f t="shared" si="428"/>
        <v>1</v>
      </c>
      <c r="CG185" s="359">
        <f t="shared" si="428"/>
        <v>1</v>
      </c>
      <c r="CH185" s="359">
        <f t="shared" si="428"/>
        <v>1</v>
      </c>
      <c r="CI185" s="359">
        <f t="shared" si="428"/>
        <v>1</v>
      </c>
      <c r="CJ185" s="359">
        <f t="shared" si="428"/>
        <v>1</v>
      </c>
    </row>
    <row r="186" spans="2:88" hidden="1" outlineLevel="1">
      <c r="B186" s="357" t="s">
        <v>59</v>
      </c>
      <c r="C186" s="357"/>
      <c r="D186" s="357"/>
      <c r="E186" s="357"/>
      <c r="F186" s="357"/>
      <c r="G186" s="357"/>
      <c r="H186" s="357"/>
      <c r="I186" s="357"/>
      <c r="J186" s="357"/>
      <c r="K186" s="357"/>
      <c r="L186" s="357"/>
      <c r="M186" s="357"/>
      <c r="N186" s="357"/>
      <c r="O186" s="357"/>
      <c r="P186" s="357"/>
      <c r="Q186" s="357"/>
      <c r="R186" s="357"/>
      <c r="S186" s="357"/>
      <c r="T186" s="357"/>
      <c r="U186" s="357"/>
      <c r="V186" s="357"/>
      <c r="W186" s="357"/>
      <c r="X186" s="357"/>
      <c r="Y186" s="357"/>
      <c r="Z186" s="357"/>
      <c r="AA186" s="357"/>
      <c r="AB186" s="357"/>
      <c r="AC186" s="357"/>
      <c r="AD186" s="357"/>
      <c r="AE186" s="357"/>
      <c r="AF186" s="357"/>
      <c r="AG186" s="357"/>
      <c r="AH186" s="357"/>
      <c r="AI186" s="357"/>
      <c r="AJ186" s="357"/>
      <c r="AK186" s="357"/>
      <c r="AL186" s="357"/>
      <c r="AM186" s="357"/>
      <c r="AN186" s="357"/>
      <c r="AO186" s="357"/>
      <c r="AP186" s="357"/>
      <c r="AQ186" s="357"/>
      <c r="AR186" s="357"/>
      <c r="AS186" s="357"/>
      <c r="AT186" s="357"/>
      <c r="AU186" s="357"/>
      <c r="AV186" s="357"/>
      <c r="AW186" s="357"/>
      <c r="AX186" s="357"/>
      <c r="AY186" s="357"/>
      <c r="AZ186" s="357"/>
      <c r="BA186" s="357"/>
      <c r="BB186" s="357"/>
      <c r="BC186" s="357"/>
      <c r="BD186" s="357"/>
      <c r="BE186" s="357"/>
      <c r="BF186" s="357"/>
      <c r="BG186" s="357"/>
      <c r="BH186" s="357"/>
      <c r="BI186" s="357"/>
      <c r="BJ186" s="357"/>
      <c r="BK186" s="357"/>
      <c r="BL186" s="357"/>
      <c r="BM186" s="357"/>
      <c r="BN186" s="357"/>
      <c r="BO186" s="357"/>
      <c r="BP186" s="357"/>
      <c r="BQ186" s="357"/>
      <c r="BR186" s="357"/>
      <c r="BS186" s="358"/>
      <c r="BT186" s="358"/>
      <c r="BU186" s="358"/>
      <c r="BV186" s="358"/>
      <c r="BW186" s="359">
        <v>0.8</v>
      </c>
      <c r="BX186" s="359">
        <f>BW186</f>
        <v>0.8</v>
      </c>
      <c r="BY186" s="359">
        <f t="shared" ref="BY186:CJ186" si="429">BX186</f>
        <v>0.8</v>
      </c>
      <c r="BZ186" s="359">
        <f t="shared" si="429"/>
        <v>0.8</v>
      </c>
      <c r="CA186" s="359">
        <f t="shared" si="429"/>
        <v>0.8</v>
      </c>
      <c r="CB186" s="359">
        <f t="shared" si="429"/>
        <v>0.8</v>
      </c>
      <c r="CC186" s="359">
        <f t="shared" si="429"/>
        <v>0.8</v>
      </c>
      <c r="CD186" s="359">
        <f t="shared" si="429"/>
        <v>0.8</v>
      </c>
      <c r="CE186" s="359">
        <f t="shared" si="429"/>
        <v>0.8</v>
      </c>
      <c r="CF186" s="359">
        <f t="shared" si="429"/>
        <v>0.8</v>
      </c>
      <c r="CG186" s="359">
        <f t="shared" si="429"/>
        <v>0.8</v>
      </c>
      <c r="CH186" s="359">
        <f t="shared" si="429"/>
        <v>0.8</v>
      </c>
      <c r="CI186" s="359">
        <f t="shared" si="429"/>
        <v>0.8</v>
      </c>
      <c r="CJ186" s="359">
        <f t="shared" si="429"/>
        <v>0.8</v>
      </c>
    </row>
    <row r="187" spans="2:88" hidden="1" outlineLevel="1">
      <c r="B187" s="357" t="s">
        <v>60</v>
      </c>
      <c r="C187" s="357"/>
      <c r="D187" s="357"/>
      <c r="E187" s="357"/>
      <c r="F187" s="357"/>
      <c r="G187" s="357"/>
      <c r="H187" s="357"/>
      <c r="I187" s="357"/>
      <c r="J187" s="357"/>
      <c r="K187" s="357"/>
      <c r="L187" s="357"/>
      <c r="M187" s="357"/>
      <c r="N187" s="357"/>
      <c r="O187" s="357"/>
      <c r="P187" s="357"/>
      <c r="Q187" s="357"/>
      <c r="R187" s="357"/>
      <c r="S187" s="357"/>
      <c r="T187" s="357"/>
      <c r="U187" s="357"/>
      <c r="V187" s="357"/>
      <c r="W187" s="357"/>
      <c r="X187" s="357"/>
      <c r="Y187" s="357"/>
      <c r="Z187" s="357"/>
      <c r="AA187" s="357"/>
      <c r="AB187" s="357"/>
      <c r="AC187" s="357"/>
      <c r="AD187" s="357"/>
      <c r="AE187" s="357"/>
      <c r="AF187" s="357"/>
      <c r="AG187" s="357"/>
      <c r="AH187" s="357"/>
      <c r="AI187" s="357"/>
      <c r="AJ187" s="357"/>
      <c r="AK187" s="357"/>
      <c r="AL187" s="357"/>
      <c r="AM187" s="357"/>
      <c r="AN187" s="357"/>
      <c r="AO187" s="357"/>
      <c r="AP187" s="357"/>
      <c r="AQ187" s="357"/>
      <c r="AR187" s="357"/>
      <c r="AS187" s="357"/>
      <c r="AT187" s="357"/>
      <c r="AU187" s="357"/>
      <c r="AV187" s="357"/>
      <c r="AW187" s="357"/>
      <c r="AX187" s="357"/>
      <c r="AY187" s="357"/>
      <c r="AZ187" s="357"/>
      <c r="BA187" s="357"/>
      <c r="BB187" s="357"/>
      <c r="BC187" s="357"/>
      <c r="BD187" s="357"/>
      <c r="BE187" s="357"/>
      <c r="BF187" s="357"/>
      <c r="BG187" s="357"/>
      <c r="BH187" s="357"/>
      <c r="BI187" s="357"/>
      <c r="BJ187" s="357"/>
      <c r="BK187" s="357"/>
      <c r="BL187" s="357"/>
      <c r="BM187" s="357"/>
      <c r="BN187" s="357"/>
      <c r="BO187" s="357"/>
      <c r="BP187" s="357"/>
      <c r="BQ187" s="357"/>
      <c r="BR187" s="357"/>
      <c r="BS187" s="358"/>
      <c r="BT187" s="358"/>
      <c r="BU187" s="358"/>
      <c r="BV187" s="358"/>
      <c r="BW187" s="359">
        <v>0</v>
      </c>
      <c r="BX187" s="359">
        <f>BW187</f>
        <v>0</v>
      </c>
      <c r="BY187" s="359">
        <f t="shared" ref="BY187:CJ187" si="430">BX187</f>
        <v>0</v>
      </c>
      <c r="BZ187" s="359">
        <f t="shared" si="430"/>
        <v>0</v>
      </c>
      <c r="CA187" s="359">
        <f t="shared" si="430"/>
        <v>0</v>
      </c>
      <c r="CB187" s="359">
        <f t="shared" si="430"/>
        <v>0</v>
      </c>
      <c r="CC187" s="359">
        <f t="shared" si="430"/>
        <v>0</v>
      </c>
      <c r="CD187" s="359">
        <f t="shared" si="430"/>
        <v>0</v>
      </c>
      <c r="CE187" s="359">
        <f t="shared" si="430"/>
        <v>0</v>
      </c>
      <c r="CF187" s="359">
        <f t="shared" si="430"/>
        <v>0</v>
      </c>
      <c r="CG187" s="359">
        <f t="shared" si="430"/>
        <v>0</v>
      </c>
      <c r="CH187" s="359">
        <f t="shared" si="430"/>
        <v>0</v>
      </c>
      <c r="CI187" s="359">
        <f t="shared" si="430"/>
        <v>0</v>
      </c>
      <c r="CJ187" s="359">
        <f t="shared" si="430"/>
        <v>0</v>
      </c>
    </row>
    <row r="188" spans="2:88" collapsed="1">
      <c r="B188" s="325" t="s">
        <v>409</v>
      </c>
      <c r="C188" s="325"/>
      <c r="D188" s="325"/>
      <c r="E188" s="325"/>
      <c r="F188" s="325"/>
      <c r="G188" s="325"/>
      <c r="H188" s="325"/>
      <c r="I188" s="325"/>
      <c r="J188" s="325"/>
      <c r="K188" s="325"/>
      <c r="L188" s="325"/>
      <c r="M188" s="325"/>
      <c r="N188" s="325"/>
      <c r="O188" s="325"/>
      <c r="P188" s="325"/>
      <c r="Q188" s="325"/>
      <c r="R188" s="325"/>
      <c r="S188" s="325"/>
      <c r="T188" s="325"/>
      <c r="U188" s="325"/>
      <c r="V188" s="325"/>
      <c r="W188" s="325"/>
      <c r="X188" s="325"/>
      <c r="Y188" s="325"/>
      <c r="Z188" s="325"/>
      <c r="AA188" s="325"/>
      <c r="AB188" s="325"/>
      <c r="AC188" s="325"/>
      <c r="AD188" s="325"/>
      <c r="AE188" s="325"/>
      <c r="AF188" s="325"/>
      <c r="AG188" s="325"/>
      <c r="AH188" s="325"/>
      <c r="AI188" s="325"/>
      <c r="AJ188" s="325"/>
      <c r="AK188" s="325"/>
      <c r="AL188" s="325"/>
      <c r="AM188" s="325"/>
      <c r="AN188" s="325"/>
      <c r="AO188" s="325"/>
      <c r="AP188" s="325"/>
      <c r="AQ188" s="325"/>
      <c r="AR188" s="325"/>
      <c r="AS188" s="325"/>
      <c r="AT188" s="325"/>
      <c r="AU188" s="325"/>
      <c r="AV188" s="325"/>
      <c r="AW188" s="325"/>
      <c r="AX188" s="325"/>
      <c r="AY188" s="325"/>
      <c r="AZ188" s="325"/>
      <c r="BA188" s="325"/>
      <c r="BB188" s="325"/>
      <c r="BC188" s="325"/>
      <c r="BD188" s="325"/>
      <c r="BE188" s="325"/>
      <c r="BF188" s="325"/>
      <c r="BG188" s="325"/>
      <c r="BH188" s="325"/>
      <c r="BI188" s="325"/>
      <c r="BJ188" s="325"/>
      <c r="BK188" s="325"/>
      <c r="BL188" s="325"/>
      <c r="BM188" s="325"/>
      <c r="BN188" s="325"/>
      <c r="BO188" s="325"/>
      <c r="BP188" s="325"/>
      <c r="BQ188" s="325"/>
      <c r="BR188" s="325"/>
      <c r="BS188" s="310"/>
      <c r="BT188" s="310"/>
      <c r="BU188" s="310"/>
      <c r="BV188" s="310"/>
      <c r="BW188" s="315">
        <f>CHOOSE($BW$3,BW185,BW186,BW187)</f>
        <v>0.8</v>
      </c>
      <c r="BX188" s="315">
        <f t="shared" ref="BX188:CJ188" si="431">CHOOSE($BW$3,BX185,BX186,BX187)</f>
        <v>0.8</v>
      </c>
      <c r="BY188" s="315">
        <f t="shared" si="431"/>
        <v>0.8</v>
      </c>
      <c r="BZ188" s="315">
        <f t="shared" si="431"/>
        <v>0.8</v>
      </c>
      <c r="CA188" s="315">
        <f t="shared" si="431"/>
        <v>0.8</v>
      </c>
      <c r="CB188" s="315">
        <f t="shared" si="431"/>
        <v>0.8</v>
      </c>
      <c r="CC188" s="315">
        <f t="shared" si="431"/>
        <v>0.8</v>
      </c>
      <c r="CD188" s="315">
        <f t="shared" si="431"/>
        <v>0.8</v>
      </c>
      <c r="CE188" s="315">
        <f t="shared" si="431"/>
        <v>0.8</v>
      </c>
      <c r="CF188" s="315">
        <f t="shared" si="431"/>
        <v>0.8</v>
      </c>
      <c r="CG188" s="315">
        <f t="shared" si="431"/>
        <v>0.8</v>
      </c>
      <c r="CH188" s="315">
        <f t="shared" si="431"/>
        <v>0.8</v>
      </c>
      <c r="CI188" s="315">
        <f t="shared" si="431"/>
        <v>0.8</v>
      </c>
      <c r="CJ188" s="315">
        <f t="shared" si="431"/>
        <v>0.8</v>
      </c>
    </row>
    <row r="189" spans="2:88">
      <c r="B189" s="310"/>
      <c r="C189" s="310"/>
      <c r="D189" s="310"/>
      <c r="E189" s="310"/>
      <c r="F189" s="310"/>
      <c r="G189" s="310"/>
      <c r="H189" s="310"/>
      <c r="I189" s="310"/>
      <c r="J189" s="310"/>
      <c r="K189" s="310"/>
      <c r="L189" s="310"/>
      <c r="M189" s="310"/>
      <c r="N189" s="310"/>
      <c r="O189" s="310"/>
      <c r="P189" s="310"/>
      <c r="Q189" s="310"/>
      <c r="R189" s="310"/>
      <c r="S189" s="310"/>
      <c r="T189" s="310"/>
      <c r="U189" s="310"/>
      <c r="V189" s="310"/>
      <c r="W189" s="310"/>
      <c r="X189" s="310"/>
      <c r="Y189" s="310"/>
      <c r="Z189" s="310"/>
      <c r="AA189" s="310"/>
      <c r="AB189" s="310"/>
      <c r="AC189" s="310"/>
      <c r="AD189" s="310"/>
      <c r="AE189" s="310"/>
      <c r="AF189" s="310"/>
      <c r="AG189" s="310"/>
      <c r="AH189" s="310"/>
      <c r="AI189" s="310"/>
      <c r="AJ189" s="310"/>
      <c r="AK189" s="310"/>
      <c r="AL189" s="310"/>
      <c r="AM189" s="310"/>
      <c r="AN189" s="310"/>
      <c r="AO189" s="310"/>
      <c r="AP189" s="310"/>
      <c r="AQ189" s="310"/>
      <c r="AR189" s="310"/>
      <c r="AS189" s="310"/>
      <c r="AT189" s="310"/>
      <c r="AU189" s="310"/>
      <c r="AV189" s="310"/>
      <c r="AW189" s="310"/>
      <c r="AX189" s="310"/>
      <c r="AY189" s="310"/>
      <c r="AZ189" s="310"/>
      <c r="BA189" s="310"/>
      <c r="BB189" s="310"/>
      <c r="BC189" s="310"/>
      <c r="BD189" s="310"/>
      <c r="BE189" s="310"/>
      <c r="BF189" s="310"/>
      <c r="BG189" s="310"/>
      <c r="BH189" s="310"/>
      <c r="BI189" s="310"/>
      <c r="BJ189" s="310"/>
      <c r="BK189" s="310"/>
      <c r="BL189" s="310"/>
      <c r="BM189" s="310"/>
      <c r="BN189" s="310"/>
      <c r="BO189" s="310"/>
      <c r="BP189" s="310"/>
      <c r="BQ189" s="310"/>
      <c r="BR189" s="310"/>
      <c r="BS189" s="310"/>
      <c r="BT189" s="310"/>
      <c r="BU189" s="310"/>
      <c r="BV189" s="310"/>
      <c r="BW189" s="331"/>
      <c r="BX189" s="331"/>
      <c r="BY189" s="331"/>
      <c r="BZ189" s="331"/>
      <c r="CA189" s="331"/>
      <c r="CB189" s="331"/>
      <c r="CC189" s="331"/>
      <c r="CD189" s="331"/>
      <c r="CE189" s="331"/>
      <c r="CF189" s="331"/>
      <c r="CG189" s="331"/>
      <c r="CH189" s="331"/>
      <c r="CI189" s="331"/>
      <c r="CJ189" s="331"/>
    </row>
    <row r="190" spans="2:88">
      <c r="B190" s="310" t="s">
        <v>410</v>
      </c>
      <c r="C190" s="310"/>
      <c r="D190" s="310"/>
      <c r="E190" s="310"/>
      <c r="F190" s="310"/>
      <c r="G190" s="310"/>
      <c r="H190" s="310"/>
      <c r="I190" s="310"/>
      <c r="J190" s="310"/>
      <c r="K190" s="310"/>
      <c r="L190" s="310"/>
      <c r="M190" s="310"/>
      <c r="N190" s="310"/>
      <c r="O190" s="310"/>
      <c r="P190" s="310"/>
      <c r="Q190" s="310"/>
      <c r="R190" s="310"/>
      <c r="S190" s="310"/>
      <c r="T190" s="310"/>
      <c r="U190" s="310"/>
      <c r="V190" s="310"/>
      <c r="W190" s="310"/>
      <c r="X190" s="310"/>
      <c r="Y190" s="310"/>
      <c r="Z190" s="310"/>
      <c r="AA190" s="310"/>
      <c r="AB190" s="310"/>
      <c r="AC190" s="310"/>
      <c r="AD190" s="310"/>
      <c r="AE190" s="310"/>
      <c r="AF190" s="310"/>
      <c r="AG190" s="310"/>
      <c r="AH190" s="310"/>
      <c r="AI190" s="310"/>
      <c r="AJ190" s="310"/>
      <c r="AK190" s="310"/>
      <c r="AL190" s="310"/>
      <c r="AM190" s="310"/>
      <c r="AN190" s="310"/>
      <c r="AO190" s="310"/>
      <c r="AP190" s="310"/>
      <c r="AQ190" s="310"/>
      <c r="AR190" s="310"/>
      <c r="AS190" s="310"/>
      <c r="AT190" s="310"/>
      <c r="AU190" s="310"/>
      <c r="AV190" s="310"/>
      <c r="AW190" s="310"/>
      <c r="AX190" s="310"/>
      <c r="AY190" s="310"/>
      <c r="AZ190" s="310"/>
      <c r="BA190" s="310"/>
      <c r="BB190" s="310"/>
      <c r="BC190" s="310"/>
      <c r="BD190" s="310"/>
      <c r="BE190" s="310"/>
      <c r="BF190" s="310"/>
      <c r="BG190" s="310"/>
      <c r="BH190" s="310"/>
      <c r="BI190" s="310"/>
      <c r="BJ190" s="310"/>
      <c r="BK190" s="310"/>
      <c r="BL190" s="310"/>
      <c r="BM190" s="310"/>
      <c r="BN190" s="310"/>
      <c r="BO190" s="310"/>
      <c r="BP190" s="310"/>
      <c r="BQ190" s="310"/>
      <c r="BR190" s="310"/>
      <c r="BS190" s="310"/>
      <c r="BT190" s="310"/>
      <c r="BU190" s="310"/>
      <c r="BV190" s="310"/>
      <c r="BW190" s="331">
        <f t="shared" ref="BW190:CJ190" si="432">(BW182+BW183)*BW188</f>
        <v>0</v>
      </c>
      <c r="BX190" s="331">
        <f t="shared" si="432"/>
        <v>0</v>
      </c>
      <c r="BY190" s="331">
        <f t="shared" si="432"/>
        <v>0</v>
      </c>
      <c r="BZ190" s="331">
        <f t="shared" si="432"/>
        <v>0</v>
      </c>
      <c r="CA190" s="331">
        <f t="shared" si="432"/>
        <v>230.83332178151474</v>
      </c>
      <c r="CB190" s="331">
        <f t="shared" si="432"/>
        <v>619.13275636450999</v>
      </c>
      <c r="CC190" s="331">
        <f t="shared" si="432"/>
        <v>684.79270954419985</v>
      </c>
      <c r="CD190" s="331">
        <f t="shared" si="432"/>
        <v>488.26840697351037</v>
      </c>
      <c r="CE190" s="331">
        <f t="shared" si="432"/>
        <v>400.24640446344438</v>
      </c>
      <c r="CF190" s="331">
        <f t="shared" si="432"/>
        <v>280.58365348697089</v>
      </c>
      <c r="CG190" s="331">
        <f t="shared" si="432"/>
        <v>217.77452522379772</v>
      </c>
      <c r="CH190" s="331">
        <f t="shared" si="432"/>
        <v>228.62578558844871</v>
      </c>
      <c r="CI190" s="331">
        <f t="shared" si="432"/>
        <v>239.76954438919802</v>
      </c>
      <c r="CJ190" s="331">
        <f t="shared" si="432"/>
        <v>251.2132155722345</v>
      </c>
    </row>
    <row r="191" spans="2:88">
      <c r="B191" s="310"/>
      <c r="C191" s="310"/>
      <c r="D191" s="310"/>
      <c r="E191" s="310"/>
      <c r="F191" s="310"/>
      <c r="G191" s="310"/>
      <c r="H191" s="310"/>
      <c r="I191" s="310"/>
      <c r="J191" s="310"/>
      <c r="K191" s="310"/>
      <c r="L191" s="310"/>
      <c r="M191" s="310"/>
      <c r="N191" s="310"/>
      <c r="O191" s="310"/>
      <c r="P191" s="310"/>
      <c r="Q191" s="310"/>
      <c r="R191" s="310"/>
      <c r="S191" s="310"/>
      <c r="T191" s="310"/>
      <c r="U191" s="310"/>
      <c r="V191" s="310"/>
      <c r="W191" s="310"/>
      <c r="X191" s="310"/>
      <c r="Y191" s="310"/>
      <c r="Z191" s="310"/>
      <c r="AA191" s="310"/>
      <c r="AB191" s="310"/>
      <c r="AC191" s="310"/>
      <c r="AD191" s="310"/>
      <c r="AE191" s="310"/>
      <c r="AF191" s="310"/>
      <c r="AG191" s="310"/>
      <c r="AH191" s="310"/>
      <c r="AI191" s="310"/>
      <c r="AJ191" s="310"/>
      <c r="AK191" s="310"/>
      <c r="AL191" s="310"/>
      <c r="AM191" s="310"/>
      <c r="AN191" s="310"/>
      <c r="AO191" s="310"/>
      <c r="AP191" s="310"/>
      <c r="AQ191" s="310"/>
      <c r="AR191" s="310"/>
      <c r="AS191" s="310"/>
      <c r="AT191" s="310"/>
      <c r="AU191" s="310"/>
      <c r="AV191" s="310"/>
      <c r="AW191" s="310"/>
      <c r="AX191" s="310"/>
      <c r="AY191" s="310"/>
      <c r="AZ191" s="310"/>
      <c r="BA191" s="310"/>
      <c r="BB191" s="310"/>
      <c r="BC191" s="310"/>
      <c r="BD191" s="310"/>
      <c r="BE191" s="310"/>
      <c r="BF191" s="310"/>
      <c r="BG191" s="310"/>
      <c r="BH191" s="310"/>
      <c r="BI191" s="310"/>
      <c r="BJ191" s="310"/>
      <c r="BK191" s="310"/>
      <c r="BL191" s="310"/>
      <c r="BM191" s="310"/>
      <c r="BN191" s="310"/>
      <c r="BO191" s="310"/>
      <c r="BP191" s="310"/>
      <c r="BQ191" s="310"/>
      <c r="BR191" s="310"/>
      <c r="BS191" s="310"/>
      <c r="BT191" s="310"/>
      <c r="BU191" s="310"/>
      <c r="BV191" s="310"/>
      <c r="BW191" s="310"/>
      <c r="BX191" s="310"/>
      <c r="BY191" s="310"/>
      <c r="BZ191" s="310"/>
      <c r="CA191" s="310"/>
      <c r="CB191" s="310"/>
      <c r="CC191" s="310"/>
      <c r="CD191" s="310"/>
      <c r="CE191" s="310"/>
      <c r="CF191" s="310"/>
      <c r="CG191" s="310"/>
      <c r="CH191" s="310"/>
      <c r="CI191" s="310"/>
      <c r="CJ191" s="310"/>
    </row>
    <row r="192" spans="2:88">
      <c r="B192" s="329" t="s">
        <v>346</v>
      </c>
      <c r="C192" s="329"/>
      <c r="D192" s="329"/>
      <c r="E192" s="329"/>
      <c r="F192" s="329"/>
      <c r="G192" s="329"/>
      <c r="H192" s="329"/>
      <c r="I192" s="329"/>
      <c r="J192" s="329"/>
      <c r="K192" s="329"/>
      <c r="L192" s="329"/>
      <c r="M192" s="329"/>
      <c r="N192" s="329"/>
      <c r="O192" s="329"/>
      <c r="P192" s="329"/>
      <c r="Q192" s="329"/>
      <c r="R192" s="329"/>
      <c r="S192" s="329"/>
      <c r="T192" s="329"/>
      <c r="U192" s="329"/>
      <c r="V192" s="329"/>
      <c r="W192" s="329"/>
      <c r="X192" s="329"/>
      <c r="Y192" s="329"/>
      <c r="Z192" s="329"/>
      <c r="AA192" s="329"/>
      <c r="AB192" s="329"/>
      <c r="AC192" s="329"/>
      <c r="AD192" s="329"/>
      <c r="AE192" s="329"/>
      <c r="AF192" s="329"/>
      <c r="AG192" s="329"/>
      <c r="AH192" s="329"/>
      <c r="AI192" s="329"/>
      <c r="AJ192" s="329"/>
      <c r="AK192" s="329"/>
      <c r="AL192" s="329"/>
      <c r="AM192" s="329"/>
      <c r="AN192" s="329"/>
      <c r="AO192" s="329"/>
      <c r="AP192" s="329"/>
      <c r="AQ192" s="329"/>
      <c r="AR192" s="329"/>
      <c r="AS192" s="329"/>
      <c r="AT192" s="329"/>
      <c r="AU192" s="329"/>
      <c r="AV192" s="329"/>
      <c r="AW192" s="329"/>
      <c r="AX192" s="329"/>
      <c r="AY192" s="329"/>
      <c r="AZ192" s="329"/>
      <c r="BA192" s="329"/>
      <c r="BB192" s="329"/>
      <c r="BC192" s="329"/>
      <c r="BD192" s="329"/>
      <c r="BE192" s="329"/>
      <c r="BF192" s="329"/>
      <c r="BG192" s="329"/>
      <c r="BH192" s="329"/>
      <c r="BI192" s="329"/>
      <c r="BJ192" s="329"/>
      <c r="BK192" s="329"/>
      <c r="BL192" s="329"/>
      <c r="BM192" s="329"/>
      <c r="BN192" s="329"/>
      <c r="BO192" s="329"/>
      <c r="BP192" s="329"/>
      <c r="BQ192" s="329"/>
      <c r="BR192" s="329"/>
      <c r="BS192" s="326"/>
      <c r="BT192" s="326"/>
      <c r="BU192" s="326"/>
      <c r="BV192" s="327"/>
      <c r="BW192" s="327">
        <f>BW190+BW179+BW180</f>
        <v>0</v>
      </c>
      <c r="BX192" s="327">
        <f t="shared" ref="BX192:CJ192" si="433">BX190+BX179+BX180</f>
        <v>0</v>
      </c>
      <c r="BY192" s="327">
        <f t="shared" si="433"/>
        <v>49.011221393569997</v>
      </c>
      <c r="BZ192" s="327">
        <f t="shared" si="433"/>
        <v>175.16046897015889</v>
      </c>
      <c r="CA192" s="327">
        <f t="shared" si="433"/>
        <v>537.44721858743299</v>
      </c>
      <c r="CB192" s="327">
        <f t="shared" si="433"/>
        <v>1010.4909015738739</v>
      </c>
      <c r="CC192" s="327">
        <f t="shared" si="433"/>
        <v>1137.6950539528978</v>
      </c>
      <c r="CD192" s="327">
        <f t="shared" si="433"/>
        <v>977.93523239615638</v>
      </c>
      <c r="CE192" s="327">
        <f t="shared" si="433"/>
        <v>914.13908801818786</v>
      </c>
      <c r="CF192" s="327">
        <f t="shared" si="433"/>
        <v>819.5067996484355</v>
      </c>
      <c r="CG192" s="327">
        <f t="shared" si="433"/>
        <v>768.07433900073067</v>
      </c>
      <c r="CH192" s="327">
        <f t="shared" si="433"/>
        <v>790.54242843421275</v>
      </c>
      <c r="CI192" s="327">
        <f t="shared" si="433"/>
        <v>813.54824756543599</v>
      </c>
      <c r="CJ192" s="327">
        <f t="shared" si="433"/>
        <v>837.10438717252282</v>
      </c>
    </row>
    <row r="194" spans="2:88">
      <c r="B194" s="301" t="s">
        <v>345</v>
      </c>
      <c r="C194" s="301"/>
      <c r="D194" s="301"/>
      <c r="E194" s="301"/>
      <c r="F194" s="301"/>
      <c r="G194" s="301"/>
      <c r="H194" s="301"/>
      <c r="I194" s="301"/>
      <c r="J194" s="301"/>
      <c r="K194" s="301"/>
      <c r="L194" s="301"/>
      <c r="M194" s="301"/>
      <c r="N194" s="301"/>
      <c r="O194" s="301"/>
      <c r="P194" s="301"/>
      <c r="Q194" s="301"/>
      <c r="R194" s="301"/>
      <c r="S194" s="301"/>
      <c r="T194" s="301"/>
      <c r="U194" s="301"/>
      <c r="V194" s="301"/>
      <c r="W194" s="301"/>
      <c r="X194" s="301"/>
      <c r="Y194" s="301"/>
      <c r="Z194" s="301"/>
      <c r="AA194" s="301"/>
      <c r="AB194" s="301"/>
      <c r="AC194" s="301"/>
      <c r="AD194" s="301"/>
      <c r="AE194" s="301"/>
      <c r="AF194" s="301"/>
      <c r="AG194" s="301"/>
      <c r="AH194" s="301"/>
      <c r="AI194" s="301"/>
      <c r="AJ194" s="301"/>
      <c r="AK194" s="301"/>
      <c r="AL194" s="301"/>
      <c r="AM194" s="301"/>
      <c r="AN194" s="301"/>
      <c r="AO194" s="301"/>
      <c r="AP194" s="301"/>
      <c r="AQ194" s="301"/>
      <c r="AR194" s="301"/>
      <c r="AS194" s="301"/>
      <c r="AT194" s="301"/>
      <c r="AU194" s="301"/>
      <c r="AV194" s="301"/>
      <c r="AW194" s="301"/>
      <c r="AX194" s="301"/>
      <c r="AY194" s="301"/>
      <c r="AZ194" s="301"/>
      <c r="BA194" s="301"/>
      <c r="BB194" s="301"/>
      <c r="BC194" s="301"/>
      <c r="BD194" s="301"/>
      <c r="BE194" s="301"/>
      <c r="BF194" s="301"/>
      <c r="BG194" s="301"/>
      <c r="BH194" s="301"/>
      <c r="BI194" s="301"/>
      <c r="BJ194" s="301"/>
      <c r="BK194" s="301"/>
      <c r="BL194" s="301"/>
      <c r="BM194" s="301"/>
      <c r="BN194" s="301"/>
      <c r="BO194" s="301"/>
      <c r="BP194" s="301"/>
      <c r="BQ194" s="301"/>
      <c r="BR194" s="301"/>
      <c r="BS194" s="301">
        <v>2013</v>
      </c>
      <c r="BT194" s="301">
        <v>2014</v>
      </c>
      <c r="BU194" s="301">
        <v>2015</v>
      </c>
      <c r="BV194" s="301">
        <v>2016</v>
      </c>
      <c r="BW194" s="301">
        <v>2017</v>
      </c>
      <c r="BX194" s="301">
        <v>2018</v>
      </c>
      <c r="BY194" s="301">
        <v>2019</v>
      </c>
      <c r="BZ194" s="301">
        <v>2020</v>
      </c>
      <c r="CA194" s="301">
        <v>2021</v>
      </c>
      <c r="CB194" s="301">
        <v>2022</v>
      </c>
      <c r="CC194" s="301">
        <v>2023</v>
      </c>
      <c r="CD194" s="301">
        <v>2024</v>
      </c>
      <c r="CE194" s="301">
        <v>2025</v>
      </c>
      <c r="CF194" s="301">
        <v>2026</v>
      </c>
      <c r="CG194" s="301">
        <v>2027</v>
      </c>
      <c r="CH194" s="301">
        <v>2028</v>
      </c>
      <c r="CI194" s="301">
        <v>2029</v>
      </c>
      <c r="CJ194" s="301">
        <v>2030</v>
      </c>
    </row>
    <row r="195" spans="2:88">
      <c r="B195" s="310"/>
      <c r="C195" s="310"/>
      <c r="D195" s="310"/>
      <c r="E195" s="310"/>
      <c r="F195" s="310"/>
      <c r="G195" s="310"/>
      <c r="H195" s="310"/>
      <c r="I195" s="310"/>
      <c r="J195" s="310"/>
      <c r="K195" s="310"/>
      <c r="L195" s="310"/>
      <c r="M195" s="310"/>
      <c r="N195" s="310"/>
      <c r="O195" s="310"/>
      <c r="P195" s="310"/>
      <c r="Q195" s="310"/>
      <c r="R195" s="310"/>
      <c r="S195" s="310"/>
      <c r="T195" s="310"/>
      <c r="U195" s="310"/>
      <c r="V195" s="310"/>
      <c r="W195" s="310"/>
      <c r="X195" s="310"/>
      <c r="Y195" s="310"/>
      <c r="Z195" s="310"/>
      <c r="AA195" s="310"/>
      <c r="AB195" s="310"/>
      <c r="AC195" s="310"/>
      <c r="AD195" s="310"/>
      <c r="AE195" s="310"/>
      <c r="AF195" s="310"/>
      <c r="AG195" s="310"/>
      <c r="AH195" s="310"/>
      <c r="AI195" s="310"/>
      <c r="AJ195" s="310"/>
      <c r="AK195" s="310"/>
      <c r="AL195" s="310"/>
      <c r="AM195" s="310"/>
      <c r="AN195" s="310"/>
      <c r="AO195" s="310"/>
      <c r="AP195" s="310"/>
      <c r="AQ195" s="310"/>
      <c r="AR195" s="310"/>
      <c r="AS195" s="310"/>
      <c r="AT195" s="310"/>
      <c r="AU195" s="310"/>
      <c r="AV195" s="310"/>
      <c r="AW195" s="310"/>
      <c r="AX195" s="310"/>
      <c r="AY195" s="310"/>
      <c r="AZ195" s="310"/>
      <c r="BA195" s="310"/>
      <c r="BB195" s="310"/>
      <c r="BC195" s="310"/>
      <c r="BD195" s="310"/>
      <c r="BE195" s="310"/>
      <c r="BF195" s="310"/>
      <c r="BG195" s="310"/>
      <c r="BH195" s="310"/>
      <c r="BI195" s="310"/>
      <c r="BJ195" s="310"/>
      <c r="BK195" s="310"/>
      <c r="BL195" s="310"/>
      <c r="BM195" s="310"/>
      <c r="BN195" s="310"/>
      <c r="BO195" s="310"/>
      <c r="BP195" s="310"/>
      <c r="BQ195" s="310"/>
      <c r="BR195" s="310"/>
      <c r="BS195" s="310"/>
      <c r="BT195" s="310"/>
      <c r="BU195" s="310"/>
      <c r="BV195" s="310"/>
      <c r="BW195" s="310"/>
      <c r="BX195" s="310"/>
      <c r="BY195" s="310"/>
      <c r="BZ195" s="310"/>
      <c r="CA195" s="310"/>
      <c r="CB195" s="310"/>
      <c r="CC195" s="310"/>
      <c r="CD195" s="310"/>
      <c r="CE195" s="310"/>
      <c r="CF195" s="310"/>
      <c r="CG195" s="310"/>
      <c r="CH195" s="310"/>
      <c r="CI195" s="310"/>
      <c r="CJ195" s="310"/>
    </row>
    <row r="196" spans="2:88">
      <c r="B196" s="311" t="s">
        <v>379</v>
      </c>
      <c r="C196" s="312">
        <f t="shared" ref="C196:BN196" si="434">D196/(1+D197)</f>
        <v>3326744.5940584936</v>
      </c>
      <c r="D196" s="312">
        <f t="shared" si="434"/>
        <v>3363338.7845931365</v>
      </c>
      <c r="E196" s="312">
        <f t="shared" si="434"/>
        <v>3400335.5112236608</v>
      </c>
      <c r="F196" s="312">
        <f t="shared" si="434"/>
        <v>3437739.2018471207</v>
      </c>
      <c r="G196" s="312">
        <f t="shared" si="434"/>
        <v>3475554.3330674386</v>
      </c>
      <c r="H196" s="312">
        <f t="shared" si="434"/>
        <v>3513785.4307311801</v>
      </c>
      <c r="I196" s="312">
        <f t="shared" si="434"/>
        <v>3552437.070469223</v>
      </c>
      <c r="J196" s="312">
        <f t="shared" si="434"/>
        <v>3591513.8782443842</v>
      </c>
      <c r="K196" s="312">
        <f t="shared" si="434"/>
        <v>3631020.5309050721</v>
      </c>
      <c r="L196" s="312">
        <f t="shared" si="434"/>
        <v>3670961.7567450274</v>
      </c>
      <c r="M196" s="312">
        <f t="shared" si="434"/>
        <v>3711342.3360692221</v>
      </c>
      <c r="N196" s="312">
        <f t="shared" si="434"/>
        <v>3752167.1017659833</v>
      </c>
      <c r="O196" s="312">
        <f t="shared" si="434"/>
        <v>3793440.9398854086</v>
      </c>
      <c r="P196" s="312">
        <f t="shared" si="434"/>
        <v>3835168.790224148</v>
      </c>
      <c r="Q196" s="312">
        <f t="shared" si="434"/>
        <v>3877355.646916613</v>
      </c>
      <c r="R196" s="312">
        <f t="shared" si="434"/>
        <v>3920006.5590326954</v>
      </c>
      <c r="S196" s="312">
        <f t="shared" si="434"/>
        <v>3963126.6311820545</v>
      </c>
      <c r="T196" s="312">
        <f t="shared" si="434"/>
        <v>4006721.0241250568</v>
      </c>
      <c r="U196" s="312">
        <f t="shared" si="434"/>
        <v>4050794.9553904319</v>
      </c>
      <c r="V196" s="312">
        <f t="shared" si="434"/>
        <v>4095353.6998997261</v>
      </c>
      <c r="W196" s="312">
        <f t="shared" si="434"/>
        <v>4140402.5905986228</v>
      </c>
      <c r="X196" s="312">
        <f t="shared" si="434"/>
        <v>4185947.0190952071</v>
      </c>
      <c r="Y196" s="312">
        <f t="shared" si="434"/>
        <v>4231992.4363052538</v>
      </c>
      <c r="Z196" s="312">
        <f t="shared" si="434"/>
        <v>4278544.3531046109</v>
      </c>
      <c r="AA196" s="312">
        <f t="shared" si="434"/>
        <v>4325608.3409887608</v>
      </c>
      <c r="AB196" s="312">
        <f t="shared" si="434"/>
        <v>4373190.0327396365</v>
      </c>
      <c r="AC196" s="312">
        <f t="shared" si="434"/>
        <v>4421295.1230997723</v>
      </c>
      <c r="AD196" s="312">
        <f t="shared" si="434"/>
        <v>4469929.3694538698</v>
      </c>
      <c r="AE196" s="312">
        <f t="shared" si="434"/>
        <v>4519098.5925178621</v>
      </c>
      <c r="AF196" s="312">
        <f t="shared" si="434"/>
        <v>4568808.677035558</v>
      </c>
      <c r="AG196" s="312">
        <f t="shared" si="434"/>
        <v>4619065.5724829491</v>
      </c>
      <c r="AH196" s="312">
        <f t="shared" si="434"/>
        <v>4669875.2937802607</v>
      </c>
      <c r="AI196" s="312">
        <f t="shared" si="434"/>
        <v>4721243.922011843</v>
      </c>
      <c r="AJ196" s="312">
        <f t="shared" si="434"/>
        <v>4773177.6051539723</v>
      </c>
      <c r="AK196" s="312">
        <f t="shared" si="434"/>
        <v>4825682.5588106653</v>
      </c>
      <c r="AL196" s="312">
        <f t="shared" si="434"/>
        <v>4878765.0669575818</v>
      </c>
      <c r="AM196" s="312">
        <f t="shared" si="434"/>
        <v>4932431.4826941146</v>
      </c>
      <c r="AN196" s="312">
        <f t="shared" si="434"/>
        <v>4986688.2290037498</v>
      </c>
      <c r="AO196" s="312">
        <f t="shared" si="434"/>
        <v>5041541.7995227901</v>
      </c>
      <c r="AP196" s="312">
        <f t="shared" si="434"/>
        <v>5096998.7593175406</v>
      </c>
      <c r="AQ196" s="312">
        <f t="shared" si="434"/>
        <v>5153065.7456700327</v>
      </c>
      <c r="AR196" s="312">
        <f t="shared" si="434"/>
        <v>5209749.4688724028</v>
      </c>
      <c r="AS196" s="312">
        <f t="shared" si="434"/>
        <v>5267056.7130299984</v>
      </c>
      <c r="AT196" s="312">
        <f t="shared" si="434"/>
        <v>5324994.3368733274</v>
      </c>
      <c r="AU196" s="312">
        <f t="shared" si="434"/>
        <v>5383569.2745789336</v>
      </c>
      <c r="AV196" s="312">
        <f t="shared" si="434"/>
        <v>5442788.5365993017</v>
      </c>
      <c r="AW196" s="312">
        <f t="shared" si="434"/>
        <v>5502659.2105018934</v>
      </c>
      <c r="AX196" s="312">
        <f t="shared" si="434"/>
        <v>5563188.4618174136</v>
      </c>
      <c r="AY196" s="312">
        <f t="shared" si="434"/>
        <v>5624383.5348974047</v>
      </c>
      <c r="AZ196" s="312">
        <f t="shared" si="434"/>
        <v>5686251.7537812758</v>
      </c>
      <c r="BA196" s="312">
        <f t="shared" si="434"/>
        <v>5748800.5230728695</v>
      </c>
      <c r="BB196" s="312">
        <f t="shared" si="434"/>
        <v>5812037.3288266705</v>
      </c>
      <c r="BC196" s="312">
        <f t="shared" si="434"/>
        <v>5875969.7394437632</v>
      </c>
      <c r="BD196" s="312">
        <f t="shared" si="434"/>
        <v>5940605.4065776439</v>
      </c>
      <c r="BE196" s="312">
        <f t="shared" si="434"/>
        <v>6005952.0660499977</v>
      </c>
      <c r="BF196" s="312">
        <f t="shared" si="434"/>
        <v>6072017.5387765467</v>
      </c>
      <c r="BG196" s="312">
        <f t="shared" si="434"/>
        <v>6138809.7317030877</v>
      </c>
      <c r="BH196" s="312">
        <f t="shared" si="434"/>
        <v>6206336.6387518207</v>
      </c>
      <c r="BI196" s="312">
        <f t="shared" si="434"/>
        <v>6274606.3417780902</v>
      </c>
      <c r="BJ196" s="312">
        <f t="shared" si="434"/>
        <v>6343627.0115376487</v>
      </c>
      <c r="BK196" s="312">
        <f t="shared" si="434"/>
        <v>6413406.9086645618</v>
      </c>
      <c r="BL196" s="312">
        <f t="shared" si="434"/>
        <v>6483954.3846598715</v>
      </c>
      <c r="BM196" s="312">
        <f t="shared" si="434"/>
        <v>6555277.8828911297</v>
      </c>
      <c r="BN196" s="312">
        <f t="shared" si="434"/>
        <v>6627385.939602931</v>
      </c>
      <c r="BO196" s="312">
        <f t="shared" ref="BO196:BQ196" si="435">BP196/(1+BP197)</f>
        <v>6700287.184938563</v>
      </c>
      <c r="BP196" s="312">
        <f t="shared" si="435"/>
        <v>6773990.3439728869</v>
      </c>
      <c r="BQ196" s="312">
        <f t="shared" si="435"/>
        <v>6848504.2377565876</v>
      </c>
      <c r="BR196" s="312">
        <f>BS196/(1+BS197)</f>
        <v>6923837.7843719097</v>
      </c>
      <c r="BS196" s="312">
        <v>7000000</v>
      </c>
      <c r="BT196" s="312">
        <f>BS196*(1+BT197)</f>
        <v>7076999.9999999991</v>
      </c>
      <c r="BU196" s="312">
        <f t="shared" ref="BU196" si="436">BT196*(1+BU197)</f>
        <v>7154846.9999999981</v>
      </c>
      <c r="BV196" s="312">
        <f t="shared" ref="BV196" si="437">BU196*(1+BV197)</f>
        <v>7233550.316999997</v>
      </c>
      <c r="BW196" s="312">
        <f t="shared" ref="BW196" si="438">BV196*(1+BW197)</f>
        <v>7313119.3704869961</v>
      </c>
      <c r="BX196" s="312">
        <f t="shared" ref="BX196" si="439">BW196*(1+BX197)</f>
        <v>7393563.6835623523</v>
      </c>
      <c r="BY196" s="312">
        <f t="shared" ref="BY196" si="440">BX196*(1+BY197)</f>
        <v>7474892.8840815378</v>
      </c>
      <c r="BZ196" s="312">
        <f t="shared" ref="BZ196" si="441">BY196*(1+BZ197)</f>
        <v>7557116.7058064342</v>
      </c>
      <c r="CA196" s="312">
        <f t="shared" ref="CA196" si="442">BZ196*(1+CA197)</f>
        <v>7640244.9895703038</v>
      </c>
      <c r="CB196" s="312">
        <f t="shared" ref="CB196" si="443">CA196*(1+CB197)</f>
        <v>7724287.6844555764</v>
      </c>
      <c r="CC196" s="312">
        <f t="shared" ref="CC196" si="444">CB196*(1+CC197)</f>
        <v>7809254.848984587</v>
      </c>
      <c r="CD196" s="312">
        <f t="shared" ref="CD196" si="445">CC196*(1+CD197)</f>
        <v>7895156.6523234164</v>
      </c>
      <c r="CE196" s="312">
        <f t="shared" ref="CE196" si="446">CD196*(1+CE197)</f>
        <v>7982003.3754989728</v>
      </c>
      <c r="CF196" s="312">
        <f t="shared" ref="CF196" si="447">CE196*(1+CF197)</f>
        <v>8069805.4126294609</v>
      </c>
      <c r="CG196" s="312">
        <f t="shared" ref="CG196" si="448">CF196*(1+CG197)</f>
        <v>8158573.2721683839</v>
      </c>
      <c r="CH196" s="312">
        <f t="shared" ref="CH196" si="449">CG196*(1+CH197)</f>
        <v>8248317.5781622352</v>
      </c>
      <c r="CI196" s="312">
        <f t="shared" ref="CI196" si="450">CH196*(1+CI197)</f>
        <v>8339049.0715220189</v>
      </c>
      <c r="CJ196" s="312">
        <f t="shared" ref="CJ196" si="451">CI196*(1+CJ197)</f>
        <v>8430778.6113087609</v>
      </c>
    </row>
    <row r="197" spans="2:88">
      <c r="B197" s="313" t="s">
        <v>7</v>
      </c>
      <c r="C197" s="315">
        <f t="shared" ref="C197:BN197" si="452">D197</f>
        <v>1.0999999999999999E-2</v>
      </c>
      <c r="D197" s="315">
        <f t="shared" si="452"/>
        <v>1.0999999999999999E-2</v>
      </c>
      <c r="E197" s="315">
        <f t="shared" si="452"/>
        <v>1.0999999999999999E-2</v>
      </c>
      <c r="F197" s="315">
        <f t="shared" si="452"/>
        <v>1.0999999999999999E-2</v>
      </c>
      <c r="G197" s="315">
        <f t="shared" si="452"/>
        <v>1.0999999999999999E-2</v>
      </c>
      <c r="H197" s="315">
        <f t="shared" si="452"/>
        <v>1.0999999999999999E-2</v>
      </c>
      <c r="I197" s="315">
        <f t="shared" si="452"/>
        <v>1.0999999999999999E-2</v>
      </c>
      <c r="J197" s="315">
        <f t="shared" si="452"/>
        <v>1.0999999999999999E-2</v>
      </c>
      <c r="K197" s="315">
        <f t="shared" si="452"/>
        <v>1.0999999999999999E-2</v>
      </c>
      <c r="L197" s="315">
        <f t="shared" si="452"/>
        <v>1.0999999999999999E-2</v>
      </c>
      <c r="M197" s="315">
        <f t="shared" si="452"/>
        <v>1.0999999999999999E-2</v>
      </c>
      <c r="N197" s="315">
        <f t="shared" si="452"/>
        <v>1.0999999999999999E-2</v>
      </c>
      <c r="O197" s="315">
        <f t="shared" si="452"/>
        <v>1.0999999999999999E-2</v>
      </c>
      <c r="P197" s="315">
        <f t="shared" si="452"/>
        <v>1.0999999999999999E-2</v>
      </c>
      <c r="Q197" s="315">
        <f t="shared" si="452"/>
        <v>1.0999999999999999E-2</v>
      </c>
      <c r="R197" s="315">
        <f t="shared" si="452"/>
        <v>1.0999999999999999E-2</v>
      </c>
      <c r="S197" s="315">
        <f t="shared" si="452"/>
        <v>1.0999999999999999E-2</v>
      </c>
      <c r="T197" s="315">
        <f t="shared" si="452"/>
        <v>1.0999999999999999E-2</v>
      </c>
      <c r="U197" s="315">
        <f t="shared" si="452"/>
        <v>1.0999999999999999E-2</v>
      </c>
      <c r="V197" s="315">
        <f t="shared" si="452"/>
        <v>1.0999999999999999E-2</v>
      </c>
      <c r="W197" s="315">
        <f t="shared" si="452"/>
        <v>1.0999999999999999E-2</v>
      </c>
      <c r="X197" s="315">
        <f t="shared" si="452"/>
        <v>1.0999999999999999E-2</v>
      </c>
      <c r="Y197" s="315">
        <f t="shared" si="452"/>
        <v>1.0999999999999999E-2</v>
      </c>
      <c r="Z197" s="315">
        <f t="shared" si="452"/>
        <v>1.0999999999999999E-2</v>
      </c>
      <c r="AA197" s="315">
        <f t="shared" si="452"/>
        <v>1.0999999999999999E-2</v>
      </c>
      <c r="AB197" s="315">
        <f t="shared" si="452"/>
        <v>1.0999999999999999E-2</v>
      </c>
      <c r="AC197" s="315">
        <f t="shared" si="452"/>
        <v>1.0999999999999999E-2</v>
      </c>
      <c r="AD197" s="315">
        <f t="shared" si="452"/>
        <v>1.0999999999999999E-2</v>
      </c>
      <c r="AE197" s="315">
        <f t="shared" si="452"/>
        <v>1.0999999999999999E-2</v>
      </c>
      <c r="AF197" s="315">
        <f t="shared" si="452"/>
        <v>1.0999999999999999E-2</v>
      </c>
      <c r="AG197" s="315">
        <f t="shared" si="452"/>
        <v>1.0999999999999999E-2</v>
      </c>
      <c r="AH197" s="315">
        <f t="shared" si="452"/>
        <v>1.0999999999999999E-2</v>
      </c>
      <c r="AI197" s="315">
        <f t="shared" si="452"/>
        <v>1.0999999999999999E-2</v>
      </c>
      <c r="AJ197" s="315">
        <f t="shared" si="452"/>
        <v>1.0999999999999999E-2</v>
      </c>
      <c r="AK197" s="315">
        <f t="shared" si="452"/>
        <v>1.0999999999999999E-2</v>
      </c>
      <c r="AL197" s="315">
        <f t="shared" si="452"/>
        <v>1.0999999999999999E-2</v>
      </c>
      <c r="AM197" s="315">
        <f t="shared" si="452"/>
        <v>1.0999999999999999E-2</v>
      </c>
      <c r="AN197" s="315">
        <f t="shared" si="452"/>
        <v>1.0999999999999999E-2</v>
      </c>
      <c r="AO197" s="315">
        <f t="shared" si="452"/>
        <v>1.0999999999999999E-2</v>
      </c>
      <c r="AP197" s="315">
        <f t="shared" si="452"/>
        <v>1.0999999999999999E-2</v>
      </c>
      <c r="AQ197" s="315">
        <f t="shared" si="452"/>
        <v>1.0999999999999999E-2</v>
      </c>
      <c r="AR197" s="315">
        <f t="shared" si="452"/>
        <v>1.0999999999999999E-2</v>
      </c>
      <c r="AS197" s="315">
        <f t="shared" si="452"/>
        <v>1.0999999999999999E-2</v>
      </c>
      <c r="AT197" s="315">
        <f t="shared" si="452"/>
        <v>1.0999999999999999E-2</v>
      </c>
      <c r="AU197" s="315">
        <f t="shared" si="452"/>
        <v>1.0999999999999999E-2</v>
      </c>
      <c r="AV197" s="315">
        <f t="shared" si="452"/>
        <v>1.0999999999999999E-2</v>
      </c>
      <c r="AW197" s="315">
        <f t="shared" si="452"/>
        <v>1.0999999999999999E-2</v>
      </c>
      <c r="AX197" s="315">
        <f t="shared" si="452"/>
        <v>1.0999999999999999E-2</v>
      </c>
      <c r="AY197" s="315">
        <f t="shared" si="452"/>
        <v>1.0999999999999999E-2</v>
      </c>
      <c r="AZ197" s="315">
        <f t="shared" si="452"/>
        <v>1.0999999999999999E-2</v>
      </c>
      <c r="BA197" s="315">
        <f t="shared" si="452"/>
        <v>1.0999999999999999E-2</v>
      </c>
      <c r="BB197" s="315">
        <f t="shared" si="452"/>
        <v>1.0999999999999999E-2</v>
      </c>
      <c r="BC197" s="315">
        <f t="shared" si="452"/>
        <v>1.0999999999999999E-2</v>
      </c>
      <c r="BD197" s="315">
        <f t="shared" si="452"/>
        <v>1.0999999999999999E-2</v>
      </c>
      <c r="BE197" s="315">
        <f t="shared" si="452"/>
        <v>1.0999999999999999E-2</v>
      </c>
      <c r="BF197" s="315">
        <f t="shared" si="452"/>
        <v>1.0999999999999999E-2</v>
      </c>
      <c r="BG197" s="315">
        <f t="shared" si="452"/>
        <v>1.0999999999999999E-2</v>
      </c>
      <c r="BH197" s="315">
        <f t="shared" si="452"/>
        <v>1.0999999999999999E-2</v>
      </c>
      <c r="BI197" s="315">
        <f t="shared" si="452"/>
        <v>1.0999999999999999E-2</v>
      </c>
      <c r="BJ197" s="315">
        <f t="shared" si="452"/>
        <v>1.0999999999999999E-2</v>
      </c>
      <c r="BK197" s="315">
        <f t="shared" si="452"/>
        <v>1.0999999999999999E-2</v>
      </c>
      <c r="BL197" s="315">
        <f t="shared" si="452"/>
        <v>1.0999999999999999E-2</v>
      </c>
      <c r="BM197" s="315">
        <f t="shared" si="452"/>
        <v>1.0999999999999999E-2</v>
      </c>
      <c r="BN197" s="315">
        <f t="shared" si="452"/>
        <v>1.0999999999999999E-2</v>
      </c>
      <c r="BO197" s="315">
        <f t="shared" ref="BO197:BQ197" si="453">BP197</f>
        <v>1.0999999999999999E-2</v>
      </c>
      <c r="BP197" s="315">
        <f t="shared" si="453"/>
        <v>1.0999999999999999E-2</v>
      </c>
      <c r="BQ197" s="315">
        <f t="shared" si="453"/>
        <v>1.0999999999999999E-2</v>
      </c>
      <c r="BR197" s="315">
        <f>BS197</f>
        <v>1.0999999999999999E-2</v>
      </c>
      <c r="BS197" s="315">
        <f>BT197</f>
        <v>1.0999999999999999E-2</v>
      </c>
      <c r="BT197" s="315">
        <v>1.0999999999999999E-2</v>
      </c>
      <c r="BU197" s="315">
        <v>1.0999999999999999E-2</v>
      </c>
      <c r="BV197" s="315">
        <v>1.0999999999999999E-2</v>
      </c>
      <c r="BW197" s="315">
        <v>1.0999999999999999E-2</v>
      </c>
      <c r="BX197" s="315">
        <v>1.0999999999999999E-2</v>
      </c>
      <c r="BY197" s="315">
        <v>1.0999999999999999E-2</v>
      </c>
      <c r="BZ197" s="315">
        <v>1.0999999999999999E-2</v>
      </c>
      <c r="CA197" s="315">
        <v>1.0999999999999999E-2</v>
      </c>
      <c r="CB197" s="315">
        <v>1.0999999999999999E-2</v>
      </c>
      <c r="CC197" s="315">
        <v>1.0999999999999999E-2</v>
      </c>
      <c r="CD197" s="315">
        <v>1.0999999999999999E-2</v>
      </c>
      <c r="CE197" s="315">
        <v>1.0999999999999999E-2</v>
      </c>
      <c r="CF197" s="315">
        <v>1.0999999999999999E-2</v>
      </c>
      <c r="CG197" s="315">
        <v>1.0999999999999999E-2</v>
      </c>
      <c r="CH197" s="315">
        <v>1.0999999999999999E-2</v>
      </c>
      <c r="CI197" s="315">
        <v>1.0999999999999999E-2</v>
      </c>
      <c r="CJ197" s="315">
        <v>1.0999999999999999E-2</v>
      </c>
    </row>
    <row r="198" spans="2:88">
      <c r="B198" s="310"/>
      <c r="C198" s="310"/>
      <c r="D198" s="310"/>
      <c r="E198" s="310"/>
      <c r="F198" s="310"/>
      <c r="G198" s="310"/>
      <c r="H198" s="310"/>
      <c r="I198" s="310"/>
      <c r="J198" s="310"/>
      <c r="K198" s="310"/>
      <c r="L198" s="310"/>
      <c r="M198" s="310"/>
      <c r="N198" s="310"/>
      <c r="O198" s="310"/>
      <c r="P198" s="310"/>
      <c r="Q198" s="310"/>
      <c r="R198" s="310"/>
      <c r="S198" s="310"/>
      <c r="T198" s="310"/>
      <c r="U198" s="310"/>
      <c r="V198" s="310"/>
      <c r="W198" s="310"/>
      <c r="X198" s="310"/>
      <c r="Y198" s="310"/>
      <c r="Z198" s="310"/>
      <c r="AA198" s="310"/>
      <c r="AB198" s="310"/>
      <c r="AC198" s="310"/>
      <c r="AD198" s="310"/>
      <c r="AE198" s="310"/>
      <c r="AF198" s="310"/>
      <c r="AG198" s="310"/>
      <c r="AH198" s="310"/>
      <c r="AI198" s="310"/>
      <c r="AJ198" s="310"/>
      <c r="AK198" s="310"/>
      <c r="AL198" s="310"/>
      <c r="AM198" s="310"/>
      <c r="AN198" s="310"/>
      <c r="AO198" s="310"/>
      <c r="AP198" s="310"/>
      <c r="AQ198" s="310"/>
      <c r="AR198" s="310"/>
      <c r="AS198" s="310"/>
      <c r="AT198" s="310"/>
      <c r="AU198" s="310"/>
      <c r="AV198" s="310"/>
      <c r="AW198" s="310"/>
      <c r="AX198" s="310"/>
      <c r="AY198" s="310"/>
      <c r="AZ198" s="310"/>
      <c r="BA198" s="310"/>
      <c r="BB198" s="310"/>
      <c r="BC198" s="310"/>
      <c r="BD198" s="310"/>
      <c r="BE198" s="310"/>
      <c r="BF198" s="310"/>
      <c r="BG198" s="310"/>
      <c r="BH198" s="310"/>
      <c r="BI198" s="310"/>
      <c r="BJ198" s="310"/>
      <c r="BK198" s="310"/>
      <c r="BL198" s="310"/>
      <c r="BM198" s="310"/>
      <c r="BN198" s="310"/>
      <c r="BO198" s="310"/>
      <c r="BP198" s="310"/>
      <c r="BQ198" s="310"/>
      <c r="BR198" s="310"/>
      <c r="BS198" s="310"/>
      <c r="BT198" s="310"/>
      <c r="BU198" s="310"/>
      <c r="BV198" s="310"/>
      <c r="BW198" s="310"/>
      <c r="BX198" s="310"/>
      <c r="BY198" s="310"/>
      <c r="BZ198" s="310"/>
      <c r="CA198" s="310"/>
      <c r="CB198" s="310"/>
      <c r="CC198" s="310"/>
      <c r="CD198" s="310"/>
      <c r="CE198" s="310"/>
      <c r="CF198" s="310"/>
      <c r="CG198" s="310"/>
      <c r="CH198" s="310"/>
      <c r="CI198" s="310"/>
      <c r="CJ198" s="310"/>
    </row>
    <row r="199" spans="2:88">
      <c r="B199" s="311" t="s">
        <v>353</v>
      </c>
      <c r="C199" s="312">
        <f t="shared" ref="C199:BN199" si="454">C196/6000</f>
        <v>554.45743234308225</v>
      </c>
      <c r="D199" s="312">
        <f t="shared" si="454"/>
        <v>560.55646409885605</v>
      </c>
      <c r="E199" s="312">
        <f t="shared" si="454"/>
        <v>566.72258520394348</v>
      </c>
      <c r="F199" s="312">
        <f t="shared" si="454"/>
        <v>572.95653364118675</v>
      </c>
      <c r="G199" s="312">
        <f t="shared" si="454"/>
        <v>579.25905551123981</v>
      </c>
      <c r="H199" s="312">
        <f t="shared" si="454"/>
        <v>585.63090512186341</v>
      </c>
      <c r="I199" s="312">
        <f t="shared" si="454"/>
        <v>592.07284507820384</v>
      </c>
      <c r="J199" s="312">
        <f t="shared" si="454"/>
        <v>598.58564637406403</v>
      </c>
      <c r="K199" s="312">
        <f t="shared" si="454"/>
        <v>605.17008848417868</v>
      </c>
      <c r="L199" s="312">
        <f t="shared" si="454"/>
        <v>611.82695945750459</v>
      </c>
      <c r="M199" s="312">
        <f t="shared" si="454"/>
        <v>618.55705601153704</v>
      </c>
      <c r="N199" s="312">
        <f t="shared" si="454"/>
        <v>625.36118362766388</v>
      </c>
      <c r="O199" s="312">
        <f t="shared" si="454"/>
        <v>632.24015664756814</v>
      </c>
      <c r="P199" s="312">
        <f t="shared" si="454"/>
        <v>639.19479837069127</v>
      </c>
      <c r="Q199" s="312">
        <f t="shared" si="454"/>
        <v>646.22594115276888</v>
      </c>
      <c r="R199" s="312">
        <f t="shared" si="454"/>
        <v>653.33442650544919</v>
      </c>
      <c r="S199" s="312">
        <f t="shared" si="454"/>
        <v>660.52110519700909</v>
      </c>
      <c r="T199" s="312">
        <f t="shared" si="454"/>
        <v>667.7868373541761</v>
      </c>
      <c r="U199" s="312">
        <f t="shared" si="454"/>
        <v>675.13249256507197</v>
      </c>
      <c r="V199" s="312">
        <f t="shared" si="454"/>
        <v>682.55894998328768</v>
      </c>
      <c r="W199" s="312">
        <f t="shared" si="454"/>
        <v>690.06709843310375</v>
      </c>
      <c r="X199" s="312">
        <f t="shared" si="454"/>
        <v>697.65783651586787</v>
      </c>
      <c r="Y199" s="312">
        <f t="shared" si="454"/>
        <v>705.33207271754225</v>
      </c>
      <c r="Z199" s="312">
        <f t="shared" si="454"/>
        <v>713.0907255174352</v>
      </c>
      <c r="AA199" s="312">
        <f t="shared" si="454"/>
        <v>720.9347234981268</v>
      </c>
      <c r="AB199" s="312">
        <f t="shared" si="454"/>
        <v>728.86500545660613</v>
      </c>
      <c r="AC199" s="312">
        <f t="shared" si="454"/>
        <v>736.88252051662869</v>
      </c>
      <c r="AD199" s="312">
        <f t="shared" si="454"/>
        <v>744.98822824231161</v>
      </c>
      <c r="AE199" s="312">
        <f t="shared" si="454"/>
        <v>753.183098752977</v>
      </c>
      <c r="AF199" s="312">
        <f t="shared" si="454"/>
        <v>761.46811283925967</v>
      </c>
      <c r="AG199" s="312">
        <f t="shared" si="454"/>
        <v>769.84426208049149</v>
      </c>
      <c r="AH199" s="312">
        <f t="shared" si="454"/>
        <v>778.3125489633768</v>
      </c>
      <c r="AI199" s="312">
        <f t="shared" si="454"/>
        <v>786.87398700197377</v>
      </c>
      <c r="AJ199" s="312">
        <f t="shared" si="454"/>
        <v>795.52960085899542</v>
      </c>
      <c r="AK199" s="312">
        <f t="shared" si="454"/>
        <v>804.28042646844426</v>
      </c>
      <c r="AL199" s="312">
        <f t="shared" si="454"/>
        <v>813.12751115959702</v>
      </c>
      <c r="AM199" s="312">
        <f t="shared" si="454"/>
        <v>822.07191378235245</v>
      </c>
      <c r="AN199" s="312">
        <f t="shared" si="454"/>
        <v>831.11470483395829</v>
      </c>
      <c r="AO199" s="312">
        <f t="shared" si="454"/>
        <v>840.25696658713173</v>
      </c>
      <c r="AP199" s="312">
        <f t="shared" si="454"/>
        <v>849.49979321959006</v>
      </c>
      <c r="AQ199" s="312">
        <f t="shared" si="454"/>
        <v>858.84429094500547</v>
      </c>
      <c r="AR199" s="312">
        <f t="shared" si="454"/>
        <v>868.29157814540042</v>
      </c>
      <c r="AS199" s="312">
        <f t="shared" si="454"/>
        <v>877.84278550499971</v>
      </c>
      <c r="AT199" s="312">
        <f t="shared" si="454"/>
        <v>887.49905614555462</v>
      </c>
      <c r="AU199" s="312">
        <f t="shared" si="454"/>
        <v>897.2615457631556</v>
      </c>
      <c r="AV199" s="312">
        <f t="shared" si="454"/>
        <v>907.13142276655026</v>
      </c>
      <c r="AW199" s="312">
        <f t="shared" si="454"/>
        <v>917.10986841698218</v>
      </c>
      <c r="AX199" s="312">
        <f t="shared" si="454"/>
        <v>927.19807696956889</v>
      </c>
      <c r="AY199" s="312">
        <f t="shared" si="454"/>
        <v>937.39725581623406</v>
      </c>
      <c r="AZ199" s="312">
        <f t="shared" si="454"/>
        <v>947.70862563021262</v>
      </c>
      <c r="BA199" s="312">
        <f t="shared" si="454"/>
        <v>958.13342051214488</v>
      </c>
      <c r="BB199" s="312">
        <f t="shared" si="454"/>
        <v>968.67288813777839</v>
      </c>
      <c r="BC199" s="312">
        <f t="shared" si="454"/>
        <v>979.32828990729388</v>
      </c>
      <c r="BD199" s="312">
        <f t="shared" si="454"/>
        <v>990.10090109627401</v>
      </c>
      <c r="BE199" s="312">
        <f t="shared" si="454"/>
        <v>1000.992011008333</v>
      </c>
      <c r="BF199" s="312">
        <f t="shared" si="454"/>
        <v>1012.0029231294244</v>
      </c>
      <c r="BG199" s="312">
        <f t="shared" si="454"/>
        <v>1023.1349552838479</v>
      </c>
      <c r="BH199" s="312">
        <f t="shared" si="454"/>
        <v>1034.3894397919701</v>
      </c>
      <c r="BI199" s="312">
        <f t="shared" si="454"/>
        <v>1045.7677236296818</v>
      </c>
      <c r="BJ199" s="312">
        <f t="shared" si="454"/>
        <v>1057.2711685896081</v>
      </c>
      <c r="BK199" s="312">
        <f t="shared" si="454"/>
        <v>1068.9011514440936</v>
      </c>
      <c r="BL199" s="312">
        <f t="shared" si="454"/>
        <v>1080.6590641099785</v>
      </c>
      <c r="BM199" s="312">
        <f t="shared" si="454"/>
        <v>1092.5463138151883</v>
      </c>
      <c r="BN199" s="312">
        <f t="shared" si="454"/>
        <v>1104.5643232671553</v>
      </c>
      <c r="BO199" s="312">
        <f t="shared" ref="BO199:BR199" si="455">BO196/6000</f>
        <v>1116.7145308230938</v>
      </c>
      <c r="BP199" s="312">
        <f t="shared" si="455"/>
        <v>1128.9983906621478</v>
      </c>
      <c r="BQ199" s="312">
        <f t="shared" si="455"/>
        <v>1141.4173729594313</v>
      </c>
      <c r="BR199" s="312">
        <f t="shared" si="455"/>
        <v>1153.9729640619848</v>
      </c>
      <c r="BS199" s="312">
        <f>BS196/6000</f>
        <v>1166.6666666666667</v>
      </c>
      <c r="BT199" s="312">
        <f t="shared" ref="BT199:CJ199" si="456">BT196/6000</f>
        <v>1179.4999999999998</v>
      </c>
      <c r="BU199" s="312">
        <f t="shared" si="456"/>
        <v>1192.4744999999996</v>
      </c>
      <c r="BV199" s="312">
        <f t="shared" si="456"/>
        <v>1205.5917194999995</v>
      </c>
      <c r="BW199" s="312">
        <f t="shared" si="456"/>
        <v>1218.8532284144994</v>
      </c>
      <c r="BX199" s="312">
        <f t="shared" si="456"/>
        <v>1232.2606139270588</v>
      </c>
      <c r="BY199" s="312">
        <f t="shared" si="456"/>
        <v>1245.8154806802563</v>
      </c>
      <c r="BZ199" s="312">
        <f t="shared" si="456"/>
        <v>1259.519450967739</v>
      </c>
      <c r="CA199" s="312">
        <f t="shared" si="456"/>
        <v>1273.3741649283841</v>
      </c>
      <c r="CB199" s="312">
        <f t="shared" si="456"/>
        <v>1287.3812807425961</v>
      </c>
      <c r="CC199" s="312">
        <f t="shared" si="456"/>
        <v>1301.5424748307646</v>
      </c>
      <c r="CD199" s="312">
        <f t="shared" si="456"/>
        <v>1315.8594420539027</v>
      </c>
      <c r="CE199" s="312">
        <f t="shared" si="456"/>
        <v>1330.3338959164955</v>
      </c>
      <c r="CF199" s="312">
        <f t="shared" si="456"/>
        <v>1344.9675687715769</v>
      </c>
      <c r="CG199" s="312">
        <f t="shared" si="456"/>
        <v>1359.7622120280639</v>
      </c>
      <c r="CH199" s="312">
        <f t="shared" si="456"/>
        <v>1374.7195963603726</v>
      </c>
      <c r="CI199" s="312">
        <f t="shared" si="456"/>
        <v>1389.8415119203364</v>
      </c>
      <c r="CJ199" s="312">
        <f t="shared" si="456"/>
        <v>1405.1297685514601</v>
      </c>
    </row>
    <row r="200" spans="2:88">
      <c r="B200" s="310"/>
      <c r="C200" s="310"/>
      <c r="D200" s="310"/>
      <c r="E200" s="310"/>
      <c r="F200" s="310"/>
      <c r="G200" s="310"/>
      <c r="H200" s="310"/>
      <c r="I200" s="310"/>
      <c r="J200" s="310"/>
      <c r="K200" s="310"/>
      <c r="L200" s="310"/>
      <c r="M200" s="310"/>
      <c r="N200" s="310"/>
      <c r="O200" s="310"/>
      <c r="P200" s="310"/>
      <c r="Q200" s="310"/>
      <c r="R200" s="310"/>
      <c r="S200" s="310"/>
      <c r="T200" s="310"/>
      <c r="U200" s="310"/>
      <c r="V200" s="310"/>
      <c r="W200" s="310"/>
      <c r="X200" s="310"/>
      <c r="Y200" s="310"/>
      <c r="Z200" s="310"/>
      <c r="AA200" s="310"/>
      <c r="AB200" s="310"/>
      <c r="AC200" s="310"/>
      <c r="AD200" s="310"/>
      <c r="AE200" s="310"/>
      <c r="AF200" s="310"/>
      <c r="AG200" s="310"/>
      <c r="AH200" s="310"/>
      <c r="AI200" s="310"/>
      <c r="AJ200" s="310"/>
      <c r="AK200" s="310"/>
      <c r="AL200" s="310"/>
      <c r="AM200" s="310"/>
      <c r="AN200" s="310"/>
      <c r="AO200" s="310"/>
      <c r="AP200" s="310"/>
      <c r="AQ200" s="310"/>
      <c r="AR200" s="310"/>
      <c r="AS200" s="310"/>
      <c r="AT200" s="310"/>
      <c r="AU200" s="310"/>
      <c r="AV200" s="310"/>
      <c r="AW200" s="310"/>
      <c r="AX200" s="310"/>
      <c r="AY200" s="310"/>
      <c r="AZ200" s="310"/>
      <c r="BA200" s="310"/>
      <c r="BB200" s="310"/>
      <c r="BC200" s="310"/>
      <c r="BD200" s="310"/>
      <c r="BE200" s="310"/>
      <c r="BF200" s="310"/>
      <c r="BG200" s="310"/>
      <c r="BH200" s="310"/>
      <c r="BI200" s="310"/>
      <c r="BJ200" s="310"/>
      <c r="BK200" s="310"/>
      <c r="BL200" s="310"/>
      <c r="BM200" s="310"/>
      <c r="BN200" s="310"/>
      <c r="BO200" s="310"/>
      <c r="BP200" s="310"/>
      <c r="BQ200" s="310"/>
      <c r="BR200" s="310"/>
      <c r="BS200" s="310"/>
      <c r="BT200" s="310"/>
      <c r="BU200" s="310"/>
      <c r="BV200" s="310"/>
      <c r="BW200" s="310"/>
      <c r="BX200" s="310"/>
      <c r="BY200" s="310"/>
      <c r="BZ200" s="310"/>
      <c r="CA200" s="310"/>
      <c r="CB200" s="310"/>
      <c r="CC200" s="310"/>
      <c r="CD200" s="310"/>
      <c r="CE200" s="310"/>
      <c r="CF200" s="310"/>
      <c r="CG200" s="310"/>
      <c r="CH200" s="310"/>
      <c r="CI200" s="310"/>
      <c r="CJ200" s="310"/>
    </row>
    <row r="201" spans="2:88">
      <c r="B201" s="311" t="s">
        <v>333</v>
      </c>
      <c r="C201" s="312">
        <f t="shared" ref="C201:BN201" si="457">C$91*C202</f>
        <v>190.07051078647473</v>
      </c>
      <c r="D201" s="312">
        <f t="shared" si="457"/>
        <v>192.16128640512591</v>
      </c>
      <c r="E201" s="312">
        <f t="shared" si="457"/>
        <v>194.27506055558229</v>
      </c>
      <c r="F201" s="312">
        <f t="shared" si="457"/>
        <v>196.41208622169367</v>
      </c>
      <c r="G201" s="312">
        <f t="shared" si="457"/>
        <v>198.57261917013227</v>
      </c>
      <c r="H201" s="312">
        <f t="shared" si="457"/>
        <v>200.75691798100368</v>
      </c>
      <c r="I201" s="312">
        <f t="shared" si="457"/>
        <v>202.96524407879471</v>
      </c>
      <c r="J201" s="312">
        <f t="shared" si="457"/>
        <v>205.19786176366145</v>
      </c>
      <c r="K201" s="312">
        <f t="shared" si="457"/>
        <v>207.45503824306169</v>
      </c>
      <c r="L201" s="312">
        <f t="shared" si="457"/>
        <v>209.73704366373536</v>
      </c>
      <c r="M201" s="312">
        <f t="shared" si="457"/>
        <v>212.04415114403642</v>
      </c>
      <c r="N201" s="312">
        <f t="shared" si="457"/>
        <v>214.37663680662081</v>
      </c>
      <c r="O201" s="312">
        <f t="shared" si="457"/>
        <v>216.73477981149358</v>
      </c>
      <c r="P201" s="312">
        <f t="shared" si="457"/>
        <v>219.11886238941995</v>
      </c>
      <c r="Q201" s="312">
        <f t="shared" si="457"/>
        <v>221.52916987570356</v>
      </c>
      <c r="R201" s="312">
        <f t="shared" si="457"/>
        <v>223.96599074433627</v>
      </c>
      <c r="S201" s="312">
        <f t="shared" si="457"/>
        <v>226.42961664252394</v>
      </c>
      <c r="T201" s="312">
        <f t="shared" si="457"/>
        <v>228.92034242559168</v>
      </c>
      <c r="U201" s="312">
        <f t="shared" si="457"/>
        <v>231.43846619227318</v>
      </c>
      <c r="V201" s="312">
        <f t="shared" si="457"/>
        <v>233.98428932038814</v>
      </c>
      <c r="W201" s="312">
        <f t="shared" si="457"/>
        <v>236.55811650291238</v>
      </c>
      <c r="X201" s="312">
        <f t="shared" si="457"/>
        <v>239.16025578444442</v>
      </c>
      <c r="Y201" s="312">
        <f t="shared" si="457"/>
        <v>241.79101859807329</v>
      </c>
      <c r="Z201" s="312">
        <f t="shared" si="457"/>
        <v>244.45071980265203</v>
      </c>
      <c r="AA201" s="312">
        <f t="shared" si="457"/>
        <v>247.13967772048119</v>
      </c>
      <c r="AB201" s="312">
        <f t="shared" si="457"/>
        <v>249.85821417540646</v>
      </c>
      <c r="AC201" s="312">
        <f t="shared" si="457"/>
        <v>252.60665453133592</v>
      </c>
      <c r="AD201" s="312">
        <f t="shared" si="457"/>
        <v>255.38532773118061</v>
      </c>
      <c r="AE201" s="312">
        <f t="shared" si="457"/>
        <v>258.1945663362236</v>
      </c>
      <c r="AF201" s="312">
        <f t="shared" si="457"/>
        <v>261.03470656592197</v>
      </c>
      <c r="AG201" s="312">
        <f t="shared" si="457"/>
        <v>263.90608833814707</v>
      </c>
      <c r="AH201" s="312">
        <f t="shared" si="457"/>
        <v>266.80905530986672</v>
      </c>
      <c r="AI201" s="312">
        <f t="shared" si="457"/>
        <v>269.74395491827522</v>
      </c>
      <c r="AJ201" s="312">
        <f t="shared" si="457"/>
        <v>272.71113842237622</v>
      </c>
      <c r="AK201" s="312">
        <f t="shared" si="457"/>
        <v>275.71096094502229</v>
      </c>
      <c r="AL201" s="312">
        <f t="shared" si="457"/>
        <v>278.74378151541754</v>
      </c>
      <c r="AM201" s="312">
        <f t="shared" si="457"/>
        <v>281.80996311208708</v>
      </c>
      <c r="AN201" s="312">
        <f t="shared" si="457"/>
        <v>284.90987270631996</v>
      </c>
      <c r="AO201" s="312">
        <f t="shared" si="457"/>
        <v>288.04388130608953</v>
      </c>
      <c r="AP201" s="312">
        <f t="shared" si="457"/>
        <v>291.21236400045643</v>
      </c>
      <c r="AQ201" s="312">
        <f t="shared" si="457"/>
        <v>294.41570000446143</v>
      </c>
      <c r="AR201" s="312">
        <f t="shared" si="457"/>
        <v>297.65427270451045</v>
      </c>
      <c r="AS201" s="312">
        <f t="shared" si="457"/>
        <v>300.92846970426007</v>
      </c>
      <c r="AT201" s="312">
        <f t="shared" si="457"/>
        <v>304.23868287100692</v>
      </c>
      <c r="AU201" s="312">
        <f t="shared" si="457"/>
        <v>307.58530838258793</v>
      </c>
      <c r="AV201" s="312">
        <f t="shared" si="457"/>
        <v>310.96874677479633</v>
      </c>
      <c r="AW201" s="312">
        <f t="shared" si="457"/>
        <v>314.38940298931908</v>
      </c>
      <c r="AX201" s="312">
        <f t="shared" si="457"/>
        <v>317.84768642220149</v>
      </c>
      <c r="AY201" s="312">
        <f t="shared" si="457"/>
        <v>321.34401097284569</v>
      </c>
      <c r="AZ201" s="312">
        <f t="shared" si="457"/>
        <v>324.87879509354696</v>
      </c>
      <c r="BA201" s="312">
        <f t="shared" si="457"/>
        <v>328.45246183957596</v>
      </c>
      <c r="BB201" s="312">
        <f t="shared" si="457"/>
        <v>332.06543891981124</v>
      </c>
      <c r="BC201" s="312">
        <f t="shared" si="457"/>
        <v>335.71815874792912</v>
      </c>
      <c r="BD201" s="312">
        <f t="shared" si="457"/>
        <v>339.41105849415624</v>
      </c>
      <c r="BE201" s="312">
        <f t="shared" si="457"/>
        <v>343.14458013759196</v>
      </c>
      <c r="BF201" s="312">
        <f t="shared" si="457"/>
        <v>346.91917051910542</v>
      </c>
      <c r="BG201" s="312">
        <f t="shared" si="457"/>
        <v>350.73528139481562</v>
      </c>
      <c r="BH201" s="312">
        <f t="shared" si="457"/>
        <v>354.59336949015847</v>
      </c>
      <c r="BI201" s="312">
        <f t="shared" si="457"/>
        <v>358.49389655455019</v>
      </c>
      <c r="BJ201" s="312">
        <f t="shared" si="457"/>
        <v>362.43732941665019</v>
      </c>
      <c r="BK201" s="312">
        <f t="shared" si="457"/>
        <v>366.42414004023328</v>
      </c>
      <c r="BL201" s="312">
        <f t="shared" si="457"/>
        <v>370.45480558067584</v>
      </c>
      <c r="BM201" s="312">
        <f t="shared" si="457"/>
        <v>374.5298084420632</v>
      </c>
      <c r="BN201" s="312">
        <f t="shared" si="457"/>
        <v>378.6496363349259</v>
      </c>
      <c r="BO201" s="312">
        <f t="shared" ref="BO201:CJ201" si="458">BO$91*BO202</f>
        <v>382.81478233461002</v>
      </c>
      <c r="BP201" s="312">
        <f t="shared" si="458"/>
        <v>387.02574494029068</v>
      </c>
      <c r="BQ201" s="312">
        <f t="shared" si="458"/>
        <v>391.28302813463381</v>
      </c>
      <c r="BR201" s="312">
        <f t="shared" si="458"/>
        <v>395.58714144411476</v>
      </c>
      <c r="BS201" s="312">
        <f t="shared" si="458"/>
        <v>399.93860000000001</v>
      </c>
      <c r="BT201" s="312">
        <f t="shared" si="458"/>
        <v>404.33792459999995</v>
      </c>
      <c r="BU201" s="312">
        <f t="shared" si="458"/>
        <v>408.78564177059997</v>
      </c>
      <c r="BV201" s="312">
        <f t="shared" si="458"/>
        <v>413.28228383007649</v>
      </c>
      <c r="BW201" s="312">
        <f t="shared" si="458"/>
        <v>417.82838895220726</v>
      </c>
      <c r="BX201" s="312">
        <f t="shared" si="458"/>
        <v>422.42450123068147</v>
      </c>
      <c r="BY201" s="312">
        <f t="shared" si="458"/>
        <v>427.07117074421893</v>
      </c>
      <c r="BZ201" s="312">
        <f t="shared" si="458"/>
        <v>431.76895362240532</v>
      </c>
      <c r="CA201" s="312">
        <f t="shared" si="458"/>
        <v>436.51841211225178</v>
      </c>
      <c r="CB201" s="312">
        <f t="shared" si="458"/>
        <v>441.32011464548651</v>
      </c>
      <c r="CC201" s="312">
        <f t="shared" si="458"/>
        <v>446.17463590658673</v>
      </c>
      <c r="CD201" s="312">
        <f t="shared" si="458"/>
        <v>451.0825569015592</v>
      </c>
      <c r="CE201" s="312">
        <f t="shared" si="458"/>
        <v>456.04446502747641</v>
      </c>
      <c r="CF201" s="312">
        <f t="shared" si="458"/>
        <v>461.06095414277854</v>
      </c>
      <c r="CG201" s="312">
        <f t="shared" si="458"/>
        <v>466.13262463834906</v>
      </c>
      <c r="CH201" s="312">
        <f t="shared" si="458"/>
        <v>471.26008350937082</v>
      </c>
      <c r="CI201" s="312">
        <f t="shared" si="458"/>
        <v>476.44394442797386</v>
      </c>
      <c r="CJ201" s="312">
        <f t="shared" si="458"/>
        <v>481.68482781668149</v>
      </c>
    </row>
    <row r="202" spans="2:88">
      <c r="B202" s="313" t="s">
        <v>334</v>
      </c>
      <c r="C202" s="315">
        <f t="shared" ref="C202" si="459">D202</f>
        <v>0.6</v>
      </c>
      <c r="D202" s="315">
        <f t="shared" ref="D202" si="460">E202</f>
        <v>0.6</v>
      </c>
      <c r="E202" s="315">
        <f t="shared" ref="E202" si="461">F202</f>
        <v>0.6</v>
      </c>
      <c r="F202" s="315">
        <f t="shared" ref="F202" si="462">G202</f>
        <v>0.6</v>
      </c>
      <c r="G202" s="315">
        <f t="shared" ref="G202" si="463">H202</f>
        <v>0.6</v>
      </c>
      <c r="H202" s="315">
        <f t="shared" ref="H202" si="464">I202</f>
        <v>0.6</v>
      </c>
      <c r="I202" s="315">
        <f t="shared" ref="I202" si="465">J202</f>
        <v>0.6</v>
      </c>
      <c r="J202" s="315">
        <f t="shared" ref="J202" si="466">K202</f>
        <v>0.6</v>
      </c>
      <c r="K202" s="315">
        <f t="shared" ref="K202" si="467">L202</f>
        <v>0.6</v>
      </c>
      <c r="L202" s="315">
        <f t="shared" ref="L202" si="468">M202</f>
        <v>0.6</v>
      </c>
      <c r="M202" s="315">
        <f t="shared" ref="M202" si="469">N202</f>
        <v>0.6</v>
      </c>
      <c r="N202" s="315">
        <f t="shared" ref="N202" si="470">O202</f>
        <v>0.6</v>
      </c>
      <c r="O202" s="315">
        <f t="shared" ref="O202" si="471">P202</f>
        <v>0.6</v>
      </c>
      <c r="P202" s="315">
        <f t="shared" ref="P202" si="472">Q202</f>
        <v>0.6</v>
      </c>
      <c r="Q202" s="315">
        <f t="shared" ref="Q202" si="473">R202</f>
        <v>0.6</v>
      </c>
      <c r="R202" s="315">
        <f t="shared" ref="R202" si="474">S202</f>
        <v>0.6</v>
      </c>
      <c r="S202" s="315">
        <f t="shared" ref="S202" si="475">T202</f>
        <v>0.6</v>
      </c>
      <c r="T202" s="315">
        <f t="shared" ref="T202" si="476">U202</f>
        <v>0.6</v>
      </c>
      <c r="U202" s="315">
        <f t="shared" ref="U202" si="477">V202</f>
        <v>0.6</v>
      </c>
      <c r="V202" s="315">
        <f t="shared" ref="V202" si="478">W202</f>
        <v>0.6</v>
      </c>
      <c r="W202" s="315">
        <f t="shared" ref="W202" si="479">X202</f>
        <v>0.6</v>
      </c>
      <c r="X202" s="315">
        <f t="shared" ref="X202" si="480">Y202</f>
        <v>0.6</v>
      </c>
      <c r="Y202" s="315">
        <f t="shared" ref="Y202" si="481">Z202</f>
        <v>0.6</v>
      </c>
      <c r="Z202" s="315">
        <f t="shared" ref="Z202" si="482">AA202</f>
        <v>0.6</v>
      </c>
      <c r="AA202" s="315">
        <f t="shared" ref="AA202" si="483">AB202</f>
        <v>0.6</v>
      </c>
      <c r="AB202" s="315">
        <f t="shared" ref="AB202" si="484">AC202</f>
        <v>0.6</v>
      </c>
      <c r="AC202" s="315">
        <f t="shared" ref="AC202" si="485">AD202</f>
        <v>0.6</v>
      </c>
      <c r="AD202" s="315">
        <f t="shared" ref="AD202" si="486">AE202</f>
        <v>0.6</v>
      </c>
      <c r="AE202" s="315">
        <f t="shared" ref="AE202" si="487">AF202</f>
        <v>0.6</v>
      </c>
      <c r="AF202" s="315">
        <f t="shared" ref="AF202" si="488">AG202</f>
        <v>0.6</v>
      </c>
      <c r="AG202" s="315">
        <f t="shared" ref="AG202" si="489">AH202</f>
        <v>0.6</v>
      </c>
      <c r="AH202" s="315">
        <f t="shared" ref="AH202" si="490">AI202</f>
        <v>0.6</v>
      </c>
      <c r="AI202" s="315">
        <f t="shared" ref="AI202" si="491">AJ202</f>
        <v>0.6</v>
      </c>
      <c r="AJ202" s="315">
        <f t="shared" ref="AJ202" si="492">AK202</f>
        <v>0.6</v>
      </c>
      <c r="AK202" s="315">
        <f t="shared" ref="AK202" si="493">AL202</f>
        <v>0.6</v>
      </c>
      <c r="AL202" s="315">
        <f t="shared" ref="AL202" si="494">AM202</f>
        <v>0.6</v>
      </c>
      <c r="AM202" s="315">
        <f t="shared" ref="AM202" si="495">AN202</f>
        <v>0.6</v>
      </c>
      <c r="AN202" s="315">
        <f t="shared" ref="AN202" si="496">AO202</f>
        <v>0.6</v>
      </c>
      <c r="AO202" s="315">
        <f t="shared" ref="AO202" si="497">AP202</f>
        <v>0.6</v>
      </c>
      <c r="AP202" s="315">
        <f t="shared" ref="AP202" si="498">AQ202</f>
        <v>0.6</v>
      </c>
      <c r="AQ202" s="315">
        <f t="shared" ref="AQ202" si="499">AR202</f>
        <v>0.6</v>
      </c>
      <c r="AR202" s="315">
        <f t="shared" ref="AR202" si="500">AS202</f>
        <v>0.6</v>
      </c>
      <c r="AS202" s="315">
        <f t="shared" ref="AS202" si="501">AT202</f>
        <v>0.6</v>
      </c>
      <c r="AT202" s="315">
        <f t="shared" ref="AT202" si="502">AU202</f>
        <v>0.6</v>
      </c>
      <c r="AU202" s="315">
        <f t="shared" ref="AU202" si="503">AV202</f>
        <v>0.6</v>
      </c>
      <c r="AV202" s="315">
        <f t="shared" ref="AV202" si="504">AW202</f>
        <v>0.6</v>
      </c>
      <c r="AW202" s="315">
        <f t="shared" ref="AW202" si="505">AX202</f>
        <v>0.6</v>
      </c>
      <c r="AX202" s="315">
        <f t="shared" ref="AX202" si="506">AY202</f>
        <v>0.6</v>
      </c>
      <c r="AY202" s="315">
        <f t="shared" ref="AY202" si="507">AZ202</f>
        <v>0.6</v>
      </c>
      <c r="AZ202" s="315">
        <f t="shared" ref="AZ202" si="508">BA202</f>
        <v>0.6</v>
      </c>
      <c r="BA202" s="315">
        <f t="shared" ref="BA202" si="509">BB202</f>
        <v>0.6</v>
      </c>
      <c r="BB202" s="315">
        <f t="shared" ref="BB202" si="510">BC202</f>
        <v>0.6</v>
      </c>
      <c r="BC202" s="315">
        <f t="shared" ref="BC202" si="511">BD202</f>
        <v>0.6</v>
      </c>
      <c r="BD202" s="315">
        <f t="shared" ref="BD202" si="512">BE202</f>
        <v>0.6</v>
      </c>
      <c r="BE202" s="315">
        <f t="shared" ref="BE202" si="513">BF202</f>
        <v>0.6</v>
      </c>
      <c r="BF202" s="315">
        <f t="shared" ref="BF202" si="514">BG202</f>
        <v>0.6</v>
      </c>
      <c r="BG202" s="315">
        <f t="shared" ref="BG202" si="515">BH202</f>
        <v>0.6</v>
      </c>
      <c r="BH202" s="315">
        <f t="shared" ref="BH202" si="516">BI202</f>
        <v>0.6</v>
      </c>
      <c r="BI202" s="315">
        <f t="shared" ref="BI202" si="517">BJ202</f>
        <v>0.6</v>
      </c>
      <c r="BJ202" s="315">
        <f t="shared" ref="BJ202" si="518">BK202</f>
        <v>0.6</v>
      </c>
      <c r="BK202" s="315">
        <f t="shared" ref="BK202" si="519">BL202</f>
        <v>0.6</v>
      </c>
      <c r="BL202" s="315">
        <f t="shared" ref="BL202" si="520">BM202</f>
        <v>0.6</v>
      </c>
      <c r="BM202" s="315">
        <f t="shared" ref="BM202" si="521">BN202</f>
        <v>0.6</v>
      </c>
      <c r="BN202" s="315">
        <f t="shared" ref="BN202" si="522">BO202</f>
        <v>0.6</v>
      </c>
      <c r="BO202" s="315">
        <f t="shared" ref="BO202" si="523">BP202</f>
        <v>0.6</v>
      </c>
      <c r="BP202" s="315">
        <f t="shared" ref="BP202" si="524">BQ202</f>
        <v>0.6</v>
      </c>
      <c r="BQ202" s="315">
        <f t="shared" ref="BQ202" si="525">BR202</f>
        <v>0.6</v>
      </c>
      <c r="BR202" s="315">
        <f>BS202</f>
        <v>0.6</v>
      </c>
      <c r="BS202" s="315">
        <v>0.6</v>
      </c>
      <c r="BT202" s="315">
        <v>0.6</v>
      </c>
      <c r="BU202" s="315">
        <v>0.6</v>
      </c>
      <c r="BV202" s="315">
        <v>0.6</v>
      </c>
      <c r="BW202" s="315">
        <v>0.6</v>
      </c>
      <c r="BX202" s="315">
        <v>0.6</v>
      </c>
      <c r="BY202" s="315">
        <v>0.6</v>
      </c>
      <c r="BZ202" s="315">
        <v>0.6</v>
      </c>
      <c r="CA202" s="315">
        <v>0.6</v>
      </c>
      <c r="CB202" s="315">
        <v>0.6</v>
      </c>
      <c r="CC202" s="315">
        <v>0.6</v>
      </c>
      <c r="CD202" s="315">
        <v>0.6</v>
      </c>
      <c r="CE202" s="315">
        <v>0.6</v>
      </c>
      <c r="CF202" s="315">
        <v>0.6</v>
      </c>
      <c r="CG202" s="315">
        <v>0.6</v>
      </c>
      <c r="CH202" s="315">
        <v>0.6</v>
      </c>
      <c r="CI202" s="315">
        <v>0.6</v>
      </c>
      <c r="CJ202" s="315">
        <v>0.6</v>
      </c>
    </row>
    <row r="203" spans="2:88">
      <c r="B203" s="310"/>
      <c r="C203" s="310"/>
      <c r="D203" s="310"/>
      <c r="E203" s="310"/>
      <c r="F203" s="310"/>
      <c r="G203" s="310"/>
      <c r="H203" s="310"/>
      <c r="I203" s="310"/>
      <c r="J203" s="310"/>
      <c r="K203" s="310"/>
      <c r="L203" s="310"/>
      <c r="M203" s="310"/>
      <c r="N203" s="310"/>
      <c r="O203" s="310"/>
      <c r="P203" s="310"/>
      <c r="Q203" s="310"/>
      <c r="R203" s="310"/>
      <c r="S203" s="310"/>
      <c r="T203" s="310"/>
      <c r="U203" s="310"/>
      <c r="V203" s="310"/>
      <c r="W203" s="310"/>
      <c r="X203" s="310"/>
      <c r="Y203" s="310"/>
      <c r="Z203" s="310"/>
      <c r="AA203" s="310"/>
      <c r="AB203" s="310"/>
      <c r="AC203" s="310"/>
      <c r="AD203" s="310"/>
      <c r="AE203" s="310"/>
      <c r="AF203" s="310"/>
      <c r="AG203" s="310"/>
      <c r="AH203" s="310"/>
      <c r="AI203" s="310"/>
      <c r="AJ203" s="310"/>
      <c r="AK203" s="310"/>
      <c r="AL203" s="310"/>
      <c r="AM203" s="310"/>
      <c r="AN203" s="310"/>
      <c r="AO203" s="310"/>
      <c r="AP203" s="310"/>
      <c r="AQ203" s="310"/>
      <c r="AR203" s="310"/>
      <c r="AS203" s="310"/>
      <c r="AT203" s="310"/>
      <c r="AU203" s="310"/>
      <c r="AV203" s="310"/>
      <c r="AW203" s="310"/>
      <c r="AX203" s="310"/>
      <c r="AY203" s="310"/>
      <c r="AZ203" s="310"/>
      <c r="BA203" s="310"/>
      <c r="BB203" s="310"/>
      <c r="BC203" s="310"/>
      <c r="BD203" s="310"/>
      <c r="BE203" s="310"/>
      <c r="BF203" s="310"/>
      <c r="BG203" s="310"/>
      <c r="BH203" s="310"/>
      <c r="BI203" s="310"/>
      <c r="BJ203" s="310"/>
      <c r="BK203" s="310"/>
      <c r="BL203" s="310"/>
      <c r="BM203" s="310"/>
      <c r="BN203" s="310"/>
      <c r="BO203" s="310"/>
      <c r="BP203" s="310"/>
      <c r="BQ203" s="310"/>
      <c r="BR203" s="310"/>
      <c r="BS203" s="310"/>
      <c r="BT203" s="310"/>
      <c r="BU203" s="310"/>
      <c r="BV203" s="310"/>
      <c r="BW203" s="310"/>
      <c r="BX203" s="310"/>
      <c r="BY203" s="310"/>
      <c r="BZ203" s="310"/>
      <c r="CA203" s="310"/>
      <c r="CB203" s="310"/>
      <c r="CC203" s="310"/>
      <c r="CD203" s="310"/>
      <c r="CE203" s="310"/>
      <c r="CF203" s="310"/>
      <c r="CG203" s="310"/>
      <c r="CH203" s="310"/>
      <c r="CI203" s="310"/>
      <c r="CJ203" s="310"/>
    </row>
    <row r="204" spans="2:88">
      <c r="B204" s="311" t="s">
        <v>335</v>
      </c>
      <c r="C204" s="312">
        <f t="shared" ref="C204:BN204" si="526">C$91*C205</f>
        <v>85.531729853913632</v>
      </c>
      <c r="D204" s="312">
        <f t="shared" si="526"/>
        <v>86.472578882306664</v>
      </c>
      <c r="E204" s="312">
        <f t="shared" si="526"/>
        <v>87.423777250012037</v>
      </c>
      <c r="F204" s="312">
        <f t="shared" si="526"/>
        <v>88.385438799762156</v>
      </c>
      <c r="G204" s="312">
        <f t="shared" si="526"/>
        <v>89.357678626559533</v>
      </c>
      <c r="H204" s="312">
        <f t="shared" si="526"/>
        <v>90.340613091451672</v>
      </c>
      <c r="I204" s="312">
        <f t="shared" si="526"/>
        <v>91.334359835457633</v>
      </c>
      <c r="J204" s="312">
        <f t="shared" si="526"/>
        <v>92.339037793647663</v>
      </c>
      <c r="K204" s="312">
        <f t="shared" si="526"/>
        <v>93.354767209377769</v>
      </c>
      <c r="L204" s="312">
        <f t="shared" si="526"/>
        <v>94.381669648680926</v>
      </c>
      <c r="M204" s="312">
        <f t="shared" si="526"/>
        <v>95.419868014816387</v>
      </c>
      <c r="N204" s="312">
        <f t="shared" si="526"/>
        <v>96.46948656297937</v>
      </c>
      <c r="O204" s="312">
        <f t="shared" si="526"/>
        <v>97.530650915172117</v>
      </c>
      <c r="P204" s="312">
        <f t="shared" si="526"/>
        <v>98.603488075238985</v>
      </c>
      <c r="Q204" s="312">
        <f t="shared" si="526"/>
        <v>99.688126444066611</v>
      </c>
      <c r="R204" s="312">
        <f t="shared" si="526"/>
        <v>100.78469583495134</v>
      </c>
      <c r="S204" s="312">
        <f t="shared" si="526"/>
        <v>101.89332748913579</v>
      </c>
      <c r="T204" s="312">
        <f t="shared" si="526"/>
        <v>103.01415409151626</v>
      </c>
      <c r="U204" s="312">
        <f t="shared" si="526"/>
        <v>104.14730978652295</v>
      </c>
      <c r="V204" s="312">
        <f t="shared" si="526"/>
        <v>105.29293019417467</v>
      </c>
      <c r="W204" s="312">
        <f t="shared" si="526"/>
        <v>106.45115242631059</v>
      </c>
      <c r="X204" s="312">
        <f t="shared" si="526"/>
        <v>107.622115103</v>
      </c>
      <c r="Y204" s="312">
        <f t="shared" si="526"/>
        <v>108.80595836913299</v>
      </c>
      <c r="Z204" s="312">
        <f t="shared" si="526"/>
        <v>110.00282391119343</v>
      </c>
      <c r="AA204" s="312">
        <f t="shared" si="526"/>
        <v>111.21285497421655</v>
      </c>
      <c r="AB204" s="312">
        <f t="shared" si="526"/>
        <v>112.43619637893292</v>
      </c>
      <c r="AC204" s="312">
        <f t="shared" si="526"/>
        <v>113.67299453910118</v>
      </c>
      <c r="AD204" s="312">
        <f t="shared" si="526"/>
        <v>114.92339747903128</v>
      </c>
      <c r="AE204" s="312">
        <f t="shared" si="526"/>
        <v>116.18755485130062</v>
      </c>
      <c r="AF204" s="312">
        <f t="shared" si="526"/>
        <v>117.46561795466489</v>
      </c>
      <c r="AG204" s="312">
        <f t="shared" si="526"/>
        <v>118.7577397521662</v>
      </c>
      <c r="AH204" s="312">
        <f t="shared" si="526"/>
        <v>120.06407488944002</v>
      </c>
      <c r="AI204" s="312">
        <f t="shared" si="526"/>
        <v>121.38477971322386</v>
      </c>
      <c r="AJ204" s="312">
        <f t="shared" si="526"/>
        <v>122.72001229006931</v>
      </c>
      <c r="AK204" s="312">
        <f t="shared" si="526"/>
        <v>124.06993242526003</v>
      </c>
      <c r="AL204" s="312">
        <f t="shared" si="526"/>
        <v>125.4347016819379</v>
      </c>
      <c r="AM204" s="312">
        <f t="shared" si="526"/>
        <v>126.81448340043919</v>
      </c>
      <c r="AN204" s="312">
        <f t="shared" si="526"/>
        <v>128.20944271784401</v>
      </c>
      <c r="AO204" s="312">
        <f t="shared" si="526"/>
        <v>129.61974658774028</v>
      </c>
      <c r="AP204" s="312">
        <f t="shared" si="526"/>
        <v>131.0455638002054</v>
      </c>
      <c r="AQ204" s="312">
        <f t="shared" si="526"/>
        <v>132.48706500200765</v>
      </c>
      <c r="AR204" s="312">
        <f t="shared" si="526"/>
        <v>133.94442271702971</v>
      </c>
      <c r="AS204" s="312">
        <f t="shared" si="526"/>
        <v>135.41781136691705</v>
      </c>
      <c r="AT204" s="312">
        <f t="shared" si="526"/>
        <v>136.90740729195312</v>
      </c>
      <c r="AU204" s="312">
        <f t="shared" si="526"/>
        <v>138.41338877216458</v>
      </c>
      <c r="AV204" s="312">
        <f t="shared" si="526"/>
        <v>139.93593604865836</v>
      </c>
      <c r="AW204" s="312">
        <f t="shared" si="526"/>
        <v>141.47523134519361</v>
      </c>
      <c r="AX204" s="312">
        <f t="shared" si="526"/>
        <v>143.03145888999069</v>
      </c>
      <c r="AY204" s="312">
        <f t="shared" si="526"/>
        <v>144.60480493778059</v>
      </c>
      <c r="AZ204" s="312">
        <f t="shared" si="526"/>
        <v>146.19545779209614</v>
      </c>
      <c r="BA204" s="312">
        <f t="shared" si="526"/>
        <v>147.80360782780917</v>
      </c>
      <c r="BB204" s="312">
        <f t="shared" si="526"/>
        <v>149.42944751391505</v>
      </c>
      <c r="BC204" s="312">
        <f t="shared" si="526"/>
        <v>151.07317143656812</v>
      </c>
      <c r="BD204" s="312">
        <f t="shared" si="526"/>
        <v>152.73497632237033</v>
      </c>
      <c r="BE204" s="312">
        <f t="shared" si="526"/>
        <v>154.41506106191639</v>
      </c>
      <c r="BF204" s="312">
        <f t="shared" si="526"/>
        <v>156.11362673359744</v>
      </c>
      <c r="BG204" s="312">
        <f t="shared" si="526"/>
        <v>157.83087662766704</v>
      </c>
      <c r="BH204" s="312">
        <f t="shared" si="526"/>
        <v>159.56701627057134</v>
      </c>
      <c r="BI204" s="312">
        <f t="shared" si="526"/>
        <v>161.32225344954759</v>
      </c>
      <c r="BJ204" s="312">
        <f t="shared" si="526"/>
        <v>163.09679823749261</v>
      </c>
      <c r="BK204" s="312">
        <f t="shared" si="526"/>
        <v>164.89086301810499</v>
      </c>
      <c r="BL204" s="312">
        <f t="shared" si="526"/>
        <v>166.70466251130415</v>
      </c>
      <c r="BM204" s="312">
        <f t="shared" si="526"/>
        <v>168.53841379892847</v>
      </c>
      <c r="BN204" s="312">
        <f t="shared" si="526"/>
        <v>170.39233635071668</v>
      </c>
      <c r="BO204" s="312">
        <f t="shared" ref="BO204:CJ204" si="527">BO$91*BO205</f>
        <v>172.26665205057452</v>
      </c>
      <c r="BP204" s="312">
        <f t="shared" si="527"/>
        <v>174.16158522313083</v>
      </c>
      <c r="BQ204" s="312">
        <f t="shared" si="527"/>
        <v>176.07736266058524</v>
      </c>
      <c r="BR204" s="312">
        <f t="shared" si="527"/>
        <v>178.01421364985165</v>
      </c>
      <c r="BS204" s="312">
        <f t="shared" si="527"/>
        <v>179.97237000000001</v>
      </c>
      <c r="BT204" s="312">
        <f t="shared" si="527"/>
        <v>181.95206607</v>
      </c>
      <c r="BU204" s="312">
        <f t="shared" si="527"/>
        <v>183.95353879677</v>
      </c>
      <c r="BV204" s="312">
        <f t="shared" si="527"/>
        <v>185.97702772353443</v>
      </c>
      <c r="BW204" s="312">
        <f t="shared" si="527"/>
        <v>188.0227750284933</v>
      </c>
      <c r="BX204" s="312">
        <f t="shared" si="527"/>
        <v>190.09102555380667</v>
      </c>
      <c r="BY204" s="312">
        <f t="shared" si="527"/>
        <v>192.18202683489855</v>
      </c>
      <c r="BZ204" s="312">
        <f t="shared" si="527"/>
        <v>194.29602913008242</v>
      </c>
      <c r="CA204" s="312">
        <f t="shared" si="527"/>
        <v>196.43328545051332</v>
      </c>
      <c r="CB204" s="312">
        <f t="shared" si="527"/>
        <v>198.59405159046895</v>
      </c>
      <c r="CC204" s="312">
        <f t="shared" si="527"/>
        <v>200.77858615796407</v>
      </c>
      <c r="CD204" s="312">
        <f t="shared" si="527"/>
        <v>202.98715060570166</v>
      </c>
      <c r="CE204" s="312">
        <f t="shared" si="527"/>
        <v>205.22000926236439</v>
      </c>
      <c r="CF204" s="312">
        <f t="shared" si="527"/>
        <v>207.47742936425038</v>
      </c>
      <c r="CG204" s="312">
        <f t="shared" si="527"/>
        <v>209.75968108725712</v>
      </c>
      <c r="CH204" s="312">
        <f t="shared" si="527"/>
        <v>212.0670375792169</v>
      </c>
      <c r="CI204" s="312">
        <f t="shared" si="527"/>
        <v>214.39977499258825</v>
      </c>
      <c r="CJ204" s="312">
        <f t="shared" si="527"/>
        <v>216.75817251750669</v>
      </c>
    </row>
    <row r="205" spans="2:88">
      <c r="B205" s="313" t="s">
        <v>336</v>
      </c>
      <c r="C205" s="315">
        <f t="shared" ref="C205" si="528">D205</f>
        <v>0.27</v>
      </c>
      <c r="D205" s="315">
        <f t="shared" ref="D205" si="529">E205</f>
        <v>0.27</v>
      </c>
      <c r="E205" s="315">
        <f t="shared" ref="E205" si="530">F205</f>
        <v>0.27</v>
      </c>
      <c r="F205" s="315">
        <f t="shared" ref="F205" si="531">G205</f>
        <v>0.27</v>
      </c>
      <c r="G205" s="315">
        <f t="shared" ref="G205" si="532">H205</f>
        <v>0.27</v>
      </c>
      <c r="H205" s="315">
        <f t="shared" ref="H205" si="533">I205</f>
        <v>0.27</v>
      </c>
      <c r="I205" s="315">
        <f t="shared" ref="I205" si="534">J205</f>
        <v>0.27</v>
      </c>
      <c r="J205" s="315">
        <f t="shared" ref="J205" si="535">K205</f>
        <v>0.27</v>
      </c>
      <c r="K205" s="315">
        <f t="shared" ref="K205" si="536">L205</f>
        <v>0.27</v>
      </c>
      <c r="L205" s="315">
        <f t="shared" ref="L205" si="537">M205</f>
        <v>0.27</v>
      </c>
      <c r="M205" s="315">
        <f t="shared" ref="M205" si="538">N205</f>
        <v>0.27</v>
      </c>
      <c r="N205" s="315">
        <f t="shared" ref="N205" si="539">O205</f>
        <v>0.27</v>
      </c>
      <c r="O205" s="315">
        <f t="shared" ref="O205" si="540">P205</f>
        <v>0.27</v>
      </c>
      <c r="P205" s="315">
        <f t="shared" ref="P205" si="541">Q205</f>
        <v>0.27</v>
      </c>
      <c r="Q205" s="315">
        <f t="shared" ref="Q205" si="542">R205</f>
        <v>0.27</v>
      </c>
      <c r="R205" s="315">
        <f t="shared" ref="R205" si="543">S205</f>
        <v>0.27</v>
      </c>
      <c r="S205" s="315">
        <f t="shared" ref="S205" si="544">T205</f>
        <v>0.27</v>
      </c>
      <c r="T205" s="315">
        <f t="shared" ref="T205" si="545">U205</f>
        <v>0.27</v>
      </c>
      <c r="U205" s="315">
        <f t="shared" ref="U205" si="546">V205</f>
        <v>0.27</v>
      </c>
      <c r="V205" s="315">
        <f t="shared" ref="V205" si="547">W205</f>
        <v>0.27</v>
      </c>
      <c r="W205" s="315">
        <f t="shared" ref="W205" si="548">X205</f>
        <v>0.27</v>
      </c>
      <c r="X205" s="315">
        <f t="shared" ref="X205" si="549">Y205</f>
        <v>0.27</v>
      </c>
      <c r="Y205" s="315">
        <f t="shared" ref="Y205" si="550">Z205</f>
        <v>0.27</v>
      </c>
      <c r="Z205" s="315">
        <f t="shared" ref="Z205" si="551">AA205</f>
        <v>0.27</v>
      </c>
      <c r="AA205" s="315">
        <f t="shared" ref="AA205" si="552">AB205</f>
        <v>0.27</v>
      </c>
      <c r="AB205" s="315">
        <f t="shared" ref="AB205" si="553">AC205</f>
        <v>0.27</v>
      </c>
      <c r="AC205" s="315">
        <f t="shared" ref="AC205" si="554">AD205</f>
        <v>0.27</v>
      </c>
      <c r="AD205" s="315">
        <f t="shared" ref="AD205" si="555">AE205</f>
        <v>0.27</v>
      </c>
      <c r="AE205" s="315">
        <f t="shared" ref="AE205" si="556">AF205</f>
        <v>0.27</v>
      </c>
      <c r="AF205" s="315">
        <f t="shared" ref="AF205" si="557">AG205</f>
        <v>0.27</v>
      </c>
      <c r="AG205" s="315">
        <f t="shared" ref="AG205" si="558">AH205</f>
        <v>0.27</v>
      </c>
      <c r="AH205" s="315">
        <f t="shared" ref="AH205" si="559">AI205</f>
        <v>0.27</v>
      </c>
      <c r="AI205" s="315">
        <f t="shared" ref="AI205" si="560">AJ205</f>
        <v>0.27</v>
      </c>
      <c r="AJ205" s="315">
        <f t="shared" ref="AJ205" si="561">AK205</f>
        <v>0.27</v>
      </c>
      <c r="AK205" s="315">
        <f t="shared" ref="AK205" si="562">AL205</f>
        <v>0.27</v>
      </c>
      <c r="AL205" s="315">
        <f t="shared" ref="AL205" si="563">AM205</f>
        <v>0.27</v>
      </c>
      <c r="AM205" s="315">
        <f t="shared" ref="AM205" si="564">AN205</f>
        <v>0.27</v>
      </c>
      <c r="AN205" s="315">
        <f t="shared" ref="AN205" si="565">AO205</f>
        <v>0.27</v>
      </c>
      <c r="AO205" s="315">
        <f t="shared" ref="AO205" si="566">AP205</f>
        <v>0.27</v>
      </c>
      <c r="AP205" s="315">
        <f t="shared" ref="AP205" si="567">AQ205</f>
        <v>0.27</v>
      </c>
      <c r="AQ205" s="315">
        <f t="shared" ref="AQ205" si="568">AR205</f>
        <v>0.27</v>
      </c>
      <c r="AR205" s="315">
        <f t="shared" ref="AR205" si="569">AS205</f>
        <v>0.27</v>
      </c>
      <c r="AS205" s="315">
        <f t="shared" ref="AS205" si="570">AT205</f>
        <v>0.27</v>
      </c>
      <c r="AT205" s="315">
        <f t="shared" ref="AT205" si="571">AU205</f>
        <v>0.27</v>
      </c>
      <c r="AU205" s="315">
        <f t="shared" ref="AU205" si="572">AV205</f>
        <v>0.27</v>
      </c>
      <c r="AV205" s="315">
        <f t="shared" ref="AV205" si="573">AW205</f>
        <v>0.27</v>
      </c>
      <c r="AW205" s="315">
        <f t="shared" ref="AW205" si="574">AX205</f>
        <v>0.27</v>
      </c>
      <c r="AX205" s="315">
        <f t="shared" ref="AX205" si="575">AY205</f>
        <v>0.27</v>
      </c>
      <c r="AY205" s="315">
        <f t="shared" ref="AY205" si="576">AZ205</f>
        <v>0.27</v>
      </c>
      <c r="AZ205" s="315">
        <f t="shared" ref="AZ205" si="577">BA205</f>
        <v>0.27</v>
      </c>
      <c r="BA205" s="315">
        <f t="shared" ref="BA205" si="578">BB205</f>
        <v>0.27</v>
      </c>
      <c r="BB205" s="315">
        <f t="shared" ref="BB205" si="579">BC205</f>
        <v>0.27</v>
      </c>
      <c r="BC205" s="315">
        <f t="shared" ref="BC205" si="580">BD205</f>
        <v>0.27</v>
      </c>
      <c r="BD205" s="315">
        <f t="shared" ref="BD205" si="581">BE205</f>
        <v>0.27</v>
      </c>
      <c r="BE205" s="315">
        <f t="shared" ref="BE205" si="582">BF205</f>
        <v>0.27</v>
      </c>
      <c r="BF205" s="315">
        <f t="shared" ref="BF205" si="583">BG205</f>
        <v>0.27</v>
      </c>
      <c r="BG205" s="315">
        <f t="shared" ref="BG205" si="584">BH205</f>
        <v>0.27</v>
      </c>
      <c r="BH205" s="315">
        <f t="shared" ref="BH205" si="585">BI205</f>
        <v>0.27</v>
      </c>
      <c r="BI205" s="315">
        <f t="shared" ref="BI205" si="586">BJ205</f>
        <v>0.27</v>
      </c>
      <c r="BJ205" s="315">
        <f t="shared" ref="BJ205" si="587">BK205</f>
        <v>0.27</v>
      </c>
      <c r="BK205" s="315">
        <f t="shared" ref="BK205" si="588">BL205</f>
        <v>0.27</v>
      </c>
      <c r="BL205" s="315">
        <f t="shared" ref="BL205" si="589">BM205</f>
        <v>0.27</v>
      </c>
      <c r="BM205" s="315">
        <f t="shared" ref="BM205" si="590">BN205</f>
        <v>0.27</v>
      </c>
      <c r="BN205" s="315">
        <f t="shared" ref="BN205" si="591">BO205</f>
        <v>0.27</v>
      </c>
      <c r="BO205" s="315">
        <f t="shared" ref="BO205" si="592">BP205</f>
        <v>0.27</v>
      </c>
      <c r="BP205" s="315">
        <f t="shared" ref="BP205" si="593">BQ205</f>
        <v>0.27</v>
      </c>
      <c r="BQ205" s="315">
        <f t="shared" ref="BQ205" si="594">BR205</f>
        <v>0.27</v>
      </c>
      <c r="BR205" s="315">
        <f>BS205</f>
        <v>0.27</v>
      </c>
      <c r="BS205" s="315">
        <v>0.27</v>
      </c>
      <c r="BT205" s="315">
        <v>0.27</v>
      </c>
      <c r="BU205" s="315">
        <v>0.27</v>
      </c>
      <c r="BV205" s="315">
        <v>0.27</v>
      </c>
      <c r="BW205" s="315">
        <v>0.27</v>
      </c>
      <c r="BX205" s="315">
        <v>0.27</v>
      </c>
      <c r="BY205" s="315">
        <v>0.27</v>
      </c>
      <c r="BZ205" s="315">
        <v>0.27</v>
      </c>
      <c r="CA205" s="315">
        <v>0.27</v>
      </c>
      <c r="CB205" s="315">
        <v>0.27</v>
      </c>
      <c r="CC205" s="315">
        <v>0.27</v>
      </c>
      <c r="CD205" s="315">
        <v>0.27</v>
      </c>
      <c r="CE205" s="315">
        <v>0.27</v>
      </c>
      <c r="CF205" s="315">
        <v>0.27</v>
      </c>
      <c r="CG205" s="315">
        <v>0.27</v>
      </c>
      <c r="CH205" s="315">
        <v>0.27</v>
      </c>
      <c r="CI205" s="315">
        <v>0.27</v>
      </c>
      <c r="CJ205" s="315">
        <v>0.27</v>
      </c>
    </row>
    <row r="206" spans="2:88">
      <c r="B206" s="310"/>
      <c r="C206" s="310"/>
      <c r="D206" s="310"/>
      <c r="E206" s="310"/>
      <c r="F206" s="310"/>
      <c r="G206" s="310"/>
      <c r="H206" s="310"/>
      <c r="I206" s="310"/>
      <c r="J206" s="310"/>
      <c r="K206" s="310"/>
      <c r="L206" s="310"/>
      <c r="M206" s="310"/>
      <c r="N206" s="310"/>
      <c r="O206" s="310"/>
      <c r="P206" s="310"/>
      <c r="Q206" s="310"/>
      <c r="R206" s="310"/>
      <c r="S206" s="310"/>
      <c r="T206" s="310"/>
      <c r="U206" s="310"/>
      <c r="V206" s="310"/>
      <c r="W206" s="310"/>
      <c r="X206" s="310"/>
      <c r="Y206" s="310"/>
      <c r="Z206" s="310"/>
      <c r="AA206" s="310"/>
      <c r="AB206" s="310"/>
      <c r="AC206" s="310"/>
      <c r="AD206" s="310"/>
      <c r="AE206" s="310"/>
      <c r="AF206" s="310"/>
      <c r="AG206" s="310"/>
      <c r="AH206" s="310"/>
      <c r="AI206" s="310"/>
      <c r="AJ206" s="310"/>
      <c r="AK206" s="310"/>
      <c r="AL206" s="310"/>
      <c r="AM206" s="310"/>
      <c r="AN206" s="310"/>
      <c r="AO206" s="310"/>
      <c r="AP206" s="310"/>
      <c r="AQ206" s="310"/>
      <c r="AR206" s="310"/>
      <c r="AS206" s="310"/>
      <c r="AT206" s="310"/>
      <c r="AU206" s="310"/>
      <c r="AV206" s="310"/>
      <c r="AW206" s="310"/>
      <c r="AX206" s="310"/>
      <c r="AY206" s="310"/>
      <c r="AZ206" s="310"/>
      <c r="BA206" s="310"/>
      <c r="BB206" s="310"/>
      <c r="BC206" s="310"/>
      <c r="BD206" s="310"/>
      <c r="BE206" s="310"/>
      <c r="BF206" s="310"/>
      <c r="BG206" s="310"/>
      <c r="BH206" s="310"/>
      <c r="BI206" s="310"/>
      <c r="BJ206" s="310"/>
      <c r="BK206" s="310"/>
      <c r="BL206" s="310"/>
      <c r="BM206" s="310"/>
      <c r="BN206" s="310"/>
      <c r="BO206" s="310"/>
      <c r="BP206" s="310"/>
      <c r="BQ206" s="310"/>
      <c r="BR206" s="310"/>
      <c r="BS206" s="310"/>
      <c r="BT206" s="310"/>
      <c r="BU206" s="310"/>
      <c r="BV206" s="310"/>
      <c r="BW206" s="310"/>
      <c r="BX206" s="310"/>
      <c r="BY206" s="310"/>
      <c r="BZ206" s="310"/>
      <c r="CA206" s="310"/>
      <c r="CB206" s="310"/>
      <c r="CC206" s="310"/>
      <c r="CD206" s="310"/>
      <c r="CE206" s="310"/>
      <c r="CF206" s="310"/>
      <c r="CG206" s="310"/>
      <c r="CH206" s="310"/>
      <c r="CI206" s="310"/>
      <c r="CJ206" s="310"/>
    </row>
    <row r="207" spans="2:88">
      <c r="B207" s="311" t="s">
        <v>337</v>
      </c>
      <c r="C207" s="312">
        <f t="shared" ref="C207:BN207" si="595">C$91*C208</f>
        <v>38.014102157294943</v>
      </c>
      <c r="D207" s="312">
        <f t="shared" si="595"/>
        <v>38.43225728102518</v>
      </c>
      <c r="E207" s="312">
        <f t="shared" si="595"/>
        <v>38.855012111116459</v>
      </c>
      <c r="F207" s="312">
        <f t="shared" si="595"/>
        <v>39.282417244338731</v>
      </c>
      <c r="G207" s="312">
        <f t="shared" si="595"/>
        <v>39.714523834026451</v>
      </c>
      <c r="H207" s="312">
        <f t="shared" si="595"/>
        <v>40.151383596200738</v>
      </c>
      <c r="I207" s="312">
        <f t="shared" si="595"/>
        <v>40.593048815758941</v>
      </c>
      <c r="J207" s="312">
        <f t="shared" si="595"/>
        <v>41.039572352732286</v>
      </c>
      <c r="K207" s="312">
        <f t="shared" si="595"/>
        <v>41.491007648612339</v>
      </c>
      <c r="L207" s="312">
        <f t="shared" si="595"/>
        <v>41.947408732747071</v>
      </c>
      <c r="M207" s="312">
        <f t="shared" si="595"/>
        <v>42.408830228807282</v>
      </c>
      <c r="N207" s="312">
        <f t="shared" si="595"/>
        <v>42.87532736132416</v>
      </c>
      <c r="O207" s="312">
        <f t="shared" si="595"/>
        <v>43.346955962298715</v>
      </c>
      <c r="P207" s="312">
        <f t="shared" si="595"/>
        <v>43.823772477883992</v>
      </c>
      <c r="Q207" s="312">
        <f t="shared" si="595"/>
        <v>44.305833975140715</v>
      </c>
      <c r="R207" s="312">
        <f t="shared" si="595"/>
        <v>44.793198148867255</v>
      </c>
      <c r="S207" s="312">
        <f t="shared" si="595"/>
        <v>45.285923328504786</v>
      </c>
      <c r="T207" s="312">
        <f t="shared" si="595"/>
        <v>45.784068485118333</v>
      </c>
      <c r="U207" s="312">
        <f t="shared" si="595"/>
        <v>46.287693238454636</v>
      </c>
      <c r="V207" s="312">
        <f t="shared" si="595"/>
        <v>46.79685786407763</v>
      </c>
      <c r="W207" s="312">
        <f t="shared" si="595"/>
        <v>47.311623300582475</v>
      </c>
      <c r="X207" s="312">
        <f t="shared" si="595"/>
        <v>47.83205115688888</v>
      </c>
      <c r="Y207" s="312">
        <f t="shared" si="595"/>
        <v>48.358203719614657</v>
      </c>
      <c r="Z207" s="312">
        <f t="shared" si="595"/>
        <v>48.890143960530409</v>
      </c>
      <c r="AA207" s="312">
        <f t="shared" si="595"/>
        <v>49.427935544096243</v>
      </c>
      <c r="AB207" s="312">
        <f t="shared" si="595"/>
        <v>49.97164283508129</v>
      </c>
      <c r="AC207" s="312">
        <f t="shared" si="595"/>
        <v>50.521330906267188</v>
      </c>
      <c r="AD207" s="312">
        <f t="shared" si="595"/>
        <v>51.07706554623612</v>
      </c>
      <c r="AE207" s="312">
        <f t="shared" si="595"/>
        <v>51.638913267244718</v>
      </c>
      <c r="AF207" s="312">
        <f t="shared" si="595"/>
        <v>52.206941313184394</v>
      </c>
      <c r="AG207" s="312">
        <f t="shared" si="595"/>
        <v>52.78121766762942</v>
      </c>
      <c r="AH207" s="312">
        <f t="shared" si="595"/>
        <v>53.361811061973341</v>
      </c>
      <c r="AI207" s="312">
        <f t="shared" si="595"/>
        <v>53.948790983655044</v>
      </c>
      <c r="AJ207" s="312">
        <f t="shared" si="595"/>
        <v>54.542227684475243</v>
      </c>
      <c r="AK207" s="312">
        <f t="shared" si="595"/>
        <v>55.142192189004454</v>
      </c>
      <c r="AL207" s="312">
        <f t="shared" si="595"/>
        <v>55.748756303083503</v>
      </c>
      <c r="AM207" s="312">
        <f t="shared" si="595"/>
        <v>56.361992622417411</v>
      </c>
      <c r="AN207" s="312">
        <f t="shared" si="595"/>
        <v>56.981974541263995</v>
      </c>
      <c r="AO207" s="312">
        <f t="shared" si="595"/>
        <v>57.608776261217905</v>
      </c>
      <c r="AP207" s="312">
        <f t="shared" si="595"/>
        <v>58.242472800091292</v>
      </c>
      <c r="AQ207" s="312">
        <f t="shared" si="595"/>
        <v>58.88314000089229</v>
      </c>
      <c r="AR207" s="312">
        <f t="shared" si="595"/>
        <v>59.530854540902091</v>
      </c>
      <c r="AS207" s="312">
        <f t="shared" si="595"/>
        <v>60.185693940852012</v>
      </c>
      <c r="AT207" s="312">
        <f t="shared" si="595"/>
        <v>60.847736574201377</v>
      </c>
      <c r="AU207" s="312">
        <f t="shared" si="595"/>
        <v>61.517061676517585</v>
      </c>
      <c r="AV207" s="312">
        <f t="shared" si="595"/>
        <v>62.193749354959259</v>
      </c>
      <c r="AW207" s="312">
        <f t="shared" si="595"/>
        <v>62.877880597863815</v>
      </c>
      <c r="AX207" s="312">
        <f t="shared" si="595"/>
        <v>63.569537284440301</v>
      </c>
      <c r="AY207" s="312">
        <f t="shared" si="595"/>
        <v>64.268802194569147</v>
      </c>
      <c r="AZ207" s="312">
        <f t="shared" si="595"/>
        <v>64.975759018709383</v>
      </c>
      <c r="BA207" s="312">
        <f t="shared" si="595"/>
        <v>65.690492367915184</v>
      </c>
      <c r="BB207" s="312">
        <f t="shared" si="595"/>
        <v>66.41308778396224</v>
      </c>
      <c r="BC207" s="312">
        <f t="shared" si="595"/>
        <v>67.143631749585822</v>
      </c>
      <c r="BD207" s="312">
        <f t="shared" si="595"/>
        <v>67.882211698831256</v>
      </c>
      <c r="BE207" s="312">
        <f t="shared" si="595"/>
        <v>68.628916027518386</v>
      </c>
      <c r="BF207" s="312">
        <f t="shared" si="595"/>
        <v>69.383834103821087</v>
      </c>
      <c r="BG207" s="312">
        <f t="shared" si="595"/>
        <v>70.14705627896312</v>
      </c>
      <c r="BH207" s="312">
        <f t="shared" si="595"/>
        <v>70.918673898031699</v>
      </c>
      <c r="BI207" s="312">
        <f t="shared" si="595"/>
        <v>71.698779310910041</v>
      </c>
      <c r="BJ207" s="312">
        <f t="shared" si="595"/>
        <v>72.487465883330032</v>
      </c>
      <c r="BK207" s="312">
        <f t="shared" si="595"/>
        <v>73.284828008046659</v>
      </c>
      <c r="BL207" s="312">
        <f t="shared" si="595"/>
        <v>74.090961116135162</v>
      </c>
      <c r="BM207" s="312">
        <f t="shared" si="595"/>
        <v>74.905961688412646</v>
      </c>
      <c r="BN207" s="312">
        <f t="shared" si="595"/>
        <v>75.729927266985186</v>
      </c>
      <c r="BO207" s="312">
        <f t="shared" ref="BO207:CJ207" si="596">BO$91*BO208</f>
        <v>76.562956466922003</v>
      </c>
      <c r="BP207" s="312">
        <f t="shared" si="596"/>
        <v>77.40514898805813</v>
      </c>
      <c r="BQ207" s="312">
        <f t="shared" si="596"/>
        <v>78.25660562692677</v>
      </c>
      <c r="BR207" s="312">
        <f t="shared" si="596"/>
        <v>79.11742828882295</v>
      </c>
      <c r="BS207" s="312">
        <f t="shared" si="596"/>
        <v>79.987719999999996</v>
      </c>
      <c r="BT207" s="312">
        <f t="shared" si="596"/>
        <v>80.867584919999999</v>
      </c>
      <c r="BU207" s="312">
        <f t="shared" si="596"/>
        <v>81.757128354119985</v>
      </c>
      <c r="BV207" s="312">
        <f t="shared" si="596"/>
        <v>82.656456766015296</v>
      </c>
      <c r="BW207" s="312">
        <f t="shared" si="596"/>
        <v>83.565677790441455</v>
      </c>
      <c r="BX207" s="312">
        <f t="shared" si="596"/>
        <v>84.484900246136291</v>
      </c>
      <c r="BY207" s="312">
        <f t="shared" si="596"/>
        <v>85.414234148843789</v>
      </c>
      <c r="BZ207" s="312">
        <f t="shared" si="596"/>
        <v>86.353790724481058</v>
      </c>
      <c r="CA207" s="312">
        <f t="shared" si="596"/>
        <v>87.30368242245035</v>
      </c>
      <c r="CB207" s="312">
        <f t="shared" si="596"/>
        <v>88.264022929097308</v>
      </c>
      <c r="CC207" s="312">
        <f t="shared" si="596"/>
        <v>89.234927181317346</v>
      </c>
      <c r="CD207" s="312">
        <f t="shared" si="596"/>
        <v>90.216511380311843</v>
      </c>
      <c r="CE207" s="312">
        <f t="shared" si="596"/>
        <v>91.20889300549527</v>
      </c>
      <c r="CF207" s="312">
        <f t="shared" si="596"/>
        <v>92.21219082855572</v>
      </c>
      <c r="CG207" s="312">
        <f t="shared" si="596"/>
        <v>93.226524927669814</v>
      </c>
      <c r="CH207" s="312">
        <f t="shared" si="596"/>
        <v>94.252016701874169</v>
      </c>
      <c r="CI207" s="312">
        <f t="shared" si="596"/>
        <v>95.288788885594769</v>
      </c>
      <c r="CJ207" s="312">
        <f t="shared" si="596"/>
        <v>96.336965563336307</v>
      </c>
    </row>
    <row r="208" spans="2:88">
      <c r="B208" s="313" t="s">
        <v>338</v>
      </c>
      <c r="C208" s="315">
        <f t="shared" ref="C208" si="597">D208</f>
        <v>0.12</v>
      </c>
      <c r="D208" s="315">
        <f t="shared" ref="D208" si="598">E208</f>
        <v>0.12</v>
      </c>
      <c r="E208" s="315">
        <f t="shared" ref="E208" si="599">F208</f>
        <v>0.12</v>
      </c>
      <c r="F208" s="315">
        <f t="shared" ref="F208" si="600">G208</f>
        <v>0.12</v>
      </c>
      <c r="G208" s="315">
        <f t="shared" ref="G208" si="601">H208</f>
        <v>0.12</v>
      </c>
      <c r="H208" s="315">
        <f t="shared" ref="H208" si="602">I208</f>
        <v>0.12</v>
      </c>
      <c r="I208" s="315">
        <f t="shared" ref="I208" si="603">J208</f>
        <v>0.12</v>
      </c>
      <c r="J208" s="315">
        <f t="shared" ref="J208" si="604">K208</f>
        <v>0.12</v>
      </c>
      <c r="K208" s="315">
        <f t="shared" ref="K208" si="605">L208</f>
        <v>0.12</v>
      </c>
      <c r="L208" s="315">
        <f t="shared" ref="L208" si="606">M208</f>
        <v>0.12</v>
      </c>
      <c r="M208" s="315">
        <f t="shared" ref="M208" si="607">N208</f>
        <v>0.12</v>
      </c>
      <c r="N208" s="315">
        <f t="shared" ref="N208" si="608">O208</f>
        <v>0.12</v>
      </c>
      <c r="O208" s="315">
        <f t="shared" ref="O208" si="609">P208</f>
        <v>0.12</v>
      </c>
      <c r="P208" s="315">
        <f t="shared" ref="P208" si="610">Q208</f>
        <v>0.12</v>
      </c>
      <c r="Q208" s="315">
        <f t="shared" ref="Q208" si="611">R208</f>
        <v>0.12</v>
      </c>
      <c r="R208" s="315">
        <f t="shared" ref="R208" si="612">S208</f>
        <v>0.12</v>
      </c>
      <c r="S208" s="315">
        <f t="shared" ref="S208" si="613">T208</f>
        <v>0.12</v>
      </c>
      <c r="T208" s="315">
        <f t="shared" ref="T208" si="614">U208</f>
        <v>0.12</v>
      </c>
      <c r="U208" s="315">
        <f t="shared" ref="U208" si="615">V208</f>
        <v>0.12</v>
      </c>
      <c r="V208" s="315">
        <f t="shared" ref="V208" si="616">W208</f>
        <v>0.12</v>
      </c>
      <c r="W208" s="315">
        <f t="shared" ref="W208" si="617">X208</f>
        <v>0.12</v>
      </c>
      <c r="X208" s="315">
        <f t="shared" ref="X208" si="618">Y208</f>
        <v>0.12</v>
      </c>
      <c r="Y208" s="315">
        <f t="shared" ref="Y208" si="619">Z208</f>
        <v>0.12</v>
      </c>
      <c r="Z208" s="315">
        <f t="shared" ref="Z208" si="620">AA208</f>
        <v>0.12</v>
      </c>
      <c r="AA208" s="315">
        <f t="shared" ref="AA208" si="621">AB208</f>
        <v>0.12</v>
      </c>
      <c r="AB208" s="315">
        <f t="shared" ref="AB208" si="622">AC208</f>
        <v>0.12</v>
      </c>
      <c r="AC208" s="315">
        <f t="shared" ref="AC208" si="623">AD208</f>
        <v>0.12</v>
      </c>
      <c r="AD208" s="315">
        <f t="shared" ref="AD208" si="624">AE208</f>
        <v>0.12</v>
      </c>
      <c r="AE208" s="315">
        <f t="shared" ref="AE208" si="625">AF208</f>
        <v>0.12</v>
      </c>
      <c r="AF208" s="315">
        <f t="shared" ref="AF208" si="626">AG208</f>
        <v>0.12</v>
      </c>
      <c r="AG208" s="315">
        <f t="shared" ref="AG208" si="627">AH208</f>
        <v>0.12</v>
      </c>
      <c r="AH208" s="315">
        <f t="shared" ref="AH208" si="628">AI208</f>
        <v>0.12</v>
      </c>
      <c r="AI208" s="315">
        <f t="shared" ref="AI208" si="629">AJ208</f>
        <v>0.12</v>
      </c>
      <c r="AJ208" s="315">
        <f t="shared" ref="AJ208" si="630">AK208</f>
        <v>0.12</v>
      </c>
      <c r="AK208" s="315">
        <f t="shared" ref="AK208" si="631">AL208</f>
        <v>0.12</v>
      </c>
      <c r="AL208" s="315">
        <f t="shared" ref="AL208" si="632">AM208</f>
        <v>0.12</v>
      </c>
      <c r="AM208" s="315">
        <f t="shared" ref="AM208" si="633">AN208</f>
        <v>0.12</v>
      </c>
      <c r="AN208" s="315">
        <f t="shared" ref="AN208" si="634">AO208</f>
        <v>0.12</v>
      </c>
      <c r="AO208" s="315">
        <f t="shared" ref="AO208" si="635">AP208</f>
        <v>0.12</v>
      </c>
      <c r="AP208" s="315">
        <f t="shared" ref="AP208" si="636">AQ208</f>
        <v>0.12</v>
      </c>
      <c r="AQ208" s="315">
        <f t="shared" ref="AQ208" si="637">AR208</f>
        <v>0.12</v>
      </c>
      <c r="AR208" s="315">
        <f t="shared" ref="AR208" si="638">AS208</f>
        <v>0.12</v>
      </c>
      <c r="AS208" s="315">
        <f t="shared" ref="AS208" si="639">AT208</f>
        <v>0.12</v>
      </c>
      <c r="AT208" s="315">
        <f t="shared" ref="AT208" si="640">AU208</f>
        <v>0.12</v>
      </c>
      <c r="AU208" s="315">
        <f t="shared" ref="AU208" si="641">AV208</f>
        <v>0.12</v>
      </c>
      <c r="AV208" s="315">
        <f t="shared" ref="AV208" si="642">AW208</f>
        <v>0.12</v>
      </c>
      <c r="AW208" s="315">
        <f t="shared" ref="AW208" si="643">AX208</f>
        <v>0.12</v>
      </c>
      <c r="AX208" s="315">
        <f t="shared" ref="AX208" si="644">AY208</f>
        <v>0.12</v>
      </c>
      <c r="AY208" s="315">
        <f t="shared" ref="AY208" si="645">AZ208</f>
        <v>0.12</v>
      </c>
      <c r="AZ208" s="315">
        <f t="shared" ref="AZ208" si="646">BA208</f>
        <v>0.12</v>
      </c>
      <c r="BA208" s="315">
        <f t="shared" ref="BA208" si="647">BB208</f>
        <v>0.12</v>
      </c>
      <c r="BB208" s="315">
        <f t="shared" ref="BB208" si="648">BC208</f>
        <v>0.12</v>
      </c>
      <c r="BC208" s="315">
        <f t="shared" ref="BC208" si="649">BD208</f>
        <v>0.12</v>
      </c>
      <c r="BD208" s="315">
        <f t="shared" ref="BD208" si="650">BE208</f>
        <v>0.12</v>
      </c>
      <c r="BE208" s="315">
        <f t="shared" ref="BE208" si="651">BF208</f>
        <v>0.12</v>
      </c>
      <c r="BF208" s="315">
        <f t="shared" ref="BF208" si="652">BG208</f>
        <v>0.12</v>
      </c>
      <c r="BG208" s="315">
        <f t="shared" ref="BG208" si="653">BH208</f>
        <v>0.12</v>
      </c>
      <c r="BH208" s="315">
        <f t="shared" ref="BH208" si="654">BI208</f>
        <v>0.12</v>
      </c>
      <c r="BI208" s="315">
        <f t="shared" ref="BI208" si="655">BJ208</f>
        <v>0.12</v>
      </c>
      <c r="BJ208" s="315">
        <f t="shared" ref="BJ208" si="656">BK208</f>
        <v>0.12</v>
      </c>
      <c r="BK208" s="315">
        <f t="shared" ref="BK208" si="657">BL208</f>
        <v>0.12</v>
      </c>
      <c r="BL208" s="315">
        <f t="shared" ref="BL208" si="658">BM208</f>
        <v>0.12</v>
      </c>
      <c r="BM208" s="315">
        <f t="shared" ref="BM208" si="659">BN208</f>
        <v>0.12</v>
      </c>
      <c r="BN208" s="315">
        <f t="shared" ref="BN208" si="660">BO208</f>
        <v>0.12</v>
      </c>
      <c r="BO208" s="315">
        <f t="shared" ref="BO208" si="661">BP208</f>
        <v>0.12</v>
      </c>
      <c r="BP208" s="315">
        <f t="shared" ref="BP208" si="662">BQ208</f>
        <v>0.12</v>
      </c>
      <c r="BQ208" s="315">
        <f t="shared" ref="BQ208" si="663">BR208</f>
        <v>0.12</v>
      </c>
      <c r="BR208" s="315">
        <f>BS208</f>
        <v>0.12</v>
      </c>
      <c r="BS208" s="315">
        <v>0.12</v>
      </c>
      <c r="BT208" s="315">
        <v>0.12</v>
      </c>
      <c r="BU208" s="315">
        <v>0.12</v>
      </c>
      <c r="BV208" s="315">
        <v>0.12</v>
      </c>
      <c r="BW208" s="315">
        <v>0.12</v>
      </c>
      <c r="BX208" s="315">
        <v>0.12</v>
      </c>
      <c r="BY208" s="315">
        <v>0.12</v>
      </c>
      <c r="BZ208" s="315">
        <v>0.12</v>
      </c>
      <c r="CA208" s="315">
        <v>0.12</v>
      </c>
      <c r="CB208" s="315">
        <v>0.12</v>
      </c>
      <c r="CC208" s="315">
        <v>0.12</v>
      </c>
      <c r="CD208" s="315">
        <v>0.12</v>
      </c>
      <c r="CE208" s="315">
        <v>0.12</v>
      </c>
      <c r="CF208" s="315">
        <v>0.12</v>
      </c>
      <c r="CG208" s="315">
        <v>0.12</v>
      </c>
      <c r="CH208" s="315">
        <v>0.12</v>
      </c>
      <c r="CI208" s="315">
        <v>0.12</v>
      </c>
      <c r="CJ208" s="315">
        <v>0.12</v>
      </c>
    </row>
    <row r="209" spans="2:88">
      <c r="B209" s="310"/>
      <c r="C209" s="310"/>
      <c r="D209" s="310"/>
      <c r="E209" s="310"/>
      <c r="F209" s="310"/>
      <c r="G209" s="310"/>
      <c r="H209" s="310"/>
      <c r="I209" s="310"/>
      <c r="J209" s="310"/>
      <c r="K209" s="310"/>
      <c r="L209" s="310"/>
      <c r="M209" s="310"/>
      <c r="N209" s="310"/>
      <c r="O209" s="310"/>
      <c r="P209" s="310"/>
      <c r="Q209" s="310"/>
      <c r="R209" s="310"/>
      <c r="S209" s="310"/>
      <c r="T209" s="310"/>
      <c r="U209" s="310"/>
      <c r="V209" s="310"/>
      <c r="W209" s="310"/>
      <c r="X209" s="310"/>
      <c r="Y209" s="310"/>
      <c r="Z209" s="310"/>
      <c r="AA209" s="310"/>
      <c r="AB209" s="310"/>
      <c r="AC209" s="310"/>
      <c r="AD209" s="310"/>
      <c r="AE209" s="310"/>
      <c r="AF209" s="310"/>
      <c r="AG209" s="310"/>
      <c r="AH209" s="310"/>
      <c r="AI209" s="310"/>
      <c r="AJ209" s="310"/>
      <c r="AK209" s="310"/>
      <c r="AL209" s="310"/>
      <c r="AM209" s="310"/>
      <c r="AN209" s="310"/>
      <c r="AO209" s="310"/>
      <c r="AP209" s="310"/>
      <c r="AQ209" s="310"/>
      <c r="AR209" s="310"/>
      <c r="AS209" s="310"/>
      <c r="AT209" s="310"/>
      <c r="AU209" s="310"/>
      <c r="AV209" s="310"/>
      <c r="AW209" s="310"/>
      <c r="AX209" s="310"/>
      <c r="AY209" s="310"/>
      <c r="AZ209" s="310"/>
      <c r="BA209" s="310"/>
      <c r="BB209" s="310"/>
      <c r="BC209" s="310"/>
      <c r="BD209" s="310"/>
      <c r="BE209" s="310"/>
      <c r="BF209" s="310"/>
      <c r="BG209" s="310"/>
      <c r="BH209" s="310"/>
      <c r="BI209" s="310"/>
      <c r="BJ209" s="310"/>
      <c r="BK209" s="310"/>
      <c r="BL209" s="310"/>
      <c r="BM209" s="310"/>
      <c r="BN209" s="310"/>
      <c r="BO209" s="310"/>
      <c r="BP209" s="310"/>
      <c r="BQ209" s="310"/>
      <c r="BR209" s="310"/>
      <c r="BS209" s="310"/>
      <c r="BT209" s="310"/>
      <c r="BU209" s="310"/>
      <c r="BV209" s="310"/>
      <c r="BW209" s="310"/>
      <c r="BX209" s="310"/>
      <c r="BY209" s="310"/>
      <c r="BZ209" s="310"/>
      <c r="CA209" s="310"/>
      <c r="CB209" s="310"/>
      <c r="CC209" s="310"/>
      <c r="CD209" s="310"/>
      <c r="CE209" s="310"/>
      <c r="CF209" s="310"/>
      <c r="CG209" s="310"/>
      <c r="CH209" s="310"/>
      <c r="CI209" s="310"/>
      <c r="CJ209" s="310"/>
    </row>
    <row r="210" spans="2:88">
      <c r="B210" s="311" t="s">
        <v>339</v>
      </c>
      <c r="C210" s="312">
        <f t="shared" ref="C210:BN210" si="664">C$91*C211</f>
        <v>3.1678418464412483</v>
      </c>
      <c r="D210" s="312">
        <f t="shared" si="664"/>
        <v>3.2026881067521016</v>
      </c>
      <c r="E210" s="312">
        <f t="shared" si="664"/>
        <v>3.2379176759263744</v>
      </c>
      <c r="F210" s="312">
        <f t="shared" si="664"/>
        <v>3.273534770361564</v>
      </c>
      <c r="G210" s="312">
        <f t="shared" si="664"/>
        <v>3.3095436528355409</v>
      </c>
      <c r="H210" s="312">
        <f t="shared" si="664"/>
        <v>3.3459486330167314</v>
      </c>
      <c r="I210" s="312">
        <f t="shared" si="664"/>
        <v>3.3827540679799148</v>
      </c>
      <c r="J210" s="312">
        <f t="shared" si="664"/>
        <v>3.4199643627276939</v>
      </c>
      <c r="K210" s="312">
        <f t="shared" si="664"/>
        <v>3.4575839707176979</v>
      </c>
      <c r="L210" s="312">
        <f t="shared" si="664"/>
        <v>3.4956173943955924</v>
      </c>
      <c r="M210" s="312">
        <f t="shared" si="664"/>
        <v>3.5340691857339435</v>
      </c>
      <c r="N210" s="312">
        <f t="shared" si="664"/>
        <v>3.5729439467770168</v>
      </c>
      <c r="O210" s="312">
        <f t="shared" si="664"/>
        <v>3.6122463301915633</v>
      </c>
      <c r="P210" s="312">
        <f t="shared" si="664"/>
        <v>3.6519810398236694</v>
      </c>
      <c r="Q210" s="312">
        <f t="shared" si="664"/>
        <v>3.6921528312617293</v>
      </c>
      <c r="R210" s="312">
        <f t="shared" si="664"/>
        <v>3.732766512405608</v>
      </c>
      <c r="S210" s="312">
        <f t="shared" si="664"/>
        <v>3.7738269440420691</v>
      </c>
      <c r="T210" s="312">
        <f t="shared" si="664"/>
        <v>3.8153390404265313</v>
      </c>
      <c r="U210" s="312">
        <f t="shared" si="664"/>
        <v>3.8573077698712233</v>
      </c>
      <c r="V210" s="312">
        <f t="shared" si="664"/>
        <v>3.8997381553398061</v>
      </c>
      <c r="W210" s="312">
        <f t="shared" si="664"/>
        <v>3.9426352750485432</v>
      </c>
      <c r="X210" s="312">
        <f t="shared" si="664"/>
        <v>3.9860042630740771</v>
      </c>
      <c r="Y210" s="312">
        <f t="shared" si="664"/>
        <v>4.029850309967892</v>
      </c>
      <c r="Z210" s="312">
        <f t="shared" si="664"/>
        <v>4.0741786633775376</v>
      </c>
      <c r="AA210" s="312">
        <f t="shared" si="664"/>
        <v>4.1189946286746908</v>
      </c>
      <c r="AB210" s="312">
        <f t="shared" si="664"/>
        <v>4.1643035695901114</v>
      </c>
      <c r="AC210" s="312">
        <f t="shared" si="664"/>
        <v>4.2101109088556026</v>
      </c>
      <c r="AD210" s="312">
        <f t="shared" si="664"/>
        <v>4.2564221288530142</v>
      </c>
      <c r="AE210" s="312">
        <f t="shared" si="664"/>
        <v>4.303242772270397</v>
      </c>
      <c r="AF210" s="312">
        <f t="shared" si="664"/>
        <v>4.3505784427653698</v>
      </c>
      <c r="AG210" s="312">
        <f t="shared" si="664"/>
        <v>4.3984348056357891</v>
      </c>
      <c r="AH210" s="312">
        <f t="shared" si="664"/>
        <v>4.4468175884977823</v>
      </c>
      <c r="AI210" s="312">
        <f t="shared" si="664"/>
        <v>4.4957325819712572</v>
      </c>
      <c r="AJ210" s="312">
        <f t="shared" si="664"/>
        <v>4.5451856403729405</v>
      </c>
      <c r="AK210" s="312">
        <f t="shared" si="664"/>
        <v>4.5951826824170423</v>
      </c>
      <c r="AL210" s="312">
        <f t="shared" si="664"/>
        <v>4.6457296919236297</v>
      </c>
      <c r="AM210" s="312">
        <f t="shared" si="664"/>
        <v>4.6968327185347887</v>
      </c>
      <c r="AN210" s="312">
        <f t="shared" si="664"/>
        <v>4.7484978784386707</v>
      </c>
      <c r="AO210" s="312">
        <f t="shared" si="664"/>
        <v>4.8007313551014965</v>
      </c>
      <c r="AP210" s="312">
        <f t="shared" si="664"/>
        <v>4.8535394000076115</v>
      </c>
      <c r="AQ210" s="312">
        <f t="shared" si="664"/>
        <v>4.906928333407695</v>
      </c>
      <c r="AR210" s="312">
        <f t="shared" si="664"/>
        <v>4.960904545075179</v>
      </c>
      <c r="AS210" s="312">
        <f t="shared" si="664"/>
        <v>5.0154744950710057</v>
      </c>
      <c r="AT210" s="312">
        <f t="shared" si="664"/>
        <v>5.0706447145167859</v>
      </c>
      <c r="AU210" s="312">
        <f t="shared" si="664"/>
        <v>5.1264218063764702</v>
      </c>
      <c r="AV210" s="312">
        <f t="shared" si="664"/>
        <v>5.1828124462466096</v>
      </c>
      <c r="AW210" s="312">
        <f t="shared" si="664"/>
        <v>5.2398233831553229</v>
      </c>
      <c r="AX210" s="312">
        <f t="shared" si="664"/>
        <v>5.2974614403700295</v>
      </c>
      <c r="AY210" s="312">
        <f t="shared" si="664"/>
        <v>5.3557335162140998</v>
      </c>
      <c r="AZ210" s="312">
        <f t="shared" si="664"/>
        <v>5.4146465848924539</v>
      </c>
      <c r="BA210" s="312">
        <f t="shared" si="664"/>
        <v>5.4742076973262703</v>
      </c>
      <c r="BB210" s="312">
        <f t="shared" si="664"/>
        <v>5.5344239819968584</v>
      </c>
      <c r="BC210" s="312">
        <f t="shared" si="664"/>
        <v>5.5953026457988235</v>
      </c>
      <c r="BD210" s="312">
        <f t="shared" si="664"/>
        <v>5.6568509749026097</v>
      </c>
      <c r="BE210" s="312">
        <f t="shared" si="664"/>
        <v>5.7190763356265375</v>
      </c>
      <c r="BF210" s="312">
        <f t="shared" si="664"/>
        <v>5.781986175318429</v>
      </c>
      <c r="BG210" s="312">
        <f t="shared" si="664"/>
        <v>5.8455880232469317</v>
      </c>
      <c r="BH210" s="312">
        <f t="shared" si="664"/>
        <v>5.9098894915026463</v>
      </c>
      <c r="BI210" s="312">
        <f t="shared" si="664"/>
        <v>5.9748982759091751</v>
      </c>
      <c r="BJ210" s="312">
        <f t="shared" si="664"/>
        <v>6.0406221569441749</v>
      </c>
      <c r="BK210" s="312">
        <f t="shared" si="664"/>
        <v>6.1070690006705606</v>
      </c>
      <c r="BL210" s="312">
        <f t="shared" si="664"/>
        <v>6.1742467596779358</v>
      </c>
      <c r="BM210" s="312">
        <f t="shared" si="664"/>
        <v>6.2421634740343928</v>
      </c>
      <c r="BN210" s="312">
        <f t="shared" si="664"/>
        <v>6.3108272722487708</v>
      </c>
      <c r="BO210" s="312">
        <f t="shared" ref="BO210:BQ210" si="665">BO$91*BO211</f>
        <v>6.3802463722435059</v>
      </c>
      <c r="BP210" s="312">
        <f t="shared" si="665"/>
        <v>6.450429082338184</v>
      </c>
      <c r="BQ210" s="312">
        <f t="shared" si="665"/>
        <v>6.5213838022439026</v>
      </c>
      <c r="BR210" s="312">
        <f>BR$91*BR211</f>
        <v>6.5931190240685851</v>
      </c>
      <c r="BS210" s="312">
        <f t="shared" ref="BS210:CJ210" si="666">BS$91*BS211</f>
        <v>6.6656433333333398</v>
      </c>
      <c r="BT210" s="312">
        <f t="shared" si="666"/>
        <v>6.7389654100000058</v>
      </c>
      <c r="BU210" s="312">
        <f t="shared" si="666"/>
        <v>6.8130940295100055</v>
      </c>
      <c r="BV210" s="312">
        <f t="shared" si="666"/>
        <v>6.8880380638346139</v>
      </c>
      <c r="BW210" s="312">
        <f t="shared" si="666"/>
        <v>6.9638064825367945</v>
      </c>
      <c r="BX210" s="312">
        <f t="shared" si="666"/>
        <v>7.0404083538446978</v>
      </c>
      <c r="BY210" s="312">
        <f t="shared" si="666"/>
        <v>7.117852845736989</v>
      </c>
      <c r="BZ210" s="312">
        <f t="shared" si="666"/>
        <v>7.1961492270400953</v>
      </c>
      <c r="CA210" s="312">
        <f t="shared" si="666"/>
        <v>7.2753068685375357</v>
      </c>
      <c r="CB210" s="312">
        <f t="shared" si="666"/>
        <v>7.3553352440914486</v>
      </c>
      <c r="CC210" s="312">
        <f t="shared" si="666"/>
        <v>7.4362439317764526</v>
      </c>
      <c r="CD210" s="312">
        <f t="shared" si="666"/>
        <v>7.518042615025994</v>
      </c>
      <c r="CE210" s="312">
        <f t="shared" si="666"/>
        <v>7.6007410837912799</v>
      </c>
      <c r="CF210" s="312">
        <f t="shared" si="666"/>
        <v>7.6843492357129835</v>
      </c>
      <c r="CG210" s="312">
        <f t="shared" si="666"/>
        <v>7.7688770773058256</v>
      </c>
      <c r="CH210" s="312">
        <f t="shared" si="666"/>
        <v>7.8543347251561872</v>
      </c>
      <c r="CI210" s="312">
        <f t="shared" si="666"/>
        <v>7.9407324071329048</v>
      </c>
      <c r="CJ210" s="312">
        <f t="shared" si="666"/>
        <v>8.0280804636113654</v>
      </c>
    </row>
    <row r="211" spans="2:88">
      <c r="B211" s="313" t="s">
        <v>340</v>
      </c>
      <c r="C211" s="315">
        <f t="shared" ref="C211:BN211" si="667">1-C208-C205-C202</f>
        <v>1.0000000000000009E-2</v>
      </c>
      <c r="D211" s="315">
        <f t="shared" si="667"/>
        <v>1.0000000000000009E-2</v>
      </c>
      <c r="E211" s="315">
        <f t="shared" si="667"/>
        <v>1.0000000000000009E-2</v>
      </c>
      <c r="F211" s="315">
        <f t="shared" si="667"/>
        <v>1.0000000000000009E-2</v>
      </c>
      <c r="G211" s="315">
        <f t="shared" si="667"/>
        <v>1.0000000000000009E-2</v>
      </c>
      <c r="H211" s="315">
        <f t="shared" si="667"/>
        <v>1.0000000000000009E-2</v>
      </c>
      <c r="I211" s="315">
        <f t="shared" si="667"/>
        <v>1.0000000000000009E-2</v>
      </c>
      <c r="J211" s="315">
        <f t="shared" si="667"/>
        <v>1.0000000000000009E-2</v>
      </c>
      <c r="K211" s="315">
        <f t="shared" si="667"/>
        <v>1.0000000000000009E-2</v>
      </c>
      <c r="L211" s="315">
        <f t="shared" si="667"/>
        <v>1.0000000000000009E-2</v>
      </c>
      <c r="M211" s="315">
        <f t="shared" si="667"/>
        <v>1.0000000000000009E-2</v>
      </c>
      <c r="N211" s="315">
        <f t="shared" si="667"/>
        <v>1.0000000000000009E-2</v>
      </c>
      <c r="O211" s="315">
        <f t="shared" si="667"/>
        <v>1.0000000000000009E-2</v>
      </c>
      <c r="P211" s="315">
        <f t="shared" si="667"/>
        <v>1.0000000000000009E-2</v>
      </c>
      <c r="Q211" s="315">
        <f t="shared" si="667"/>
        <v>1.0000000000000009E-2</v>
      </c>
      <c r="R211" s="315">
        <f t="shared" si="667"/>
        <v>1.0000000000000009E-2</v>
      </c>
      <c r="S211" s="315">
        <f t="shared" si="667"/>
        <v>1.0000000000000009E-2</v>
      </c>
      <c r="T211" s="315">
        <f t="shared" si="667"/>
        <v>1.0000000000000009E-2</v>
      </c>
      <c r="U211" s="315">
        <f t="shared" si="667"/>
        <v>1.0000000000000009E-2</v>
      </c>
      <c r="V211" s="315">
        <f t="shared" si="667"/>
        <v>1.0000000000000009E-2</v>
      </c>
      <c r="W211" s="315">
        <f t="shared" si="667"/>
        <v>1.0000000000000009E-2</v>
      </c>
      <c r="X211" s="315">
        <f t="shared" si="667"/>
        <v>1.0000000000000009E-2</v>
      </c>
      <c r="Y211" s="315">
        <f t="shared" si="667"/>
        <v>1.0000000000000009E-2</v>
      </c>
      <c r="Z211" s="315">
        <f t="shared" si="667"/>
        <v>1.0000000000000009E-2</v>
      </c>
      <c r="AA211" s="315">
        <f t="shared" si="667"/>
        <v>1.0000000000000009E-2</v>
      </c>
      <c r="AB211" s="315">
        <f t="shared" si="667"/>
        <v>1.0000000000000009E-2</v>
      </c>
      <c r="AC211" s="315">
        <f t="shared" si="667"/>
        <v>1.0000000000000009E-2</v>
      </c>
      <c r="AD211" s="315">
        <f t="shared" si="667"/>
        <v>1.0000000000000009E-2</v>
      </c>
      <c r="AE211" s="315">
        <f t="shared" si="667"/>
        <v>1.0000000000000009E-2</v>
      </c>
      <c r="AF211" s="315">
        <f t="shared" si="667"/>
        <v>1.0000000000000009E-2</v>
      </c>
      <c r="AG211" s="315">
        <f t="shared" si="667"/>
        <v>1.0000000000000009E-2</v>
      </c>
      <c r="AH211" s="315">
        <f t="shared" si="667"/>
        <v>1.0000000000000009E-2</v>
      </c>
      <c r="AI211" s="315">
        <f t="shared" si="667"/>
        <v>1.0000000000000009E-2</v>
      </c>
      <c r="AJ211" s="315">
        <f t="shared" si="667"/>
        <v>1.0000000000000009E-2</v>
      </c>
      <c r="AK211" s="315">
        <f t="shared" si="667"/>
        <v>1.0000000000000009E-2</v>
      </c>
      <c r="AL211" s="315">
        <f t="shared" si="667"/>
        <v>1.0000000000000009E-2</v>
      </c>
      <c r="AM211" s="315">
        <f t="shared" si="667"/>
        <v>1.0000000000000009E-2</v>
      </c>
      <c r="AN211" s="315">
        <f t="shared" si="667"/>
        <v>1.0000000000000009E-2</v>
      </c>
      <c r="AO211" s="315">
        <f t="shared" si="667"/>
        <v>1.0000000000000009E-2</v>
      </c>
      <c r="AP211" s="315">
        <f t="shared" si="667"/>
        <v>1.0000000000000009E-2</v>
      </c>
      <c r="AQ211" s="315">
        <f t="shared" si="667"/>
        <v>1.0000000000000009E-2</v>
      </c>
      <c r="AR211" s="315">
        <f t="shared" si="667"/>
        <v>1.0000000000000009E-2</v>
      </c>
      <c r="AS211" s="315">
        <f t="shared" si="667"/>
        <v>1.0000000000000009E-2</v>
      </c>
      <c r="AT211" s="315">
        <f t="shared" si="667"/>
        <v>1.0000000000000009E-2</v>
      </c>
      <c r="AU211" s="315">
        <f t="shared" si="667"/>
        <v>1.0000000000000009E-2</v>
      </c>
      <c r="AV211" s="315">
        <f t="shared" si="667"/>
        <v>1.0000000000000009E-2</v>
      </c>
      <c r="AW211" s="315">
        <f t="shared" si="667"/>
        <v>1.0000000000000009E-2</v>
      </c>
      <c r="AX211" s="315">
        <f t="shared" si="667"/>
        <v>1.0000000000000009E-2</v>
      </c>
      <c r="AY211" s="315">
        <f t="shared" si="667"/>
        <v>1.0000000000000009E-2</v>
      </c>
      <c r="AZ211" s="315">
        <f t="shared" si="667"/>
        <v>1.0000000000000009E-2</v>
      </c>
      <c r="BA211" s="315">
        <f t="shared" si="667"/>
        <v>1.0000000000000009E-2</v>
      </c>
      <c r="BB211" s="315">
        <f t="shared" si="667"/>
        <v>1.0000000000000009E-2</v>
      </c>
      <c r="BC211" s="315">
        <f t="shared" si="667"/>
        <v>1.0000000000000009E-2</v>
      </c>
      <c r="BD211" s="315">
        <f t="shared" si="667"/>
        <v>1.0000000000000009E-2</v>
      </c>
      <c r="BE211" s="315">
        <f t="shared" si="667"/>
        <v>1.0000000000000009E-2</v>
      </c>
      <c r="BF211" s="315">
        <f t="shared" si="667"/>
        <v>1.0000000000000009E-2</v>
      </c>
      <c r="BG211" s="315">
        <f t="shared" si="667"/>
        <v>1.0000000000000009E-2</v>
      </c>
      <c r="BH211" s="315">
        <f t="shared" si="667"/>
        <v>1.0000000000000009E-2</v>
      </c>
      <c r="BI211" s="315">
        <f t="shared" si="667"/>
        <v>1.0000000000000009E-2</v>
      </c>
      <c r="BJ211" s="315">
        <f t="shared" si="667"/>
        <v>1.0000000000000009E-2</v>
      </c>
      <c r="BK211" s="315">
        <f t="shared" si="667"/>
        <v>1.0000000000000009E-2</v>
      </c>
      <c r="BL211" s="315">
        <f t="shared" si="667"/>
        <v>1.0000000000000009E-2</v>
      </c>
      <c r="BM211" s="315">
        <f t="shared" si="667"/>
        <v>1.0000000000000009E-2</v>
      </c>
      <c r="BN211" s="315">
        <f t="shared" si="667"/>
        <v>1.0000000000000009E-2</v>
      </c>
      <c r="BO211" s="315">
        <f t="shared" ref="BO211:BR211" si="668">1-BO208-BO205-BO202</f>
        <v>1.0000000000000009E-2</v>
      </c>
      <c r="BP211" s="315">
        <f t="shared" si="668"/>
        <v>1.0000000000000009E-2</v>
      </c>
      <c r="BQ211" s="315">
        <f t="shared" si="668"/>
        <v>1.0000000000000009E-2</v>
      </c>
      <c r="BR211" s="315">
        <f t="shared" si="668"/>
        <v>1.0000000000000009E-2</v>
      </c>
      <c r="BS211" s="315">
        <f>1-BS208-BS205-BS202</f>
        <v>1.0000000000000009E-2</v>
      </c>
      <c r="BT211" s="315">
        <f t="shared" ref="BT211:CJ211" si="669">1-BT208-BT205-BT202</f>
        <v>1.0000000000000009E-2</v>
      </c>
      <c r="BU211" s="315">
        <f t="shared" si="669"/>
        <v>1.0000000000000009E-2</v>
      </c>
      <c r="BV211" s="315">
        <f t="shared" si="669"/>
        <v>1.0000000000000009E-2</v>
      </c>
      <c r="BW211" s="315">
        <f t="shared" si="669"/>
        <v>1.0000000000000009E-2</v>
      </c>
      <c r="BX211" s="315">
        <f t="shared" si="669"/>
        <v>1.0000000000000009E-2</v>
      </c>
      <c r="BY211" s="315">
        <f t="shared" si="669"/>
        <v>1.0000000000000009E-2</v>
      </c>
      <c r="BZ211" s="315">
        <f t="shared" si="669"/>
        <v>1.0000000000000009E-2</v>
      </c>
      <c r="CA211" s="315">
        <f t="shared" si="669"/>
        <v>1.0000000000000009E-2</v>
      </c>
      <c r="CB211" s="315">
        <f t="shared" si="669"/>
        <v>1.0000000000000009E-2</v>
      </c>
      <c r="CC211" s="315">
        <f t="shared" si="669"/>
        <v>1.0000000000000009E-2</v>
      </c>
      <c r="CD211" s="315">
        <f t="shared" si="669"/>
        <v>1.0000000000000009E-2</v>
      </c>
      <c r="CE211" s="315">
        <f t="shared" si="669"/>
        <v>1.0000000000000009E-2</v>
      </c>
      <c r="CF211" s="315">
        <f t="shared" si="669"/>
        <v>1.0000000000000009E-2</v>
      </c>
      <c r="CG211" s="315">
        <f t="shared" si="669"/>
        <v>1.0000000000000009E-2</v>
      </c>
      <c r="CH211" s="315">
        <f t="shared" si="669"/>
        <v>1.0000000000000009E-2</v>
      </c>
      <c r="CI211" s="315">
        <f t="shared" si="669"/>
        <v>1.0000000000000009E-2</v>
      </c>
      <c r="CJ211" s="315">
        <f t="shared" si="669"/>
        <v>1.0000000000000009E-2</v>
      </c>
    </row>
    <row r="212" spans="2:88">
      <c r="B212" s="310"/>
      <c r="C212" s="310"/>
      <c r="D212" s="310"/>
      <c r="E212" s="310"/>
      <c r="F212" s="310"/>
      <c r="G212" s="310"/>
      <c r="H212" s="310"/>
      <c r="I212" s="310"/>
      <c r="J212" s="310"/>
      <c r="K212" s="310"/>
      <c r="L212" s="310"/>
      <c r="M212" s="310"/>
      <c r="N212" s="310"/>
      <c r="O212" s="310"/>
      <c r="P212" s="310"/>
      <c r="Q212" s="310"/>
      <c r="R212" s="310"/>
      <c r="S212" s="310"/>
      <c r="T212" s="310"/>
      <c r="U212" s="310"/>
      <c r="V212" s="310"/>
      <c r="W212" s="310"/>
      <c r="X212" s="310"/>
      <c r="Y212" s="310"/>
      <c r="Z212" s="310"/>
      <c r="AA212" s="310"/>
      <c r="AB212" s="310"/>
      <c r="AC212" s="310"/>
      <c r="AD212" s="310"/>
      <c r="AE212" s="310"/>
      <c r="AF212" s="310"/>
      <c r="AG212" s="310"/>
      <c r="AH212" s="310"/>
      <c r="AI212" s="310"/>
      <c r="AJ212" s="310"/>
      <c r="AK212" s="310"/>
      <c r="AL212" s="310"/>
      <c r="AM212" s="310"/>
      <c r="AN212" s="310"/>
      <c r="AO212" s="310"/>
      <c r="AP212" s="310"/>
      <c r="AQ212" s="310"/>
      <c r="AR212" s="310"/>
      <c r="AS212" s="310"/>
      <c r="AT212" s="310"/>
      <c r="AU212" s="310"/>
      <c r="AV212" s="310"/>
      <c r="AW212" s="310"/>
      <c r="AX212" s="310"/>
      <c r="AY212" s="310"/>
      <c r="AZ212" s="310"/>
      <c r="BA212" s="310"/>
      <c r="BB212" s="310"/>
      <c r="BC212" s="310"/>
      <c r="BD212" s="310"/>
      <c r="BE212" s="310"/>
      <c r="BF212" s="310"/>
      <c r="BG212" s="310"/>
      <c r="BH212" s="310"/>
      <c r="BI212" s="310"/>
      <c r="BJ212" s="310"/>
      <c r="BK212" s="310"/>
      <c r="BL212" s="310"/>
      <c r="BM212" s="310"/>
      <c r="BN212" s="310"/>
      <c r="BO212" s="310"/>
      <c r="BP212" s="310"/>
      <c r="BQ212" s="310"/>
      <c r="BR212" s="310"/>
      <c r="BS212" s="310"/>
      <c r="BT212" s="310"/>
      <c r="BU212" s="310"/>
      <c r="BV212" s="310"/>
      <c r="BW212" s="310"/>
      <c r="BX212" s="310"/>
      <c r="BY212" s="310"/>
      <c r="BZ212" s="310"/>
      <c r="CA212" s="310"/>
      <c r="CB212" s="310"/>
      <c r="CC212" s="310"/>
      <c r="CD212" s="310"/>
      <c r="CE212" s="310"/>
      <c r="CF212" s="310"/>
      <c r="CG212" s="310"/>
      <c r="CH212" s="310"/>
      <c r="CI212" s="310"/>
      <c r="CJ212" s="310"/>
    </row>
    <row r="213" spans="2:88">
      <c r="B213" s="316" t="s">
        <v>333</v>
      </c>
      <c r="C213" s="316"/>
      <c r="D213" s="316"/>
      <c r="E213" s="316"/>
      <c r="F213" s="316"/>
      <c r="G213" s="316"/>
      <c r="H213" s="316"/>
      <c r="I213" s="316"/>
      <c r="J213" s="316"/>
      <c r="K213" s="316"/>
      <c r="L213" s="316"/>
      <c r="M213" s="316"/>
      <c r="N213" s="316"/>
      <c r="O213" s="316"/>
      <c r="P213" s="316"/>
      <c r="Q213" s="316"/>
      <c r="R213" s="316"/>
      <c r="S213" s="316"/>
      <c r="T213" s="316"/>
      <c r="U213" s="316"/>
      <c r="V213" s="316"/>
      <c r="W213" s="316"/>
      <c r="X213" s="316"/>
      <c r="Y213" s="316"/>
      <c r="Z213" s="316"/>
      <c r="AA213" s="316"/>
      <c r="AB213" s="316"/>
      <c r="AC213" s="316"/>
      <c r="AD213" s="316"/>
      <c r="AE213" s="316"/>
      <c r="AF213" s="316"/>
      <c r="AG213" s="316"/>
      <c r="AH213" s="316"/>
      <c r="AI213" s="316"/>
      <c r="AJ213" s="316"/>
      <c r="AK213" s="316"/>
      <c r="AL213" s="316"/>
      <c r="AM213" s="316"/>
      <c r="AN213" s="316"/>
      <c r="AO213" s="316"/>
      <c r="AP213" s="316"/>
      <c r="AQ213" s="316"/>
      <c r="AR213" s="316"/>
      <c r="AS213" s="316"/>
      <c r="AT213" s="316"/>
      <c r="AU213" s="316"/>
      <c r="AV213" s="316"/>
      <c r="AW213" s="316"/>
      <c r="AX213" s="316"/>
      <c r="AY213" s="316"/>
      <c r="AZ213" s="316"/>
      <c r="BA213" s="316"/>
      <c r="BB213" s="316"/>
      <c r="BC213" s="316"/>
      <c r="BD213" s="316"/>
      <c r="BE213" s="316"/>
      <c r="BF213" s="316"/>
      <c r="BG213" s="316"/>
      <c r="BH213" s="316"/>
      <c r="BI213" s="316"/>
      <c r="BJ213" s="316"/>
      <c r="BK213" s="316"/>
      <c r="BL213" s="316"/>
      <c r="BM213" s="316"/>
      <c r="BN213" s="316"/>
      <c r="BO213" s="316"/>
      <c r="BP213" s="316"/>
      <c r="BQ213" s="316"/>
      <c r="BR213" s="316"/>
      <c r="BS213" s="310"/>
      <c r="BT213" s="310"/>
      <c r="BU213" s="310"/>
      <c r="BV213" s="310"/>
      <c r="BW213" s="310"/>
      <c r="BX213" s="310"/>
      <c r="BY213" s="310"/>
      <c r="BZ213" s="310"/>
      <c r="CA213" s="310"/>
      <c r="CB213" s="310"/>
      <c r="CC213" s="310"/>
      <c r="CD213" s="310"/>
      <c r="CE213" s="310"/>
      <c r="CF213" s="310"/>
      <c r="CG213" s="310"/>
      <c r="CH213" s="310"/>
      <c r="CI213" s="310"/>
      <c r="CJ213" s="310"/>
    </row>
    <row r="214" spans="2:88">
      <c r="B214" s="317" t="s">
        <v>354</v>
      </c>
      <c r="C214" s="317"/>
      <c r="D214" s="317"/>
      <c r="E214" s="317"/>
      <c r="F214" s="317"/>
      <c r="G214" s="317"/>
      <c r="H214" s="317"/>
      <c r="I214" s="317"/>
      <c r="J214" s="317"/>
      <c r="K214" s="317"/>
      <c r="L214" s="317"/>
      <c r="M214" s="317"/>
      <c r="N214" s="317"/>
      <c r="O214" s="317"/>
      <c r="P214" s="317"/>
      <c r="Q214" s="317"/>
      <c r="R214" s="317"/>
      <c r="S214" s="317"/>
      <c r="T214" s="317"/>
      <c r="U214" s="317"/>
      <c r="V214" s="317"/>
      <c r="W214" s="317"/>
      <c r="X214" s="317"/>
      <c r="Y214" s="317"/>
      <c r="Z214" s="317"/>
      <c r="AA214" s="317"/>
      <c r="AB214" s="317"/>
      <c r="AC214" s="317"/>
      <c r="AD214" s="317"/>
      <c r="AE214" s="317"/>
      <c r="AF214" s="317"/>
      <c r="AG214" s="317"/>
      <c r="AH214" s="317"/>
      <c r="AI214" s="317"/>
      <c r="AJ214" s="317"/>
      <c r="AK214" s="317"/>
      <c r="AL214" s="317"/>
      <c r="AM214" s="317"/>
      <c r="AN214" s="317"/>
      <c r="AO214" s="317"/>
      <c r="AP214" s="317"/>
      <c r="AQ214" s="318"/>
      <c r="AR214" s="318"/>
      <c r="AS214" s="318"/>
      <c r="AT214" s="318"/>
      <c r="AU214" s="318"/>
      <c r="AV214" s="318"/>
      <c r="AW214" s="318"/>
      <c r="AX214" s="318"/>
      <c r="AY214" s="318"/>
      <c r="AZ214" s="318"/>
      <c r="BA214" s="318"/>
      <c r="BB214" s="318"/>
      <c r="BC214" s="318"/>
      <c r="BD214" s="318"/>
      <c r="BE214" s="318"/>
      <c r="BF214" s="318"/>
      <c r="BG214" s="318"/>
      <c r="BH214" s="318"/>
      <c r="BI214" s="318"/>
      <c r="BJ214" s="318"/>
      <c r="BK214" s="318"/>
      <c r="BL214" s="318"/>
      <c r="BM214" s="318"/>
      <c r="BN214" s="318"/>
      <c r="BO214" s="318"/>
      <c r="BP214" s="318"/>
      <c r="BQ214" s="318"/>
      <c r="BR214" s="318"/>
      <c r="BS214" s="318"/>
      <c r="BT214" s="318"/>
      <c r="BU214" s="318"/>
      <c r="BV214" s="318"/>
      <c r="BW214" s="318">
        <f>BW201*BW215</f>
        <v>0</v>
      </c>
      <c r="BX214" s="318">
        <f t="shared" ref="BX214:CJ214" si="670">BX201*BX215</f>
        <v>0</v>
      </c>
      <c r="BY214" s="318">
        <f t="shared" si="670"/>
        <v>34.165693659537524</v>
      </c>
      <c r="BZ214" s="318">
        <f t="shared" si="670"/>
        <v>128.45126370266559</v>
      </c>
      <c r="CA214" s="318">
        <f t="shared" si="670"/>
        <v>222.62439017724842</v>
      </c>
      <c r="CB214" s="318">
        <f t="shared" si="670"/>
        <v>281.34157308649765</v>
      </c>
      <c r="CC214" s="318">
        <f t="shared" si="670"/>
        <v>322.36117444250885</v>
      </c>
      <c r="CD214" s="318">
        <f t="shared" si="670"/>
        <v>345.07815602969282</v>
      </c>
      <c r="CE214" s="318">
        <f t="shared" si="670"/>
        <v>358.56496062785334</v>
      </c>
      <c r="CF214" s="318">
        <f t="shared" si="670"/>
        <v>372.30672047029367</v>
      </c>
      <c r="CG214" s="318">
        <f t="shared" si="670"/>
        <v>376.40209439546686</v>
      </c>
      <c r="CH214" s="318">
        <f t="shared" si="670"/>
        <v>380.54251743381695</v>
      </c>
      <c r="CI214" s="318">
        <f t="shared" si="670"/>
        <v>384.72848512558892</v>
      </c>
      <c r="CJ214" s="318">
        <f t="shared" si="670"/>
        <v>388.9604984619703</v>
      </c>
    </row>
    <row r="215" spans="2:88">
      <c r="B215" s="313" t="s">
        <v>350</v>
      </c>
      <c r="C215" s="313"/>
      <c r="D215" s="313"/>
      <c r="E215" s="313"/>
      <c r="F215" s="313"/>
      <c r="G215" s="313"/>
      <c r="H215" s="313"/>
      <c r="I215" s="313"/>
      <c r="J215" s="313"/>
      <c r="K215" s="313"/>
      <c r="L215" s="313"/>
      <c r="M215" s="313"/>
      <c r="N215" s="313"/>
      <c r="O215" s="313"/>
      <c r="P215" s="313"/>
      <c r="Q215" s="313"/>
      <c r="R215" s="313"/>
      <c r="S215" s="313"/>
      <c r="T215" s="313"/>
      <c r="U215" s="313"/>
      <c r="V215" s="313"/>
      <c r="W215" s="313"/>
      <c r="X215" s="313"/>
      <c r="Y215" s="313"/>
      <c r="Z215" s="313"/>
      <c r="AA215" s="313"/>
      <c r="AB215" s="313"/>
      <c r="AC215" s="313"/>
      <c r="AD215" s="313"/>
      <c r="AE215" s="313"/>
      <c r="AF215" s="313"/>
      <c r="AG215" s="313"/>
      <c r="AH215" s="313"/>
      <c r="AI215" s="313"/>
      <c r="AJ215" s="313"/>
      <c r="AK215" s="313"/>
      <c r="AL215" s="313"/>
      <c r="AM215" s="313"/>
      <c r="AN215" s="313"/>
      <c r="AO215" s="313"/>
      <c r="AP215" s="313"/>
      <c r="AQ215" s="315"/>
      <c r="AR215" s="315"/>
      <c r="AS215" s="315"/>
      <c r="AT215" s="315"/>
      <c r="AU215" s="315"/>
      <c r="AV215" s="315"/>
      <c r="AW215" s="315"/>
      <c r="AX215" s="315"/>
      <c r="AY215" s="315"/>
      <c r="AZ215" s="315"/>
      <c r="BA215" s="315"/>
      <c r="BB215" s="315"/>
      <c r="BC215" s="315"/>
      <c r="BD215" s="315"/>
      <c r="BE215" s="315"/>
      <c r="BF215" s="315"/>
      <c r="BG215" s="315"/>
      <c r="BH215" s="315"/>
      <c r="BI215" s="315"/>
      <c r="BJ215" s="315"/>
      <c r="BK215" s="315"/>
      <c r="BL215" s="315"/>
      <c r="BM215" s="315"/>
      <c r="BN215" s="315"/>
      <c r="BO215" s="315"/>
      <c r="BP215" s="315"/>
      <c r="BQ215" s="315"/>
      <c r="BR215" s="315"/>
      <c r="BS215" s="315"/>
      <c r="BT215" s="315"/>
      <c r="BU215" s="315"/>
      <c r="BV215" s="315"/>
      <c r="BW215" s="315">
        <f t="shared" ref="BW215:CJ215" si="671">CHOOSE($BW$3,BW16,BW17,BW18)</f>
        <v>0</v>
      </c>
      <c r="BX215" s="315">
        <f t="shared" si="671"/>
        <v>0</v>
      </c>
      <c r="BY215" s="315">
        <f t="shared" si="671"/>
        <v>8.0000000000000016E-2</v>
      </c>
      <c r="BZ215" s="315">
        <f t="shared" si="671"/>
        <v>0.29749999999999999</v>
      </c>
      <c r="CA215" s="315">
        <f t="shared" si="671"/>
        <v>0.51</v>
      </c>
      <c r="CB215" s="315">
        <f t="shared" si="671"/>
        <v>0.63749999999999996</v>
      </c>
      <c r="CC215" s="315">
        <f t="shared" si="671"/>
        <v>0.72249999999999992</v>
      </c>
      <c r="CD215" s="315">
        <f t="shared" si="671"/>
        <v>0.76500000000000001</v>
      </c>
      <c r="CE215" s="315">
        <f t="shared" si="671"/>
        <v>0.78625</v>
      </c>
      <c r="CF215" s="315">
        <f t="shared" si="671"/>
        <v>0.8075</v>
      </c>
      <c r="CG215" s="315">
        <f t="shared" si="671"/>
        <v>0.8075</v>
      </c>
      <c r="CH215" s="315">
        <f t="shared" si="671"/>
        <v>0.8075</v>
      </c>
      <c r="CI215" s="315">
        <f t="shared" si="671"/>
        <v>0.8075</v>
      </c>
      <c r="CJ215" s="315">
        <f t="shared" si="671"/>
        <v>0.8075</v>
      </c>
    </row>
    <row r="216" spans="2:88">
      <c r="B216" s="319"/>
      <c r="C216" s="319"/>
      <c r="D216" s="319"/>
      <c r="E216" s="319"/>
      <c r="F216" s="319"/>
      <c r="G216" s="319"/>
      <c r="H216" s="319"/>
      <c r="I216" s="319"/>
      <c r="J216" s="319"/>
      <c r="K216" s="319"/>
      <c r="L216" s="319"/>
      <c r="M216" s="319"/>
      <c r="N216" s="319"/>
      <c r="O216" s="319"/>
      <c r="P216" s="319"/>
      <c r="Q216" s="319"/>
      <c r="R216" s="319"/>
      <c r="S216" s="319"/>
      <c r="T216" s="319"/>
      <c r="U216" s="319"/>
      <c r="V216" s="319"/>
      <c r="W216" s="319"/>
      <c r="X216" s="319"/>
      <c r="Y216" s="319"/>
      <c r="Z216" s="319"/>
      <c r="AA216" s="319"/>
      <c r="AB216" s="319"/>
      <c r="AC216" s="319"/>
      <c r="AD216" s="319"/>
      <c r="AE216" s="319"/>
      <c r="AF216" s="319"/>
      <c r="AG216" s="319"/>
      <c r="AH216" s="319"/>
      <c r="AI216" s="319"/>
      <c r="AJ216" s="319"/>
      <c r="AK216" s="319"/>
      <c r="AL216" s="319"/>
      <c r="AM216" s="319"/>
      <c r="AN216" s="319"/>
      <c r="AO216" s="319"/>
      <c r="AP216" s="319"/>
      <c r="AQ216" s="320"/>
      <c r="AR216" s="320"/>
      <c r="AS216" s="320"/>
      <c r="AT216" s="320"/>
      <c r="AU216" s="320"/>
      <c r="AV216" s="320"/>
      <c r="AW216" s="320"/>
      <c r="AX216" s="320"/>
      <c r="AY216" s="320"/>
      <c r="AZ216" s="320"/>
      <c r="BA216" s="320"/>
      <c r="BB216" s="320"/>
      <c r="BC216" s="320"/>
      <c r="BD216" s="320"/>
      <c r="BE216" s="320"/>
      <c r="BF216" s="320"/>
      <c r="BG216" s="320"/>
      <c r="BH216" s="320"/>
      <c r="BI216" s="320"/>
      <c r="BJ216" s="320"/>
      <c r="BK216" s="320"/>
      <c r="BL216" s="320"/>
      <c r="BM216" s="320"/>
      <c r="BN216" s="320"/>
      <c r="BO216" s="320"/>
      <c r="BP216" s="320"/>
      <c r="BQ216" s="320"/>
      <c r="BR216" s="320"/>
      <c r="BS216" s="320"/>
      <c r="BT216" s="320"/>
      <c r="BU216" s="320"/>
      <c r="BV216" s="320"/>
      <c r="BW216" s="320"/>
      <c r="BX216" s="320"/>
      <c r="BY216" s="320"/>
      <c r="BZ216" s="320"/>
      <c r="CA216" s="320"/>
      <c r="CB216" s="320"/>
      <c r="CC216" s="320"/>
      <c r="CD216" s="320"/>
      <c r="CE216" s="320"/>
      <c r="CF216" s="320"/>
      <c r="CG216" s="320"/>
      <c r="CH216" s="320"/>
      <c r="CI216" s="320"/>
      <c r="CJ216" s="320"/>
    </row>
    <row r="217" spans="2:88">
      <c r="B217" s="319" t="s">
        <v>355</v>
      </c>
      <c r="C217" s="319"/>
      <c r="D217" s="319"/>
      <c r="E217" s="319"/>
      <c r="F217" s="319"/>
      <c r="G217" s="319"/>
      <c r="H217" s="319"/>
      <c r="I217" s="319"/>
      <c r="J217" s="319"/>
      <c r="K217" s="319"/>
      <c r="L217" s="319"/>
      <c r="M217" s="319"/>
      <c r="N217" s="319"/>
      <c r="O217" s="319"/>
      <c r="P217" s="319"/>
      <c r="Q217" s="319"/>
      <c r="R217" s="319"/>
      <c r="S217" s="319"/>
      <c r="T217" s="319"/>
      <c r="U217" s="319"/>
      <c r="V217" s="319"/>
      <c r="W217" s="319"/>
      <c r="X217" s="319"/>
      <c r="Y217" s="319"/>
      <c r="Z217" s="319"/>
      <c r="AA217" s="319"/>
      <c r="AB217" s="319"/>
      <c r="AC217" s="319"/>
      <c r="AD217" s="319"/>
      <c r="AE217" s="319"/>
      <c r="AF217" s="319"/>
      <c r="AG217" s="319"/>
      <c r="AH217" s="319"/>
      <c r="AI217" s="319"/>
      <c r="AJ217" s="319"/>
      <c r="AK217" s="319"/>
      <c r="AL217" s="319"/>
      <c r="AM217" s="319"/>
      <c r="AN217" s="319"/>
      <c r="AO217" s="319"/>
      <c r="AP217" s="319"/>
      <c r="AQ217" s="321"/>
      <c r="AR217" s="321"/>
      <c r="AS217" s="321"/>
      <c r="AT217" s="321"/>
      <c r="AU217" s="321"/>
      <c r="AV217" s="321"/>
      <c r="AW217" s="321"/>
      <c r="AX217" s="321"/>
      <c r="AY217" s="321"/>
      <c r="AZ217" s="321"/>
      <c r="BA217" s="321"/>
      <c r="BB217" s="321"/>
      <c r="BC217" s="321"/>
      <c r="BD217" s="321"/>
      <c r="BE217" s="321"/>
      <c r="BF217" s="321"/>
      <c r="BG217" s="321"/>
      <c r="BH217" s="321"/>
      <c r="BI217" s="321"/>
      <c r="BJ217" s="321"/>
      <c r="BK217" s="321"/>
      <c r="BL217" s="321"/>
      <c r="BM217" s="321"/>
      <c r="BN217" s="321"/>
      <c r="BO217" s="321"/>
      <c r="BP217" s="321"/>
      <c r="BQ217" s="321"/>
      <c r="BR217" s="321"/>
      <c r="BS217" s="321"/>
      <c r="BT217" s="321"/>
      <c r="BU217" s="321"/>
      <c r="BV217" s="321"/>
      <c r="BW217" s="321"/>
      <c r="BX217" s="321">
        <f>BW214</f>
        <v>0</v>
      </c>
      <c r="BY217" s="321">
        <f t="shared" ref="BY217" si="672">BX217+BX214</f>
        <v>0</v>
      </c>
      <c r="BZ217" s="321">
        <f t="shared" ref="BZ217" si="673">BY217+BY214</f>
        <v>34.165693659537524</v>
      </c>
      <c r="CA217" s="321">
        <f t="shared" ref="CA217" si="674">BZ217+BZ214</f>
        <v>162.6169573622031</v>
      </c>
      <c r="CB217" s="321">
        <f t="shared" ref="CB217" si="675">CA217+CA214</f>
        <v>385.24134753945151</v>
      </c>
      <c r="CC217" s="321">
        <f t="shared" ref="CC217" si="676">CB217+CB214</f>
        <v>666.5829206259491</v>
      </c>
      <c r="CD217" s="321">
        <f t="shared" ref="CD217" si="677">CC217+CC214</f>
        <v>988.94409506845795</v>
      </c>
      <c r="CE217" s="321">
        <f t="shared" ref="CE217" si="678">CD217+CD214</f>
        <v>1334.0222510981507</v>
      </c>
      <c r="CF217" s="321">
        <f t="shared" ref="CF217" si="679">CE217+CE214</f>
        <v>1692.5872117260042</v>
      </c>
      <c r="CG217" s="321">
        <f t="shared" ref="CG217" si="680">CF217+CF214</f>
        <v>2064.893932196298</v>
      </c>
      <c r="CH217" s="321">
        <f t="shared" ref="CH217" si="681">CG217+CG214</f>
        <v>2441.296026591765</v>
      </c>
      <c r="CI217" s="321">
        <f t="shared" ref="CI217" si="682">CH217+CH214</f>
        <v>2821.838544025582</v>
      </c>
      <c r="CJ217" s="321">
        <f t="shared" ref="CJ217" si="683">CI217+CI214</f>
        <v>3206.567029151171</v>
      </c>
    </row>
    <row r="218" spans="2:88" hidden="1" outlineLevel="1">
      <c r="B218" s="319"/>
      <c r="C218" s="319"/>
      <c r="D218" s="319"/>
      <c r="E218" s="319"/>
      <c r="F218" s="319"/>
      <c r="G218" s="319"/>
      <c r="H218" s="319"/>
      <c r="I218" s="319"/>
      <c r="J218" s="319"/>
      <c r="K218" s="319"/>
      <c r="L218" s="319"/>
      <c r="M218" s="319"/>
      <c r="N218" s="319"/>
      <c r="O218" s="319"/>
      <c r="P218" s="319"/>
      <c r="Q218" s="319"/>
      <c r="R218" s="319"/>
      <c r="S218" s="319"/>
      <c r="T218" s="319"/>
      <c r="U218" s="319"/>
      <c r="V218" s="319"/>
      <c r="W218" s="319"/>
      <c r="X218" s="319"/>
      <c r="Y218" s="319"/>
      <c r="Z218" s="319"/>
      <c r="AA218" s="319"/>
      <c r="AB218" s="319"/>
      <c r="AC218" s="319"/>
      <c r="AD218" s="319"/>
      <c r="AE218" s="319"/>
      <c r="AF218" s="319"/>
      <c r="AG218" s="319"/>
      <c r="AH218" s="319"/>
      <c r="AI218" s="319"/>
      <c r="AJ218" s="319"/>
      <c r="AK218" s="319"/>
      <c r="AL218" s="319"/>
      <c r="AM218" s="319"/>
      <c r="AN218" s="319"/>
      <c r="AO218" s="319"/>
      <c r="AP218" s="319"/>
      <c r="AQ218" s="320"/>
      <c r="AR218" s="320"/>
      <c r="AS218" s="320"/>
      <c r="AT218" s="320"/>
      <c r="AU218" s="320"/>
      <c r="AV218" s="320"/>
      <c r="AW218" s="320"/>
      <c r="AX218" s="320"/>
      <c r="AY218" s="320"/>
      <c r="AZ218" s="320"/>
      <c r="BA218" s="320"/>
      <c r="BB218" s="320"/>
      <c r="BC218" s="320"/>
      <c r="BD218" s="320"/>
      <c r="BE218" s="320"/>
      <c r="BF218" s="320"/>
      <c r="BG218" s="320"/>
      <c r="BH218" s="320"/>
      <c r="BI218" s="320"/>
      <c r="BJ218" s="320"/>
      <c r="BK218" s="320"/>
      <c r="BL218" s="320"/>
      <c r="BM218" s="320"/>
      <c r="BN218" s="320"/>
      <c r="BO218" s="320"/>
      <c r="BP218" s="320"/>
      <c r="BQ218" s="320"/>
      <c r="BR218" s="320"/>
      <c r="BS218" s="320"/>
      <c r="BT218" s="320"/>
      <c r="BU218" s="320"/>
      <c r="BV218" s="320"/>
      <c r="BW218" s="320"/>
      <c r="BX218" s="320"/>
      <c r="BY218" s="320"/>
      <c r="BZ218" s="320"/>
      <c r="CA218" s="320"/>
      <c r="CB218" s="320"/>
      <c r="CC218" s="320"/>
      <c r="CD218" s="320"/>
      <c r="CE218" s="320"/>
      <c r="CF218" s="320"/>
      <c r="CG218" s="320"/>
      <c r="CH218" s="320"/>
      <c r="CI218" s="320"/>
      <c r="CJ218" s="320"/>
    </row>
    <row r="219" spans="2:88" hidden="1" outlineLevel="1">
      <c r="B219" s="319" t="s">
        <v>351</v>
      </c>
      <c r="C219" s="319"/>
      <c r="D219" s="319"/>
      <c r="E219" s="319"/>
      <c r="F219" s="319"/>
      <c r="G219" s="319"/>
      <c r="H219" s="319"/>
      <c r="I219" s="319"/>
      <c r="J219" s="319"/>
      <c r="K219" s="319"/>
      <c r="L219" s="319"/>
      <c r="M219" s="319"/>
      <c r="N219" s="319"/>
      <c r="O219" s="319"/>
      <c r="P219" s="319"/>
      <c r="Q219" s="319"/>
      <c r="R219" s="319"/>
      <c r="S219" s="319"/>
      <c r="T219" s="319"/>
      <c r="U219" s="319"/>
      <c r="V219" s="319"/>
      <c r="W219" s="319"/>
      <c r="X219" s="319"/>
      <c r="Y219" s="319"/>
      <c r="Z219" s="319"/>
      <c r="AA219" s="319"/>
      <c r="AB219" s="319"/>
      <c r="AC219" s="319"/>
      <c r="AD219" s="319"/>
      <c r="AE219" s="319"/>
      <c r="AF219" s="319"/>
      <c r="AG219" s="319"/>
      <c r="AH219" s="319"/>
      <c r="AI219" s="319"/>
      <c r="AJ219" s="319"/>
      <c r="AK219" s="319"/>
      <c r="AL219" s="319"/>
      <c r="AM219" s="319"/>
      <c r="AN219" s="319"/>
      <c r="AO219" s="319"/>
      <c r="AP219" s="319"/>
      <c r="AQ219" s="321"/>
      <c r="AR219" s="321"/>
      <c r="AS219" s="321"/>
      <c r="AT219" s="321"/>
      <c r="AU219" s="321"/>
      <c r="AV219" s="321"/>
      <c r="AW219" s="321"/>
      <c r="AX219" s="321"/>
      <c r="AY219" s="321"/>
      <c r="AZ219" s="321"/>
      <c r="BA219" s="321"/>
      <c r="BB219" s="321"/>
      <c r="BC219" s="321"/>
      <c r="BD219" s="321"/>
      <c r="BE219" s="321"/>
      <c r="BF219" s="321"/>
      <c r="BG219" s="321"/>
      <c r="BH219" s="321"/>
      <c r="BI219" s="321"/>
      <c r="BJ219" s="321"/>
      <c r="BK219" s="321"/>
      <c r="BL219" s="321"/>
      <c r="BM219" s="321"/>
      <c r="BN219" s="321"/>
      <c r="BO219" s="321"/>
      <c r="BP219" s="321"/>
      <c r="BQ219" s="321"/>
      <c r="BR219" s="321"/>
      <c r="BS219" s="321"/>
      <c r="BT219" s="321"/>
      <c r="BU219" s="321"/>
      <c r="BV219" s="321"/>
      <c r="BW219" s="321">
        <f t="shared" ref="BW219:CC219" si="684">BR217*BW220</f>
        <v>0</v>
      </c>
      <c r="BX219" s="321">
        <f t="shared" si="684"/>
        <v>0</v>
      </c>
      <c r="BY219" s="321">
        <f t="shared" si="684"/>
        <v>0</v>
      </c>
      <c r="BZ219" s="321">
        <f t="shared" si="684"/>
        <v>0</v>
      </c>
      <c r="CA219" s="321">
        <f t="shared" si="684"/>
        <v>0</v>
      </c>
      <c r="CB219" s="321">
        <f t="shared" si="684"/>
        <v>0</v>
      </c>
      <c r="CC219" s="321">
        <f t="shared" si="684"/>
        <v>0</v>
      </c>
      <c r="CD219" s="321">
        <f t="shared" ref="CD219:CJ219" si="685">BY217*CD220*0.75</f>
        <v>0</v>
      </c>
      <c r="CE219" s="321">
        <f t="shared" si="685"/>
        <v>0</v>
      </c>
      <c r="CF219" s="321">
        <f t="shared" si="685"/>
        <v>0</v>
      </c>
      <c r="CG219" s="321">
        <f t="shared" si="685"/>
        <v>0</v>
      </c>
      <c r="CH219" s="321">
        <f t="shared" si="685"/>
        <v>0</v>
      </c>
      <c r="CI219" s="321">
        <f t="shared" si="685"/>
        <v>0</v>
      </c>
      <c r="CJ219" s="321">
        <f t="shared" si="685"/>
        <v>0</v>
      </c>
    </row>
    <row r="220" spans="2:88" hidden="1" outlineLevel="1">
      <c r="B220" s="323" t="s">
        <v>350</v>
      </c>
      <c r="C220" s="323"/>
      <c r="D220" s="323"/>
      <c r="E220" s="323"/>
      <c r="F220" s="323"/>
      <c r="G220" s="323"/>
      <c r="H220" s="323"/>
      <c r="I220" s="323"/>
      <c r="J220" s="323"/>
      <c r="K220" s="323"/>
      <c r="L220" s="323"/>
      <c r="M220" s="323"/>
      <c r="N220" s="323"/>
      <c r="O220" s="323"/>
      <c r="P220" s="323"/>
      <c r="Q220" s="323"/>
      <c r="R220" s="323"/>
      <c r="S220" s="323"/>
      <c r="T220" s="323"/>
      <c r="U220" s="323"/>
      <c r="V220" s="323"/>
      <c r="W220" s="323"/>
      <c r="X220" s="323"/>
      <c r="Y220" s="323"/>
      <c r="Z220" s="323"/>
      <c r="AA220" s="323"/>
      <c r="AB220" s="323"/>
      <c r="AC220" s="323"/>
      <c r="AD220" s="323"/>
      <c r="AE220" s="323"/>
      <c r="AF220" s="323"/>
      <c r="AG220" s="323"/>
      <c r="AH220" s="323"/>
      <c r="AI220" s="323"/>
      <c r="AJ220" s="323"/>
      <c r="AK220" s="323"/>
      <c r="AL220" s="323"/>
      <c r="AM220" s="323"/>
      <c r="AN220" s="323"/>
      <c r="AO220" s="323"/>
      <c r="AP220" s="323"/>
      <c r="AQ220" s="324"/>
      <c r="AR220" s="324"/>
      <c r="AS220" s="324"/>
      <c r="AT220" s="324"/>
      <c r="AU220" s="324"/>
      <c r="AV220" s="324"/>
      <c r="AW220" s="324"/>
      <c r="AX220" s="324"/>
      <c r="AY220" s="324"/>
      <c r="AZ220" s="324"/>
      <c r="BA220" s="324"/>
      <c r="BB220" s="324"/>
      <c r="BC220" s="324"/>
      <c r="BD220" s="324"/>
      <c r="BE220" s="324"/>
      <c r="BF220" s="324"/>
      <c r="BG220" s="324"/>
      <c r="BH220" s="324"/>
      <c r="BI220" s="324"/>
      <c r="BJ220" s="324"/>
      <c r="BK220" s="324"/>
      <c r="BL220" s="324"/>
      <c r="BM220" s="324"/>
      <c r="BN220" s="324"/>
      <c r="BO220" s="324"/>
      <c r="BP220" s="324"/>
      <c r="BQ220" s="324"/>
      <c r="BR220" s="324"/>
      <c r="BS220" s="324"/>
      <c r="BT220" s="324"/>
      <c r="BU220" s="324"/>
      <c r="BV220" s="324"/>
      <c r="BW220" s="324">
        <f>CHOOSE($BW$3,BW21,BW22,BW23)</f>
        <v>0</v>
      </c>
      <c r="BX220" s="324">
        <f t="shared" ref="BX220:CC220" si="686">BX112</f>
        <v>0</v>
      </c>
      <c r="BY220" s="324">
        <f t="shared" si="686"/>
        <v>0</v>
      </c>
      <c r="BZ220" s="324">
        <f t="shared" si="686"/>
        <v>0</v>
      </c>
      <c r="CA220" s="324">
        <f t="shared" si="686"/>
        <v>0</v>
      </c>
      <c r="CB220" s="324">
        <f t="shared" si="686"/>
        <v>0</v>
      </c>
      <c r="CC220" s="324">
        <f t="shared" si="686"/>
        <v>0</v>
      </c>
      <c r="CD220" s="324">
        <v>0</v>
      </c>
      <c r="CE220" s="324">
        <f>CD220</f>
        <v>0</v>
      </c>
      <c r="CF220" s="324">
        <f t="shared" ref="CF220:CJ220" si="687">CE220</f>
        <v>0</v>
      </c>
      <c r="CG220" s="324">
        <f t="shared" si="687"/>
        <v>0</v>
      </c>
      <c r="CH220" s="324">
        <f t="shared" si="687"/>
        <v>0</v>
      </c>
      <c r="CI220" s="324">
        <f t="shared" si="687"/>
        <v>0</v>
      </c>
      <c r="CJ220" s="324">
        <f t="shared" si="687"/>
        <v>0</v>
      </c>
    </row>
    <row r="221" spans="2:88" collapsed="1">
      <c r="B221" s="317"/>
      <c r="C221" s="317"/>
      <c r="D221" s="317"/>
      <c r="E221" s="317"/>
      <c r="F221" s="317"/>
      <c r="G221" s="317"/>
      <c r="H221" s="317"/>
      <c r="I221" s="317"/>
      <c r="J221" s="317"/>
      <c r="K221" s="317"/>
      <c r="L221" s="317"/>
      <c r="M221" s="317"/>
      <c r="N221" s="317"/>
      <c r="O221" s="317"/>
      <c r="P221" s="317"/>
      <c r="Q221" s="317"/>
      <c r="R221" s="317"/>
      <c r="S221" s="317"/>
      <c r="T221" s="317"/>
      <c r="U221" s="317"/>
      <c r="V221" s="317"/>
      <c r="W221" s="317"/>
      <c r="X221" s="317"/>
      <c r="Y221" s="317"/>
      <c r="Z221" s="317"/>
      <c r="AA221" s="317"/>
      <c r="AB221" s="317"/>
      <c r="AC221" s="317"/>
      <c r="AD221" s="317"/>
      <c r="AE221" s="317"/>
      <c r="AF221" s="317"/>
      <c r="AG221" s="317"/>
      <c r="AH221" s="317"/>
      <c r="AI221" s="317"/>
      <c r="AJ221" s="317"/>
      <c r="AK221" s="317"/>
      <c r="AL221" s="317"/>
      <c r="AM221" s="317"/>
      <c r="AN221" s="317"/>
      <c r="AO221" s="317"/>
      <c r="AP221" s="317"/>
      <c r="AQ221" s="330"/>
      <c r="AR221" s="330"/>
      <c r="AS221" s="330"/>
      <c r="AT221" s="330"/>
      <c r="AU221" s="330"/>
      <c r="AV221" s="330"/>
      <c r="AW221" s="330"/>
      <c r="AX221" s="330"/>
      <c r="AY221" s="330"/>
      <c r="AZ221" s="330"/>
      <c r="BA221" s="330"/>
      <c r="BB221" s="330"/>
      <c r="BC221" s="330"/>
      <c r="BD221" s="330"/>
      <c r="BE221" s="330"/>
      <c r="BF221" s="330"/>
      <c r="BG221" s="330"/>
      <c r="BH221" s="330"/>
      <c r="BI221" s="330"/>
      <c r="BJ221" s="330"/>
      <c r="BK221" s="330"/>
      <c r="BL221" s="330"/>
      <c r="BM221" s="330"/>
      <c r="BN221" s="330"/>
      <c r="BO221" s="330"/>
      <c r="BP221" s="330"/>
      <c r="BQ221" s="330"/>
      <c r="BR221" s="330"/>
      <c r="BS221" s="330"/>
      <c r="BT221" s="330"/>
      <c r="BU221" s="330"/>
      <c r="BV221" s="330"/>
      <c r="BW221" s="330"/>
      <c r="BX221" s="330"/>
      <c r="BY221" s="330"/>
      <c r="BZ221" s="330"/>
      <c r="CA221" s="330"/>
      <c r="CB221" s="330"/>
      <c r="CC221" s="330"/>
      <c r="CD221" s="330"/>
      <c r="CE221" s="330"/>
      <c r="CF221" s="330"/>
      <c r="CG221" s="330"/>
      <c r="CH221" s="330"/>
      <c r="CI221" s="330"/>
      <c r="CJ221" s="330"/>
    </row>
    <row r="222" spans="2:88">
      <c r="B222" s="316" t="s">
        <v>335</v>
      </c>
      <c r="C222" s="316"/>
      <c r="D222" s="316"/>
      <c r="E222" s="316"/>
      <c r="F222" s="316"/>
      <c r="G222" s="316"/>
      <c r="H222" s="316"/>
      <c r="I222" s="316"/>
      <c r="J222" s="316"/>
      <c r="K222" s="316"/>
      <c r="L222" s="316"/>
      <c r="M222" s="316"/>
      <c r="N222" s="316"/>
      <c r="O222" s="316"/>
      <c r="P222" s="316"/>
      <c r="Q222" s="316"/>
      <c r="R222" s="316"/>
      <c r="S222" s="316"/>
      <c r="T222" s="316"/>
      <c r="U222" s="316"/>
      <c r="V222" s="316"/>
      <c r="W222" s="316"/>
      <c r="X222" s="316"/>
      <c r="Y222" s="316"/>
      <c r="Z222" s="316"/>
      <c r="AA222" s="316"/>
      <c r="AB222" s="316"/>
      <c r="AC222" s="316"/>
      <c r="AD222" s="316"/>
      <c r="AE222" s="316"/>
      <c r="AF222" s="316"/>
      <c r="AG222" s="316"/>
      <c r="AH222" s="316"/>
      <c r="AI222" s="316"/>
      <c r="AJ222" s="316"/>
      <c r="AK222" s="316"/>
      <c r="AL222" s="316"/>
      <c r="AM222" s="316"/>
      <c r="AN222" s="316"/>
      <c r="AO222" s="316"/>
      <c r="AP222" s="316"/>
      <c r="AQ222" s="310"/>
      <c r="AR222" s="310"/>
      <c r="AS222" s="310"/>
      <c r="AT222" s="310"/>
      <c r="AU222" s="310"/>
      <c r="AV222" s="310"/>
      <c r="AW222" s="310"/>
      <c r="AX222" s="310"/>
      <c r="AY222" s="310"/>
      <c r="AZ222" s="310"/>
      <c r="BA222" s="310"/>
      <c r="BB222" s="310"/>
      <c r="BC222" s="310"/>
      <c r="BD222" s="310"/>
      <c r="BE222" s="310"/>
      <c r="BF222" s="310"/>
      <c r="BG222" s="310"/>
      <c r="BH222" s="310"/>
      <c r="BI222" s="310"/>
      <c r="BJ222" s="310"/>
      <c r="BK222" s="310"/>
      <c r="BL222" s="310"/>
      <c r="BM222" s="310"/>
      <c r="BN222" s="310"/>
      <c r="BO222" s="310"/>
      <c r="BP222" s="310"/>
      <c r="BQ222" s="310"/>
      <c r="BR222" s="310"/>
      <c r="BS222" s="310"/>
      <c r="BT222" s="310"/>
      <c r="BU222" s="310"/>
      <c r="BV222" s="310"/>
      <c r="BW222" s="310"/>
      <c r="BX222" s="310"/>
      <c r="BY222" s="310"/>
      <c r="BZ222" s="310"/>
      <c r="CA222" s="310"/>
      <c r="CB222" s="310"/>
      <c r="CC222" s="310"/>
      <c r="CD222" s="310"/>
      <c r="CE222" s="310"/>
      <c r="CF222" s="310"/>
      <c r="CG222" s="310"/>
      <c r="CH222" s="310"/>
      <c r="CI222" s="310"/>
      <c r="CJ222" s="310"/>
    </row>
    <row r="223" spans="2:88">
      <c r="B223" s="317" t="s">
        <v>360</v>
      </c>
      <c r="C223" s="317"/>
      <c r="D223" s="317"/>
      <c r="E223" s="317"/>
      <c r="F223" s="317"/>
      <c r="G223" s="317"/>
      <c r="H223" s="317"/>
      <c r="I223" s="317"/>
      <c r="J223" s="317"/>
      <c r="K223" s="317"/>
      <c r="L223" s="317"/>
      <c r="M223" s="317"/>
      <c r="N223" s="317"/>
      <c r="O223" s="317"/>
      <c r="P223" s="317"/>
      <c r="Q223" s="317"/>
      <c r="R223" s="317"/>
      <c r="S223" s="317"/>
      <c r="T223" s="317"/>
      <c r="U223" s="317"/>
      <c r="V223" s="317"/>
      <c r="W223" s="317"/>
      <c r="X223" s="317"/>
      <c r="Y223" s="317"/>
      <c r="Z223" s="317"/>
      <c r="AA223" s="317"/>
      <c r="AB223" s="317"/>
      <c r="AC223" s="317"/>
      <c r="AD223" s="317"/>
      <c r="AE223" s="317"/>
      <c r="AF223" s="317"/>
      <c r="AG223" s="318">
        <v>0</v>
      </c>
      <c r="AH223" s="318">
        <f t="shared" ref="AH223:AR223" si="688">AG229</f>
        <v>118.7577397521662</v>
      </c>
      <c r="AI223" s="318">
        <f t="shared" si="688"/>
        <v>232.88392765399792</v>
      </c>
      <c r="AJ223" s="318">
        <f t="shared" si="688"/>
        <v>342.62451098452186</v>
      </c>
      <c r="AK223" s="318">
        <f t="shared" si="688"/>
        <v>448.21329772536507</v>
      </c>
      <c r="AL223" s="318">
        <f t="shared" si="688"/>
        <v>549.87256526435681</v>
      </c>
      <c r="AM223" s="318">
        <f t="shared" si="688"/>
        <v>647.81363868307687</v>
      </c>
      <c r="AN223" s="318">
        <f t="shared" si="688"/>
        <v>742.23744014936221</v>
      </c>
      <c r="AO223" s="318">
        <f t="shared" si="688"/>
        <v>833.33501085973808</v>
      </c>
      <c r="AP223" s="318">
        <f t="shared" si="688"/>
        <v>921.28800690449157</v>
      </c>
      <c r="AQ223" s="318">
        <f t="shared" si="688"/>
        <v>1006.2691703594724</v>
      </c>
      <c r="AR223" s="318">
        <f t="shared" si="688"/>
        <v>1088.4427768435064</v>
      </c>
      <c r="AS223" s="318">
        <f t="shared" ref="AS223" si="689">AR229</f>
        <v>1167.9650607183607</v>
      </c>
      <c r="AT223" s="318">
        <f t="shared" ref="AT223" si="690">AS229</f>
        <v>1244.9846190493597</v>
      </c>
      <c r="AU223" s="318">
        <f t="shared" ref="AU223" si="691">AT229</f>
        <v>1319.6427953888449</v>
      </c>
      <c r="AV223" s="318">
        <f t="shared" ref="AV223" si="692">AU229</f>
        <v>1392.0740443915672</v>
      </c>
      <c r="AW223" s="318">
        <f t="shared" ref="AW223" si="693">AV229</f>
        <v>1462.4062782206472</v>
      </c>
      <c r="AX223" s="318">
        <f t="shared" ref="AX223" si="694">AW229</f>
        <v>1530.7611956548085</v>
      </c>
      <c r="AY223" s="318">
        <f t="shared" ref="AY223" si="695">AX229</f>
        <v>1597.2545947620588</v>
      </c>
      <c r="AZ223" s="318">
        <f t="shared" ref="AZ223" si="696">AY229</f>
        <v>1661.9966699617364</v>
      </c>
      <c r="BA223" s="318">
        <f t="shared" ref="BA223" si="697">AZ229</f>
        <v>1725.0922942557459</v>
      </c>
      <c r="BB223" s="318">
        <f t="shared" ref="BB223" si="698">BA229</f>
        <v>1786.6412873707677</v>
      </c>
      <c r="BC223" s="318">
        <f t="shared" ref="BC223" si="699">BB229</f>
        <v>1846.7386705161443</v>
      </c>
      <c r="BD223" s="318">
        <f t="shared" ref="BD223" si="700">BC229</f>
        <v>1905.4749084269054</v>
      </c>
      <c r="BE223" s="318">
        <f t="shared" ref="BE223" si="701">BD229</f>
        <v>1962.9361393279305</v>
      </c>
      <c r="BF223" s="318">
        <f t="shared" ref="BF223" si="702">BE229</f>
        <v>2019.2043934234503</v>
      </c>
      <c r="BG223" s="318">
        <f t="shared" ref="BG223" si="703">BF229</f>
        <v>2074.357800485875</v>
      </c>
      <c r="BH223" s="318">
        <f t="shared" ref="BH223" si="704">BG229</f>
        <v>2128.470787089248</v>
      </c>
      <c r="BI223" s="318">
        <f t="shared" ref="BI223" si="705">BH229</f>
        <v>2181.6142640053567</v>
      </c>
      <c r="BJ223" s="318">
        <f t="shared" ref="BJ223" si="706">BI229</f>
        <v>2233.8558042546365</v>
      </c>
      <c r="BK223" s="318">
        <f t="shared" ref="BK223" si="707">BJ229</f>
        <v>2285.2598122793975</v>
      </c>
      <c r="BL223" s="318">
        <f>BK229</f>
        <v>2335.8876846835324</v>
      </c>
      <c r="BM223" s="318">
        <f>BL229</f>
        <v>2385.7979629606598</v>
      </c>
      <c r="BN223" s="318">
        <f t="shared" ref="BN223" si="708">BM229</f>
        <v>2435.0464786115554</v>
      </c>
      <c r="BO223" s="318">
        <f t="shared" ref="BO223" si="709">BN229</f>
        <v>2483.686491031694</v>
      </c>
      <c r="BP223" s="318">
        <f t="shared" ref="BP223" si="710">BO229</f>
        <v>2531.7688185306838</v>
      </c>
      <c r="BQ223" s="318">
        <f t="shared" ref="BQ223" si="711">BP229</f>
        <v>2579.3419628272804</v>
      </c>
      <c r="BR223" s="318">
        <f t="shared" ref="BR223" si="712">BQ229</f>
        <v>2626.4522273465013</v>
      </c>
      <c r="BS223" s="318">
        <f t="shared" ref="BS223" si="713">BR229</f>
        <v>2673.143829629028</v>
      </c>
      <c r="BT223" s="318">
        <f t="shared" ref="BT223" si="714">BS229</f>
        <v>2719.4590081475767</v>
      </c>
      <c r="BU223" s="318">
        <f t="shared" ref="BU223" si="715">BT229</f>
        <v>2765.4381238101978</v>
      </c>
      <c r="BV223" s="318">
        <f t="shared" ref="BV223" si="716">BU229</f>
        <v>2811.1197564164577</v>
      </c>
      <c r="BW223" s="318">
        <f t="shared" ref="BW223" si="717">BV229</f>
        <v>2856.5407963191692</v>
      </c>
      <c r="BX223" s="318">
        <f t="shared" ref="BX223" si="718">BW229</f>
        <v>2901.7365315317043</v>
      </c>
      <c r="BY223" s="318">
        <f t="shared" ref="BY223" si="719">BX229</f>
        <v>2946.7407305089255</v>
      </c>
      <c r="BZ223" s="318">
        <f t="shared" ref="BZ223" si="720">BY229</f>
        <v>2991.5857208183775</v>
      </c>
      <c r="CA223" s="318">
        <f t="shared" ref="CA223" si="721">BZ229</f>
        <v>3036.3024639075411</v>
      </c>
      <c r="CB223" s="318">
        <f t="shared" ref="CB223" si="722">CA229</f>
        <v>3080.9206261626773</v>
      </c>
      <c r="CC223" s="318">
        <f t="shared" ref="CC223" si="723">CB229</f>
        <v>3217.8962652298928</v>
      </c>
      <c r="CD223" s="318">
        <f t="shared" ref="CD223" si="724">CC229</f>
        <v>3370.4064074094085</v>
      </c>
      <c r="CE223" s="318">
        <f t="shared" ref="CE223" si="725">CD229</f>
        <v>3539.6894939410158</v>
      </c>
      <c r="CF223" s="318">
        <f t="shared" ref="CF223" si="726">CE229</f>
        <v>3727.211055733675</v>
      </c>
      <c r="CG223" s="318">
        <f t="shared" ref="CG223" si="727">CF229</f>
        <v>3916.0524298192572</v>
      </c>
      <c r="CH223" s="318">
        <f t="shared" ref="CH223" si="728">CG229</f>
        <v>4106.2318487574184</v>
      </c>
      <c r="CI223" s="318">
        <f t="shared" ref="CI223" si="729">CH229</f>
        <v>4297.767727092848</v>
      </c>
      <c r="CJ223" s="318">
        <f t="shared" ref="CJ223" si="730">CI229</f>
        <v>4490.6786634499722</v>
      </c>
    </row>
    <row r="224" spans="2:88">
      <c r="B224" s="319"/>
      <c r="C224" s="319"/>
      <c r="D224" s="319"/>
      <c r="E224" s="319"/>
      <c r="F224" s="319"/>
      <c r="G224" s="319"/>
      <c r="H224" s="319"/>
      <c r="I224" s="319"/>
      <c r="J224" s="319"/>
      <c r="K224" s="319"/>
      <c r="L224" s="319"/>
      <c r="M224" s="319"/>
      <c r="N224" s="319"/>
      <c r="O224" s="319"/>
      <c r="P224" s="319"/>
      <c r="Q224" s="319"/>
      <c r="R224" s="319"/>
      <c r="S224" s="319"/>
      <c r="T224" s="319"/>
      <c r="U224" s="319"/>
      <c r="V224" s="319"/>
      <c r="W224" s="319"/>
      <c r="X224" s="319"/>
      <c r="Y224" s="319"/>
      <c r="Z224" s="319"/>
      <c r="AA224" s="319"/>
      <c r="AB224" s="319"/>
      <c r="AC224" s="319"/>
      <c r="AD224" s="319"/>
      <c r="AE224" s="319"/>
      <c r="AF224" s="319"/>
      <c r="AG224" s="320"/>
      <c r="AH224" s="320"/>
      <c r="AI224" s="320"/>
      <c r="AJ224" s="320"/>
      <c r="AK224" s="320"/>
      <c r="AL224" s="320"/>
      <c r="AM224" s="320"/>
      <c r="AN224" s="320"/>
      <c r="AO224" s="320"/>
      <c r="AP224" s="320"/>
      <c r="AQ224" s="320"/>
      <c r="AR224" s="320"/>
      <c r="AS224" s="320"/>
      <c r="AT224" s="320"/>
      <c r="AU224" s="320"/>
      <c r="AV224" s="320"/>
      <c r="AW224" s="320"/>
      <c r="AX224" s="320"/>
      <c r="AY224" s="320"/>
      <c r="AZ224" s="320"/>
      <c r="BA224" s="320"/>
      <c r="BB224" s="320"/>
      <c r="BC224" s="320"/>
      <c r="BD224" s="320"/>
      <c r="BE224" s="320"/>
      <c r="BF224" s="320"/>
      <c r="BG224" s="320"/>
      <c r="BH224" s="320"/>
      <c r="BI224" s="320"/>
      <c r="BJ224" s="320"/>
      <c r="BK224" s="320"/>
      <c r="BL224" s="320"/>
      <c r="BM224" s="320"/>
      <c r="BN224" s="320"/>
      <c r="BO224" s="320"/>
      <c r="BP224" s="320"/>
      <c r="BQ224" s="320"/>
      <c r="BR224" s="320"/>
      <c r="BS224" s="320"/>
      <c r="BT224" s="320"/>
      <c r="BU224" s="320"/>
      <c r="BV224" s="320"/>
      <c r="BW224" s="320"/>
      <c r="BX224" s="320"/>
      <c r="BY224" s="320"/>
      <c r="BZ224" s="320"/>
      <c r="CA224" s="320"/>
      <c r="CB224" s="320"/>
      <c r="CC224" s="320"/>
      <c r="CD224" s="320"/>
      <c r="CE224" s="320"/>
      <c r="CF224" s="320"/>
      <c r="CG224" s="320"/>
      <c r="CH224" s="320"/>
      <c r="CI224" s="320"/>
      <c r="CJ224" s="320"/>
    </row>
    <row r="225" spans="2:88">
      <c r="B225" s="319" t="s">
        <v>341</v>
      </c>
      <c r="C225" s="319"/>
      <c r="D225" s="319"/>
      <c r="E225" s="319"/>
      <c r="F225" s="319"/>
      <c r="G225" s="319"/>
      <c r="H225" s="319"/>
      <c r="I225" s="319"/>
      <c r="J225" s="319"/>
      <c r="K225" s="319"/>
      <c r="L225" s="319"/>
      <c r="M225" s="319"/>
      <c r="N225" s="319"/>
      <c r="O225" s="319"/>
      <c r="P225" s="319"/>
      <c r="Q225" s="319"/>
      <c r="R225" s="319"/>
      <c r="S225" s="319"/>
      <c r="T225" s="319"/>
      <c r="U225" s="319"/>
      <c r="V225" s="319"/>
      <c r="W225" s="319"/>
      <c r="X225" s="319"/>
      <c r="Y225" s="319"/>
      <c r="Z225" s="319"/>
      <c r="AA225" s="319"/>
      <c r="AB225" s="319"/>
      <c r="AC225" s="319"/>
      <c r="AD225" s="319"/>
      <c r="AE225" s="319"/>
      <c r="AF225" s="319"/>
      <c r="AG225" s="322"/>
      <c r="AH225" s="322">
        <f>0.05*AG229</f>
        <v>5.9378869876083105</v>
      </c>
      <c r="AI225" s="322">
        <f t="shared" ref="AI225" si="731">0.05*AH229</f>
        <v>11.644196382699896</v>
      </c>
      <c r="AJ225" s="322">
        <f t="shared" ref="AJ225" si="732">0.05*AI229</f>
        <v>17.131225549226095</v>
      </c>
      <c r="AK225" s="322">
        <f t="shared" ref="AK225" si="733">0.05*AJ229</f>
        <v>22.410664886268254</v>
      </c>
      <c r="AL225" s="322">
        <f t="shared" ref="AL225" si="734">0.05*AK229</f>
        <v>27.493628263217843</v>
      </c>
      <c r="AM225" s="322">
        <f t="shared" ref="AM225" si="735">0.05*AL229</f>
        <v>32.390681934153847</v>
      </c>
      <c r="AN225" s="322">
        <f t="shared" ref="AN225" si="736">0.05*AM229</f>
        <v>37.111872007468115</v>
      </c>
      <c r="AO225" s="322">
        <f t="shared" ref="AO225" si="737">0.05*AN229</f>
        <v>41.666750542986904</v>
      </c>
      <c r="AP225" s="322">
        <f t="shared" ref="AP225" si="738">0.05*AO229</f>
        <v>46.064400345224584</v>
      </c>
      <c r="AQ225" s="322">
        <f t="shared" ref="AQ225" si="739">0.05*AP229</f>
        <v>50.313458517973622</v>
      </c>
      <c r="AR225" s="322">
        <f t="shared" ref="AR225" si="740">0.05*AQ229</f>
        <v>54.422138842175322</v>
      </c>
      <c r="AS225" s="322">
        <f t="shared" ref="AS225" si="741">0.05*AR229</f>
        <v>58.398253035918039</v>
      </c>
      <c r="AT225" s="322">
        <f t="shared" ref="AT225" si="742">0.05*AS229</f>
        <v>62.24923095246799</v>
      </c>
      <c r="AU225" s="322">
        <f t="shared" ref="AU225" si="743">0.05*AT229</f>
        <v>65.982139769442242</v>
      </c>
      <c r="AV225" s="322">
        <f t="shared" ref="AV225" si="744">0.05*AU229</f>
        <v>69.603702219578366</v>
      </c>
      <c r="AW225" s="322">
        <f t="shared" ref="AW225" si="745">0.05*AV229</f>
        <v>73.120313911032369</v>
      </c>
      <c r="AX225" s="322">
        <f t="shared" ref="AX225" si="746">0.05*AW229</f>
        <v>76.538059782740433</v>
      </c>
      <c r="AY225" s="322">
        <f t="shared" ref="AY225" si="747">0.05*AX229</f>
        <v>79.862729738102942</v>
      </c>
      <c r="AZ225" s="322">
        <f t="shared" ref="AZ225" si="748">0.05*AY229</f>
        <v>83.099833498086824</v>
      </c>
      <c r="BA225" s="322">
        <f t="shared" ref="BA225" si="749">0.05*AZ229</f>
        <v>86.254614712787301</v>
      </c>
      <c r="BB225" s="322">
        <f t="shared" ref="BB225" si="750">0.05*BA229</f>
        <v>89.332064368538397</v>
      </c>
      <c r="BC225" s="322">
        <f t="shared" ref="BC225" si="751">0.05*BB229</f>
        <v>92.336933525807225</v>
      </c>
      <c r="BD225" s="322">
        <f t="shared" ref="BD225" si="752">0.05*BC229</f>
        <v>95.273745421345268</v>
      </c>
      <c r="BE225" s="322">
        <f t="shared" ref="BE225" si="753">0.05*BD229</f>
        <v>98.146806966396525</v>
      </c>
      <c r="BF225" s="322">
        <f t="shared" ref="BF225" si="754">0.05*BE229</f>
        <v>100.96021967117252</v>
      </c>
      <c r="BG225" s="322">
        <f t="shared" ref="BG225" si="755">0.05*BF229</f>
        <v>103.71789002429375</v>
      </c>
      <c r="BH225" s="322">
        <f t="shared" ref="BH225" si="756">0.05*BG229</f>
        <v>106.42353935446241</v>
      </c>
      <c r="BI225" s="322">
        <f t="shared" ref="BI225" si="757">0.05*BH229</f>
        <v>109.08071320026784</v>
      </c>
      <c r="BJ225" s="322">
        <f t="shared" ref="BJ225" si="758">0.05*BI229</f>
        <v>111.69279021273184</v>
      </c>
      <c r="BK225" s="322">
        <f t="shared" ref="BK225" si="759">0.05*BJ229</f>
        <v>114.26299061396988</v>
      </c>
      <c r="BL225" s="322">
        <f t="shared" ref="BL225" si="760">0.05*BK229</f>
        <v>116.79438423417662</v>
      </c>
      <c r="BM225" s="322">
        <f t="shared" ref="BM225" si="761">0.05*BL229</f>
        <v>119.28989814803299</v>
      </c>
      <c r="BN225" s="322">
        <f t="shared" ref="BN225" si="762">0.05*BM229</f>
        <v>121.75232393057777</v>
      </c>
      <c r="BO225" s="322">
        <f t="shared" ref="BO225" si="763">0.05*BN229</f>
        <v>124.18432455158471</v>
      </c>
      <c r="BP225" s="322">
        <f t="shared" ref="BP225" si="764">0.05*BO229</f>
        <v>126.58844092653419</v>
      </c>
      <c r="BQ225" s="322">
        <f t="shared" ref="BQ225" si="765">0.05*BP229</f>
        <v>128.96709814136403</v>
      </c>
      <c r="BR225" s="322">
        <f t="shared" ref="BR225" si="766">0.05*BQ229</f>
        <v>131.32261136732507</v>
      </c>
      <c r="BS225" s="322">
        <f t="shared" ref="BS225" si="767">0.05*BR229</f>
        <v>133.65719148145141</v>
      </c>
      <c r="BT225" s="322">
        <f t="shared" ref="BT225" si="768">0.05*BS229</f>
        <v>135.97295040737885</v>
      </c>
      <c r="BU225" s="322">
        <f t="shared" ref="BU225" si="769">0.05*BT229</f>
        <v>138.2719061905099</v>
      </c>
      <c r="BV225" s="322">
        <f t="shared" ref="BV225" si="770">0.05*BU229</f>
        <v>140.55598782082288</v>
      </c>
      <c r="BW225" s="322">
        <f t="shared" ref="BW225" si="771">0.05*BV229</f>
        <v>142.82703981595847</v>
      </c>
      <c r="BX225" s="322">
        <f t="shared" ref="BX225" si="772">0.05*BW229</f>
        <v>145.08682657658522</v>
      </c>
      <c r="BY225" s="322">
        <f t="shared" ref="BY225" si="773">0.05*BX229</f>
        <v>147.33703652544628</v>
      </c>
      <c r="BZ225" s="322">
        <f t="shared" ref="BZ225" si="774">0.05*BY229</f>
        <v>149.57928604091887</v>
      </c>
      <c r="CA225" s="322">
        <f t="shared" ref="CA225" si="775">0.05*BZ229</f>
        <v>151.81512319537705</v>
      </c>
      <c r="CB225" s="322">
        <f>0.02*CA229</f>
        <v>61.618412523253546</v>
      </c>
      <c r="CC225" s="322">
        <f>0.015*CB229</f>
        <v>48.268443978448389</v>
      </c>
      <c r="CD225" s="322">
        <f>0.01*CC229</f>
        <v>33.704064074094084</v>
      </c>
      <c r="CE225" s="322">
        <f t="shared" ref="CE225:CJ225" si="776">0.005*CD229</f>
        <v>17.69844746970508</v>
      </c>
      <c r="CF225" s="322">
        <f t="shared" si="776"/>
        <v>18.636055278668376</v>
      </c>
      <c r="CG225" s="322">
        <f t="shared" si="776"/>
        <v>19.580262149096285</v>
      </c>
      <c r="CH225" s="322">
        <f t="shared" si="776"/>
        <v>20.531159243787094</v>
      </c>
      <c r="CI225" s="322">
        <f t="shared" si="776"/>
        <v>21.488838635464241</v>
      </c>
      <c r="CJ225" s="322">
        <f t="shared" si="776"/>
        <v>22.453393317249862</v>
      </c>
    </row>
    <row r="226" spans="2:88">
      <c r="B226" s="313"/>
      <c r="C226" s="313"/>
      <c r="D226" s="313"/>
      <c r="E226" s="313"/>
      <c r="F226" s="313"/>
      <c r="G226" s="313"/>
      <c r="H226" s="313"/>
      <c r="I226" s="313"/>
      <c r="J226" s="313"/>
      <c r="K226" s="313"/>
      <c r="L226" s="313"/>
      <c r="M226" s="313"/>
      <c r="N226" s="313"/>
      <c r="O226" s="313"/>
      <c r="P226" s="313"/>
      <c r="Q226" s="313"/>
      <c r="R226" s="313"/>
      <c r="S226" s="313"/>
      <c r="T226" s="313"/>
      <c r="U226" s="313"/>
      <c r="V226" s="313"/>
      <c r="W226" s="313"/>
      <c r="X226" s="313"/>
      <c r="Y226" s="313"/>
      <c r="Z226" s="313"/>
      <c r="AA226" s="313"/>
      <c r="AB226" s="313"/>
      <c r="AC226" s="313"/>
      <c r="AD226" s="313"/>
      <c r="AE226" s="313"/>
      <c r="AF226" s="313"/>
      <c r="AG226" s="315"/>
      <c r="AH226" s="315"/>
      <c r="AI226" s="315"/>
      <c r="AJ226" s="315"/>
      <c r="AK226" s="315"/>
      <c r="AL226" s="315"/>
      <c r="AM226" s="315"/>
      <c r="AN226" s="315"/>
      <c r="AO226" s="315"/>
      <c r="AP226" s="315"/>
      <c r="AQ226" s="315"/>
      <c r="AR226" s="315"/>
      <c r="AS226" s="315"/>
      <c r="AT226" s="315"/>
      <c r="AU226" s="315"/>
      <c r="AV226" s="315"/>
      <c r="AW226" s="315"/>
      <c r="AX226" s="315"/>
      <c r="AY226" s="315"/>
      <c r="AZ226" s="315"/>
      <c r="BA226" s="315"/>
      <c r="BB226" s="315"/>
      <c r="BC226" s="315"/>
      <c r="BD226" s="315"/>
      <c r="BE226" s="315"/>
      <c r="BF226" s="315"/>
      <c r="BG226" s="315"/>
      <c r="BH226" s="315"/>
      <c r="BI226" s="315"/>
      <c r="BJ226" s="315"/>
      <c r="BK226" s="315"/>
      <c r="BL226" s="315"/>
      <c r="BM226" s="315"/>
      <c r="BN226" s="315"/>
      <c r="BO226" s="315"/>
      <c r="BP226" s="315"/>
      <c r="BQ226" s="315"/>
      <c r="BR226" s="315"/>
      <c r="BS226" s="315"/>
      <c r="BT226" s="315"/>
      <c r="BU226" s="315"/>
      <c r="BV226" s="315"/>
      <c r="BW226" s="315"/>
      <c r="BX226" s="315"/>
      <c r="BY226" s="315"/>
      <c r="BZ226" s="315"/>
      <c r="CA226" s="315"/>
      <c r="CB226" s="315"/>
      <c r="CC226" s="315"/>
      <c r="CD226" s="315"/>
      <c r="CE226" s="315"/>
      <c r="CF226" s="315"/>
      <c r="CG226" s="315"/>
      <c r="CH226" s="315"/>
      <c r="CI226" s="315"/>
      <c r="CJ226" s="315"/>
    </row>
    <row r="227" spans="2:88">
      <c r="B227" s="319" t="s">
        <v>358</v>
      </c>
      <c r="C227" s="319"/>
      <c r="D227" s="319"/>
      <c r="E227" s="319"/>
      <c r="F227" s="319"/>
      <c r="G227" s="319"/>
      <c r="H227" s="319"/>
      <c r="I227" s="319"/>
      <c r="J227" s="319"/>
      <c r="K227" s="319"/>
      <c r="L227" s="319"/>
      <c r="M227" s="319"/>
      <c r="N227" s="319"/>
      <c r="O227" s="319"/>
      <c r="P227" s="319"/>
      <c r="Q227" s="319"/>
      <c r="R227" s="319"/>
      <c r="S227" s="319"/>
      <c r="T227" s="319"/>
      <c r="U227" s="319"/>
      <c r="V227" s="319"/>
      <c r="W227" s="319"/>
      <c r="X227" s="319"/>
      <c r="Y227" s="319"/>
      <c r="Z227" s="319"/>
      <c r="AA227" s="319"/>
      <c r="AB227" s="319"/>
      <c r="AC227" s="319"/>
      <c r="AD227" s="319"/>
      <c r="AE227" s="319"/>
      <c r="AF227" s="319"/>
      <c r="AG227" s="322">
        <f t="shared" ref="AG227:CJ227" si="777">AG204</f>
        <v>118.7577397521662</v>
      </c>
      <c r="AH227" s="322">
        <f t="shared" si="777"/>
        <v>120.06407488944002</v>
      </c>
      <c r="AI227" s="322">
        <f t="shared" si="777"/>
        <v>121.38477971322386</v>
      </c>
      <c r="AJ227" s="322">
        <f t="shared" si="777"/>
        <v>122.72001229006931</v>
      </c>
      <c r="AK227" s="322">
        <f t="shared" si="777"/>
        <v>124.06993242526003</v>
      </c>
      <c r="AL227" s="322">
        <f t="shared" si="777"/>
        <v>125.4347016819379</v>
      </c>
      <c r="AM227" s="322">
        <f t="shared" si="777"/>
        <v>126.81448340043919</v>
      </c>
      <c r="AN227" s="322">
        <f t="shared" si="777"/>
        <v>128.20944271784401</v>
      </c>
      <c r="AO227" s="322">
        <f t="shared" si="777"/>
        <v>129.61974658774028</v>
      </c>
      <c r="AP227" s="322">
        <f t="shared" si="777"/>
        <v>131.0455638002054</v>
      </c>
      <c r="AQ227" s="322">
        <f t="shared" si="777"/>
        <v>132.48706500200765</v>
      </c>
      <c r="AR227" s="322">
        <f t="shared" si="777"/>
        <v>133.94442271702971</v>
      </c>
      <c r="AS227" s="322">
        <f t="shared" si="777"/>
        <v>135.41781136691705</v>
      </c>
      <c r="AT227" s="322">
        <f t="shared" si="777"/>
        <v>136.90740729195312</v>
      </c>
      <c r="AU227" s="322">
        <f t="shared" si="777"/>
        <v>138.41338877216458</v>
      </c>
      <c r="AV227" s="322">
        <f t="shared" si="777"/>
        <v>139.93593604865836</v>
      </c>
      <c r="AW227" s="322">
        <f t="shared" si="777"/>
        <v>141.47523134519361</v>
      </c>
      <c r="AX227" s="322">
        <f t="shared" si="777"/>
        <v>143.03145888999069</v>
      </c>
      <c r="AY227" s="322">
        <f t="shared" si="777"/>
        <v>144.60480493778059</v>
      </c>
      <c r="AZ227" s="322">
        <f t="shared" si="777"/>
        <v>146.19545779209614</v>
      </c>
      <c r="BA227" s="322">
        <f t="shared" si="777"/>
        <v>147.80360782780917</v>
      </c>
      <c r="BB227" s="322">
        <f t="shared" si="777"/>
        <v>149.42944751391505</v>
      </c>
      <c r="BC227" s="322">
        <f t="shared" si="777"/>
        <v>151.07317143656812</v>
      </c>
      <c r="BD227" s="322">
        <f t="shared" si="777"/>
        <v>152.73497632237033</v>
      </c>
      <c r="BE227" s="322">
        <f t="shared" si="777"/>
        <v>154.41506106191639</v>
      </c>
      <c r="BF227" s="322">
        <f t="shared" si="777"/>
        <v>156.11362673359744</v>
      </c>
      <c r="BG227" s="322">
        <f t="shared" si="777"/>
        <v>157.83087662766704</v>
      </c>
      <c r="BH227" s="322">
        <f t="shared" si="777"/>
        <v>159.56701627057134</v>
      </c>
      <c r="BI227" s="322">
        <f t="shared" si="777"/>
        <v>161.32225344954759</v>
      </c>
      <c r="BJ227" s="322">
        <f t="shared" si="777"/>
        <v>163.09679823749261</v>
      </c>
      <c r="BK227" s="322">
        <f t="shared" si="777"/>
        <v>164.89086301810499</v>
      </c>
      <c r="BL227" s="322">
        <f t="shared" si="777"/>
        <v>166.70466251130415</v>
      </c>
      <c r="BM227" s="322">
        <f t="shared" si="777"/>
        <v>168.53841379892847</v>
      </c>
      <c r="BN227" s="322">
        <f t="shared" si="777"/>
        <v>170.39233635071668</v>
      </c>
      <c r="BO227" s="322">
        <f t="shared" si="777"/>
        <v>172.26665205057452</v>
      </c>
      <c r="BP227" s="322">
        <f t="shared" si="777"/>
        <v>174.16158522313083</v>
      </c>
      <c r="BQ227" s="322">
        <f t="shared" si="777"/>
        <v>176.07736266058524</v>
      </c>
      <c r="BR227" s="322">
        <f t="shared" si="777"/>
        <v>178.01421364985165</v>
      </c>
      <c r="BS227" s="322">
        <f t="shared" si="777"/>
        <v>179.97237000000001</v>
      </c>
      <c r="BT227" s="322">
        <f t="shared" si="777"/>
        <v>181.95206607</v>
      </c>
      <c r="BU227" s="322">
        <f t="shared" si="777"/>
        <v>183.95353879677</v>
      </c>
      <c r="BV227" s="322">
        <f t="shared" si="777"/>
        <v>185.97702772353443</v>
      </c>
      <c r="BW227" s="322">
        <f t="shared" si="777"/>
        <v>188.0227750284933</v>
      </c>
      <c r="BX227" s="322">
        <f t="shared" si="777"/>
        <v>190.09102555380667</v>
      </c>
      <c r="BY227" s="322">
        <f t="shared" si="777"/>
        <v>192.18202683489855</v>
      </c>
      <c r="BZ227" s="322">
        <f t="shared" si="777"/>
        <v>194.29602913008242</v>
      </c>
      <c r="CA227" s="322">
        <f t="shared" si="777"/>
        <v>196.43328545051332</v>
      </c>
      <c r="CB227" s="322">
        <f t="shared" si="777"/>
        <v>198.59405159046895</v>
      </c>
      <c r="CC227" s="322">
        <f t="shared" si="777"/>
        <v>200.77858615796407</v>
      </c>
      <c r="CD227" s="322">
        <f t="shared" si="777"/>
        <v>202.98715060570166</v>
      </c>
      <c r="CE227" s="322">
        <f t="shared" si="777"/>
        <v>205.22000926236439</v>
      </c>
      <c r="CF227" s="322">
        <f t="shared" si="777"/>
        <v>207.47742936425038</v>
      </c>
      <c r="CG227" s="322">
        <f t="shared" si="777"/>
        <v>209.75968108725712</v>
      </c>
      <c r="CH227" s="322">
        <f t="shared" si="777"/>
        <v>212.0670375792169</v>
      </c>
      <c r="CI227" s="322">
        <f t="shared" si="777"/>
        <v>214.39977499258825</v>
      </c>
      <c r="CJ227" s="322">
        <f t="shared" si="777"/>
        <v>216.75817251750669</v>
      </c>
    </row>
    <row r="228" spans="2:88">
      <c r="B228" s="319"/>
      <c r="C228" s="319"/>
      <c r="D228" s="319"/>
      <c r="E228" s="319"/>
      <c r="F228" s="319"/>
      <c r="G228" s="319"/>
      <c r="H228" s="319"/>
      <c r="I228" s="319"/>
      <c r="J228" s="319"/>
      <c r="K228" s="319"/>
      <c r="L228" s="319"/>
      <c r="M228" s="319"/>
      <c r="N228" s="319"/>
      <c r="O228" s="319"/>
      <c r="P228" s="319"/>
      <c r="Q228" s="319"/>
      <c r="R228" s="319"/>
      <c r="S228" s="319"/>
      <c r="T228" s="319"/>
      <c r="U228" s="319"/>
      <c r="V228" s="319"/>
      <c r="W228" s="319"/>
      <c r="X228" s="319"/>
      <c r="Y228" s="319"/>
      <c r="Z228" s="319"/>
      <c r="AA228" s="319"/>
      <c r="AB228" s="319"/>
      <c r="AC228" s="319"/>
      <c r="AD228" s="319"/>
      <c r="AE228" s="319"/>
      <c r="AF228" s="319"/>
      <c r="AG228" s="320"/>
      <c r="AH228" s="320"/>
      <c r="AI228" s="320"/>
      <c r="AJ228" s="320"/>
      <c r="AK228" s="320"/>
      <c r="AL228" s="320"/>
      <c r="AM228" s="320"/>
      <c r="AN228" s="320"/>
      <c r="AO228" s="320"/>
      <c r="AP228" s="320"/>
      <c r="AQ228" s="320"/>
      <c r="AR228" s="320"/>
      <c r="AS228" s="320"/>
      <c r="AT228" s="320"/>
      <c r="AU228" s="320"/>
      <c r="AV228" s="320"/>
      <c r="AW228" s="320"/>
      <c r="AX228" s="320"/>
      <c r="AY228" s="320"/>
      <c r="AZ228" s="320"/>
      <c r="BA228" s="320"/>
      <c r="BB228" s="320"/>
      <c r="BC228" s="320"/>
      <c r="BD228" s="320"/>
      <c r="BE228" s="320"/>
      <c r="BF228" s="320"/>
      <c r="BG228" s="320"/>
      <c r="BH228" s="320"/>
      <c r="BI228" s="320"/>
      <c r="BJ228" s="320"/>
      <c r="BK228" s="320"/>
      <c r="BL228" s="320"/>
      <c r="BM228" s="320"/>
      <c r="BN228" s="320"/>
      <c r="BO228" s="320"/>
      <c r="BP228" s="320"/>
      <c r="BQ228" s="320"/>
      <c r="BR228" s="320"/>
      <c r="BS228" s="320"/>
      <c r="BT228" s="320"/>
      <c r="BU228" s="320"/>
      <c r="BV228" s="320"/>
      <c r="BW228" s="320"/>
      <c r="BX228" s="320"/>
      <c r="BY228" s="320"/>
      <c r="BZ228" s="320"/>
      <c r="CA228" s="320"/>
      <c r="CB228" s="320"/>
      <c r="CC228" s="320"/>
      <c r="CD228" s="320"/>
      <c r="CE228" s="320"/>
      <c r="CF228" s="320"/>
      <c r="CG228" s="320"/>
      <c r="CH228" s="320"/>
      <c r="CI228" s="320"/>
      <c r="CJ228" s="320"/>
    </row>
    <row r="229" spans="2:88">
      <c r="B229" s="319" t="s">
        <v>359</v>
      </c>
      <c r="C229" s="319"/>
      <c r="D229" s="319"/>
      <c r="E229" s="319"/>
      <c r="F229" s="319"/>
      <c r="G229" s="319"/>
      <c r="H229" s="319"/>
      <c r="I229" s="319"/>
      <c r="J229" s="319"/>
      <c r="K229" s="319"/>
      <c r="L229" s="319"/>
      <c r="M229" s="319"/>
      <c r="N229" s="319"/>
      <c r="O229" s="319"/>
      <c r="P229" s="319"/>
      <c r="Q229" s="319"/>
      <c r="R229" s="319"/>
      <c r="S229" s="319"/>
      <c r="T229" s="319"/>
      <c r="U229" s="319"/>
      <c r="V229" s="319"/>
      <c r="W229" s="319"/>
      <c r="X229" s="319"/>
      <c r="Y229" s="319"/>
      <c r="Z229" s="319"/>
      <c r="AA229" s="319"/>
      <c r="AB229" s="319"/>
      <c r="AC229" s="319"/>
      <c r="AD229" s="319"/>
      <c r="AE229" s="319"/>
      <c r="AF229" s="319"/>
      <c r="AG229" s="322">
        <f t="shared" ref="AG229:BK229" si="778">AG223-AG225+AG227</f>
        <v>118.7577397521662</v>
      </c>
      <c r="AH229" s="322">
        <f t="shared" si="778"/>
        <v>232.88392765399792</v>
      </c>
      <c r="AI229" s="322">
        <f t="shared" si="778"/>
        <v>342.62451098452186</v>
      </c>
      <c r="AJ229" s="322">
        <f t="shared" si="778"/>
        <v>448.21329772536507</v>
      </c>
      <c r="AK229" s="322">
        <f t="shared" si="778"/>
        <v>549.87256526435681</v>
      </c>
      <c r="AL229" s="322">
        <f t="shared" si="778"/>
        <v>647.81363868307687</v>
      </c>
      <c r="AM229" s="322">
        <f t="shared" si="778"/>
        <v>742.23744014936221</v>
      </c>
      <c r="AN229" s="322">
        <f t="shared" si="778"/>
        <v>833.33501085973808</v>
      </c>
      <c r="AO229" s="322">
        <f t="shared" si="778"/>
        <v>921.28800690449157</v>
      </c>
      <c r="AP229" s="322">
        <f t="shared" si="778"/>
        <v>1006.2691703594724</v>
      </c>
      <c r="AQ229" s="322">
        <f t="shared" si="778"/>
        <v>1088.4427768435064</v>
      </c>
      <c r="AR229" s="322">
        <f t="shared" si="778"/>
        <v>1167.9650607183607</v>
      </c>
      <c r="AS229" s="322">
        <f t="shared" si="778"/>
        <v>1244.9846190493597</v>
      </c>
      <c r="AT229" s="322">
        <f t="shared" si="778"/>
        <v>1319.6427953888449</v>
      </c>
      <c r="AU229" s="322">
        <f t="shared" si="778"/>
        <v>1392.0740443915672</v>
      </c>
      <c r="AV229" s="322">
        <f t="shared" si="778"/>
        <v>1462.4062782206472</v>
      </c>
      <c r="AW229" s="322">
        <f t="shared" si="778"/>
        <v>1530.7611956548085</v>
      </c>
      <c r="AX229" s="322">
        <f t="shared" si="778"/>
        <v>1597.2545947620588</v>
      </c>
      <c r="AY229" s="322">
        <f t="shared" si="778"/>
        <v>1661.9966699617364</v>
      </c>
      <c r="AZ229" s="322">
        <f t="shared" si="778"/>
        <v>1725.0922942557459</v>
      </c>
      <c r="BA229" s="322">
        <f t="shared" si="778"/>
        <v>1786.6412873707677</v>
      </c>
      <c r="BB229" s="322">
        <f t="shared" si="778"/>
        <v>1846.7386705161443</v>
      </c>
      <c r="BC229" s="322">
        <f t="shared" si="778"/>
        <v>1905.4749084269054</v>
      </c>
      <c r="BD229" s="322">
        <f t="shared" si="778"/>
        <v>1962.9361393279305</v>
      </c>
      <c r="BE229" s="322">
        <f t="shared" si="778"/>
        <v>2019.2043934234503</v>
      </c>
      <c r="BF229" s="322">
        <f t="shared" si="778"/>
        <v>2074.357800485875</v>
      </c>
      <c r="BG229" s="322">
        <f t="shared" si="778"/>
        <v>2128.470787089248</v>
      </c>
      <c r="BH229" s="322">
        <f t="shared" si="778"/>
        <v>2181.6142640053567</v>
      </c>
      <c r="BI229" s="322">
        <f t="shared" si="778"/>
        <v>2233.8558042546365</v>
      </c>
      <c r="BJ229" s="322">
        <f t="shared" si="778"/>
        <v>2285.2598122793975</v>
      </c>
      <c r="BK229" s="322">
        <f t="shared" si="778"/>
        <v>2335.8876846835324</v>
      </c>
      <c r="BL229" s="322">
        <f>BL223-BL225+BL227</f>
        <v>2385.7979629606598</v>
      </c>
      <c r="BM229" s="322">
        <f>BM223-BM225+BM227</f>
        <v>2435.0464786115554</v>
      </c>
      <c r="BN229" s="322">
        <f t="shared" ref="BN229:CJ229" si="779">BN223-BN225+BN227</f>
        <v>2483.686491031694</v>
      </c>
      <c r="BO229" s="322">
        <f t="shared" si="779"/>
        <v>2531.7688185306838</v>
      </c>
      <c r="BP229" s="322">
        <f t="shared" si="779"/>
        <v>2579.3419628272804</v>
      </c>
      <c r="BQ229" s="322">
        <f t="shared" si="779"/>
        <v>2626.4522273465013</v>
      </c>
      <c r="BR229" s="322">
        <f t="shared" si="779"/>
        <v>2673.143829629028</v>
      </c>
      <c r="BS229" s="322">
        <f t="shared" si="779"/>
        <v>2719.4590081475767</v>
      </c>
      <c r="BT229" s="322">
        <f t="shared" si="779"/>
        <v>2765.4381238101978</v>
      </c>
      <c r="BU229" s="322">
        <f t="shared" si="779"/>
        <v>2811.1197564164577</v>
      </c>
      <c r="BV229" s="322">
        <f t="shared" si="779"/>
        <v>2856.5407963191692</v>
      </c>
      <c r="BW229" s="322">
        <f t="shared" si="779"/>
        <v>2901.7365315317043</v>
      </c>
      <c r="BX229" s="322">
        <f t="shared" si="779"/>
        <v>2946.7407305089255</v>
      </c>
      <c r="BY229" s="322">
        <f t="shared" si="779"/>
        <v>2991.5857208183775</v>
      </c>
      <c r="BZ229" s="322">
        <f t="shared" si="779"/>
        <v>3036.3024639075411</v>
      </c>
      <c r="CA229" s="322">
        <f t="shared" si="779"/>
        <v>3080.9206261626773</v>
      </c>
      <c r="CB229" s="322">
        <f t="shared" si="779"/>
        <v>3217.8962652298928</v>
      </c>
      <c r="CC229" s="322">
        <f t="shared" si="779"/>
        <v>3370.4064074094085</v>
      </c>
      <c r="CD229" s="322">
        <f t="shared" si="779"/>
        <v>3539.6894939410158</v>
      </c>
      <c r="CE229" s="322">
        <f t="shared" si="779"/>
        <v>3727.211055733675</v>
      </c>
      <c r="CF229" s="322">
        <f t="shared" si="779"/>
        <v>3916.0524298192572</v>
      </c>
      <c r="CG229" s="322">
        <f t="shared" si="779"/>
        <v>4106.2318487574184</v>
      </c>
      <c r="CH229" s="322">
        <f t="shared" si="779"/>
        <v>4297.767727092848</v>
      </c>
      <c r="CI229" s="322">
        <f t="shared" si="779"/>
        <v>4490.6786634499722</v>
      </c>
      <c r="CJ229" s="322">
        <f t="shared" si="779"/>
        <v>4684.9834426502293</v>
      </c>
    </row>
    <row r="230" spans="2:88">
      <c r="B230" s="319"/>
      <c r="C230" s="319"/>
      <c r="D230" s="319"/>
      <c r="E230" s="319"/>
      <c r="F230" s="319"/>
      <c r="G230" s="319"/>
      <c r="H230" s="319"/>
      <c r="I230" s="319"/>
      <c r="J230" s="319"/>
      <c r="K230" s="319"/>
      <c r="L230" s="319"/>
      <c r="M230" s="319"/>
      <c r="N230" s="319"/>
      <c r="O230" s="319"/>
      <c r="P230" s="319"/>
      <c r="Q230" s="319"/>
      <c r="R230" s="319"/>
      <c r="S230" s="319"/>
      <c r="T230" s="319"/>
      <c r="U230" s="319"/>
      <c r="V230" s="319"/>
      <c r="W230" s="319"/>
      <c r="X230" s="319"/>
      <c r="Y230" s="319"/>
      <c r="Z230" s="319"/>
      <c r="AA230" s="319"/>
      <c r="AB230" s="319"/>
      <c r="AC230" s="319"/>
      <c r="AD230" s="319"/>
      <c r="AE230" s="319"/>
      <c r="AF230" s="319"/>
      <c r="AG230" s="319"/>
      <c r="AH230" s="319"/>
      <c r="AI230" s="319"/>
      <c r="AJ230" s="319"/>
      <c r="AK230" s="319"/>
      <c r="AL230" s="319"/>
      <c r="AM230" s="319"/>
      <c r="AN230" s="319"/>
      <c r="AO230" s="319"/>
      <c r="AP230" s="319"/>
      <c r="AQ230" s="320"/>
      <c r="AR230" s="320"/>
      <c r="AS230" s="320"/>
      <c r="AT230" s="320"/>
      <c r="AU230" s="320"/>
      <c r="AV230" s="320"/>
      <c r="AW230" s="320"/>
      <c r="AX230" s="320"/>
      <c r="AY230" s="320"/>
      <c r="AZ230" s="320"/>
      <c r="BA230" s="320"/>
      <c r="BB230" s="320"/>
      <c r="BC230" s="320"/>
      <c r="BD230" s="320"/>
      <c r="BE230" s="320"/>
      <c r="BF230" s="320"/>
      <c r="BG230" s="320"/>
      <c r="BH230" s="320"/>
      <c r="BI230" s="320"/>
      <c r="BJ230" s="320"/>
      <c r="BK230" s="320"/>
      <c r="BL230" s="320"/>
      <c r="BM230" s="320"/>
      <c r="BN230" s="320"/>
      <c r="BO230" s="320"/>
      <c r="BP230" s="320"/>
      <c r="BQ230" s="320"/>
      <c r="BR230" s="320"/>
      <c r="BS230" s="320"/>
      <c r="BT230" s="320"/>
      <c r="BU230" s="320"/>
      <c r="BV230" s="320"/>
      <c r="BW230" s="320"/>
      <c r="BX230" s="320"/>
      <c r="BY230" s="320"/>
      <c r="BZ230" s="320"/>
      <c r="CA230" s="320"/>
      <c r="CB230" s="320"/>
      <c r="CC230" s="320"/>
      <c r="CD230" s="320"/>
      <c r="CE230" s="320"/>
      <c r="CF230" s="320"/>
      <c r="CG230" s="320"/>
      <c r="CH230" s="320"/>
      <c r="CI230" s="320"/>
      <c r="CJ230" s="320"/>
    </row>
    <row r="231" spans="2:88">
      <c r="B231" s="319" t="s">
        <v>368</v>
      </c>
      <c r="C231" s="319"/>
      <c r="D231" s="319"/>
      <c r="E231" s="319"/>
      <c r="F231" s="319"/>
      <c r="G231" s="319"/>
      <c r="H231" s="319"/>
      <c r="I231" s="319"/>
      <c r="J231" s="319"/>
      <c r="K231" s="319"/>
      <c r="L231" s="319"/>
      <c r="M231" s="319"/>
      <c r="N231" s="319"/>
      <c r="O231" s="319"/>
      <c r="P231" s="319"/>
      <c r="Q231" s="319"/>
      <c r="R231" s="319"/>
      <c r="S231" s="319"/>
      <c r="T231" s="319"/>
      <c r="U231" s="319"/>
      <c r="V231" s="319"/>
      <c r="W231" s="319"/>
      <c r="X231" s="319"/>
      <c r="Y231" s="319"/>
      <c r="Z231" s="319"/>
      <c r="AA231" s="319"/>
      <c r="AB231" s="319"/>
      <c r="AC231" s="319"/>
      <c r="AD231" s="319"/>
      <c r="AE231" s="319"/>
      <c r="AF231" s="319"/>
      <c r="AG231" s="319"/>
      <c r="AH231" s="319"/>
      <c r="AI231" s="319"/>
      <c r="AJ231" s="319"/>
      <c r="AK231" s="319"/>
      <c r="AL231" s="319"/>
      <c r="AM231" s="319"/>
      <c r="AN231" s="319"/>
      <c r="AO231" s="319"/>
      <c r="AP231" s="319"/>
      <c r="AQ231" s="322"/>
      <c r="AR231" s="322"/>
      <c r="AS231" s="322"/>
      <c r="AT231" s="322"/>
      <c r="AU231" s="322"/>
      <c r="AV231" s="322"/>
      <c r="AW231" s="322"/>
      <c r="AX231" s="322"/>
      <c r="AY231" s="322"/>
      <c r="AZ231" s="322"/>
      <c r="BA231" s="322"/>
      <c r="BB231" s="322"/>
      <c r="BC231" s="322"/>
      <c r="BD231" s="322"/>
      <c r="BE231" s="322"/>
      <c r="BF231" s="322"/>
      <c r="BG231" s="322"/>
      <c r="BH231" s="322"/>
      <c r="BI231" s="322"/>
      <c r="BJ231" s="322"/>
      <c r="BK231" s="322"/>
      <c r="BL231" s="322"/>
      <c r="BM231" s="322"/>
      <c r="BN231" s="322"/>
      <c r="BO231" s="322"/>
      <c r="BP231" s="322"/>
      <c r="BQ231" s="322"/>
      <c r="BR231" s="322"/>
      <c r="BS231" s="322"/>
      <c r="BT231" s="322"/>
      <c r="BU231" s="322"/>
      <c r="BV231" s="322"/>
      <c r="BW231" s="322">
        <f t="shared" ref="BW231" si="780">BW233-BV233</f>
        <v>0</v>
      </c>
      <c r="BX231" s="322">
        <f t="shared" ref="BX231" si="781">BX233-BW233</f>
        <v>0</v>
      </c>
      <c r="BY231" s="322">
        <f t="shared" ref="BY231" si="782">BY233-BX233</f>
        <v>0</v>
      </c>
      <c r="BZ231" s="322">
        <f t="shared" ref="BZ231" si="783">BZ233-BY233</f>
        <v>0</v>
      </c>
      <c r="CA231" s="322">
        <f t="shared" ref="CA231" si="784">CA233-BZ233</f>
        <v>209.50260257906208</v>
      </c>
      <c r="CB231" s="322">
        <f t="shared" ref="CB231" si="785">CB233-CA233</f>
        <v>556.35670854565228</v>
      </c>
      <c r="CC231" s="322">
        <f t="shared" ref="CC231" si="786">CC233-CB233</f>
        <v>609.26650309832416</v>
      </c>
      <c r="CD231" s="322">
        <f t="shared" ref="CD231" si="787">CD233-CC233</f>
        <v>430.11582768687958</v>
      </c>
      <c r="CE231" s="322">
        <f t="shared" ref="CE231" si="788">CE233-CD233</f>
        <v>349.08634830414621</v>
      </c>
      <c r="CF231" s="322">
        <f t="shared" ref="CF231" si="789">CF233-CE233</f>
        <v>242.29609683532135</v>
      </c>
      <c r="CG231" s="322">
        <f t="shared" ref="CG231" si="790">CG233-CF233</f>
        <v>186.19574581903089</v>
      </c>
      <c r="CH231" s="322">
        <f t="shared" ref="CH231" si="791">CH233-CG233</f>
        <v>193.5381188335632</v>
      </c>
      <c r="CI231" s="322">
        <f t="shared" ref="CI231" si="792">CI233-CH233</f>
        <v>200.96200216535181</v>
      </c>
      <c r="CJ231" s="322">
        <f>CJ233-CI233</f>
        <v>208.46878713482465</v>
      </c>
    </row>
    <row r="232" spans="2:88">
      <c r="B232" s="319"/>
      <c r="C232" s="319"/>
      <c r="D232" s="319"/>
      <c r="E232" s="319"/>
      <c r="F232" s="319"/>
      <c r="G232" s="319"/>
      <c r="H232" s="319"/>
      <c r="I232" s="319"/>
      <c r="J232" s="319"/>
      <c r="K232" s="319"/>
      <c r="L232" s="319"/>
      <c r="M232" s="319"/>
      <c r="N232" s="319"/>
      <c r="O232" s="319"/>
      <c r="P232" s="319"/>
      <c r="Q232" s="319"/>
      <c r="R232" s="319"/>
      <c r="S232" s="319"/>
      <c r="T232" s="319"/>
      <c r="U232" s="319"/>
      <c r="V232" s="319"/>
      <c r="W232" s="319"/>
      <c r="X232" s="319"/>
      <c r="Y232" s="319"/>
      <c r="Z232" s="319"/>
      <c r="AA232" s="319"/>
      <c r="AB232" s="319"/>
      <c r="AC232" s="319"/>
      <c r="AD232" s="319"/>
      <c r="AE232" s="319"/>
      <c r="AF232" s="319"/>
      <c r="AG232" s="319"/>
      <c r="AH232" s="319"/>
      <c r="AI232" s="319"/>
      <c r="AJ232" s="319"/>
      <c r="AK232" s="319"/>
      <c r="AL232" s="319"/>
      <c r="AM232" s="319"/>
      <c r="AN232" s="319"/>
      <c r="AO232" s="319"/>
      <c r="AP232" s="319"/>
      <c r="AQ232" s="320"/>
      <c r="AR232" s="320"/>
      <c r="AS232" s="320"/>
      <c r="AT232" s="320"/>
      <c r="AU232" s="320"/>
      <c r="AV232" s="320"/>
      <c r="AW232" s="320"/>
      <c r="AX232" s="320"/>
      <c r="AY232" s="320"/>
      <c r="AZ232" s="320"/>
      <c r="BA232" s="320"/>
      <c r="BB232" s="320"/>
      <c r="BC232" s="320"/>
      <c r="BD232" s="320"/>
      <c r="BE232" s="320"/>
      <c r="BF232" s="320"/>
      <c r="BG232" s="320"/>
      <c r="BH232" s="320"/>
      <c r="BI232" s="320"/>
      <c r="BJ232" s="320"/>
      <c r="BK232" s="320"/>
      <c r="BL232" s="320"/>
      <c r="BM232" s="320"/>
      <c r="BN232" s="320"/>
      <c r="BO232" s="320"/>
      <c r="BP232" s="320"/>
      <c r="BQ232" s="320"/>
      <c r="BR232" s="320"/>
      <c r="BS232" s="320"/>
      <c r="BT232" s="320"/>
      <c r="BU232" s="320"/>
      <c r="BV232" s="320"/>
      <c r="BW232" s="320"/>
      <c r="BX232" s="320"/>
      <c r="BY232" s="320"/>
      <c r="BZ232" s="320"/>
      <c r="CA232" s="320"/>
      <c r="CB232" s="320"/>
      <c r="CC232" s="320"/>
      <c r="CD232" s="320"/>
      <c r="CE232" s="320"/>
      <c r="CF232" s="320"/>
      <c r="CG232" s="320"/>
      <c r="CH232" s="320"/>
      <c r="CI232" s="320"/>
      <c r="CJ232" s="320"/>
    </row>
    <row r="233" spans="2:88">
      <c r="B233" s="319" t="s">
        <v>361</v>
      </c>
      <c r="C233" s="319"/>
      <c r="D233" s="319"/>
      <c r="E233" s="319"/>
      <c r="F233" s="319"/>
      <c r="G233" s="319"/>
      <c r="H233" s="319"/>
      <c r="I233" s="319"/>
      <c r="J233" s="319"/>
      <c r="K233" s="319"/>
      <c r="L233" s="319"/>
      <c r="M233" s="319"/>
      <c r="N233" s="319"/>
      <c r="O233" s="319"/>
      <c r="P233" s="319"/>
      <c r="Q233" s="319"/>
      <c r="R233" s="319"/>
      <c r="S233" s="319"/>
      <c r="T233" s="319"/>
      <c r="U233" s="319"/>
      <c r="V233" s="319"/>
      <c r="W233" s="319"/>
      <c r="X233" s="319"/>
      <c r="Y233" s="319"/>
      <c r="Z233" s="319"/>
      <c r="AA233" s="319"/>
      <c r="AB233" s="319"/>
      <c r="AC233" s="319"/>
      <c r="AD233" s="319"/>
      <c r="AE233" s="319"/>
      <c r="AF233" s="319"/>
      <c r="AG233" s="319"/>
      <c r="AH233" s="319"/>
      <c r="AI233" s="319"/>
      <c r="AJ233" s="319"/>
      <c r="AK233" s="319"/>
      <c r="AL233" s="319"/>
      <c r="AM233" s="319"/>
      <c r="AN233" s="319"/>
      <c r="AO233" s="319"/>
      <c r="AP233" s="319"/>
      <c r="AQ233" s="322"/>
      <c r="AR233" s="322"/>
      <c r="AS233" s="322"/>
      <c r="AT233" s="322"/>
      <c r="AU233" s="322"/>
      <c r="AV233" s="322"/>
      <c r="AW233" s="322"/>
      <c r="AX233" s="322"/>
      <c r="AY233" s="322"/>
      <c r="AZ233" s="322"/>
      <c r="BA233" s="322"/>
      <c r="BB233" s="322"/>
      <c r="BC233" s="322"/>
      <c r="BD233" s="322"/>
      <c r="BE233" s="322"/>
      <c r="BF233" s="322"/>
      <c r="BG233" s="322"/>
      <c r="BH233" s="322"/>
      <c r="BI233" s="322"/>
      <c r="BJ233" s="322"/>
      <c r="BK233" s="322"/>
      <c r="BL233" s="322"/>
      <c r="BM233" s="322"/>
      <c r="BN233" s="322"/>
      <c r="BO233" s="322"/>
      <c r="BP233" s="322"/>
      <c r="BQ233" s="322"/>
      <c r="BR233" s="322"/>
      <c r="BS233" s="322"/>
      <c r="BT233" s="322"/>
      <c r="BU233" s="322"/>
      <c r="BV233" s="322"/>
      <c r="BW233" s="322">
        <f t="shared" ref="BW233:CI233" si="793">BW229*BW234</f>
        <v>0</v>
      </c>
      <c r="BX233" s="322">
        <f t="shared" si="793"/>
        <v>0</v>
      </c>
      <c r="BY233" s="322">
        <f t="shared" si="793"/>
        <v>0</v>
      </c>
      <c r="BZ233" s="322">
        <f t="shared" si="793"/>
        <v>0</v>
      </c>
      <c r="CA233" s="322">
        <f t="shared" si="793"/>
        <v>209.50260257906208</v>
      </c>
      <c r="CB233" s="322">
        <f t="shared" si="793"/>
        <v>765.8593111247144</v>
      </c>
      <c r="CC233" s="322">
        <f t="shared" si="793"/>
        <v>1375.1258142230386</v>
      </c>
      <c r="CD233" s="322">
        <f t="shared" si="793"/>
        <v>1805.2416419099181</v>
      </c>
      <c r="CE233" s="322">
        <f t="shared" si="793"/>
        <v>2154.3279902140644</v>
      </c>
      <c r="CF233" s="322">
        <f t="shared" si="793"/>
        <v>2396.6240870493857</v>
      </c>
      <c r="CG233" s="322">
        <f t="shared" si="793"/>
        <v>2582.8198328684166</v>
      </c>
      <c r="CH233" s="322">
        <f t="shared" si="793"/>
        <v>2776.3579517019798</v>
      </c>
      <c r="CI233" s="322">
        <f t="shared" si="793"/>
        <v>2977.3199538673316</v>
      </c>
      <c r="CJ233" s="322">
        <f>CJ229*CJ234</f>
        <v>3185.7887410021563</v>
      </c>
    </row>
    <row r="234" spans="2:88">
      <c r="B234" s="313" t="s">
        <v>350</v>
      </c>
      <c r="C234" s="313"/>
      <c r="D234" s="313"/>
      <c r="E234" s="313"/>
      <c r="F234" s="313"/>
      <c r="G234" s="313"/>
      <c r="H234" s="313"/>
      <c r="I234" s="313"/>
      <c r="J234" s="313"/>
      <c r="K234" s="313"/>
      <c r="L234" s="313"/>
      <c r="M234" s="313"/>
      <c r="N234" s="313"/>
      <c r="O234" s="313"/>
      <c r="P234" s="313"/>
      <c r="Q234" s="313"/>
      <c r="R234" s="313"/>
      <c r="S234" s="313"/>
      <c r="T234" s="313"/>
      <c r="U234" s="313"/>
      <c r="V234" s="313"/>
      <c r="W234" s="313"/>
      <c r="X234" s="313"/>
      <c r="Y234" s="313"/>
      <c r="Z234" s="313"/>
      <c r="AA234" s="313"/>
      <c r="AB234" s="313"/>
      <c r="AC234" s="313"/>
      <c r="AD234" s="313"/>
      <c r="AE234" s="313"/>
      <c r="AF234" s="313"/>
      <c r="AG234" s="313"/>
      <c r="AH234" s="313"/>
      <c r="AI234" s="313"/>
      <c r="AJ234" s="313"/>
      <c r="AK234" s="313"/>
      <c r="AL234" s="313"/>
      <c r="AM234" s="313"/>
      <c r="AN234" s="313"/>
      <c r="AO234" s="313"/>
      <c r="AP234" s="313"/>
      <c r="AQ234" s="315"/>
      <c r="AR234" s="315"/>
      <c r="AS234" s="315"/>
      <c r="AT234" s="315"/>
      <c r="AU234" s="315"/>
      <c r="AV234" s="315"/>
      <c r="AW234" s="315"/>
      <c r="AX234" s="315"/>
      <c r="AY234" s="315"/>
      <c r="AZ234" s="315"/>
      <c r="BA234" s="315"/>
      <c r="BB234" s="315"/>
      <c r="BC234" s="315"/>
      <c r="BD234" s="315"/>
      <c r="BE234" s="315"/>
      <c r="BF234" s="315"/>
      <c r="BG234" s="315"/>
      <c r="BH234" s="315"/>
      <c r="BI234" s="315"/>
      <c r="BJ234" s="315"/>
      <c r="BK234" s="315"/>
      <c r="BL234" s="315"/>
      <c r="BM234" s="315"/>
      <c r="BN234" s="315"/>
      <c r="BO234" s="315"/>
      <c r="BP234" s="315"/>
      <c r="BQ234" s="315"/>
      <c r="BR234" s="315"/>
      <c r="BS234" s="315"/>
      <c r="BT234" s="315"/>
      <c r="BU234" s="315"/>
      <c r="BV234" s="315"/>
      <c r="BW234" s="315">
        <f t="shared" ref="BW234:CJ234" si="794">CHOOSE($BW$3,BW36,BW37,BW38)</f>
        <v>0</v>
      </c>
      <c r="BX234" s="315">
        <f t="shared" si="794"/>
        <v>0</v>
      </c>
      <c r="BY234" s="315">
        <f t="shared" si="794"/>
        <v>0</v>
      </c>
      <c r="BZ234" s="315">
        <f t="shared" si="794"/>
        <v>0</v>
      </c>
      <c r="CA234" s="315">
        <f t="shared" si="794"/>
        <v>6.8000000000000005E-2</v>
      </c>
      <c r="CB234" s="315">
        <f t="shared" si="794"/>
        <v>0.23799999999999996</v>
      </c>
      <c r="CC234" s="315">
        <f t="shared" si="794"/>
        <v>0.40799999999999997</v>
      </c>
      <c r="CD234" s="315">
        <f t="shared" si="794"/>
        <v>0.51</v>
      </c>
      <c r="CE234" s="315">
        <f t="shared" si="794"/>
        <v>0.57800000000000007</v>
      </c>
      <c r="CF234" s="315">
        <f t="shared" si="794"/>
        <v>0.6120000000000001</v>
      </c>
      <c r="CG234" s="315">
        <f t="shared" si="794"/>
        <v>0.62900000000000011</v>
      </c>
      <c r="CH234" s="315">
        <f t="shared" si="794"/>
        <v>0.64600000000000002</v>
      </c>
      <c r="CI234" s="315">
        <f t="shared" si="794"/>
        <v>0.66300000000000003</v>
      </c>
      <c r="CJ234" s="315">
        <f t="shared" si="794"/>
        <v>0.68</v>
      </c>
    </row>
    <row r="235" spans="2:88" hidden="1" outlineLevel="1">
      <c r="B235" s="319"/>
      <c r="C235" s="319"/>
      <c r="D235" s="319"/>
      <c r="E235" s="319"/>
      <c r="F235" s="319"/>
      <c r="G235" s="319"/>
      <c r="H235" s="319"/>
      <c r="I235" s="319"/>
      <c r="J235" s="319"/>
      <c r="K235" s="319"/>
      <c r="L235" s="319"/>
      <c r="M235" s="319"/>
      <c r="N235" s="319"/>
      <c r="O235" s="319"/>
      <c r="P235" s="319"/>
      <c r="Q235" s="319"/>
      <c r="R235" s="319"/>
      <c r="S235" s="319"/>
      <c r="T235" s="319"/>
      <c r="U235" s="319"/>
      <c r="V235" s="319"/>
      <c r="W235" s="319"/>
      <c r="X235" s="319"/>
      <c r="Y235" s="319"/>
      <c r="Z235" s="319"/>
      <c r="AA235" s="319"/>
      <c r="AB235" s="319"/>
      <c r="AC235" s="319"/>
      <c r="AD235" s="319"/>
      <c r="AE235" s="319"/>
      <c r="AF235" s="319"/>
      <c r="AG235" s="319"/>
      <c r="AH235" s="319"/>
      <c r="AI235" s="319"/>
      <c r="AJ235" s="319"/>
      <c r="AK235" s="319"/>
      <c r="AL235" s="319"/>
      <c r="AM235" s="319"/>
      <c r="AN235" s="319"/>
      <c r="AO235" s="319"/>
      <c r="AP235" s="319"/>
      <c r="AQ235" s="320"/>
      <c r="AR235" s="320"/>
      <c r="AS235" s="320"/>
      <c r="AT235" s="320"/>
      <c r="AU235" s="320"/>
      <c r="AV235" s="320"/>
      <c r="AW235" s="320"/>
      <c r="AX235" s="320"/>
      <c r="AY235" s="320"/>
      <c r="AZ235" s="320"/>
      <c r="BA235" s="320"/>
      <c r="BB235" s="320"/>
      <c r="BC235" s="320"/>
      <c r="BD235" s="320"/>
      <c r="BE235" s="320"/>
      <c r="BF235" s="320"/>
      <c r="BG235" s="320"/>
      <c r="BH235" s="320"/>
      <c r="BI235" s="320"/>
      <c r="BJ235" s="320"/>
      <c r="BK235" s="320"/>
      <c r="BL235" s="320"/>
      <c r="BM235" s="320"/>
      <c r="BN235" s="320"/>
      <c r="BO235" s="320"/>
      <c r="BP235" s="320"/>
      <c r="BQ235" s="320"/>
      <c r="BR235" s="320"/>
      <c r="BS235" s="320"/>
      <c r="BT235" s="320"/>
      <c r="BU235" s="320"/>
      <c r="BV235" s="320"/>
      <c r="BW235" s="320"/>
      <c r="BX235" s="320"/>
      <c r="BY235" s="320"/>
      <c r="BZ235" s="320"/>
      <c r="CA235" s="320"/>
      <c r="CB235" s="320"/>
      <c r="CC235" s="320"/>
      <c r="CD235" s="320"/>
      <c r="CE235" s="320"/>
      <c r="CF235" s="320"/>
      <c r="CG235" s="320"/>
      <c r="CH235" s="320"/>
      <c r="CI235" s="320"/>
      <c r="CJ235" s="320"/>
    </row>
    <row r="236" spans="2:88" hidden="1" outlineLevel="1">
      <c r="B236" s="319" t="s">
        <v>371</v>
      </c>
      <c r="C236" s="319"/>
      <c r="D236" s="319"/>
      <c r="E236" s="319"/>
      <c r="F236" s="319"/>
      <c r="G236" s="319"/>
      <c r="H236" s="319"/>
      <c r="I236" s="319"/>
      <c r="J236" s="319"/>
      <c r="K236" s="319"/>
      <c r="L236" s="319"/>
      <c r="M236" s="319"/>
      <c r="N236" s="319"/>
      <c r="O236" s="319"/>
      <c r="P236" s="319"/>
      <c r="Q236" s="319"/>
      <c r="R236" s="319"/>
      <c r="S236" s="319"/>
      <c r="T236" s="319"/>
      <c r="U236" s="319"/>
      <c r="V236" s="319"/>
      <c r="W236" s="319"/>
      <c r="X236" s="319"/>
      <c r="Y236" s="319"/>
      <c r="Z236" s="319"/>
      <c r="AA236" s="319"/>
      <c r="AB236" s="319"/>
      <c r="AC236" s="319"/>
      <c r="AD236" s="319"/>
      <c r="AE236" s="319"/>
      <c r="AF236" s="319"/>
      <c r="AG236" s="319"/>
      <c r="AH236" s="319"/>
      <c r="AI236" s="319"/>
      <c r="AJ236" s="319"/>
      <c r="AK236" s="319"/>
      <c r="AL236" s="319"/>
      <c r="AM236" s="319"/>
      <c r="AN236" s="319"/>
      <c r="AO236" s="319"/>
      <c r="AP236" s="319"/>
      <c r="AQ236" s="321"/>
      <c r="AR236" s="321"/>
      <c r="AS236" s="321"/>
      <c r="AT236" s="321"/>
      <c r="AU236" s="321"/>
      <c r="AV236" s="321"/>
      <c r="AW236" s="321"/>
      <c r="AX236" s="321"/>
      <c r="AY236" s="321"/>
      <c r="AZ236" s="321"/>
      <c r="BA236" s="321"/>
      <c r="BB236" s="321"/>
      <c r="BC236" s="321"/>
      <c r="BD236" s="321"/>
      <c r="BE236" s="321"/>
      <c r="BF236" s="321"/>
      <c r="BG236" s="321"/>
      <c r="BH236" s="321"/>
      <c r="BI236" s="321"/>
      <c r="BJ236" s="321"/>
      <c r="BK236" s="321"/>
      <c r="BL236" s="321"/>
      <c r="BM236" s="321"/>
      <c r="BN236" s="321"/>
      <c r="BO236" s="321"/>
      <c r="BP236" s="321"/>
      <c r="BQ236" s="321"/>
      <c r="BR236" s="321"/>
      <c r="BS236" s="321"/>
      <c r="BT236" s="321"/>
      <c r="BU236" s="321"/>
      <c r="BV236" s="321"/>
      <c r="BW236" s="321">
        <f t="shared" ref="BW236" si="795">BR233*BW237</f>
        <v>0</v>
      </c>
      <c r="BX236" s="321">
        <f t="shared" ref="BX236" si="796">BS233*BX237</f>
        <v>0</v>
      </c>
      <c r="BY236" s="321">
        <f t="shared" ref="BY236" si="797">BT233*BY237</f>
        <v>0</v>
      </c>
      <c r="BZ236" s="321">
        <f t="shared" ref="BZ236" si="798">BU233*BZ237</f>
        <v>0</v>
      </c>
      <c r="CA236" s="321">
        <f t="shared" ref="CA236" si="799">BV233*CA237</f>
        <v>0</v>
      </c>
      <c r="CB236" s="321">
        <f>BW233*CB237</f>
        <v>0</v>
      </c>
      <c r="CC236" s="321">
        <f t="shared" ref="CC236" si="800">BX233*CC237</f>
        <v>0</v>
      </c>
      <c r="CD236" s="321">
        <f t="shared" ref="CD236" si="801">BY233*CD237</f>
        <v>0</v>
      </c>
      <c r="CE236" s="321">
        <f t="shared" ref="CE236" si="802">BZ233*CE237</f>
        <v>0</v>
      </c>
      <c r="CF236" s="321">
        <f t="shared" ref="CF236" si="803">CA233*CF237</f>
        <v>0</v>
      </c>
      <c r="CG236" s="321">
        <f t="shared" ref="CG236" si="804">CB233*CG237</f>
        <v>0</v>
      </c>
      <c r="CH236" s="321">
        <f t="shared" ref="CH236" si="805">CC233*CH237</f>
        <v>0</v>
      </c>
      <c r="CI236" s="321">
        <f t="shared" ref="CI236" si="806">CD233*CI237</f>
        <v>0</v>
      </c>
      <c r="CJ236" s="321">
        <f t="shared" ref="CJ236" si="807">CE233*CJ237</f>
        <v>0</v>
      </c>
    </row>
    <row r="237" spans="2:88" hidden="1" outlineLevel="1">
      <c r="B237" s="323" t="s">
        <v>350</v>
      </c>
      <c r="C237" s="323"/>
      <c r="D237" s="323"/>
      <c r="E237" s="323"/>
      <c r="F237" s="323"/>
      <c r="G237" s="323"/>
      <c r="H237" s="323"/>
      <c r="I237" s="323"/>
      <c r="J237" s="323"/>
      <c r="K237" s="323"/>
      <c r="L237" s="323"/>
      <c r="M237" s="323"/>
      <c r="N237" s="323"/>
      <c r="O237" s="323"/>
      <c r="P237" s="323"/>
      <c r="Q237" s="323"/>
      <c r="R237" s="323"/>
      <c r="S237" s="323"/>
      <c r="T237" s="323"/>
      <c r="U237" s="323"/>
      <c r="V237" s="323"/>
      <c r="W237" s="323"/>
      <c r="X237" s="323"/>
      <c r="Y237" s="323"/>
      <c r="Z237" s="323"/>
      <c r="AA237" s="323"/>
      <c r="AB237" s="323"/>
      <c r="AC237" s="323"/>
      <c r="AD237" s="323"/>
      <c r="AE237" s="323"/>
      <c r="AF237" s="323"/>
      <c r="AG237" s="323"/>
      <c r="AH237" s="323"/>
      <c r="AI237" s="323"/>
      <c r="AJ237" s="323"/>
      <c r="AK237" s="323"/>
      <c r="AL237" s="323"/>
      <c r="AM237" s="323"/>
      <c r="AN237" s="323"/>
      <c r="AO237" s="323"/>
      <c r="AP237" s="323"/>
      <c r="AQ237" s="324"/>
      <c r="AR237" s="324"/>
      <c r="AS237" s="324"/>
      <c r="AT237" s="324"/>
      <c r="AU237" s="324"/>
      <c r="AV237" s="324"/>
      <c r="AW237" s="324"/>
      <c r="AX237" s="324"/>
      <c r="AY237" s="324"/>
      <c r="AZ237" s="324"/>
      <c r="BA237" s="324"/>
      <c r="BB237" s="324"/>
      <c r="BC237" s="324"/>
      <c r="BD237" s="324"/>
      <c r="BE237" s="324"/>
      <c r="BF237" s="324"/>
      <c r="BG237" s="324"/>
      <c r="BH237" s="324"/>
      <c r="BI237" s="324"/>
      <c r="BJ237" s="324"/>
      <c r="BK237" s="324"/>
      <c r="BL237" s="324"/>
      <c r="BM237" s="324"/>
      <c r="BN237" s="324"/>
      <c r="BO237" s="324"/>
      <c r="BP237" s="324"/>
      <c r="BQ237" s="324"/>
      <c r="BR237" s="324"/>
      <c r="BS237" s="324"/>
      <c r="BT237" s="324"/>
      <c r="BU237" s="324"/>
      <c r="BV237" s="324"/>
      <c r="BW237" s="324">
        <f>CHOOSE($BW$3,BW41,BW42,BW43)</f>
        <v>0</v>
      </c>
      <c r="BX237" s="324">
        <f t="shared" ref="BX237:CI237" si="808">BX129</f>
        <v>0</v>
      </c>
      <c r="BY237" s="324">
        <f t="shared" si="808"/>
        <v>0</v>
      </c>
      <c r="BZ237" s="324">
        <f t="shared" si="808"/>
        <v>0</v>
      </c>
      <c r="CA237" s="324">
        <f t="shared" si="808"/>
        <v>0</v>
      </c>
      <c r="CB237" s="324">
        <f t="shared" si="808"/>
        <v>0</v>
      </c>
      <c r="CC237" s="324">
        <f t="shared" si="808"/>
        <v>0</v>
      </c>
      <c r="CD237" s="324">
        <f t="shared" si="808"/>
        <v>0</v>
      </c>
      <c r="CE237" s="324">
        <f t="shared" si="808"/>
        <v>0</v>
      </c>
      <c r="CF237" s="324">
        <f t="shared" si="808"/>
        <v>0</v>
      </c>
      <c r="CG237" s="324">
        <f t="shared" si="808"/>
        <v>0</v>
      </c>
      <c r="CH237" s="324">
        <f t="shared" si="808"/>
        <v>0</v>
      </c>
      <c r="CI237" s="324">
        <f t="shared" si="808"/>
        <v>0</v>
      </c>
      <c r="CJ237" s="324">
        <f>CJ129</f>
        <v>0</v>
      </c>
    </row>
    <row r="238" spans="2:88" collapsed="1">
      <c r="B238" s="333"/>
      <c r="C238" s="333"/>
      <c r="D238" s="333"/>
      <c r="E238" s="333"/>
      <c r="F238" s="333"/>
      <c r="G238" s="333"/>
      <c r="H238" s="333"/>
      <c r="I238" s="333"/>
      <c r="J238" s="333"/>
      <c r="K238" s="333"/>
      <c r="L238" s="333"/>
      <c r="M238" s="333"/>
      <c r="N238" s="333"/>
      <c r="O238" s="333"/>
      <c r="P238" s="333"/>
      <c r="Q238" s="333"/>
      <c r="R238" s="333"/>
      <c r="S238" s="333"/>
      <c r="T238" s="333"/>
      <c r="U238" s="333"/>
      <c r="V238" s="333"/>
      <c r="W238" s="333"/>
      <c r="X238" s="333"/>
      <c r="Y238" s="333"/>
      <c r="Z238" s="333"/>
      <c r="AA238" s="333"/>
      <c r="AB238" s="333"/>
      <c r="AC238" s="333"/>
      <c r="AD238" s="333"/>
      <c r="AE238" s="333"/>
      <c r="AF238" s="333"/>
      <c r="AG238" s="333"/>
      <c r="AH238" s="333"/>
      <c r="AI238" s="333"/>
      <c r="AJ238" s="333"/>
      <c r="AK238" s="333"/>
      <c r="AL238" s="333"/>
      <c r="AM238" s="333"/>
      <c r="AN238" s="333"/>
      <c r="AO238" s="333"/>
      <c r="AP238" s="333"/>
      <c r="AQ238" s="334"/>
      <c r="AR238" s="334"/>
      <c r="AS238" s="334"/>
      <c r="AT238" s="334"/>
      <c r="AU238" s="334"/>
      <c r="AV238" s="334"/>
      <c r="AW238" s="334"/>
      <c r="AX238" s="334"/>
      <c r="AY238" s="334"/>
      <c r="AZ238" s="334"/>
      <c r="BA238" s="334"/>
      <c r="BB238" s="334"/>
      <c r="BC238" s="334"/>
      <c r="BD238" s="334"/>
      <c r="BE238" s="334"/>
      <c r="BF238" s="334"/>
      <c r="BG238" s="334"/>
      <c r="BH238" s="334"/>
      <c r="BI238" s="334"/>
      <c r="BJ238" s="334"/>
      <c r="BK238" s="334"/>
      <c r="BL238" s="334"/>
      <c r="BM238" s="334"/>
      <c r="BN238" s="334"/>
      <c r="BO238" s="334"/>
      <c r="BP238" s="334"/>
      <c r="BQ238" s="334"/>
      <c r="BR238" s="334"/>
      <c r="BS238" s="334"/>
      <c r="BT238" s="334"/>
      <c r="BU238" s="334"/>
      <c r="BV238" s="334"/>
      <c r="BW238" s="334"/>
      <c r="BX238" s="334"/>
      <c r="BY238" s="334"/>
      <c r="BZ238" s="334"/>
      <c r="CA238" s="334"/>
      <c r="CB238" s="334"/>
      <c r="CC238" s="334"/>
      <c r="CD238" s="334"/>
      <c r="CE238" s="334"/>
      <c r="CF238" s="334"/>
      <c r="CG238" s="334"/>
      <c r="CH238" s="334"/>
      <c r="CI238" s="334"/>
      <c r="CJ238" s="334"/>
    </row>
    <row r="239" spans="2:88" hidden="1" outlineLevel="1">
      <c r="B239" s="316" t="s">
        <v>337</v>
      </c>
      <c r="C239" s="316"/>
      <c r="D239" s="316"/>
      <c r="E239" s="316"/>
      <c r="F239" s="316"/>
      <c r="G239" s="316"/>
      <c r="H239" s="316"/>
      <c r="I239" s="316"/>
      <c r="J239" s="316"/>
      <c r="K239" s="316"/>
      <c r="L239" s="316"/>
      <c r="M239" s="316"/>
      <c r="N239" s="316"/>
      <c r="O239" s="316"/>
      <c r="P239" s="316"/>
      <c r="Q239" s="316"/>
      <c r="R239" s="316"/>
      <c r="S239" s="316"/>
      <c r="T239" s="316"/>
      <c r="U239" s="316"/>
      <c r="V239" s="316"/>
      <c r="W239" s="316"/>
      <c r="X239" s="316"/>
      <c r="Y239" s="316"/>
      <c r="Z239" s="316"/>
      <c r="AA239" s="316"/>
      <c r="AB239" s="316"/>
      <c r="AC239" s="316"/>
      <c r="AD239" s="316"/>
      <c r="AE239" s="316"/>
      <c r="AF239" s="316"/>
      <c r="AG239" s="316"/>
      <c r="AH239" s="316"/>
      <c r="AI239" s="316"/>
      <c r="AJ239" s="316"/>
      <c r="AK239" s="316"/>
      <c r="AL239" s="316"/>
      <c r="AM239" s="316"/>
      <c r="AN239" s="316"/>
      <c r="AO239" s="316"/>
      <c r="AP239" s="316"/>
      <c r="AQ239" s="310"/>
      <c r="AR239" s="310"/>
      <c r="AS239" s="310"/>
      <c r="AT239" s="310"/>
      <c r="AU239" s="310"/>
      <c r="AV239" s="310"/>
      <c r="AW239" s="310"/>
      <c r="AX239" s="310"/>
      <c r="AY239" s="310"/>
      <c r="AZ239" s="310"/>
      <c r="BA239" s="310"/>
      <c r="BB239" s="310"/>
      <c r="BC239" s="310"/>
      <c r="BD239" s="310"/>
      <c r="BE239" s="310"/>
      <c r="BF239" s="310"/>
      <c r="BG239" s="310"/>
      <c r="BH239" s="310"/>
      <c r="BI239" s="310"/>
      <c r="BJ239" s="310"/>
      <c r="BK239" s="310"/>
      <c r="BL239" s="310"/>
      <c r="BM239" s="310"/>
      <c r="BN239" s="310"/>
      <c r="BO239" s="310"/>
      <c r="BP239" s="310"/>
      <c r="BQ239" s="310"/>
      <c r="BR239" s="310"/>
      <c r="BS239" s="310"/>
      <c r="BT239" s="310"/>
      <c r="BU239" s="310"/>
      <c r="BV239" s="310"/>
      <c r="BW239" s="310"/>
      <c r="BX239" s="310"/>
      <c r="BY239" s="310"/>
      <c r="BZ239" s="310"/>
      <c r="CA239" s="310"/>
      <c r="CB239" s="310"/>
      <c r="CC239" s="310"/>
      <c r="CD239" s="310"/>
      <c r="CE239" s="310"/>
      <c r="CF239" s="310"/>
      <c r="CG239" s="310"/>
      <c r="CH239" s="310"/>
      <c r="CI239" s="310"/>
      <c r="CJ239" s="310"/>
    </row>
    <row r="240" spans="2:88" hidden="1" outlineLevel="1">
      <c r="B240" s="317" t="s">
        <v>362</v>
      </c>
      <c r="C240" s="318">
        <v>0</v>
      </c>
      <c r="D240" s="318">
        <f t="shared" ref="D240" si="809">C246</f>
        <v>38.014102157294943</v>
      </c>
      <c r="E240" s="318">
        <f t="shared" ref="E240" si="810">D246</f>
        <v>74.545654330455378</v>
      </c>
      <c r="F240" s="318">
        <f t="shared" ref="F240" si="811">E246</f>
        <v>109.67338372504906</v>
      </c>
      <c r="G240" s="318">
        <f t="shared" ref="G240" si="812">F246</f>
        <v>143.47213178313535</v>
      </c>
      <c r="H240" s="318">
        <f t="shared" ref="H240" si="813">G246</f>
        <v>176.01304902800501</v>
      </c>
      <c r="I240" s="318">
        <f t="shared" ref="I240" si="814">H246</f>
        <v>207.36378017280549</v>
      </c>
      <c r="J240" s="318">
        <f t="shared" ref="J240" si="815">I246</f>
        <v>237.58863997992415</v>
      </c>
      <c r="K240" s="318">
        <f t="shared" ref="K240" si="816">J246</f>
        <v>266.74878033366025</v>
      </c>
      <c r="L240" s="318">
        <f t="shared" ref="L240" si="817">K246</f>
        <v>294.90234896558957</v>
      </c>
      <c r="M240" s="318">
        <f t="shared" ref="M240" si="818">L246</f>
        <v>322.10464025005717</v>
      </c>
      <c r="N240" s="318">
        <f t="shared" ref="N240" si="819">M246</f>
        <v>348.40823846636158</v>
      </c>
      <c r="O240" s="318">
        <f t="shared" ref="O240" si="820">N246</f>
        <v>373.86315390436766</v>
      </c>
      <c r="P240" s="318">
        <f t="shared" ref="P240" si="821">O246</f>
        <v>398.516952171448</v>
      </c>
      <c r="Q240" s="318">
        <f t="shared" ref="Q240" si="822">P246</f>
        <v>422.41487704075962</v>
      </c>
      <c r="R240" s="318">
        <f t="shared" ref="R240" si="823">Q246</f>
        <v>445.59996716386235</v>
      </c>
      <c r="S240" s="318">
        <f t="shared" ref="S240" si="824">R246</f>
        <v>468.1131669545365</v>
      </c>
      <c r="T240" s="318">
        <f t="shared" ref="T240" si="825">S246</f>
        <v>489.99343193531445</v>
      </c>
      <c r="U240" s="318">
        <f t="shared" ref="U240" si="826">T246</f>
        <v>511.27782882366705</v>
      </c>
      <c r="V240" s="318">
        <f t="shared" ref="V240" si="827">U246</f>
        <v>532.00163062093839</v>
      </c>
      <c r="W240" s="318">
        <f t="shared" ref="W240" si="828">V246</f>
        <v>552.19840695396908</v>
      </c>
      <c r="X240" s="318">
        <f t="shared" ref="X240" si="829">W246</f>
        <v>571.90010990685312</v>
      </c>
      <c r="Y240" s="318">
        <f t="shared" ref="Y240" si="830">X246</f>
        <v>591.13715556839929</v>
      </c>
      <c r="Z240" s="318">
        <f t="shared" ref="Z240" si="831">Y246</f>
        <v>609.93850150959395</v>
      </c>
      <c r="AA240" s="318">
        <f t="shared" ref="AA240" si="832">Z246</f>
        <v>628.33172039464466</v>
      </c>
      <c r="AB240" s="318">
        <f t="shared" ref="AB240" si="833">AA246</f>
        <v>646.34306991900871</v>
      </c>
      <c r="AC240" s="318">
        <f t="shared" ref="AC240" si="834">AB246</f>
        <v>663.99755925813963</v>
      </c>
      <c r="AD240" s="318">
        <f t="shared" ref="AD240" si="835">AC246</f>
        <v>681.31901220149985</v>
      </c>
      <c r="AE240" s="318">
        <f t="shared" ref="AE240" si="836">AD246</f>
        <v>698.33012713766095</v>
      </c>
      <c r="AF240" s="318">
        <f t="shared" ref="AF240" si="837">AE246</f>
        <v>715.05253404802261</v>
      </c>
      <c r="AG240" s="318">
        <f t="shared" ref="AG240" si="838">AF246</f>
        <v>731.50684865880589</v>
      </c>
      <c r="AH240" s="318">
        <f t="shared" ref="AH240" si="839">AG246</f>
        <v>747.71272389349508</v>
      </c>
      <c r="AI240" s="318">
        <f t="shared" ref="AI240" si="840">AH246</f>
        <v>763.68889876079368</v>
      </c>
      <c r="AJ240" s="318">
        <f t="shared" ref="AJ240" si="841">AI246</f>
        <v>779.45324480640909</v>
      </c>
      <c r="AK240" s="318">
        <f t="shared" ref="AK240" si="842">AJ246</f>
        <v>795.02281025056391</v>
      </c>
      <c r="AL240" s="318">
        <f t="shared" ref="AL240" si="843">AK246</f>
        <v>810.41386192704022</v>
      </c>
      <c r="AM240" s="318">
        <f t="shared" ref="AM240" si="844">AL246</f>
        <v>825.64192513377168</v>
      </c>
      <c r="AN240" s="318">
        <f t="shared" ref="AN240" si="845">AM246</f>
        <v>840.72182149950061</v>
      </c>
      <c r="AO240" s="318">
        <f t="shared" ref="AO240" si="846">AN246</f>
        <v>855.66770496578954</v>
      </c>
      <c r="AP240" s="318">
        <f t="shared" ref="AP240" si="847">AO246</f>
        <v>870.49309597871797</v>
      </c>
      <c r="AQ240" s="318">
        <f t="shared" ref="AQ240" si="848">AP246</f>
        <v>885.21091397987334</v>
      </c>
      <c r="AR240" s="318">
        <f>AQ246</f>
        <v>899.83350828177197</v>
      </c>
      <c r="AS240" s="318">
        <f t="shared" ref="AS240" si="849">AR246</f>
        <v>914.37268740858542</v>
      </c>
      <c r="AT240" s="318">
        <f t="shared" ref="AT240" si="850">AS246</f>
        <v>928.83974697900817</v>
      </c>
      <c r="AU240" s="318">
        <f t="shared" ref="AU240" si="851">AT246</f>
        <v>943.2454962042591</v>
      </c>
      <c r="AV240" s="318">
        <f t="shared" ref="AV240" si="852">AU246</f>
        <v>957.60028307056382</v>
      </c>
      <c r="AW240" s="318">
        <f t="shared" ref="AW240" si="853">AV246</f>
        <v>971.91401827199479</v>
      </c>
      <c r="AX240" s="318">
        <f t="shared" ref="AX240" si="854">AW246</f>
        <v>986.19619795625886</v>
      </c>
      <c r="AY240" s="318">
        <f t="shared" ref="AY240" si="855">AX246</f>
        <v>1000.4559253428863</v>
      </c>
      <c r="AZ240" s="318">
        <f t="shared" ref="AZ240" si="856">AY246</f>
        <v>1014.7019312703112</v>
      </c>
      <c r="BA240" s="318">
        <f t="shared" ref="BA240" si="857">AZ246</f>
        <v>1028.942593725505</v>
      </c>
      <c r="BB240" s="318">
        <f t="shared" ref="BB240" si="858">BA246</f>
        <v>1043.1859564071449</v>
      </c>
      <c r="BC240" s="318">
        <f t="shared" ref="BC240" si="859">BB246</f>
        <v>1057.4397463707498</v>
      </c>
      <c r="BD240" s="318">
        <f t="shared" ref="BD240" si="860">BC246</f>
        <v>1071.7113908017982</v>
      </c>
      <c r="BE240" s="318">
        <f t="shared" ref="BE240" si="861">BD246</f>
        <v>1086.0080329605396</v>
      </c>
      <c r="BF240" s="318">
        <f t="shared" ref="BF240" si="862">BE246</f>
        <v>1100.3365473400311</v>
      </c>
      <c r="BG240" s="318">
        <f t="shared" ref="BG240" si="863">BF246</f>
        <v>1114.7035540768507</v>
      </c>
      <c r="BH240" s="318">
        <f t="shared" ref="BH240" si="864">BG246</f>
        <v>1129.1154326519713</v>
      </c>
      <c r="BI240" s="318">
        <f t="shared" ref="BI240" si="865">BH246</f>
        <v>1143.5783349174046</v>
      </c>
      <c r="BJ240" s="318">
        <f t="shared" ref="BJ240" si="866">BI246</f>
        <v>1158.0981974824444</v>
      </c>
      <c r="BK240" s="318">
        <f t="shared" ref="BK240" si="867">BJ246</f>
        <v>1172.6807534916522</v>
      </c>
      <c r="BL240" s="318">
        <f>BK246</f>
        <v>1187.3315438251161</v>
      </c>
      <c r="BM240" s="318">
        <f>BL246</f>
        <v>1202.0559277499954</v>
      </c>
      <c r="BN240" s="318">
        <f t="shared" ref="BN240" si="868">BM246</f>
        <v>1216.8590930509083</v>
      </c>
      <c r="BO240" s="318">
        <f t="shared" ref="BO240" si="869">BN246</f>
        <v>1231.7460656653482</v>
      </c>
      <c r="BP240" s="318">
        <f t="shared" ref="BP240" si="870">BO246</f>
        <v>1246.7217188490029</v>
      </c>
      <c r="BQ240" s="318">
        <f t="shared" ref="BQ240" si="871">BP246</f>
        <v>1261.7907818946107</v>
      </c>
      <c r="BR240" s="318">
        <f t="shared" ref="BR240" si="872">BQ246</f>
        <v>1276.957848426807</v>
      </c>
      <c r="BS240" s="318">
        <f t="shared" ref="BS240" si="873">BR246</f>
        <v>1292.2273842942898</v>
      </c>
      <c r="BT240" s="318">
        <f t="shared" ref="BT240" si="874">BS246</f>
        <v>1307.6037350795755</v>
      </c>
      <c r="BU240" s="318">
        <f t="shared" ref="BU240" si="875">BT246</f>
        <v>1323.0911332455967</v>
      </c>
      <c r="BV240" s="318">
        <f t="shared" ref="BV240" si="876">BU246</f>
        <v>1338.6937049374367</v>
      </c>
      <c r="BW240" s="318">
        <f t="shared" ref="BW240" si="877">BV246</f>
        <v>1354.4154764565801</v>
      </c>
      <c r="BX240" s="318">
        <f t="shared" ref="BX240" si="878">BW246</f>
        <v>1370.2603804241926</v>
      </c>
      <c r="BY240" s="318">
        <f t="shared" ref="BY240" si="879">BX246</f>
        <v>1386.2322616491192</v>
      </c>
      <c r="BZ240" s="318">
        <f t="shared" ref="BZ240" si="880">BY246</f>
        <v>1402.3348827155071</v>
      </c>
      <c r="CA240" s="318">
        <f t="shared" ref="CA240" si="881">BZ246</f>
        <v>1418.5719293042127</v>
      </c>
      <c r="CB240" s="318">
        <f t="shared" ref="CB240" si="882">CA246</f>
        <v>1434.9470152614524</v>
      </c>
      <c r="CC240" s="318">
        <f t="shared" ref="CC240" si="883">CB246</f>
        <v>1451.4636874274772</v>
      </c>
      <c r="CD240" s="318">
        <f t="shared" ref="CD240" si="884">CC246</f>
        <v>1468.1254302374207</v>
      </c>
      <c r="CE240" s="318">
        <f t="shared" ref="CE240" si="885">CD246</f>
        <v>1484.9356701058616</v>
      </c>
      <c r="CF240" s="318">
        <f t="shared" ref="CF240" si="886">CE246</f>
        <v>1501.897779606064</v>
      </c>
      <c r="CG240" s="318">
        <f t="shared" ref="CG240" si="887">CF246</f>
        <v>1519.0150814543165</v>
      </c>
      <c r="CH240" s="318">
        <f t="shared" ref="CH240" si="888">CG246</f>
        <v>1536.2908523092703</v>
      </c>
      <c r="CI240" s="318">
        <f t="shared" ref="CI240" si="889">CH246</f>
        <v>1553.7283263956811</v>
      </c>
      <c r="CJ240" s="318">
        <f t="shared" ref="CJ240" si="890">CI246</f>
        <v>1571.3306989614919</v>
      </c>
    </row>
    <row r="241" spans="2:88" hidden="1" outlineLevel="1">
      <c r="B241" s="319"/>
      <c r="C241" s="320"/>
      <c r="D241" s="320"/>
      <c r="E241" s="320"/>
      <c r="F241" s="320"/>
      <c r="G241" s="320"/>
      <c r="H241" s="320"/>
      <c r="I241" s="320"/>
      <c r="J241" s="320"/>
      <c r="K241" s="320"/>
      <c r="L241" s="320"/>
      <c r="M241" s="320"/>
      <c r="N241" s="320"/>
      <c r="O241" s="320"/>
      <c r="P241" s="320"/>
      <c r="Q241" s="320"/>
      <c r="R241" s="320"/>
      <c r="S241" s="320"/>
      <c r="T241" s="320"/>
      <c r="U241" s="320"/>
      <c r="V241" s="320"/>
      <c r="W241" s="320"/>
      <c r="X241" s="320"/>
      <c r="Y241" s="320"/>
      <c r="Z241" s="320"/>
      <c r="AA241" s="320"/>
      <c r="AB241" s="320"/>
      <c r="AC241" s="320"/>
      <c r="AD241" s="320"/>
      <c r="AE241" s="320"/>
      <c r="AF241" s="320"/>
      <c r="AG241" s="320"/>
      <c r="AH241" s="320"/>
      <c r="AI241" s="320"/>
      <c r="AJ241" s="320"/>
      <c r="AK241" s="320"/>
      <c r="AL241" s="320"/>
      <c r="AM241" s="320"/>
      <c r="AN241" s="320"/>
      <c r="AO241" s="320"/>
      <c r="AP241" s="320"/>
      <c r="AQ241" s="320"/>
      <c r="AR241" s="320"/>
      <c r="AS241" s="320"/>
      <c r="AT241" s="320"/>
      <c r="AU241" s="320"/>
      <c r="AV241" s="320"/>
      <c r="AW241" s="320"/>
      <c r="AX241" s="320"/>
      <c r="AY241" s="320"/>
      <c r="AZ241" s="320"/>
      <c r="BA241" s="320"/>
      <c r="BB241" s="320"/>
      <c r="BC241" s="320"/>
      <c r="BD241" s="320"/>
      <c r="BE241" s="320"/>
      <c r="BF241" s="320"/>
      <c r="BG241" s="320"/>
      <c r="BH241" s="320"/>
      <c r="BI241" s="320"/>
      <c r="BJ241" s="320"/>
      <c r="BK241" s="320"/>
      <c r="BL241" s="320"/>
      <c r="BM241" s="320"/>
      <c r="BN241" s="320"/>
      <c r="BO241" s="320"/>
      <c r="BP241" s="320"/>
      <c r="BQ241" s="320"/>
      <c r="BR241" s="320"/>
      <c r="BS241" s="320"/>
      <c r="BT241" s="320"/>
      <c r="BU241" s="320"/>
      <c r="BV241" s="320"/>
      <c r="BW241" s="320"/>
      <c r="BX241" s="320"/>
      <c r="BY241" s="320"/>
      <c r="BZ241" s="320"/>
      <c r="CA241" s="320"/>
      <c r="CB241" s="320"/>
      <c r="CC241" s="320"/>
      <c r="CD241" s="320"/>
      <c r="CE241" s="320"/>
      <c r="CF241" s="320"/>
      <c r="CG241" s="320"/>
      <c r="CH241" s="320"/>
      <c r="CI241" s="320"/>
      <c r="CJ241" s="320"/>
    </row>
    <row r="242" spans="2:88" hidden="1" outlineLevel="1">
      <c r="B242" s="319" t="s">
        <v>341</v>
      </c>
      <c r="C242" s="322">
        <v>0</v>
      </c>
      <c r="D242" s="322">
        <f t="shared" ref="D242:AI242" si="891">0.05*C246</f>
        <v>1.9007051078647472</v>
      </c>
      <c r="E242" s="322">
        <f t="shared" si="891"/>
        <v>3.7272827165227689</v>
      </c>
      <c r="F242" s="322">
        <f t="shared" si="891"/>
        <v>5.4836691862524534</v>
      </c>
      <c r="G242" s="322">
        <f t="shared" si="891"/>
        <v>7.1736065891567682</v>
      </c>
      <c r="H242" s="322">
        <f t="shared" si="891"/>
        <v>8.8006524514002518</v>
      </c>
      <c r="I242" s="322">
        <f t="shared" si="891"/>
        <v>10.368189008640275</v>
      </c>
      <c r="J242" s="322">
        <f t="shared" si="891"/>
        <v>11.879431998996209</v>
      </c>
      <c r="K242" s="322">
        <f t="shared" si="891"/>
        <v>13.337439016683014</v>
      </c>
      <c r="L242" s="322">
        <f t="shared" si="891"/>
        <v>14.74511744827948</v>
      </c>
      <c r="M242" s="322">
        <f t="shared" si="891"/>
        <v>16.10523201250286</v>
      </c>
      <c r="N242" s="322">
        <f t="shared" si="891"/>
        <v>17.420411923318081</v>
      </c>
      <c r="O242" s="322">
        <f t="shared" si="891"/>
        <v>18.693157695218385</v>
      </c>
      <c r="P242" s="322">
        <f t="shared" si="891"/>
        <v>19.925847608572401</v>
      </c>
      <c r="Q242" s="322">
        <f t="shared" si="891"/>
        <v>21.120743852037982</v>
      </c>
      <c r="R242" s="322">
        <f t="shared" si="891"/>
        <v>22.279998358193119</v>
      </c>
      <c r="S242" s="322">
        <f t="shared" si="891"/>
        <v>23.405658347726828</v>
      </c>
      <c r="T242" s="322">
        <f t="shared" si="891"/>
        <v>24.499671596765722</v>
      </c>
      <c r="U242" s="322">
        <f t="shared" si="891"/>
        <v>25.563891441183355</v>
      </c>
      <c r="V242" s="322">
        <f t="shared" si="891"/>
        <v>26.600081531046921</v>
      </c>
      <c r="W242" s="322">
        <f t="shared" si="891"/>
        <v>27.609920347698456</v>
      </c>
      <c r="X242" s="322">
        <f t="shared" si="891"/>
        <v>28.595005495342658</v>
      </c>
      <c r="Y242" s="322">
        <f t="shared" si="891"/>
        <v>29.556857778419968</v>
      </c>
      <c r="Z242" s="322">
        <f t="shared" si="891"/>
        <v>30.496925075479698</v>
      </c>
      <c r="AA242" s="322">
        <f t="shared" si="891"/>
        <v>31.416586019732236</v>
      </c>
      <c r="AB242" s="322">
        <f t="shared" si="891"/>
        <v>32.317153495950436</v>
      </c>
      <c r="AC242" s="322">
        <f t="shared" si="891"/>
        <v>33.199877962906982</v>
      </c>
      <c r="AD242" s="322">
        <f t="shared" si="891"/>
        <v>34.065950610074992</v>
      </c>
      <c r="AE242" s="322">
        <f t="shared" si="891"/>
        <v>34.916506356883048</v>
      </c>
      <c r="AF242" s="322">
        <f t="shared" si="891"/>
        <v>35.75262670240113</v>
      </c>
      <c r="AG242" s="322">
        <f t="shared" si="891"/>
        <v>36.575342432940296</v>
      </c>
      <c r="AH242" s="322">
        <f t="shared" si="891"/>
        <v>37.385636194674753</v>
      </c>
      <c r="AI242" s="322">
        <f t="shared" si="891"/>
        <v>38.184444938039682</v>
      </c>
      <c r="AJ242" s="322">
        <f t="shared" ref="AJ242" si="892">0.05*AI246</f>
        <v>38.97266224032046</v>
      </c>
      <c r="AK242" s="322">
        <f t="shared" ref="AK242" si="893">0.05*AJ246</f>
        <v>39.751140512528195</v>
      </c>
      <c r="AL242" s="322">
        <f t="shared" ref="AL242" si="894">0.05*AK246</f>
        <v>40.520693096352012</v>
      </c>
      <c r="AM242" s="322">
        <f t="shared" ref="AM242" si="895">0.05*AL246</f>
        <v>41.28209625668859</v>
      </c>
      <c r="AN242" s="322">
        <f t="shared" ref="AN242" si="896">0.05*AM246</f>
        <v>42.036091074975033</v>
      </c>
      <c r="AO242" s="322">
        <f t="shared" ref="AO242" si="897">0.05*AN246</f>
        <v>42.783385248289477</v>
      </c>
      <c r="AP242" s="322">
        <f t="shared" ref="AP242" si="898">0.05*AO246</f>
        <v>43.524654798935899</v>
      </c>
      <c r="AQ242" s="322">
        <f t="shared" ref="AQ242" si="899">0.05*AP246</f>
        <v>44.260545698993667</v>
      </c>
      <c r="AR242" s="322">
        <f t="shared" ref="AR242" si="900">0.05*AQ246</f>
        <v>44.991675414088604</v>
      </c>
      <c r="AS242" s="322">
        <f t="shared" ref="AS242" si="901">0.05*AR246</f>
        <v>45.718634370429271</v>
      </c>
      <c r="AT242" s="322">
        <f t="shared" ref="AT242" si="902">0.05*AS246</f>
        <v>46.441987348950413</v>
      </c>
      <c r="AU242" s="322">
        <f t="shared" ref="AU242" si="903">0.05*AT246</f>
        <v>47.162274810212956</v>
      </c>
      <c r="AV242" s="322">
        <f t="shared" ref="AV242" si="904">0.05*AU246</f>
        <v>47.880014153528194</v>
      </c>
      <c r="AW242" s="322">
        <f t="shared" ref="AW242" si="905">0.05*AV246</f>
        <v>48.595700913599742</v>
      </c>
      <c r="AX242" s="322">
        <f t="shared" ref="AX242" si="906">0.05*AW246</f>
        <v>49.309809897812947</v>
      </c>
      <c r="AY242" s="322">
        <f t="shared" ref="AY242" si="907">0.05*AX246</f>
        <v>50.022796267144315</v>
      </c>
      <c r="AZ242" s="322">
        <f t="shared" ref="AZ242" si="908">0.05*AY246</f>
        <v>50.735096563515562</v>
      </c>
      <c r="BA242" s="322">
        <f t="shared" ref="BA242" si="909">0.05*AZ246</f>
        <v>51.447129686275254</v>
      </c>
      <c r="BB242" s="322">
        <f t="shared" ref="BB242" si="910">0.05*BA246</f>
        <v>52.159297820357246</v>
      </c>
      <c r="BC242" s="322">
        <f t="shared" ref="BC242" si="911">0.05*BB246</f>
        <v>52.871987318537492</v>
      </c>
      <c r="BD242" s="322">
        <f t="shared" ref="BD242" si="912">0.05*BC246</f>
        <v>53.585569540089914</v>
      </c>
      <c r="BE242" s="322">
        <f t="shared" ref="BE242" si="913">0.05*BD246</f>
        <v>54.300401648026984</v>
      </c>
      <c r="BF242" s="322">
        <f t="shared" ref="BF242" si="914">0.05*BE246</f>
        <v>55.016827367001554</v>
      </c>
      <c r="BG242" s="322">
        <f t="shared" ref="BG242" si="915">0.05*BF246</f>
        <v>55.735177703842538</v>
      </c>
      <c r="BH242" s="322">
        <f t="shared" ref="BH242" si="916">0.05*BG246</f>
        <v>56.455771632598569</v>
      </c>
      <c r="BI242" s="322">
        <f t="shared" ref="BI242" si="917">0.05*BH246</f>
        <v>57.178916745870232</v>
      </c>
      <c r="BJ242" s="322">
        <f t="shared" ref="BJ242" si="918">0.05*BI246</f>
        <v>57.904909874122225</v>
      </c>
      <c r="BK242" s="322">
        <f t="shared" ref="BK242" si="919">0.05*BJ246</f>
        <v>58.634037674582615</v>
      </c>
      <c r="BL242" s="322">
        <f t="shared" ref="BL242" si="920">0.05*BK246</f>
        <v>59.366577191255807</v>
      </c>
      <c r="BM242" s="322">
        <f t="shared" ref="BM242" si="921">0.05*BL246</f>
        <v>60.102796387499772</v>
      </c>
      <c r="BN242" s="322">
        <f t="shared" ref="BN242" si="922">0.05*BM246</f>
        <v>60.842954652545416</v>
      </c>
      <c r="BO242" s="322">
        <f t="shared" ref="BO242" si="923">0.05*BN246</f>
        <v>61.58730328326741</v>
      </c>
      <c r="BP242" s="322">
        <f t="shared" ref="BP242" si="924">0.05*BO246</f>
        <v>62.336085942450147</v>
      </c>
      <c r="BQ242" s="322">
        <f t="shared" ref="BQ242" si="925">0.05*BP246</f>
        <v>63.08953909473054</v>
      </c>
      <c r="BR242" s="322">
        <f t="shared" ref="BR242" si="926">0.05*BQ246</f>
        <v>63.847892421340354</v>
      </c>
      <c r="BS242" s="322">
        <f t="shared" ref="BS242" si="927">0.05*BR246</f>
        <v>64.611369214714486</v>
      </c>
      <c r="BT242" s="322">
        <f t="shared" ref="BT242" si="928">0.05*BS246</f>
        <v>65.380186753978776</v>
      </c>
      <c r="BU242" s="322">
        <f t="shared" ref="BU242" si="929">0.05*BT246</f>
        <v>66.15455666227983</v>
      </c>
      <c r="BV242" s="322">
        <f t="shared" ref="BV242" si="930">0.05*BU246</f>
        <v>66.934685246871837</v>
      </c>
      <c r="BW242" s="322">
        <f t="shared" ref="BW242" si="931">0.05*BV246</f>
        <v>67.720773822829003</v>
      </c>
      <c r="BX242" s="322">
        <f t="shared" ref="BX242" si="932">0.05*BW246</f>
        <v>68.513019021209629</v>
      </c>
      <c r="BY242" s="322">
        <f t="shared" ref="BY242" si="933">0.05*BX246</f>
        <v>69.311613082455963</v>
      </c>
      <c r="BZ242" s="322">
        <f t="shared" ref="BZ242" si="934">0.05*BY246</f>
        <v>70.116744135775363</v>
      </c>
      <c r="CA242" s="322">
        <f t="shared" ref="CA242" si="935">0.05*BZ246</f>
        <v>70.928596465210646</v>
      </c>
      <c r="CB242" s="322">
        <f t="shared" ref="CB242" si="936">0.05*CA246</f>
        <v>71.747350763072617</v>
      </c>
      <c r="CC242" s="322">
        <f t="shared" ref="CC242" si="937">0.05*CB246</f>
        <v>72.57318437137387</v>
      </c>
      <c r="CD242" s="322">
        <f t="shared" ref="CD242" si="938">0.05*CC246</f>
        <v>73.40627151187104</v>
      </c>
      <c r="CE242" s="322">
        <f t="shared" ref="CE242" si="939">0.05*CD246</f>
        <v>74.246783505293081</v>
      </c>
      <c r="CF242" s="322">
        <f t="shared" ref="CF242" si="940">0.05*CE246</f>
        <v>75.094888980303196</v>
      </c>
      <c r="CG242" s="322">
        <f t="shared" ref="CG242" si="941">0.05*CF246</f>
        <v>75.950754072715824</v>
      </c>
      <c r="CH242" s="322">
        <f t="shared" ref="CH242" si="942">0.05*CG246</f>
        <v>76.814542615463523</v>
      </c>
      <c r="CI242" s="322">
        <f t="shared" ref="CI242" si="943">0.05*CH246</f>
        <v>77.686416319784058</v>
      </c>
      <c r="CJ242" s="322">
        <f t="shared" ref="CJ242" si="944">0.05*CI246</f>
        <v>78.566534948074604</v>
      </c>
    </row>
    <row r="243" spans="2:88" hidden="1" outlineLevel="1">
      <c r="B243" s="313"/>
      <c r="C243" s="315"/>
      <c r="D243" s="315"/>
      <c r="E243" s="315"/>
      <c r="F243" s="315"/>
      <c r="G243" s="315"/>
      <c r="H243" s="315"/>
      <c r="I243" s="315"/>
      <c r="J243" s="315"/>
      <c r="K243" s="315"/>
      <c r="L243" s="315"/>
      <c r="M243" s="315"/>
      <c r="N243" s="315"/>
      <c r="O243" s="315"/>
      <c r="P243" s="315"/>
      <c r="Q243" s="315"/>
      <c r="R243" s="315"/>
      <c r="S243" s="315"/>
      <c r="T243" s="315"/>
      <c r="U243" s="315"/>
      <c r="V243" s="315"/>
      <c r="W243" s="315"/>
      <c r="X243" s="315"/>
      <c r="Y243" s="315"/>
      <c r="Z243" s="315"/>
      <c r="AA243" s="315"/>
      <c r="AB243" s="315"/>
      <c r="AC243" s="315"/>
      <c r="AD243" s="315"/>
      <c r="AE243" s="315"/>
      <c r="AF243" s="315"/>
      <c r="AG243" s="315"/>
      <c r="AH243" s="315"/>
      <c r="AI243" s="315"/>
      <c r="AJ243" s="315"/>
      <c r="AK243" s="315"/>
      <c r="AL243" s="315"/>
      <c r="AM243" s="315"/>
      <c r="AN243" s="315"/>
      <c r="AO243" s="315"/>
      <c r="AP243" s="315"/>
      <c r="AQ243" s="315"/>
      <c r="AR243" s="315"/>
      <c r="AS243" s="315"/>
      <c r="AT243" s="315"/>
      <c r="AU243" s="315"/>
      <c r="AV243" s="315"/>
      <c r="AW243" s="315"/>
      <c r="AX243" s="315"/>
      <c r="AY243" s="315"/>
      <c r="AZ243" s="315"/>
      <c r="BA243" s="315"/>
      <c r="BB243" s="315"/>
      <c r="BC243" s="315"/>
      <c r="BD243" s="315"/>
      <c r="BE243" s="315"/>
      <c r="BF243" s="315"/>
      <c r="BG243" s="315"/>
      <c r="BH243" s="315"/>
      <c r="BI243" s="315"/>
      <c r="BJ243" s="315"/>
      <c r="BK243" s="315"/>
      <c r="BL243" s="315"/>
      <c r="BM243" s="315"/>
      <c r="BN243" s="315"/>
      <c r="BO243" s="315"/>
      <c r="BP243" s="315"/>
      <c r="BQ243" s="315"/>
      <c r="BR243" s="315"/>
      <c r="BS243" s="315"/>
      <c r="BT243" s="315"/>
      <c r="BU243" s="315"/>
      <c r="BV243" s="315"/>
      <c r="BW243" s="315"/>
      <c r="BX243" s="315"/>
      <c r="BY243" s="315"/>
      <c r="BZ243" s="315"/>
      <c r="CA243" s="315"/>
      <c r="CB243" s="315"/>
      <c r="CC243" s="315"/>
      <c r="CD243" s="315"/>
      <c r="CE243" s="315"/>
      <c r="CF243" s="315"/>
      <c r="CG243" s="315"/>
      <c r="CH243" s="315"/>
      <c r="CI243" s="315"/>
      <c r="CJ243" s="315"/>
    </row>
    <row r="244" spans="2:88" hidden="1" outlineLevel="1">
      <c r="B244" s="319" t="s">
        <v>363</v>
      </c>
      <c r="C244" s="322">
        <f t="shared" ref="C244:BN244" si="945">C207</f>
        <v>38.014102157294943</v>
      </c>
      <c r="D244" s="322">
        <f t="shared" si="945"/>
        <v>38.43225728102518</v>
      </c>
      <c r="E244" s="322">
        <f t="shared" si="945"/>
        <v>38.855012111116459</v>
      </c>
      <c r="F244" s="322">
        <f t="shared" si="945"/>
        <v>39.282417244338731</v>
      </c>
      <c r="G244" s="322">
        <f t="shared" si="945"/>
        <v>39.714523834026451</v>
      </c>
      <c r="H244" s="322">
        <f t="shared" si="945"/>
        <v>40.151383596200738</v>
      </c>
      <c r="I244" s="322">
        <f t="shared" si="945"/>
        <v>40.593048815758941</v>
      </c>
      <c r="J244" s="322">
        <f t="shared" si="945"/>
        <v>41.039572352732286</v>
      </c>
      <c r="K244" s="322">
        <f t="shared" si="945"/>
        <v>41.491007648612339</v>
      </c>
      <c r="L244" s="322">
        <f t="shared" si="945"/>
        <v>41.947408732747071</v>
      </c>
      <c r="M244" s="322">
        <f t="shared" si="945"/>
        <v>42.408830228807282</v>
      </c>
      <c r="N244" s="322">
        <f t="shared" si="945"/>
        <v>42.87532736132416</v>
      </c>
      <c r="O244" s="322">
        <f t="shared" si="945"/>
        <v>43.346955962298715</v>
      </c>
      <c r="P244" s="322">
        <f t="shared" si="945"/>
        <v>43.823772477883992</v>
      </c>
      <c r="Q244" s="322">
        <f t="shared" si="945"/>
        <v>44.305833975140715</v>
      </c>
      <c r="R244" s="322">
        <f t="shared" si="945"/>
        <v>44.793198148867255</v>
      </c>
      <c r="S244" s="322">
        <f t="shared" si="945"/>
        <v>45.285923328504786</v>
      </c>
      <c r="T244" s="322">
        <f t="shared" si="945"/>
        <v>45.784068485118333</v>
      </c>
      <c r="U244" s="322">
        <f t="shared" si="945"/>
        <v>46.287693238454636</v>
      </c>
      <c r="V244" s="322">
        <f t="shared" si="945"/>
        <v>46.79685786407763</v>
      </c>
      <c r="W244" s="322">
        <f t="shared" si="945"/>
        <v>47.311623300582475</v>
      </c>
      <c r="X244" s="322">
        <f t="shared" si="945"/>
        <v>47.83205115688888</v>
      </c>
      <c r="Y244" s="322">
        <f t="shared" si="945"/>
        <v>48.358203719614657</v>
      </c>
      <c r="Z244" s="322">
        <f t="shared" si="945"/>
        <v>48.890143960530409</v>
      </c>
      <c r="AA244" s="322">
        <f t="shared" si="945"/>
        <v>49.427935544096243</v>
      </c>
      <c r="AB244" s="322">
        <f t="shared" si="945"/>
        <v>49.97164283508129</v>
      </c>
      <c r="AC244" s="322">
        <f t="shared" si="945"/>
        <v>50.521330906267188</v>
      </c>
      <c r="AD244" s="322">
        <f t="shared" si="945"/>
        <v>51.07706554623612</v>
      </c>
      <c r="AE244" s="322">
        <f t="shared" si="945"/>
        <v>51.638913267244718</v>
      </c>
      <c r="AF244" s="322">
        <f t="shared" si="945"/>
        <v>52.206941313184394</v>
      </c>
      <c r="AG244" s="322">
        <f t="shared" si="945"/>
        <v>52.78121766762942</v>
      </c>
      <c r="AH244" s="322">
        <f t="shared" si="945"/>
        <v>53.361811061973341</v>
      </c>
      <c r="AI244" s="322">
        <f t="shared" si="945"/>
        <v>53.948790983655044</v>
      </c>
      <c r="AJ244" s="322">
        <f t="shared" si="945"/>
        <v>54.542227684475243</v>
      </c>
      <c r="AK244" s="322">
        <f t="shared" si="945"/>
        <v>55.142192189004454</v>
      </c>
      <c r="AL244" s="322">
        <f t="shared" si="945"/>
        <v>55.748756303083503</v>
      </c>
      <c r="AM244" s="322">
        <f t="shared" si="945"/>
        <v>56.361992622417411</v>
      </c>
      <c r="AN244" s="322">
        <f t="shared" si="945"/>
        <v>56.981974541263995</v>
      </c>
      <c r="AO244" s="322">
        <f t="shared" si="945"/>
        <v>57.608776261217905</v>
      </c>
      <c r="AP244" s="322">
        <f t="shared" si="945"/>
        <v>58.242472800091292</v>
      </c>
      <c r="AQ244" s="322">
        <f t="shared" si="945"/>
        <v>58.88314000089229</v>
      </c>
      <c r="AR244" s="322">
        <f t="shared" si="945"/>
        <v>59.530854540902091</v>
      </c>
      <c r="AS244" s="322">
        <f t="shared" si="945"/>
        <v>60.185693940852012</v>
      </c>
      <c r="AT244" s="322">
        <f t="shared" si="945"/>
        <v>60.847736574201377</v>
      </c>
      <c r="AU244" s="322">
        <f t="shared" si="945"/>
        <v>61.517061676517585</v>
      </c>
      <c r="AV244" s="322">
        <f t="shared" si="945"/>
        <v>62.193749354959259</v>
      </c>
      <c r="AW244" s="322">
        <f t="shared" si="945"/>
        <v>62.877880597863815</v>
      </c>
      <c r="AX244" s="322">
        <f t="shared" si="945"/>
        <v>63.569537284440301</v>
      </c>
      <c r="AY244" s="322">
        <f t="shared" si="945"/>
        <v>64.268802194569147</v>
      </c>
      <c r="AZ244" s="322">
        <f t="shared" si="945"/>
        <v>64.975759018709383</v>
      </c>
      <c r="BA244" s="322">
        <f t="shared" si="945"/>
        <v>65.690492367915184</v>
      </c>
      <c r="BB244" s="322">
        <f t="shared" si="945"/>
        <v>66.41308778396224</v>
      </c>
      <c r="BC244" s="322">
        <f t="shared" si="945"/>
        <v>67.143631749585822</v>
      </c>
      <c r="BD244" s="322">
        <f t="shared" si="945"/>
        <v>67.882211698831256</v>
      </c>
      <c r="BE244" s="322">
        <f t="shared" si="945"/>
        <v>68.628916027518386</v>
      </c>
      <c r="BF244" s="322">
        <f t="shared" si="945"/>
        <v>69.383834103821087</v>
      </c>
      <c r="BG244" s="322">
        <f t="shared" si="945"/>
        <v>70.14705627896312</v>
      </c>
      <c r="BH244" s="322">
        <f t="shared" si="945"/>
        <v>70.918673898031699</v>
      </c>
      <c r="BI244" s="322">
        <f t="shared" si="945"/>
        <v>71.698779310910041</v>
      </c>
      <c r="BJ244" s="322">
        <f t="shared" si="945"/>
        <v>72.487465883330032</v>
      </c>
      <c r="BK244" s="322">
        <f t="shared" si="945"/>
        <v>73.284828008046659</v>
      </c>
      <c r="BL244" s="322">
        <f t="shared" si="945"/>
        <v>74.090961116135162</v>
      </c>
      <c r="BM244" s="322">
        <f t="shared" si="945"/>
        <v>74.905961688412646</v>
      </c>
      <c r="BN244" s="322">
        <f t="shared" si="945"/>
        <v>75.729927266985186</v>
      </c>
      <c r="BO244" s="322">
        <f t="shared" ref="BO244:CJ244" si="946">BO207</f>
        <v>76.562956466922003</v>
      </c>
      <c r="BP244" s="322">
        <f t="shared" si="946"/>
        <v>77.40514898805813</v>
      </c>
      <c r="BQ244" s="322">
        <f t="shared" si="946"/>
        <v>78.25660562692677</v>
      </c>
      <c r="BR244" s="322">
        <f t="shared" si="946"/>
        <v>79.11742828882295</v>
      </c>
      <c r="BS244" s="322">
        <f t="shared" si="946"/>
        <v>79.987719999999996</v>
      </c>
      <c r="BT244" s="322">
        <f t="shared" si="946"/>
        <v>80.867584919999999</v>
      </c>
      <c r="BU244" s="322">
        <f t="shared" si="946"/>
        <v>81.757128354119985</v>
      </c>
      <c r="BV244" s="322">
        <f t="shared" si="946"/>
        <v>82.656456766015296</v>
      </c>
      <c r="BW244" s="322">
        <f t="shared" si="946"/>
        <v>83.565677790441455</v>
      </c>
      <c r="BX244" s="322">
        <f t="shared" si="946"/>
        <v>84.484900246136291</v>
      </c>
      <c r="BY244" s="322">
        <f t="shared" si="946"/>
        <v>85.414234148843789</v>
      </c>
      <c r="BZ244" s="322">
        <f t="shared" si="946"/>
        <v>86.353790724481058</v>
      </c>
      <c r="CA244" s="322">
        <f t="shared" si="946"/>
        <v>87.30368242245035</v>
      </c>
      <c r="CB244" s="322">
        <f t="shared" si="946"/>
        <v>88.264022929097308</v>
      </c>
      <c r="CC244" s="322">
        <f t="shared" si="946"/>
        <v>89.234927181317346</v>
      </c>
      <c r="CD244" s="322">
        <f t="shared" si="946"/>
        <v>90.216511380311843</v>
      </c>
      <c r="CE244" s="322">
        <f t="shared" si="946"/>
        <v>91.20889300549527</v>
      </c>
      <c r="CF244" s="322">
        <f t="shared" si="946"/>
        <v>92.21219082855572</v>
      </c>
      <c r="CG244" s="322">
        <f t="shared" si="946"/>
        <v>93.226524927669814</v>
      </c>
      <c r="CH244" s="322">
        <f t="shared" si="946"/>
        <v>94.252016701874169</v>
      </c>
      <c r="CI244" s="322">
        <f t="shared" si="946"/>
        <v>95.288788885594769</v>
      </c>
      <c r="CJ244" s="322">
        <f t="shared" si="946"/>
        <v>96.336965563336307</v>
      </c>
    </row>
    <row r="245" spans="2:88" hidden="1" outlineLevel="1">
      <c r="B245" s="319"/>
      <c r="C245" s="320"/>
      <c r="D245" s="320"/>
      <c r="E245" s="320"/>
      <c r="F245" s="320"/>
      <c r="G245" s="320"/>
      <c r="H245" s="320"/>
      <c r="I245" s="320"/>
      <c r="J245" s="320"/>
      <c r="K245" s="320"/>
      <c r="L245" s="320"/>
      <c r="M245" s="320"/>
      <c r="N245" s="320"/>
      <c r="O245" s="320"/>
      <c r="P245" s="320"/>
      <c r="Q245" s="320"/>
      <c r="R245" s="320"/>
      <c r="S245" s="320"/>
      <c r="T245" s="320"/>
      <c r="U245" s="320"/>
      <c r="V245" s="320"/>
      <c r="W245" s="320"/>
      <c r="X245" s="320"/>
      <c r="Y245" s="320"/>
      <c r="Z245" s="320"/>
      <c r="AA245" s="320"/>
      <c r="AB245" s="320"/>
      <c r="AC245" s="320"/>
      <c r="AD245" s="320"/>
      <c r="AE245" s="320"/>
      <c r="AF245" s="320"/>
      <c r="AG245" s="320"/>
      <c r="AH245" s="320"/>
      <c r="AI245" s="320"/>
      <c r="AJ245" s="320"/>
      <c r="AK245" s="320"/>
      <c r="AL245" s="320"/>
      <c r="AM245" s="320"/>
      <c r="AN245" s="320"/>
      <c r="AO245" s="320"/>
      <c r="AP245" s="320"/>
      <c r="AQ245" s="320"/>
      <c r="AR245" s="320"/>
      <c r="AS245" s="320"/>
      <c r="AT245" s="320"/>
      <c r="AU245" s="320"/>
      <c r="AV245" s="320"/>
      <c r="AW245" s="320"/>
      <c r="AX245" s="320"/>
      <c r="AY245" s="320"/>
      <c r="AZ245" s="320"/>
      <c r="BA245" s="320"/>
      <c r="BB245" s="320"/>
      <c r="BC245" s="320"/>
      <c r="BD245" s="320"/>
      <c r="BE245" s="320"/>
      <c r="BF245" s="320"/>
      <c r="BG245" s="320"/>
      <c r="BH245" s="320"/>
      <c r="BI245" s="320"/>
      <c r="BJ245" s="320"/>
      <c r="BK245" s="320"/>
      <c r="BL245" s="320"/>
      <c r="BM245" s="320"/>
      <c r="BN245" s="320"/>
      <c r="BO245" s="320"/>
      <c r="BP245" s="320"/>
      <c r="BQ245" s="320"/>
      <c r="BR245" s="320"/>
      <c r="BS245" s="320"/>
      <c r="BT245" s="320"/>
      <c r="BU245" s="320"/>
      <c r="BV245" s="320"/>
      <c r="BW245" s="320"/>
      <c r="BX245" s="320"/>
      <c r="BY245" s="320"/>
      <c r="BZ245" s="320"/>
      <c r="CA245" s="320"/>
      <c r="CB245" s="320"/>
      <c r="CC245" s="320"/>
      <c r="CD245" s="320"/>
      <c r="CE245" s="320"/>
      <c r="CF245" s="320"/>
      <c r="CG245" s="320"/>
      <c r="CH245" s="320"/>
      <c r="CI245" s="320"/>
      <c r="CJ245" s="320"/>
    </row>
    <row r="246" spans="2:88" hidden="1" outlineLevel="1">
      <c r="B246" s="319" t="s">
        <v>364</v>
      </c>
      <c r="C246" s="322">
        <f t="shared" ref="C246:AQ246" si="947">C240-C242+C244</f>
        <v>38.014102157294943</v>
      </c>
      <c r="D246" s="322">
        <f t="shared" si="947"/>
        <v>74.545654330455378</v>
      </c>
      <c r="E246" s="322">
        <f t="shared" si="947"/>
        <v>109.67338372504906</v>
      </c>
      <c r="F246" s="322">
        <f t="shared" si="947"/>
        <v>143.47213178313535</v>
      </c>
      <c r="G246" s="322">
        <f t="shared" si="947"/>
        <v>176.01304902800501</v>
      </c>
      <c r="H246" s="322">
        <f t="shared" si="947"/>
        <v>207.36378017280549</v>
      </c>
      <c r="I246" s="322">
        <f t="shared" si="947"/>
        <v>237.58863997992415</v>
      </c>
      <c r="J246" s="322">
        <f t="shared" si="947"/>
        <v>266.74878033366025</v>
      </c>
      <c r="K246" s="322">
        <f t="shared" si="947"/>
        <v>294.90234896558957</v>
      </c>
      <c r="L246" s="322">
        <f t="shared" si="947"/>
        <v>322.10464025005717</v>
      </c>
      <c r="M246" s="322">
        <f t="shared" si="947"/>
        <v>348.40823846636158</v>
      </c>
      <c r="N246" s="322">
        <f t="shared" si="947"/>
        <v>373.86315390436766</v>
      </c>
      <c r="O246" s="322">
        <f t="shared" si="947"/>
        <v>398.516952171448</v>
      </c>
      <c r="P246" s="322">
        <f t="shared" si="947"/>
        <v>422.41487704075962</v>
      </c>
      <c r="Q246" s="322">
        <f t="shared" si="947"/>
        <v>445.59996716386235</v>
      </c>
      <c r="R246" s="322">
        <f t="shared" si="947"/>
        <v>468.1131669545365</v>
      </c>
      <c r="S246" s="322">
        <f t="shared" si="947"/>
        <v>489.99343193531445</v>
      </c>
      <c r="T246" s="322">
        <f t="shared" si="947"/>
        <v>511.27782882366705</v>
      </c>
      <c r="U246" s="322">
        <f t="shared" si="947"/>
        <v>532.00163062093839</v>
      </c>
      <c r="V246" s="322">
        <f t="shared" si="947"/>
        <v>552.19840695396908</v>
      </c>
      <c r="W246" s="322">
        <f t="shared" si="947"/>
        <v>571.90010990685312</v>
      </c>
      <c r="X246" s="322">
        <f t="shared" si="947"/>
        <v>591.13715556839929</v>
      </c>
      <c r="Y246" s="322">
        <f t="shared" si="947"/>
        <v>609.93850150959395</v>
      </c>
      <c r="Z246" s="322">
        <f t="shared" si="947"/>
        <v>628.33172039464466</v>
      </c>
      <c r="AA246" s="322">
        <f t="shared" si="947"/>
        <v>646.34306991900871</v>
      </c>
      <c r="AB246" s="322">
        <f t="shared" si="947"/>
        <v>663.99755925813963</v>
      </c>
      <c r="AC246" s="322">
        <f t="shared" si="947"/>
        <v>681.31901220149985</v>
      </c>
      <c r="AD246" s="322">
        <f t="shared" si="947"/>
        <v>698.33012713766095</v>
      </c>
      <c r="AE246" s="322">
        <f t="shared" si="947"/>
        <v>715.05253404802261</v>
      </c>
      <c r="AF246" s="322">
        <f t="shared" si="947"/>
        <v>731.50684865880589</v>
      </c>
      <c r="AG246" s="322">
        <f t="shared" si="947"/>
        <v>747.71272389349508</v>
      </c>
      <c r="AH246" s="322">
        <f t="shared" si="947"/>
        <v>763.68889876079368</v>
      </c>
      <c r="AI246" s="322">
        <f t="shared" si="947"/>
        <v>779.45324480640909</v>
      </c>
      <c r="AJ246" s="322">
        <f t="shared" si="947"/>
        <v>795.02281025056391</v>
      </c>
      <c r="AK246" s="322">
        <f t="shared" si="947"/>
        <v>810.41386192704022</v>
      </c>
      <c r="AL246" s="322">
        <f t="shared" si="947"/>
        <v>825.64192513377168</v>
      </c>
      <c r="AM246" s="322">
        <f t="shared" si="947"/>
        <v>840.72182149950061</v>
      </c>
      <c r="AN246" s="322">
        <f t="shared" si="947"/>
        <v>855.66770496578954</v>
      </c>
      <c r="AO246" s="322">
        <f t="shared" si="947"/>
        <v>870.49309597871797</v>
      </c>
      <c r="AP246" s="322">
        <f t="shared" si="947"/>
        <v>885.21091397987334</v>
      </c>
      <c r="AQ246" s="322">
        <f t="shared" si="947"/>
        <v>899.83350828177197</v>
      </c>
      <c r="AR246" s="322">
        <f>AR240-AR242+AR244</f>
        <v>914.37268740858542</v>
      </c>
      <c r="AS246" s="322">
        <f t="shared" ref="AS246:BK246" si="948">AS240-AS242+AS244</f>
        <v>928.83974697900817</v>
      </c>
      <c r="AT246" s="322">
        <f t="shared" si="948"/>
        <v>943.2454962042591</v>
      </c>
      <c r="AU246" s="322">
        <f t="shared" si="948"/>
        <v>957.60028307056382</v>
      </c>
      <c r="AV246" s="322">
        <f t="shared" si="948"/>
        <v>971.91401827199479</v>
      </c>
      <c r="AW246" s="322">
        <f t="shared" si="948"/>
        <v>986.19619795625886</v>
      </c>
      <c r="AX246" s="322">
        <f t="shared" si="948"/>
        <v>1000.4559253428863</v>
      </c>
      <c r="AY246" s="322">
        <f t="shared" si="948"/>
        <v>1014.7019312703112</v>
      </c>
      <c r="AZ246" s="322">
        <f t="shared" si="948"/>
        <v>1028.942593725505</v>
      </c>
      <c r="BA246" s="322">
        <f t="shared" si="948"/>
        <v>1043.1859564071449</v>
      </c>
      <c r="BB246" s="322">
        <f t="shared" si="948"/>
        <v>1057.4397463707498</v>
      </c>
      <c r="BC246" s="322">
        <f t="shared" si="948"/>
        <v>1071.7113908017982</v>
      </c>
      <c r="BD246" s="322">
        <f t="shared" si="948"/>
        <v>1086.0080329605396</v>
      </c>
      <c r="BE246" s="322">
        <f t="shared" si="948"/>
        <v>1100.3365473400311</v>
      </c>
      <c r="BF246" s="322">
        <f t="shared" si="948"/>
        <v>1114.7035540768507</v>
      </c>
      <c r="BG246" s="322">
        <f t="shared" si="948"/>
        <v>1129.1154326519713</v>
      </c>
      <c r="BH246" s="322">
        <f t="shared" si="948"/>
        <v>1143.5783349174046</v>
      </c>
      <c r="BI246" s="322">
        <f t="shared" si="948"/>
        <v>1158.0981974824444</v>
      </c>
      <c r="BJ246" s="322">
        <f t="shared" si="948"/>
        <v>1172.6807534916522</v>
      </c>
      <c r="BK246" s="322">
        <f t="shared" si="948"/>
        <v>1187.3315438251161</v>
      </c>
      <c r="BL246" s="322">
        <f>BL240-BL242+BL244</f>
        <v>1202.0559277499954</v>
      </c>
      <c r="BM246" s="322">
        <f>BM240-BM242+BM244</f>
        <v>1216.8590930509083</v>
      </c>
      <c r="BN246" s="322">
        <f t="shared" ref="BN246:CJ246" si="949">BN240-BN242+BN244</f>
        <v>1231.7460656653482</v>
      </c>
      <c r="BO246" s="322">
        <f t="shared" si="949"/>
        <v>1246.7217188490029</v>
      </c>
      <c r="BP246" s="322">
        <f t="shared" si="949"/>
        <v>1261.7907818946107</v>
      </c>
      <c r="BQ246" s="322">
        <f t="shared" si="949"/>
        <v>1276.957848426807</v>
      </c>
      <c r="BR246" s="322">
        <f t="shared" si="949"/>
        <v>1292.2273842942898</v>
      </c>
      <c r="BS246" s="322">
        <f t="shared" si="949"/>
        <v>1307.6037350795755</v>
      </c>
      <c r="BT246" s="322">
        <f t="shared" si="949"/>
        <v>1323.0911332455967</v>
      </c>
      <c r="BU246" s="322">
        <f t="shared" si="949"/>
        <v>1338.6937049374367</v>
      </c>
      <c r="BV246" s="322">
        <f t="shared" si="949"/>
        <v>1354.4154764565801</v>
      </c>
      <c r="BW246" s="322">
        <f t="shared" si="949"/>
        <v>1370.2603804241926</v>
      </c>
      <c r="BX246" s="322">
        <f t="shared" si="949"/>
        <v>1386.2322616491192</v>
      </c>
      <c r="BY246" s="322">
        <f t="shared" si="949"/>
        <v>1402.3348827155071</v>
      </c>
      <c r="BZ246" s="322">
        <f t="shared" si="949"/>
        <v>1418.5719293042127</v>
      </c>
      <c r="CA246" s="322">
        <f t="shared" si="949"/>
        <v>1434.9470152614524</v>
      </c>
      <c r="CB246" s="322">
        <f t="shared" si="949"/>
        <v>1451.4636874274772</v>
      </c>
      <c r="CC246" s="322">
        <f t="shared" si="949"/>
        <v>1468.1254302374207</v>
      </c>
      <c r="CD246" s="322">
        <f t="shared" si="949"/>
        <v>1484.9356701058616</v>
      </c>
      <c r="CE246" s="322">
        <f t="shared" si="949"/>
        <v>1501.897779606064</v>
      </c>
      <c r="CF246" s="322">
        <f t="shared" si="949"/>
        <v>1519.0150814543165</v>
      </c>
      <c r="CG246" s="322">
        <f t="shared" si="949"/>
        <v>1536.2908523092703</v>
      </c>
      <c r="CH246" s="322">
        <f t="shared" si="949"/>
        <v>1553.7283263956811</v>
      </c>
      <c r="CI246" s="322">
        <f t="shared" si="949"/>
        <v>1571.3306989614919</v>
      </c>
      <c r="CJ246" s="322">
        <f t="shared" si="949"/>
        <v>1589.1011295767535</v>
      </c>
    </row>
    <row r="247" spans="2:88" hidden="1" outlineLevel="1">
      <c r="B247" s="319"/>
      <c r="C247" s="319"/>
      <c r="D247" s="319"/>
      <c r="E247" s="319"/>
      <c r="F247" s="319"/>
      <c r="G247" s="319"/>
      <c r="H247" s="319"/>
      <c r="I247" s="319"/>
      <c r="J247" s="319"/>
      <c r="K247" s="319"/>
      <c r="L247" s="319"/>
      <c r="M247" s="319"/>
      <c r="N247" s="319"/>
      <c r="O247" s="319"/>
      <c r="P247" s="319"/>
      <c r="Q247" s="319"/>
      <c r="R247" s="319"/>
      <c r="S247" s="319"/>
      <c r="T247" s="319"/>
      <c r="U247" s="319"/>
      <c r="V247" s="319"/>
      <c r="W247" s="319"/>
      <c r="X247" s="319"/>
      <c r="Y247" s="319"/>
      <c r="Z247" s="319"/>
      <c r="AA247" s="319"/>
      <c r="AB247" s="319"/>
      <c r="AC247" s="319"/>
      <c r="AD247" s="319"/>
      <c r="AE247" s="319"/>
      <c r="AF247" s="319"/>
      <c r="AG247" s="319"/>
      <c r="AH247" s="319"/>
      <c r="AI247" s="319"/>
      <c r="AJ247" s="319"/>
      <c r="AK247" s="319"/>
      <c r="AL247" s="319"/>
      <c r="AM247" s="319"/>
      <c r="AN247" s="319"/>
      <c r="AO247" s="319"/>
      <c r="AP247" s="319"/>
      <c r="AQ247" s="320"/>
      <c r="AR247" s="320"/>
      <c r="AS247" s="320"/>
      <c r="AT247" s="320"/>
      <c r="AU247" s="320"/>
      <c r="AV247" s="320"/>
      <c r="AW247" s="320"/>
      <c r="AX247" s="320"/>
      <c r="AY247" s="320"/>
      <c r="AZ247" s="320"/>
      <c r="BA247" s="320"/>
      <c r="BB247" s="320"/>
      <c r="BC247" s="320"/>
      <c r="BD247" s="320"/>
      <c r="BE247" s="320"/>
      <c r="BF247" s="320"/>
      <c r="BG247" s="320"/>
      <c r="BH247" s="320"/>
      <c r="BI247" s="320"/>
      <c r="BJ247" s="320"/>
      <c r="BK247" s="320"/>
      <c r="BL247" s="320"/>
      <c r="BM247" s="320"/>
      <c r="BN247" s="320"/>
      <c r="BO247" s="320"/>
      <c r="BP247" s="320"/>
      <c r="BQ247" s="320"/>
      <c r="BR247" s="320"/>
      <c r="BS247" s="320"/>
      <c r="BT247" s="320"/>
      <c r="BU247" s="320"/>
      <c r="BV247" s="320"/>
      <c r="BW247" s="320"/>
      <c r="BX247" s="320"/>
      <c r="BY247" s="320"/>
      <c r="BZ247" s="320"/>
      <c r="CA247" s="320"/>
      <c r="CB247" s="320"/>
      <c r="CC247" s="320"/>
      <c r="CD247" s="320"/>
      <c r="CE247" s="320"/>
      <c r="CF247" s="320"/>
      <c r="CG247" s="320"/>
      <c r="CH247" s="320"/>
      <c r="CI247" s="320"/>
      <c r="CJ247" s="320"/>
    </row>
    <row r="248" spans="2:88" hidden="1" outlineLevel="1">
      <c r="B248" s="319" t="s">
        <v>370</v>
      </c>
      <c r="C248" s="322"/>
      <c r="D248" s="322"/>
      <c r="E248" s="322"/>
      <c r="F248" s="322"/>
      <c r="G248" s="322"/>
      <c r="H248" s="322"/>
      <c r="I248" s="322"/>
      <c r="J248" s="322"/>
      <c r="K248" s="322"/>
      <c r="L248" s="322"/>
      <c r="M248" s="322"/>
      <c r="N248" s="322"/>
      <c r="O248" s="322"/>
      <c r="P248" s="322"/>
      <c r="Q248" s="322"/>
      <c r="R248" s="322"/>
      <c r="S248" s="322"/>
      <c r="T248" s="322"/>
      <c r="U248" s="322"/>
      <c r="V248" s="322"/>
      <c r="W248" s="322"/>
      <c r="X248" s="322"/>
      <c r="Y248" s="322"/>
      <c r="Z248" s="322"/>
      <c r="AA248" s="322"/>
      <c r="AB248" s="322"/>
      <c r="AC248" s="322"/>
      <c r="AD248" s="322"/>
      <c r="AE248" s="322"/>
      <c r="AF248" s="322"/>
      <c r="AG248" s="322"/>
      <c r="AH248" s="322"/>
      <c r="AI248" s="322"/>
      <c r="AJ248" s="322"/>
      <c r="AK248" s="322"/>
      <c r="AL248" s="322"/>
      <c r="AM248" s="322"/>
      <c r="AN248" s="322"/>
      <c r="AO248" s="322"/>
      <c r="AP248" s="322"/>
      <c r="AQ248" s="322"/>
      <c r="AR248" s="322"/>
      <c r="AS248" s="322"/>
      <c r="AT248" s="322"/>
      <c r="AU248" s="322"/>
      <c r="AV248" s="322"/>
      <c r="AW248" s="322"/>
      <c r="AX248" s="322"/>
      <c r="AY248" s="322"/>
      <c r="AZ248" s="322"/>
      <c r="BA248" s="322"/>
      <c r="BB248" s="322"/>
      <c r="BC248" s="322"/>
      <c r="BD248" s="322"/>
      <c r="BE248" s="322"/>
      <c r="BF248" s="322"/>
      <c r="BG248" s="322"/>
      <c r="BH248" s="322"/>
      <c r="BI248" s="322"/>
      <c r="BJ248" s="322"/>
      <c r="BK248" s="322"/>
      <c r="BL248" s="322"/>
      <c r="BM248" s="322"/>
      <c r="BN248" s="322"/>
      <c r="BO248" s="322"/>
      <c r="BP248" s="322"/>
      <c r="BQ248" s="322"/>
      <c r="BR248" s="322"/>
      <c r="BS248" s="322"/>
      <c r="BT248" s="322"/>
      <c r="BU248" s="322"/>
      <c r="BV248" s="322"/>
      <c r="BW248" s="322">
        <f t="shared" ref="BW248" si="950">BW250-BV250</f>
        <v>0</v>
      </c>
      <c r="BX248" s="322">
        <f t="shared" ref="BX248" si="951">BX250-BW250</f>
        <v>0</v>
      </c>
      <c r="BY248" s="322">
        <f t="shared" ref="BY248" si="952">BY250-BX250</f>
        <v>0</v>
      </c>
      <c r="BZ248" s="322">
        <f t="shared" ref="BZ248" si="953">BZ250-BY250</f>
        <v>0</v>
      </c>
      <c r="CA248" s="322">
        <f t="shared" ref="CA248" si="954">CA250-BZ250</f>
        <v>0</v>
      </c>
      <c r="CB248" s="322">
        <f t="shared" ref="CB248" si="955">CB250-CA250</f>
        <v>0</v>
      </c>
      <c r="CC248" s="322">
        <f t="shared" ref="CC248" si="956">CC250-CB250</f>
        <v>0</v>
      </c>
      <c r="CD248" s="322">
        <f t="shared" ref="CD248" si="957">CD250-CC250</f>
        <v>0</v>
      </c>
      <c r="CE248" s="322">
        <f t="shared" ref="CE248" si="958">CE250-CD250</f>
        <v>0</v>
      </c>
      <c r="CF248" s="322">
        <f t="shared" ref="CF248" si="959">CF250-CE250</f>
        <v>0</v>
      </c>
      <c r="CG248" s="322">
        <f t="shared" ref="CG248" si="960">CG250-CF250</f>
        <v>0</v>
      </c>
      <c r="CH248" s="322">
        <f t="shared" ref="CH248" si="961">CH250-CG250</f>
        <v>0</v>
      </c>
      <c r="CI248" s="322">
        <f t="shared" ref="CI248" si="962">CI250-CH250</f>
        <v>0</v>
      </c>
      <c r="CJ248" s="322">
        <f>CJ250-CI250</f>
        <v>0</v>
      </c>
    </row>
    <row r="249" spans="2:88" hidden="1" outlineLevel="1">
      <c r="B249" s="319"/>
      <c r="C249" s="319"/>
      <c r="D249" s="319"/>
      <c r="E249" s="319"/>
      <c r="F249" s="319"/>
      <c r="G249" s="319"/>
      <c r="H249" s="319"/>
      <c r="I249" s="319"/>
      <c r="J249" s="319"/>
      <c r="K249" s="319"/>
      <c r="L249" s="319"/>
      <c r="M249" s="319"/>
      <c r="N249" s="319"/>
      <c r="O249" s="319"/>
      <c r="P249" s="319"/>
      <c r="Q249" s="319"/>
      <c r="R249" s="319"/>
      <c r="S249" s="319"/>
      <c r="T249" s="319"/>
      <c r="U249" s="319"/>
      <c r="V249" s="319"/>
      <c r="W249" s="319"/>
      <c r="X249" s="319"/>
      <c r="Y249" s="319"/>
      <c r="Z249" s="319"/>
      <c r="AA249" s="319"/>
      <c r="AB249" s="319"/>
      <c r="AC249" s="319"/>
      <c r="AD249" s="319"/>
      <c r="AE249" s="319"/>
      <c r="AF249" s="319"/>
      <c r="AG249" s="319"/>
      <c r="AH249" s="319"/>
      <c r="AI249" s="319"/>
      <c r="AJ249" s="319"/>
      <c r="AK249" s="319"/>
      <c r="AL249" s="319"/>
      <c r="AM249" s="319"/>
      <c r="AN249" s="319"/>
      <c r="AO249" s="319"/>
      <c r="AP249" s="319"/>
      <c r="AQ249" s="320"/>
      <c r="AR249" s="320"/>
      <c r="AS249" s="320"/>
      <c r="AT249" s="320"/>
      <c r="AU249" s="320"/>
      <c r="AV249" s="320"/>
      <c r="AW249" s="320"/>
      <c r="AX249" s="320"/>
      <c r="AY249" s="320"/>
      <c r="AZ249" s="320"/>
      <c r="BA249" s="320"/>
      <c r="BB249" s="320"/>
      <c r="BC249" s="320"/>
      <c r="BD249" s="320"/>
      <c r="BE249" s="320"/>
      <c r="BF249" s="320"/>
      <c r="BG249" s="320"/>
      <c r="BH249" s="320"/>
      <c r="BI249" s="320"/>
      <c r="BJ249" s="320"/>
      <c r="BK249" s="320"/>
      <c r="BL249" s="320"/>
      <c r="BM249" s="320"/>
      <c r="BN249" s="320"/>
      <c r="BO249" s="320"/>
      <c r="BP249" s="320"/>
      <c r="BQ249" s="320"/>
      <c r="BR249" s="320"/>
      <c r="BS249" s="320"/>
      <c r="BT249" s="320"/>
      <c r="BU249" s="320"/>
      <c r="BV249" s="320"/>
      <c r="BW249" s="320"/>
      <c r="BX249" s="320"/>
      <c r="BY249" s="320"/>
      <c r="BZ249" s="320"/>
      <c r="CA249" s="320"/>
      <c r="CB249" s="320"/>
      <c r="CC249" s="320"/>
      <c r="CD249" s="320"/>
      <c r="CE249" s="320"/>
      <c r="CF249" s="320"/>
      <c r="CG249" s="320"/>
      <c r="CH249" s="320"/>
      <c r="CI249" s="320"/>
      <c r="CJ249" s="320"/>
    </row>
    <row r="250" spans="2:88" hidden="1" outlineLevel="1">
      <c r="B250" s="319" t="s">
        <v>369</v>
      </c>
      <c r="C250" s="319"/>
      <c r="D250" s="319"/>
      <c r="E250" s="319"/>
      <c r="F250" s="319"/>
      <c r="G250" s="319"/>
      <c r="H250" s="319"/>
      <c r="I250" s="319"/>
      <c r="J250" s="319"/>
      <c r="K250" s="319"/>
      <c r="L250" s="319"/>
      <c r="M250" s="319"/>
      <c r="N250" s="319"/>
      <c r="O250" s="319"/>
      <c r="P250" s="319"/>
      <c r="Q250" s="319"/>
      <c r="R250" s="319"/>
      <c r="S250" s="319"/>
      <c r="T250" s="319"/>
      <c r="U250" s="319"/>
      <c r="V250" s="319"/>
      <c r="W250" s="319"/>
      <c r="X250" s="319"/>
      <c r="Y250" s="319"/>
      <c r="Z250" s="319"/>
      <c r="AA250" s="319"/>
      <c r="AB250" s="319"/>
      <c r="AC250" s="319"/>
      <c r="AD250" s="319"/>
      <c r="AE250" s="319"/>
      <c r="AF250" s="319"/>
      <c r="AG250" s="319"/>
      <c r="AH250" s="319"/>
      <c r="AI250" s="319"/>
      <c r="AJ250" s="319"/>
      <c r="AK250" s="319"/>
      <c r="AL250" s="319"/>
      <c r="AM250" s="319"/>
      <c r="AN250" s="319"/>
      <c r="AO250" s="319"/>
      <c r="AP250" s="319"/>
      <c r="AQ250" s="322"/>
      <c r="AR250" s="322"/>
      <c r="AS250" s="322"/>
      <c r="AT250" s="322"/>
      <c r="AU250" s="322"/>
      <c r="AV250" s="322"/>
      <c r="AW250" s="322"/>
      <c r="AX250" s="322"/>
      <c r="AY250" s="322"/>
      <c r="AZ250" s="322"/>
      <c r="BA250" s="322"/>
      <c r="BB250" s="322"/>
      <c r="BC250" s="322"/>
      <c r="BD250" s="322"/>
      <c r="BE250" s="322"/>
      <c r="BF250" s="322"/>
      <c r="BG250" s="322"/>
      <c r="BH250" s="322"/>
      <c r="BI250" s="322"/>
      <c r="BJ250" s="322"/>
      <c r="BK250" s="322"/>
      <c r="BL250" s="322"/>
      <c r="BM250" s="322"/>
      <c r="BN250" s="322"/>
      <c r="BO250" s="322"/>
      <c r="BP250" s="322"/>
      <c r="BQ250" s="322"/>
      <c r="BR250" s="322"/>
      <c r="BS250" s="322"/>
      <c r="BT250" s="322"/>
      <c r="BU250" s="322"/>
      <c r="BV250" s="322"/>
      <c r="BW250" s="322">
        <f t="shared" ref="BW250:CI250" si="963">BW246*BW251</f>
        <v>0</v>
      </c>
      <c r="BX250" s="322">
        <f t="shared" si="963"/>
        <v>0</v>
      </c>
      <c r="BY250" s="322">
        <f t="shared" si="963"/>
        <v>0</v>
      </c>
      <c r="BZ250" s="322">
        <f t="shared" si="963"/>
        <v>0</v>
      </c>
      <c r="CA250" s="322">
        <f t="shared" si="963"/>
        <v>0</v>
      </c>
      <c r="CB250" s="322">
        <f t="shared" si="963"/>
        <v>0</v>
      </c>
      <c r="CC250" s="322">
        <f t="shared" si="963"/>
        <v>0</v>
      </c>
      <c r="CD250" s="322">
        <f t="shared" si="963"/>
        <v>0</v>
      </c>
      <c r="CE250" s="322">
        <f t="shared" si="963"/>
        <v>0</v>
      </c>
      <c r="CF250" s="322">
        <f t="shared" si="963"/>
        <v>0</v>
      </c>
      <c r="CG250" s="322">
        <f t="shared" si="963"/>
        <v>0</v>
      </c>
      <c r="CH250" s="322">
        <f t="shared" si="963"/>
        <v>0</v>
      </c>
      <c r="CI250" s="322">
        <f t="shared" si="963"/>
        <v>0</v>
      </c>
      <c r="CJ250" s="322">
        <f>CJ246*CJ251</f>
        <v>0</v>
      </c>
    </row>
    <row r="251" spans="2:88" hidden="1" outlineLevel="1">
      <c r="B251" s="313" t="s">
        <v>350</v>
      </c>
      <c r="C251" s="313"/>
      <c r="D251" s="313"/>
      <c r="E251" s="313"/>
      <c r="F251" s="313"/>
      <c r="G251" s="313"/>
      <c r="H251" s="313"/>
      <c r="I251" s="313"/>
      <c r="J251" s="313"/>
      <c r="K251" s="313"/>
      <c r="L251" s="313"/>
      <c r="M251" s="313"/>
      <c r="N251" s="313"/>
      <c r="O251" s="313"/>
      <c r="P251" s="313"/>
      <c r="Q251" s="313"/>
      <c r="R251" s="313"/>
      <c r="S251" s="313"/>
      <c r="T251" s="313"/>
      <c r="U251" s="313"/>
      <c r="V251" s="313"/>
      <c r="W251" s="313"/>
      <c r="X251" s="313"/>
      <c r="Y251" s="313"/>
      <c r="Z251" s="313"/>
      <c r="AA251" s="313"/>
      <c r="AB251" s="313"/>
      <c r="AC251" s="313"/>
      <c r="AD251" s="313"/>
      <c r="AE251" s="313"/>
      <c r="AF251" s="313"/>
      <c r="AG251" s="313"/>
      <c r="AH251" s="313"/>
      <c r="AI251" s="313"/>
      <c r="AJ251" s="313"/>
      <c r="AK251" s="313"/>
      <c r="AL251" s="313"/>
      <c r="AM251" s="313"/>
      <c r="AN251" s="313"/>
      <c r="AO251" s="313"/>
      <c r="AP251" s="313"/>
      <c r="AQ251" s="315"/>
      <c r="AR251" s="315"/>
      <c r="AS251" s="315"/>
      <c r="AT251" s="315"/>
      <c r="AU251" s="315"/>
      <c r="AV251" s="315"/>
      <c r="AW251" s="315"/>
      <c r="AX251" s="315"/>
      <c r="AY251" s="315"/>
      <c r="AZ251" s="315"/>
      <c r="BA251" s="315"/>
      <c r="BB251" s="315"/>
      <c r="BC251" s="315"/>
      <c r="BD251" s="315"/>
      <c r="BE251" s="315"/>
      <c r="BF251" s="315"/>
      <c r="BG251" s="315"/>
      <c r="BH251" s="315"/>
      <c r="BI251" s="315"/>
      <c r="BJ251" s="315"/>
      <c r="BK251" s="315"/>
      <c r="BL251" s="315"/>
      <c r="BM251" s="315"/>
      <c r="BN251" s="315"/>
      <c r="BO251" s="315"/>
      <c r="BP251" s="315"/>
      <c r="BQ251" s="315"/>
      <c r="BR251" s="315"/>
      <c r="BS251" s="315"/>
      <c r="BT251" s="315"/>
      <c r="BU251" s="315"/>
      <c r="BV251" s="315"/>
      <c r="BW251" s="315">
        <f t="shared" ref="BW251:CJ251" si="964">CHOOSE($BW$3,BW56,BW57,BW58)</f>
        <v>0</v>
      </c>
      <c r="BX251" s="315">
        <f t="shared" si="964"/>
        <v>0</v>
      </c>
      <c r="BY251" s="315">
        <f t="shared" si="964"/>
        <v>0</v>
      </c>
      <c r="BZ251" s="315">
        <f t="shared" si="964"/>
        <v>0</v>
      </c>
      <c r="CA251" s="315">
        <f t="shared" si="964"/>
        <v>0</v>
      </c>
      <c r="CB251" s="315">
        <f t="shared" si="964"/>
        <v>0</v>
      </c>
      <c r="CC251" s="315">
        <f t="shared" si="964"/>
        <v>0</v>
      </c>
      <c r="CD251" s="315">
        <f t="shared" si="964"/>
        <v>0</v>
      </c>
      <c r="CE251" s="315">
        <f t="shared" si="964"/>
        <v>0</v>
      </c>
      <c r="CF251" s="315">
        <f t="shared" si="964"/>
        <v>0</v>
      </c>
      <c r="CG251" s="315">
        <f t="shared" si="964"/>
        <v>0</v>
      </c>
      <c r="CH251" s="315">
        <f t="shared" si="964"/>
        <v>0</v>
      </c>
      <c r="CI251" s="315">
        <f t="shared" si="964"/>
        <v>0</v>
      </c>
      <c r="CJ251" s="315">
        <f t="shared" si="964"/>
        <v>0</v>
      </c>
    </row>
    <row r="252" spans="2:88" hidden="1" outlineLevel="2">
      <c r="B252" s="319"/>
      <c r="C252" s="319"/>
      <c r="D252" s="319"/>
      <c r="E252" s="319"/>
      <c r="F252" s="319"/>
      <c r="G252" s="319"/>
      <c r="H252" s="319"/>
      <c r="I252" s="319"/>
      <c r="J252" s="319"/>
      <c r="K252" s="319"/>
      <c r="L252" s="319"/>
      <c r="M252" s="319"/>
      <c r="N252" s="319"/>
      <c r="O252" s="319"/>
      <c r="P252" s="319"/>
      <c r="Q252" s="319"/>
      <c r="R252" s="319"/>
      <c r="S252" s="319"/>
      <c r="T252" s="319"/>
      <c r="U252" s="319"/>
      <c r="V252" s="319"/>
      <c r="W252" s="319"/>
      <c r="X252" s="319"/>
      <c r="Y252" s="319"/>
      <c r="Z252" s="319"/>
      <c r="AA252" s="319"/>
      <c r="AB252" s="319"/>
      <c r="AC252" s="319"/>
      <c r="AD252" s="319"/>
      <c r="AE252" s="319"/>
      <c r="AF252" s="319"/>
      <c r="AG252" s="319"/>
      <c r="AH252" s="319"/>
      <c r="AI252" s="319"/>
      <c r="AJ252" s="319"/>
      <c r="AK252" s="319"/>
      <c r="AL252" s="319"/>
      <c r="AM252" s="319"/>
      <c r="AN252" s="319"/>
      <c r="AO252" s="319"/>
      <c r="AP252" s="319"/>
      <c r="AQ252" s="320"/>
      <c r="AR252" s="320"/>
      <c r="AS252" s="320"/>
      <c r="AT252" s="320"/>
      <c r="AU252" s="320"/>
      <c r="AV252" s="320"/>
      <c r="AW252" s="320"/>
      <c r="AX252" s="320"/>
      <c r="AY252" s="320"/>
      <c r="AZ252" s="320"/>
      <c r="BA252" s="320"/>
      <c r="BB252" s="320"/>
      <c r="BC252" s="320"/>
      <c r="BD252" s="320"/>
      <c r="BE252" s="320"/>
      <c r="BF252" s="320"/>
      <c r="BG252" s="320"/>
      <c r="BH252" s="320"/>
      <c r="BI252" s="320"/>
      <c r="BJ252" s="320"/>
      <c r="BK252" s="320"/>
      <c r="BL252" s="320"/>
      <c r="BM252" s="320"/>
      <c r="BN252" s="320"/>
      <c r="BO252" s="320"/>
      <c r="BP252" s="320"/>
      <c r="BQ252" s="320"/>
      <c r="BR252" s="320"/>
      <c r="BS252" s="320"/>
      <c r="BT252" s="320"/>
      <c r="BU252" s="320"/>
      <c r="BV252" s="320"/>
      <c r="BW252" s="320"/>
      <c r="BX252" s="320"/>
      <c r="BY252" s="320"/>
      <c r="BZ252" s="320"/>
      <c r="CA252" s="320"/>
      <c r="CB252" s="320"/>
      <c r="CC252" s="320"/>
      <c r="CD252" s="320"/>
      <c r="CE252" s="320"/>
      <c r="CF252" s="320"/>
      <c r="CG252" s="320"/>
      <c r="CH252" s="320"/>
      <c r="CI252" s="320"/>
      <c r="CJ252" s="320"/>
    </row>
    <row r="253" spans="2:88" hidden="1" outlineLevel="2">
      <c r="B253" s="319" t="s">
        <v>373</v>
      </c>
      <c r="C253" s="319"/>
      <c r="D253" s="319"/>
      <c r="E253" s="319"/>
      <c r="F253" s="319"/>
      <c r="G253" s="319"/>
      <c r="H253" s="319"/>
      <c r="I253" s="319"/>
      <c r="J253" s="319"/>
      <c r="K253" s="319"/>
      <c r="L253" s="319"/>
      <c r="M253" s="319"/>
      <c r="N253" s="319"/>
      <c r="O253" s="319"/>
      <c r="P253" s="319"/>
      <c r="Q253" s="319"/>
      <c r="R253" s="319"/>
      <c r="S253" s="319"/>
      <c r="T253" s="319"/>
      <c r="U253" s="319"/>
      <c r="V253" s="319"/>
      <c r="W253" s="319"/>
      <c r="X253" s="319"/>
      <c r="Y253" s="319"/>
      <c r="Z253" s="319"/>
      <c r="AA253" s="319"/>
      <c r="AB253" s="319"/>
      <c r="AC253" s="319"/>
      <c r="AD253" s="319"/>
      <c r="AE253" s="319"/>
      <c r="AF253" s="319"/>
      <c r="AG253" s="319"/>
      <c r="AH253" s="319"/>
      <c r="AI253" s="319"/>
      <c r="AJ253" s="319"/>
      <c r="AK253" s="319"/>
      <c r="AL253" s="319"/>
      <c r="AM253" s="319"/>
      <c r="AN253" s="319"/>
      <c r="AO253" s="319"/>
      <c r="AP253" s="319"/>
      <c r="AQ253" s="321"/>
      <c r="AR253" s="321"/>
      <c r="AS253" s="321"/>
      <c r="AT253" s="321"/>
      <c r="AU253" s="321"/>
      <c r="AV253" s="321"/>
      <c r="AW253" s="321"/>
      <c r="AX253" s="321"/>
      <c r="AY253" s="321"/>
      <c r="AZ253" s="321"/>
      <c r="BA253" s="321"/>
      <c r="BB253" s="321"/>
      <c r="BC253" s="321"/>
      <c r="BD253" s="321"/>
      <c r="BE253" s="321"/>
      <c r="BF253" s="321"/>
      <c r="BG253" s="321"/>
      <c r="BH253" s="321"/>
      <c r="BI253" s="321"/>
      <c r="BJ253" s="321"/>
      <c r="BK253" s="321"/>
      <c r="BL253" s="321"/>
      <c r="BM253" s="321"/>
      <c r="BN253" s="321"/>
      <c r="BO253" s="321"/>
      <c r="BP253" s="321"/>
      <c r="BQ253" s="321"/>
      <c r="BR253" s="321"/>
      <c r="BS253" s="321"/>
      <c r="BT253" s="321"/>
      <c r="BU253" s="321"/>
      <c r="BV253" s="321"/>
      <c r="BW253" s="321">
        <f t="shared" ref="BW253" si="965">BR250*BW254</f>
        <v>0</v>
      </c>
      <c r="BX253" s="321">
        <f t="shared" ref="BX253" si="966">BS250*BX254</f>
        <v>0</v>
      </c>
      <c r="BY253" s="321">
        <f t="shared" ref="BY253" si="967">BT250*BY254</f>
        <v>0</v>
      </c>
      <c r="BZ253" s="321">
        <f t="shared" ref="BZ253" si="968">BU250*BZ254</f>
        <v>0</v>
      </c>
      <c r="CA253" s="321">
        <f t="shared" ref="CA253" si="969">BV250*CA254</f>
        <v>0</v>
      </c>
      <c r="CB253" s="321">
        <f t="shared" ref="CB253" si="970">BW250*CB254</f>
        <v>0</v>
      </c>
      <c r="CC253" s="321">
        <f t="shared" ref="CC253" si="971">BX250*CC254</f>
        <v>0</v>
      </c>
      <c r="CD253" s="321">
        <f t="shared" ref="CD253" si="972">BY250*CD254</f>
        <v>0</v>
      </c>
      <c r="CE253" s="321">
        <f t="shared" ref="CE253" si="973">BZ250*CE254</f>
        <v>0</v>
      </c>
      <c r="CF253" s="321">
        <f t="shared" ref="CF253" si="974">CA250*CF254</f>
        <v>0</v>
      </c>
      <c r="CG253" s="321">
        <f t="shared" ref="CG253" si="975">CB250*CG254</f>
        <v>0</v>
      </c>
      <c r="CH253" s="321">
        <f t="shared" ref="CH253" si="976">CC250*CH254</f>
        <v>0</v>
      </c>
      <c r="CI253" s="321">
        <f t="shared" ref="CI253" si="977">CD250*CI254</f>
        <v>0</v>
      </c>
      <c r="CJ253" s="321">
        <f t="shared" ref="CJ253" si="978">CE250*CJ254</f>
        <v>0</v>
      </c>
    </row>
    <row r="254" spans="2:88" hidden="1" outlineLevel="2">
      <c r="B254" s="323" t="s">
        <v>350</v>
      </c>
      <c r="C254" s="323"/>
      <c r="D254" s="323"/>
      <c r="E254" s="323"/>
      <c r="F254" s="323"/>
      <c r="G254" s="323"/>
      <c r="H254" s="323"/>
      <c r="I254" s="323"/>
      <c r="J254" s="323"/>
      <c r="K254" s="323"/>
      <c r="L254" s="323"/>
      <c r="M254" s="323"/>
      <c r="N254" s="323"/>
      <c r="O254" s="323"/>
      <c r="P254" s="323"/>
      <c r="Q254" s="323"/>
      <c r="R254" s="323"/>
      <c r="S254" s="323"/>
      <c r="T254" s="323"/>
      <c r="U254" s="323"/>
      <c r="V254" s="323"/>
      <c r="W254" s="323"/>
      <c r="X254" s="323"/>
      <c r="Y254" s="323"/>
      <c r="Z254" s="323"/>
      <c r="AA254" s="323"/>
      <c r="AB254" s="323"/>
      <c r="AC254" s="323"/>
      <c r="AD254" s="323"/>
      <c r="AE254" s="323"/>
      <c r="AF254" s="323"/>
      <c r="AG254" s="323"/>
      <c r="AH254" s="323"/>
      <c r="AI254" s="323"/>
      <c r="AJ254" s="323"/>
      <c r="AK254" s="323"/>
      <c r="AL254" s="323"/>
      <c r="AM254" s="323"/>
      <c r="AN254" s="323"/>
      <c r="AO254" s="323"/>
      <c r="AP254" s="323"/>
      <c r="AQ254" s="324"/>
      <c r="AR254" s="324"/>
      <c r="AS254" s="324"/>
      <c r="AT254" s="324"/>
      <c r="AU254" s="324"/>
      <c r="AV254" s="324"/>
      <c r="AW254" s="324"/>
      <c r="AX254" s="324"/>
      <c r="AY254" s="324"/>
      <c r="AZ254" s="324"/>
      <c r="BA254" s="324"/>
      <c r="BB254" s="324"/>
      <c r="BC254" s="324"/>
      <c r="BD254" s="324"/>
      <c r="BE254" s="324"/>
      <c r="BF254" s="324"/>
      <c r="BG254" s="324"/>
      <c r="BH254" s="324"/>
      <c r="BI254" s="324"/>
      <c r="BJ254" s="324"/>
      <c r="BK254" s="324"/>
      <c r="BL254" s="324"/>
      <c r="BM254" s="324"/>
      <c r="BN254" s="324"/>
      <c r="BO254" s="324"/>
      <c r="BP254" s="324"/>
      <c r="BQ254" s="324"/>
      <c r="BR254" s="324"/>
      <c r="BS254" s="324"/>
      <c r="BT254" s="324"/>
      <c r="BU254" s="324"/>
      <c r="BV254" s="324"/>
      <c r="BW254" s="324">
        <f t="shared" ref="BW254:CJ254" si="979">CHOOSE($BW$3,BW51,BW52,BW53)</f>
        <v>0</v>
      </c>
      <c r="BX254" s="324">
        <f t="shared" si="979"/>
        <v>0</v>
      </c>
      <c r="BY254" s="324">
        <f t="shared" si="979"/>
        <v>0</v>
      </c>
      <c r="BZ254" s="324">
        <f t="shared" si="979"/>
        <v>0</v>
      </c>
      <c r="CA254" s="324">
        <f t="shared" si="979"/>
        <v>0</v>
      </c>
      <c r="CB254" s="324">
        <f t="shared" si="979"/>
        <v>0</v>
      </c>
      <c r="CC254" s="324">
        <f t="shared" si="979"/>
        <v>0</v>
      </c>
      <c r="CD254" s="324">
        <f t="shared" si="979"/>
        <v>0</v>
      </c>
      <c r="CE254" s="324">
        <f t="shared" si="979"/>
        <v>0</v>
      </c>
      <c r="CF254" s="324">
        <f t="shared" si="979"/>
        <v>0</v>
      </c>
      <c r="CG254" s="324">
        <f t="shared" si="979"/>
        <v>0</v>
      </c>
      <c r="CH254" s="324">
        <f t="shared" si="979"/>
        <v>0</v>
      </c>
      <c r="CI254" s="324">
        <f t="shared" si="979"/>
        <v>0</v>
      </c>
      <c r="CJ254" s="324">
        <f t="shared" si="979"/>
        <v>0</v>
      </c>
    </row>
    <row r="255" spans="2:88" hidden="1" outlineLevel="1" collapsed="1">
      <c r="B255" s="313"/>
      <c r="C255" s="313"/>
      <c r="D255" s="313"/>
      <c r="E255" s="313"/>
      <c r="F255" s="313"/>
      <c r="G255" s="313"/>
      <c r="H255" s="313"/>
      <c r="I255" s="313"/>
      <c r="J255" s="313"/>
      <c r="K255" s="313"/>
      <c r="L255" s="313"/>
      <c r="M255" s="313"/>
      <c r="N255" s="313"/>
      <c r="O255" s="313"/>
      <c r="P255" s="313"/>
      <c r="Q255" s="313"/>
      <c r="R255" s="313"/>
      <c r="S255" s="313"/>
      <c r="T255" s="313"/>
      <c r="U255" s="313"/>
      <c r="V255" s="313"/>
      <c r="W255" s="313"/>
      <c r="X255" s="313"/>
      <c r="Y255" s="313"/>
      <c r="Z255" s="313"/>
      <c r="AA255" s="313"/>
      <c r="AB255" s="313"/>
      <c r="AC255" s="313"/>
      <c r="AD255" s="313"/>
      <c r="AE255" s="313"/>
      <c r="AF255" s="313"/>
      <c r="AG255" s="313"/>
      <c r="AH255" s="313"/>
      <c r="AI255" s="313"/>
      <c r="AJ255" s="313"/>
      <c r="AK255" s="313"/>
      <c r="AL255" s="313"/>
      <c r="AM255" s="313"/>
      <c r="AN255" s="313"/>
      <c r="AO255" s="313"/>
      <c r="AP255" s="313"/>
      <c r="AQ255" s="315"/>
      <c r="AR255" s="315"/>
      <c r="AS255" s="315"/>
      <c r="AT255" s="315"/>
      <c r="AU255" s="315"/>
      <c r="AV255" s="315"/>
      <c r="AW255" s="315"/>
      <c r="AX255" s="315"/>
      <c r="AY255" s="315"/>
      <c r="AZ255" s="315"/>
      <c r="BA255" s="315"/>
      <c r="BB255" s="315"/>
      <c r="BC255" s="315"/>
      <c r="BD255" s="315"/>
      <c r="BE255" s="315"/>
      <c r="BF255" s="315"/>
      <c r="BG255" s="315"/>
      <c r="BH255" s="315"/>
      <c r="BI255" s="315"/>
      <c r="BJ255" s="315"/>
      <c r="BK255" s="315"/>
      <c r="BL255" s="315"/>
      <c r="BM255" s="315"/>
      <c r="BN255" s="315"/>
      <c r="BO255" s="315"/>
      <c r="BP255" s="315"/>
      <c r="BQ255" s="315"/>
      <c r="BR255" s="315"/>
      <c r="BS255" s="315"/>
      <c r="BT255" s="315"/>
      <c r="BU255" s="315"/>
      <c r="BV255" s="315"/>
      <c r="BW255" s="315"/>
      <c r="BX255" s="315"/>
      <c r="BY255" s="315"/>
      <c r="BZ255" s="315"/>
      <c r="CA255" s="315"/>
      <c r="CB255" s="315"/>
      <c r="CC255" s="315"/>
      <c r="CD255" s="315"/>
      <c r="CE255" s="315"/>
      <c r="CF255" s="315"/>
      <c r="CG255" s="315"/>
      <c r="CH255" s="315"/>
      <c r="CI255" s="315"/>
      <c r="CJ255" s="315"/>
    </row>
    <row r="256" spans="2:88" hidden="1" outlineLevel="1">
      <c r="B256" s="316" t="s">
        <v>339</v>
      </c>
      <c r="C256" s="316"/>
      <c r="D256" s="316"/>
      <c r="E256" s="316"/>
      <c r="F256" s="316"/>
      <c r="G256" s="316"/>
      <c r="H256" s="316"/>
      <c r="I256" s="316"/>
      <c r="J256" s="316"/>
      <c r="K256" s="316"/>
      <c r="L256" s="316"/>
      <c r="M256" s="316"/>
      <c r="N256" s="316"/>
      <c r="O256" s="316"/>
      <c r="P256" s="316"/>
      <c r="Q256" s="316"/>
      <c r="R256" s="316"/>
      <c r="S256" s="316"/>
      <c r="T256" s="316"/>
      <c r="U256" s="316"/>
      <c r="V256" s="316"/>
      <c r="W256" s="316"/>
      <c r="X256" s="316"/>
      <c r="Y256" s="316"/>
      <c r="Z256" s="316"/>
      <c r="AA256" s="316"/>
      <c r="AB256" s="316"/>
      <c r="AC256" s="316"/>
      <c r="AD256" s="316"/>
      <c r="AE256" s="316"/>
      <c r="AF256" s="316"/>
      <c r="AG256" s="316"/>
      <c r="AH256" s="316"/>
      <c r="AI256" s="316"/>
      <c r="AJ256" s="316"/>
      <c r="AK256" s="316"/>
      <c r="AL256" s="316"/>
      <c r="AM256" s="316"/>
      <c r="AN256" s="316"/>
      <c r="AO256" s="316"/>
      <c r="AP256" s="316"/>
      <c r="AQ256" s="310"/>
      <c r="AR256" s="310"/>
      <c r="AS256" s="310"/>
      <c r="AT256" s="310"/>
      <c r="AU256" s="310"/>
      <c r="AV256" s="310"/>
      <c r="AW256" s="310"/>
      <c r="AX256" s="310"/>
      <c r="AY256" s="310"/>
      <c r="AZ256" s="310"/>
      <c r="BA256" s="310"/>
      <c r="BB256" s="310"/>
      <c r="BC256" s="310"/>
      <c r="BD256" s="310"/>
      <c r="BE256" s="310"/>
      <c r="BF256" s="310"/>
      <c r="BG256" s="310"/>
      <c r="BH256" s="310"/>
      <c r="BI256" s="310"/>
      <c r="BJ256" s="310"/>
      <c r="BK256" s="310"/>
      <c r="BL256" s="310"/>
      <c r="BM256" s="310"/>
      <c r="BN256" s="310"/>
      <c r="BO256" s="310"/>
      <c r="BP256" s="310"/>
      <c r="BQ256" s="310"/>
      <c r="BR256" s="310"/>
      <c r="BS256" s="310"/>
      <c r="BT256" s="310"/>
      <c r="BU256" s="310"/>
      <c r="BV256" s="310"/>
      <c r="BW256" s="310"/>
      <c r="BX256" s="310"/>
      <c r="BY256" s="310"/>
      <c r="BZ256" s="310"/>
      <c r="CA256" s="310"/>
      <c r="CB256" s="310"/>
      <c r="CC256" s="310"/>
      <c r="CD256" s="310"/>
      <c r="CE256" s="310"/>
      <c r="CF256" s="310"/>
      <c r="CG256" s="310"/>
      <c r="CH256" s="310"/>
      <c r="CI256" s="310"/>
      <c r="CJ256" s="310"/>
    </row>
    <row r="257" spans="2:88" hidden="1" outlineLevel="1">
      <c r="B257" s="317" t="s">
        <v>365</v>
      </c>
      <c r="C257" s="318">
        <v>0</v>
      </c>
      <c r="D257" s="318">
        <f t="shared" ref="D257" si="980">C263</f>
        <v>3.1678418464412483</v>
      </c>
      <c r="E257" s="318">
        <f t="shared" ref="E257" si="981">D263</f>
        <v>6.2121378608712874</v>
      </c>
      <c r="F257" s="318">
        <f t="shared" ref="F257" si="982">E263</f>
        <v>9.1394486437540969</v>
      </c>
      <c r="G257" s="318">
        <f t="shared" ref="G257" si="983">F263</f>
        <v>11.956010981927957</v>
      </c>
      <c r="H257" s="318">
        <f t="shared" ref="H257" si="984">G263</f>
        <v>14.667754085667099</v>
      </c>
      <c r="I257" s="318">
        <f t="shared" ref="I257" si="985">H263</f>
        <v>17.280315014400475</v>
      </c>
      <c r="J257" s="318">
        <f t="shared" ref="J257" si="986">I263</f>
        <v>19.799053331660364</v>
      </c>
      <c r="K257" s="318">
        <f t="shared" ref="K257" si="987">J263</f>
        <v>22.229065027805039</v>
      </c>
      <c r="L257" s="318">
        <f t="shared" ref="L257" si="988">K263</f>
        <v>24.575195747132483</v>
      </c>
      <c r="M257" s="318">
        <f t="shared" ref="M257" si="989">L263</f>
        <v>26.842053354171451</v>
      </c>
      <c r="N257" s="318">
        <f t="shared" ref="N257" si="990">M263</f>
        <v>29.034019872196822</v>
      </c>
      <c r="O257" s="318">
        <f t="shared" ref="O257" si="991">N263</f>
        <v>31.155262825363998</v>
      </c>
      <c r="P257" s="318">
        <f t="shared" ref="P257" si="992">O263</f>
        <v>33.209746014287362</v>
      </c>
      <c r="Q257" s="318">
        <f t="shared" ref="Q257" si="993">P263</f>
        <v>35.201239753396663</v>
      </c>
      <c r="R257" s="318">
        <f t="shared" ref="R257" si="994">Q263</f>
        <v>37.133330596988557</v>
      </c>
      <c r="S257" s="318">
        <f t="shared" ref="S257" si="995">R263</f>
        <v>39.009430579544741</v>
      </c>
      <c r="T257" s="318">
        <f t="shared" ref="T257" si="996">S263</f>
        <v>40.832785994609573</v>
      </c>
      <c r="U257" s="318">
        <f t="shared" ref="U257" si="997">T263</f>
        <v>42.606485735305625</v>
      </c>
      <c r="V257" s="318">
        <f t="shared" ref="V257" si="998">U263</f>
        <v>44.333469218411565</v>
      </c>
      <c r="W257" s="318">
        <f t="shared" ref="W257" si="999">V263</f>
        <v>46.016533912830795</v>
      </c>
      <c r="X257" s="318">
        <f t="shared" ref="X257" si="1000">W263</f>
        <v>47.6583424922378</v>
      </c>
      <c r="Y257" s="318">
        <f t="shared" ref="Y257" si="1001">X263</f>
        <v>49.261429630699986</v>
      </c>
      <c r="Z257" s="318">
        <f t="shared" ref="Z257" si="1002">Y263</f>
        <v>50.828208459132874</v>
      </c>
      <c r="AA257" s="318">
        <f t="shared" ref="AA257" si="1003">Z263</f>
        <v>52.360976699553767</v>
      </c>
      <c r="AB257" s="318">
        <f t="shared" ref="AB257" si="1004">AA263</f>
        <v>53.861922493250766</v>
      </c>
      <c r="AC257" s="318">
        <f t="shared" ref="AC257" si="1005">AB263</f>
        <v>55.333129938178338</v>
      </c>
      <c r="AD257" s="318">
        <f t="shared" ref="AD257" si="1006">AC263</f>
        <v>56.776584350125027</v>
      </c>
      <c r="AE257" s="318">
        <f t="shared" ref="AE257" si="1007">AD263</f>
        <v>58.194177261471793</v>
      </c>
      <c r="AF257" s="318">
        <f t="shared" ref="AF257" si="1008">AE263</f>
        <v>59.587711170668598</v>
      </c>
      <c r="AG257" s="318">
        <f t="shared" ref="AG257" si="1009">AF263</f>
        <v>60.958904054900536</v>
      </c>
      <c r="AH257" s="318">
        <f t="shared" ref="AH257" si="1010">AG263</f>
        <v>62.309393657791297</v>
      </c>
      <c r="AI257" s="318">
        <f t="shared" ref="AI257" si="1011">AH263</f>
        <v>63.640741563399509</v>
      </c>
      <c r="AJ257" s="318">
        <f t="shared" ref="AJ257" si="1012">AI263</f>
        <v>64.954437067200786</v>
      </c>
      <c r="AK257" s="318">
        <f t="shared" ref="AK257" si="1013">AJ263</f>
        <v>66.251900854213687</v>
      </c>
      <c r="AL257" s="318">
        <f t="shared" ref="AL257" si="1014">AK263</f>
        <v>67.534488493920051</v>
      </c>
      <c r="AM257" s="318">
        <f t="shared" ref="AM257" si="1015">AL263</f>
        <v>68.803493761147678</v>
      </c>
      <c r="AN257" s="318">
        <f t="shared" ref="AN257" si="1016">AM263</f>
        <v>70.060151791625088</v>
      </c>
      <c r="AO257" s="318">
        <f t="shared" ref="AO257" si="1017">AN263</f>
        <v>71.3056420804825</v>
      </c>
      <c r="AP257" s="318">
        <f t="shared" ref="AP257" si="1018">AO263</f>
        <v>72.541091331559869</v>
      </c>
      <c r="AQ257" s="318">
        <f t="shared" ref="AQ257" si="1019">AP263</f>
        <v>73.767576164989478</v>
      </c>
      <c r="AR257" s="318">
        <f>AQ263</f>
        <v>74.986125690147702</v>
      </c>
      <c r="AS257" s="318">
        <f t="shared" ref="AS257" si="1020">AR263</f>
        <v>76.197723950715499</v>
      </c>
      <c r="AT257" s="318">
        <f t="shared" ref="AT257" si="1021">AS263</f>
        <v>77.403312248250728</v>
      </c>
      <c r="AU257" s="318">
        <f t="shared" ref="AU257" si="1022">AT263</f>
        <v>78.603791350354982</v>
      </c>
      <c r="AV257" s="318">
        <f t="shared" ref="AV257" si="1023">AU263</f>
        <v>79.800023589213708</v>
      </c>
      <c r="AW257" s="318">
        <f t="shared" ref="AW257" si="1024">AV263</f>
        <v>80.992834855999632</v>
      </c>
      <c r="AX257" s="318">
        <f t="shared" ref="AX257" si="1025">AW263</f>
        <v>82.183016496354981</v>
      </c>
      <c r="AY257" s="318">
        <f t="shared" ref="AY257" si="1026">AX263</f>
        <v>83.371327111907263</v>
      </c>
      <c r="AZ257" s="318">
        <f t="shared" ref="AZ257" si="1027">AY263</f>
        <v>84.558494272526005</v>
      </c>
      <c r="BA257" s="318">
        <f t="shared" ref="BA257" si="1028">AZ263</f>
        <v>85.745216143792163</v>
      </c>
      <c r="BB257" s="318">
        <f t="shared" ref="BB257" si="1029">BA263</f>
        <v>86.932163033928816</v>
      </c>
      <c r="BC257" s="318">
        <f t="shared" ref="BC257" si="1030">BB263</f>
        <v>88.119978864229225</v>
      </c>
      <c r="BD257" s="318">
        <f t="shared" ref="BD257" si="1031">BC263</f>
        <v>89.309282566816591</v>
      </c>
      <c r="BE257" s="318">
        <f t="shared" ref="BE257" si="1032">BD263</f>
        <v>90.500669413378375</v>
      </c>
      <c r="BF257" s="318">
        <f t="shared" ref="BF257" si="1033">BE263</f>
        <v>91.694712278335999</v>
      </c>
      <c r="BG257" s="318">
        <f t="shared" ref="BG257" si="1034">BF263</f>
        <v>92.891962839737616</v>
      </c>
      <c r="BH257" s="318">
        <f t="shared" ref="BH257" si="1035">BG263</f>
        <v>94.092952720997673</v>
      </c>
      <c r="BI257" s="318">
        <f t="shared" ref="BI257" si="1036">BH263</f>
        <v>95.298194576450442</v>
      </c>
      <c r="BJ257" s="318">
        <f t="shared" ref="BJ257" si="1037">BI263</f>
        <v>96.508183123537094</v>
      </c>
      <c r="BK257" s="318">
        <f t="shared" ref="BK257" si="1038">BJ263</f>
        <v>97.723396124304415</v>
      </c>
      <c r="BL257" s="318">
        <f>BK263</f>
        <v>98.944295318759757</v>
      </c>
      <c r="BM257" s="318">
        <f>BL263</f>
        <v>100.17132731249971</v>
      </c>
      <c r="BN257" s="318">
        <f t="shared" ref="BN257" si="1039">BM263</f>
        <v>101.40492442090913</v>
      </c>
      <c r="BO257" s="318">
        <f t="shared" ref="BO257" si="1040">BN263</f>
        <v>102.64550547211245</v>
      </c>
      <c r="BP257" s="318">
        <f t="shared" ref="BP257" si="1041">BO263</f>
        <v>103.89347657075032</v>
      </c>
      <c r="BQ257" s="318">
        <f t="shared" ref="BQ257" si="1042">BP263</f>
        <v>105.14923182455099</v>
      </c>
      <c r="BR257" s="318">
        <f t="shared" ref="BR257" si="1043">BQ263</f>
        <v>106.41315403556735</v>
      </c>
      <c r="BS257" s="318">
        <f t="shared" ref="BS257" si="1044">BR263</f>
        <v>107.68561535785756</v>
      </c>
      <c r="BT257" s="318">
        <f t="shared" ref="BT257" si="1045">BS263</f>
        <v>108.96697792329802</v>
      </c>
      <c r="BU257" s="318">
        <f t="shared" ref="BU257" si="1046">BT263</f>
        <v>110.25759443713312</v>
      </c>
      <c r="BV257" s="318">
        <f t="shared" ref="BV257" si="1047">BU263</f>
        <v>111.55780874478648</v>
      </c>
      <c r="BW257" s="318">
        <f t="shared" ref="BW257" si="1048">BV263</f>
        <v>112.86795637138178</v>
      </c>
      <c r="BX257" s="318">
        <f t="shared" ref="BX257" si="1049">BW263</f>
        <v>114.18836503534949</v>
      </c>
      <c r="BY257" s="318">
        <f t="shared" ref="BY257" si="1050">BX263</f>
        <v>115.51935513742671</v>
      </c>
      <c r="BZ257" s="318">
        <f t="shared" ref="BZ257" si="1051">BY263</f>
        <v>116.86124022629237</v>
      </c>
      <c r="CA257" s="318">
        <f t="shared" ref="CA257" si="1052">BZ263</f>
        <v>118.21432744201785</v>
      </c>
      <c r="CB257" s="318">
        <f t="shared" ref="CB257" si="1053">CA263</f>
        <v>119.5789179384545</v>
      </c>
      <c r="CC257" s="318">
        <f t="shared" ref="CC257" si="1054">CB263</f>
        <v>120.95530728562322</v>
      </c>
      <c r="CD257" s="318">
        <f t="shared" ref="CD257" si="1055">CC263</f>
        <v>122.3437858531185</v>
      </c>
      <c r="CE257" s="318">
        <f t="shared" ref="CE257" si="1056">CD263</f>
        <v>123.74463917548857</v>
      </c>
      <c r="CF257" s="318">
        <f t="shared" ref="CF257" si="1057">CE263</f>
        <v>125.15814830050542</v>
      </c>
      <c r="CG257" s="318">
        <f t="shared" ref="CG257" si="1058">CF263</f>
        <v>126.58459012119313</v>
      </c>
      <c r="CH257" s="318">
        <f t="shared" ref="CH257" si="1059">CG263</f>
        <v>128.0242376924393</v>
      </c>
      <c r="CI257" s="318">
        <f t="shared" ref="CI257" si="1060">CH263</f>
        <v>129.47736053297351</v>
      </c>
      <c r="CJ257" s="318">
        <f t="shared" ref="CJ257" si="1061">CI263</f>
        <v>130.94422491345773</v>
      </c>
    </row>
    <row r="258" spans="2:88" hidden="1" outlineLevel="1">
      <c r="B258" s="319"/>
      <c r="C258" s="320"/>
      <c r="D258" s="320"/>
      <c r="E258" s="320"/>
      <c r="F258" s="320"/>
      <c r="G258" s="320"/>
      <c r="H258" s="320"/>
      <c r="I258" s="320"/>
      <c r="J258" s="320"/>
      <c r="K258" s="320"/>
      <c r="L258" s="320"/>
      <c r="M258" s="320"/>
      <c r="N258" s="320"/>
      <c r="O258" s="320"/>
      <c r="P258" s="320"/>
      <c r="Q258" s="320"/>
      <c r="R258" s="320"/>
      <c r="S258" s="320"/>
      <c r="T258" s="320"/>
      <c r="U258" s="320"/>
      <c r="V258" s="320"/>
      <c r="W258" s="320"/>
      <c r="X258" s="320"/>
      <c r="Y258" s="320"/>
      <c r="Z258" s="320"/>
      <c r="AA258" s="320"/>
      <c r="AB258" s="320"/>
      <c r="AC258" s="320"/>
      <c r="AD258" s="320"/>
      <c r="AE258" s="320"/>
      <c r="AF258" s="320"/>
      <c r="AG258" s="320"/>
      <c r="AH258" s="320"/>
      <c r="AI258" s="320"/>
      <c r="AJ258" s="320"/>
      <c r="AK258" s="320"/>
      <c r="AL258" s="320"/>
      <c r="AM258" s="320"/>
      <c r="AN258" s="320"/>
      <c r="AO258" s="320"/>
      <c r="AP258" s="320"/>
      <c r="AQ258" s="320"/>
      <c r="AR258" s="320"/>
      <c r="AS258" s="320"/>
      <c r="AT258" s="320"/>
      <c r="AU258" s="320"/>
      <c r="AV258" s="320"/>
      <c r="AW258" s="320"/>
      <c r="AX258" s="320"/>
      <c r="AY258" s="320"/>
      <c r="AZ258" s="320"/>
      <c r="BA258" s="320"/>
      <c r="BB258" s="320"/>
      <c r="BC258" s="320"/>
      <c r="BD258" s="320"/>
      <c r="BE258" s="320"/>
      <c r="BF258" s="320"/>
      <c r="BG258" s="320"/>
      <c r="BH258" s="320"/>
      <c r="BI258" s="320"/>
      <c r="BJ258" s="320"/>
      <c r="BK258" s="320"/>
      <c r="BL258" s="320"/>
      <c r="BM258" s="320"/>
      <c r="BN258" s="320"/>
      <c r="BO258" s="320"/>
      <c r="BP258" s="320"/>
      <c r="BQ258" s="320"/>
      <c r="BR258" s="320"/>
      <c r="BS258" s="320"/>
      <c r="BT258" s="320"/>
      <c r="BU258" s="320"/>
      <c r="BV258" s="320"/>
      <c r="BW258" s="320"/>
      <c r="BX258" s="320"/>
      <c r="BY258" s="320"/>
      <c r="BZ258" s="320"/>
      <c r="CA258" s="320"/>
      <c r="CB258" s="320"/>
      <c r="CC258" s="320"/>
      <c r="CD258" s="320"/>
      <c r="CE258" s="320"/>
      <c r="CF258" s="320"/>
      <c r="CG258" s="320"/>
      <c r="CH258" s="320"/>
      <c r="CI258" s="320"/>
      <c r="CJ258" s="320"/>
    </row>
    <row r="259" spans="2:88" hidden="1" outlineLevel="1">
      <c r="B259" s="319" t="s">
        <v>341</v>
      </c>
      <c r="C259" s="322">
        <v>0</v>
      </c>
      <c r="D259" s="322">
        <f>0.05*C263</f>
        <v>0.15839209232206242</v>
      </c>
      <c r="E259" s="322">
        <f t="shared" ref="E259" si="1062">0.05*D263</f>
        <v>0.31060689304356437</v>
      </c>
      <c r="F259" s="322">
        <f t="shared" ref="F259" si="1063">0.05*E263</f>
        <v>0.45697243218770489</v>
      </c>
      <c r="G259" s="322">
        <f t="shared" ref="G259" si="1064">0.05*F263</f>
        <v>0.5978005490963979</v>
      </c>
      <c r="H259" s="322">
        <f t="shared" ref="H259" si="1065">0.05*G263</f>
        <v>0.73338770428335498</v>
      </c>
      <c r="I259" s="322">
        <f t="shared" ref="I259" si="1066">0.05*H263</f>
        <v>0.86401575072002379</v>
      </c>
      <c r="J259" s="322">
        <f t="shared" ref="J259" si="1067">0.05*I263</f>
        <v>0.98995266658301828</v>
      </c>
      <c r="K259" s="322">
        <f t="shared" ref="K259" si="1068">0.05*J263</f>
        <v>1.111453251390252</v>
      </c>
      <c r="L259" s="322">
        <f t="shared" ref="L259" si="1069">0.05*K263</f>
        <v>1.2287597873566243</v>
      </c>
      <c r="M259" s="322">
        <f t="shared" ref="M259" si="1070">0.05*L263</f>
        <v>1.3421026677085726</v>
      </c>
      <c r="N259" s="322">
        <f t="shared" ref="N259" si="1071">0.05*M263</f>
        <v>1.4517009936098413</v>
      </c>
      <c r="O259" s="322">
        <f t="shared" ref="O259" si="1072">0.05*N263</f>
        <v>1.5577631412682</v>
      </c>
      <c r="P259" s="322">
        <f t="shared" ref="P259" si="1073">0.05*O263</f>
        <v>1.6604873007143681</v>
      </c>
      <c r="Q259" s="322">
        <f t="shared" ref="Q259" si="1074">0.05*P263</f>
        <v>1.7600619876698333</v>
      </c>
      <c r="R259" s="322">
        <f t="shared" ref="R259" si="1075">0.05*Q263</f>
        <v>1.856666529849428</v>
      </c>
      <c r="S259" s="322">
        <f t="shared" ref="S259" si="1076">0.05*R263</f>
        <v>1.9504715289772372</v>
      </c>
      <c r="T259" s="322">
        <f t="shared" ref="T259" si="1077">0.05*S263</f>
        <v>2.0416392997304786</v>
      </c>
      <c r="U259" s="322">
        <f t="shared" ref="U259" si="1078">0.05*T263</f>
        <v>2.1303242867652812</v>
      </c>
      <c r="V259" s="322">
        <f t="shared" ref="V259" si="1079">0.05*U263</f>
        <v>2.2166734609205783</v>
      </c>
      <c r="W259" s="322">
        <f t="shared" ref="W259" si="1080">0.05*V263</f>
        <v>2.3008266956415397</v>
      </c>
      <c r="X259" s="322">
        <f t="shared" ref="X259" si="1081">0.05*W263</f>
        <v>2.3829171246118901</v>
      </c>
      <c r="Y259" s="322">
        <f t="shared" ref="Y259" si="1082">0.05*X263</f>
        <v>2.4630714815349997</v>
      </c>
      <c r="Z259" s="322">
        <f t="shared" ref="Z259" si="1083">0.05*Y263</f>
        <v>2.5414104229566439</v>
      </c>
      <c r="AA259" s="322">
        <f t="shared" ref="AA259" si="1084">0.05*Z263</f>
        <v>2.6180488349776887</v>
      </c>
      <c r="AB259" s="322">
        <f t="shared" ref="AB259" si="1085">0.05*AA263</f>
        <v>2.6930961246625387</v>
      </c>
      <c r="AC259" s="322">
        <f t="shared" ref="AC259" si="1086">0.05*AB263</f>
        <v>2.7666564969089169</v>
      </c>
      <c r="AD259" s="322">
        <f t="shared" ref="AD259" si="1087">0.05*AC263</f>
        <v>2.8388292175062517</v>
      </c>
      <c r="AE259" s="322">
        <f t="shared" ref="AE259" si="1088">0.05*AD263</f>
        <v>2.9097088630735897</v>
      </c>
      <c r="AF259" s="322">
        <f t="shared" ref="AF259" si="1089">0.05*AE263</f>
        <v>2.9793855585334299</v>
      </c>
      <c r="AG259" s="322">
        <f t="shared" ref="AG259" si="1090">0.05*AF263</f>
        <v>3.0479452027450269</v>
      </c>
      <c r="AH259" s="322">
        <f t="shared" ref="AH259" si="1091">0.05*AG263</f>
        <v>3.1154696828895649</v>
      </c>
      <c r="AI259" s="322">
        <f t="shared" ref="AI259" si="1092">0.05*AH263</f>
        <v>3.1820370781699756</v>
      </c>
      <c r="AJ259" s="322">
        <f t="shared" ref="AJ259" si="1093">0.05*AI263</f>
        <v>3.2477218533600394</v>
      </c>
      <c r="AK259" s="322">
        <f t="shared" ref="AK259" si="1094">0.05*AJ263</f>
        <v>3.3125950427106847</v>
      </c>
      <c r="AL259" s="322">
        <f t="shared" ref="AL259" si="1095">0.05*AK263</f>
        <v>3.3767244246960026</v>
      </c>
      <c r="AM259" s="322">
        <f t="shared" ref="AM259" si="1096">0.05*AL263</f>
        <v>3.4401746880573842</v>
      </c>
      <c r="AN259" s="322">
        <f t="shared" ref="AN259" si="1097">0.05*AM263</f>
        <v>3.5030075895812547</v>
      </c>
      <c r="AO259" s="322">
        <f t="shared" ref="AO259" si="1098">0.05*AN263</f>
        <v>3.5652821040241252</v>
      </c>
      <c r="AP259" s="322">
        <f t="shared" ref="AP259" si="1099">0.05*AO263</f>
        <v>3.6270545665779936</v>
      </c>
      <c r="AQ259" s="322">
        <f t="shared" ref="AQ259" si="1100">0.05*AP263</f>
        <v>3.6883788082494742</v>
      </c>
      <c r="AR259" s="322">
        <f t="shared" ref="AR259" si="1101">0.05*AQ263</f>
        <v>3.7493062845073855</v>
      </c>
      <c r="AS259" s="322">
        <f t="shared" ref="AS259" si="1102">0.05*AR263</f>
        <v>3.809886197535775</v>
      </c>
      <c r="AT259" s="322">
        <f t="shared" ref="AT259" si="1103">0.05*AS263</f>
        <v>3.8701656124125368</v>
      </c>
      <c r="AU259" s="322">
        <f t="shared" ref="AU259" si="1104">0.05*AT263</f>
        <v>3.9301895675177492</v>
      </c>
      <c r="AV259" s="322">
        <f t="shared" ref="AV259" si="1105">0.05*AU263</f>
        <v>3.9900011794606858</v>
      </c>
      <c r="AW259" s="322">
        <f t="shared" ref="AW259" si="1106">0.05*AV263</f>
        <v>4.0496417427999818</v>
      </c>
      <c r="AX259" s="322">
        <f t="shared" ref="AX259" si="1107">0.05*AW263</f>
        <v>4.1091508248177488</v>
      </c>
      <c r="AY259" s="322">
        <f t="shared" ref="AY259" si="1108">0.05*AX263</f>
        <v>4.1685663555953631</v>
      </c>
      <c r="AZ259" s="322">
        <f t="shared" ref="AZ259" si="1109">0.05*AY263</f>
        <v>4.2279247136263001</v>
      </c>
      <c r="BA259" s="322">
        <f t="shared" ref="BA259" si="1110">0.05*AZ263</f>
        <v>4.2872608071896083</v>
      </c>
      <c r="BB259" s="322">
        <f t="shared" ref="BB259" si="1111">0.05*BA263</f>
        <v>4.346608151696441</v>
      </c>
      <c r="BC259" s="322">
        <f t="shared" ref="BC259" si="1112">0.05*BB263</f>
        <v>4.4059989432114612</v>
      </c>
      <c r="BD259" s="322">
        <f t="shared" ref="BD259" si="1113">0.05*BC263</f>
        <v>4.4654641283408294</v>
      </c>
      <c r="BE259" s="322">
        <f t="shared" ref="BE259" si="1114">0.05*BD263</f>
        <v>4.5250334706689186</v>
      </c>
      <c r="BF259" s="322">
        <f t="shared" ref="BF259" si="1115">0.05*BE263</f>
        <v>4.5847356139168003</v>
      </c>
      <c r="BG259" s="322">
        <f t="shared" ref="BG259" si="1116">0.05*BF263</f>
        <v>4.6445981419868811</v>
      </c>
      <c r="BH259" s="322">
        <f t="shared" ref="BH259" si="1117">0.05*BG263</f>
        <v>4.7046476360498835</v>
      </c>
      <c r="BI259" s="322">
        <f t="shared" ref="BI259" si="1118">0.05*BH263</f>
        <v>4.7649097288225226</v>
      </c>
      <c r="BJ259" s="322">
        <f t="shared" ref="BJ259" si="1119">0.05*BI263</f>
        <v>4.8254091561768551</v>
      </c>
      <c r="BK259" s="322">
        <f t="shared" ref="BK259" si="1120">0.05*BJ263</f>
        <v>4.8861698062152215</v>
      </c>
      <c r="BL259" s="322">
        <f t="shared" ref="BL259" si="1121">0.05*BK263</f>
        <v>4.9472147659379884</v>
      </c>
      <c r="BM259" s="322">
        <f t="shared" ref="BM259" si="1122">0.05*BL263</f>
        <v>5.0085663656249864</v>
      </c>
      <c r="BN259" s="322">
        <f t="shared" ref="BN259" si="1123">0.05*BM263</f>
        <v>5.0702462210454566</v>
      </c>
      <c r="BO259" s="322">
        <f t="shared" ref="BO259" si="1124">0.05*BN263</f>
        <v>5.1322752736056225</v>
      </c>
      <c r="BP259" s="322">
        <f t="shared" ref="BP259" si="1125">0.05*BO263</f>
        <v>5.1946738285375167</v>
      </c>
      <c r="BQ259" s="322">
        <f t="shared" ref="BQ259" si="1126">0.05*BP263</f>
        <v>5.2574615912275497</v>
      </c>
      <c r="BR259" s="322">
        <f t="shared" ref="BR259" si="1127">0.05*BQ263</f>
        <v>5.3206577017783676</v>
      </c>
      <c r="BS259" s="322">
        <f t="shared" ref="BS259" si="1128">0.05*BR263</f>
        <v>5.3842807678928786</v>
      </c>
      <c r="BT259" s="322">
        <f t="shared" ref="BT259" si="1129">0.05*BS263</f>
        <v>5.4483488961649016</v>
      </c>
      <c r="BU259" s="322">
        <f t="shared" ref="BU259" si="1130">0.05*BT263</f>
        <v>5.5128797218566561</v>
      </c>
      <c r="BV259" s="322">
        <f t="shared" ref="BV259" si="1131">0.05*BU263</f>
        <v>5.5778904372393248</v>
      </c>
      <c r="BW259" s="322">
        <f t="shared" ref="BW259" si="1132">0.05*BV263</f>
        <v>5.6433978185690892</v>
      </c>
      <c r="BX259" s="322">
        <f t="shared" ref="BX259" si="1133">0.05*BW263</f>
        <v>5.7094182517674748</v>
      </c>
      <c r="BY259" s="322">
        <f t="shared" ref="BY259" si="1134">0.05*BX263</f>
        <v>5.7759677568713359</v>
      </c>
      <c r="BZ259" s="322">
        <f t="shared" ref="BZ259" si="1135">0.05*BY263</f>
        <v>5.8430620113146183</v>
      </c>
      <c r="CA259" s="322">
        <f t="shared" ref="CA259" si="1136">0.05*BZ263</f>
        <v>5.9107163721008931</v>
      </c>
      <c r="CB259" s="322">
        <f t="shared" ref="CB259" si="1137">0.05*CA263</f>
        <v>5.9789458969227249</v>
      </c>
      <c r="CC259" s="322">
        <f t="shared" ref="CC259" si="1138">0.05*CB263</f>
        <v>6.0477653642811617</v>
      </c>
      <c r="CD259" s="322">
        <f t="shared" ref="CD259" si="1139">0.05*CC263</f>
        <v>6.1171892926559259</v>
      </c>
      <c r="CE259" s="322">
        <f t="shared" ref="CE259" si="1140">0.05*CD263</f>
        <v>6.1872319587744293</v>
      </c>
      <c r="CF259" s="322">
        <f t="shared" ref="CF259" si="1141">0.05*CE263</f>
        <v>6.2579074150252714</v>
      </c>
      <c r="CG259" s="322">
        <f t="shared" ref="CG259" si="1142">0.05*CF263</f>
        <v>6.3292295060596571</v>
      </c>
      <c r="CH259" s="322">
        <f t="shared" ref="CH259" si="1143">0.05*CG263</f>
        <v>6.401211884621965</v>
      </c>
      <c r="CI259" s="322">
        <f t="shared" ref="CI259" si="1144">0.05*CH263</f>
        <v>6.4738680266486757</v>
      </c>
      <c r="CJ259" s="322">
        <f t="shared" ref="CJ259" si="1145">0.05*CI263</f>
        <v>6.5472112456728873</v>
      </c>
    </row>
    <row r="260" spans="2:88" hidden="1" outlineLevel="1">
      <c r="B260" s="313"/>
      <c r="C260" s="315"/>
      <c r="D260" s="315"/>
      <c r="E260" s="315"/>
      <c r="F260" s="315"/>
      <c r="G260" s="315"/>
      <c r="H260" s="315"/>
      <c r="I260" s="315"/>
      <c r="J260" s="315"/>
      <c r="K260" s="315"/>
      <c r="L260" s="315"/>
      <c r="M260" s="315"/>
      <c r="N260" s="315"/>
      <c r="O260" s="315"/>
      <c r="P260" s="315"/>
      <c r="Q260" s="315"/>
      <c r="R260" s="315"/>
      <c r="S260" s="315"/>
      <c r="T260" s="315"/>
      <c r="U260" s="315"/>
      <c r="V260" s="315"/>
      <c r="W260" s="315"/>
      <c r="X260" s="315"/>
      <c r="Y260" s="315"/>
      <c r="Z260" s="315"/>
      <c r="AA260" s="315"/>
      <c r="AB260" s="315"/>
      <c r="AC260" s="315"/>
      <c r="AD260" s="315"/>
      <c r="AE260" s="315"/>
      <c r="AF260" s="315"/>
      <c r="AG260" s="315"/>
      <c r="AH260" s="315"/>
      <c r="AI260" s="315"/>
      <c r="AJ260" s="315"/>
      <c r="AK260" s="315"/>
      <c r="AL260" s="315"/>
      <c r="AM260" s="315"/>
      <c r="AN260" s="315"/>
      <c r="AO260" s="315"/>
      <c r="AP260" s="315"/>
      <c r="AQ260" s="315"/>
      <c r="AR260" s="315"/>
      <c r="AS260" s="315"/>
      <c r="AT260" s="315"/>
      <c r="AU260" s="315"/>
      <c r="AV260" s="315"/>
      <c r="AW260" s="315"/>
      <c r="AX260" s="315"/>
      <c r="AY260" s="315"/>
      <c r="AZ260" s="315"/>
      <c r="BA260" s="315"/>
      <c r="BB260" s="315"/>
      <c r="BC260" s="315"/>
      <c r="BD260" s="315"/>
      <c r="BE260" s="315"/>
      <c r="BF260" s="315"/>
      <c r="BG260" s="315"/>
      <c r="BH260" s="315"/>
      <c r="BI260" s="315"/>
      <c r="BJ260" s="315"/>
      <c r="BK260" s="315"/>
      <c r="BL260" s="315"/>
      <c r="BM260" s="315"/>
      <c r="BN260" s="315"/>
      <c r="BO260" s="315"/>
      <c r="BP260" s="315"/>
      <c r="BQ260" s="315"/>
      <c r="BR260" s="315"/>
      <c r="BS260" s="315"/>
      <c r="BT260" s="315"/>
      <c r="BU260" s="315"/>
      <c r="BV260" s="315"/>
      <c r="BW260" s="315"/>
      <c r="BX260" s="315"/>
      <c r="BY260" s="315"/>
      <c r="BZ260" s="315"/>
      <c r="CA260" s="315"/>
      <c r="CB260" s="315"/>
      <c r="CC260" s="315"/>
      <c r="CD260" s="315"/>
      <c r="CE260" s="315"/>
      <c r="CF260" s="315"/>
      <c r="CG260" s="315"/>
      <c r="CH260" s="315"/>
      <c r="CI260" s="315"/>
      <c r="CJ260" s="315"/>
    </row>
    <row r="261" spans="2:88" hidden="1" outlineLevel="1">
      <c r="B261" s="319" t="s">
        <v>366</v>
      </c>
      <c r="C261" s="322">
        <f>C210</f>
        <v>3.1678418464412483</v>
      </c>
      <c r="D261" s="322">
        <f t="shared" ref="D261:BO261" si="1146">D210</f>
        <v>3.2026881067521016</v>
      </c>
      <c r="E261" s="322">
        <f t="shared" si="1146"/>
        <v>3.2379176759263744</v>
      </c>
      <c r="F261" s="322">
        <f t="shared" si="1146"/>
        <v>3.273534770361564</v>
      </c>
      <c r="G261" s="322">
        <f t="shared" si="1146"/>
        <v>3.3095436528355409</v>
      </c>
      <c r="H261" s="322">
        <f t="shared" si="1146"/>
        <v>3.3459486330167314</v>
      </c>
      <c r="I261" s="322">
        <f t="shared" si="1146"/>
        <v>3.3827540679799148</v>
      </c>
      <c r="J261" s="322">
        <f t="shared" si="1146"/>
        <v>3.4199643627276939</v>
      </c>
      <c r="K261" s="322">
        <f t="shared" si="1146"/>
        <v>3.4575839707176979</v>
      </c>
      <c r="L261" s="322">
        <f t="shared" si="1146"/>
        <v>3.4956173943955924</v>
      </c>
      <c r="M261" s="322">
        <f t="shared" si="1146"/>
        <v>3.5340691857339435</v>
      </c>
      <c r="N261" s="322">
        <f t="shared" si="1146"/>
        <v>3.5729439467770168</v>
      </c>
      <c r="O261" s="322">
        <f t="shared" si="1146"/>
        <v>3.6122463301915633</v>
      </c>
      <c r="P261" s="322">
        <f t="shared" si="1146"/>
        <v>3.6519810398236694</v>
      </c>
      <c r="Q261" s="322">
        <f t="shared" si="1146"/>
        <v>3.6921528312617293</v>
      </c>
      <c r="R261" s="322">
        <f t="shared" si="1146"/>
        <v>3.732766512405608</v>
      </c>
      <c r="S261" s="322">
        <f t="shared" si="1146"/>
        <v>3.7738269440420691</v>
      </c>
      <c r="T261" s="322">
        <f t="shared" si="1146"/>
        <v>3.8153390404265313</v>
      </c>
      <c r="U261" s="322">
        <f t="shared" si="1146"/>
        <v>3.8573077698712233</v>
      </c>
      <c r="V261" s="322">
        <f t="shared" si="1146"/>
        <v>3.8997381553398061</v>
      </c>
      <c r="W261" s="322">
        <f t="shared" si="1146"/>
        <v>3.9426352750485432</v>
      </c>
      <c r="X261" s="322">
        <f t="shared" si="1146"/>
        <v>3.9860042630740771</v>
      </c>
      <c r="Y261" s="322">
        <f t="shared" si="1146"/>
        <v>4.029850309967892</v>
      </c>
      <c r="Z261" s="322">
        <f t="shared" si="1146"/>
        <v>4.0741786633775376</v>
      </c>
      <c r="AA261" s="322">
        <f t="shared" si="1146"/>
        <v>4.1189946286746908</v>
      </c>
      <c r="AB261" s="322">
        <f t="shared" si="1146"/>
        <v>4.1643035695901114</v>
      </c>
      <c r="AC261" s="322">
        <f t="shared" si="1146"/>
        <v>4.2101109088556026</v>
      </c>
      <c r="AD261" s="322">
        <f t="shared" si="1146"/>
        <v>4.2564221288530142</v>
      </c>
      <c r="AE261" s="322">
        <f t="shared" si="1146"/>
        <v>4.303242772270397</v>
      </c>
      <c r="AF261" s="322">
        <f t="shared" si="1146"/>
        <v>4.3505784427653698</v>
      </c>
      <c r="AG261" s="322">
        <f t="shared" si="1146"/>
        <v>4.3984348056357891</v>
      </c>
      <c r="AH261" s="322">
        <f t="shared" si="1146"/>
        <v>4.4468175884977823</v>
      </c>
      <c r="AI261" s="322">
        <f t="shared" si="1146"/>
        <v>4.4957325819712572</v>
      </c>
      <c r="AJ261" s="322">
        <f t="shared" si="1146"/>
        <v>4.5451856403729405</v>
      </c>
      <c r="AK261" s="322">
        <f t="shared" si="1146"/>
        <v>4.5951826824170423</v>
      </c>
      <c r="AL261" s="322">
        <f t="shared" si="1146"/>
        <v>4.6457296919236297</v>
      </c>
      <c r="AM261" s="322">
        <f t="shared" si="1146"/>
        <v>4.6968327185347887</v>
      </c>
      <c r="AN261" s="322">
        <f t="shared" si="1146"/>
        <v>4.7484978784386707</v>
      </c>
      <c r="AO261" s="322">
        <f t="shared" si="1146"/>
        <v>4.8007313551014965</v>
      </c>
      <c r="AP261" s="322">
        <f t="shared" si="1146"/>
        <v>4.8535394000076115</v>
      </c>
      <c r="AQ261" s="322">
        <f t="shared" si="1146"/>
        <v>4.906928333407695</v>
      </c>
      <c r="AR261" s="322">
        <f t="shared" si="1146"/>
        <v>4.960904545075179</v>
      </c>
      <c r="AS261" s="322">
        <f t="shared" si="1146"/>
        <v>5.0154744950710057</v>
      </c>
      <c r="AT261" s="322">
        <f t="shared" si="1146"/>
        <v>5.0706447145167859</v>
      </c>
      <c r="AU261" s="322">
        <f t="shared" si="1146"/>
        <v>5.1264218063764702</v>
      </c>
      <c r="AV261" s="322">
        <f t="shared" si="1146"/>
        <v>5.1828124462466096</v>
      </c>
      <c r="AW261" s="322">
        <f t="shared" si="1146"/>
        <v>5.2398233831553229</v>
      </c>
      <c r="AX261" s="322">
        <f t="shared" si="1146"/>
        <v>5.2974614403700295</v>
      </c>
      <c r="AY261" s="322">
        <f t="shared" si="1146"/>
        <v>5.3557335162140998</v>
      </c>
      <c r="AZ261" s="322">
        <f t="shared" si="1146"/>
        <v>5.4146465848924539</v>
      </c>
      <c r="BA261" s="322">
        <f t="shared" si="1146"/>
        <v>5.4742076973262703</v>
      </c>
      <c r="BB261" s="322">
        <f t="shared" si="1146"/>
        <v>5.5344239819968584</v>
      </c>
      <c r="BC261" s="322">
        <f t="shared" si="1146"/>
        <v>5.5953026457988235</v>
      </c>
      <c r="BD261" s="322">
        <f t="shared" si="1146"/>
        <v>5.6568509749026097</v>
      </c>
      <c r="BE261" s="322">
        <f t="shared" si="1146"/>
        <v>5.7190763356265375</v>
      </c>
      <c r="BF261" s="322">
        <f t="shared" si="1146"/>
        <v>5.781986175318429</v>
      </c>
      <c r="BG261" s="322">
        <f t="shared" si="1146"/>
        <v>5.8455880232469317</v>
      </c>
      <c r="BH261" s="322">
        <f t="shared" si="1146"/>
        <v>5.9098894915026463</v>
      </c>
      <c r="BI261" s="322">
        <f t="shared" si="1146"/>
        <v>5.9748982759091751</v>
      </c>
      <c r="BJ261" s="322">
        <f t="shared" si="1146"/>
        <v>6.0406221569441749</v>
      </c>
      <c r="BK261" s="322">
        <f t="shared" si="1146"/>
        <v>6.1070690006705606</v>
      </c>
      <c r="BL261" s="322">
        <f t="shared" si="1146"/>
        <v>6.1742467596779358</v>
      </c>
      <c r="BM261" s="322">
        <f t="shared" si="1146"/>
        <v>6.2421634740343928</v>
      </c>
      <c r="BN261" s="322">
        <f t="shared" si="1146"/>
        <v>6.3108272722487708</v>
      </c>
      <c r="BO261" s="322">
        <f t="shared" si="1146"/>
        <v>6.3802463722435059</v>
      </c>
      <c r="BP261" s="322">
        <f t="shared" ref="BP261:CJ261" si="1147">BP210</f>
        <v>6.450429082338184</v>
      </c>
      <c r="BQ261" s="322">
        <f t="shared" si="1147"/>
        <v>6.5213838022439026</v>
      </c>
      <c r="BR261" s="322">
        <f t="shared" si="1147"/>
        <v>6.5931190240685851</v>
      </c>
      <c r="BS261" s="322">
        <f t="shared" si="1147"/>
        <v>6.6656433333333398</v>
      </c>
      <c r="BT261" s="322">
        <f t="shared" si="1147"/>
        <v>6.7389654100000058</v>
      </c>
      <c r="BU261" s="322">
        <f t="shared" si="1147"/>
        <v>6.8130940295100055</v>
      </c>
      <c r="BV261" s="322">
        <f t="shared" si="1147"/>
        <v>6.8880380638346139</v>
      </c>
      <c r="BW261" s="322">
        <f t="shared" si="1147"/>
        <v>6.9638064825367945</v>
      </c>
      <c r="BX261" s="322">
        <f t="shared" si="1147"/>
        <v>7.0404083538446978</v>
      </c>
      <c r="BY261" s="322">
        <f t="shared" si="1147"/>
        <v>7.117852845736989</v>
      </c>
      <c r="BZ261" s="322">
        <f t="shared" si="1147"/>
        <v>7.1961492270400953</v>
      </c>
      <c r="CA261" s="322">
        <f t="shared" si="1147"/>
        <v>7.2753068685375357</v>
      </c>
      <c r="CB261" s="322">
        <f t="shared" si="1147"/>
        <v>7.3553352440914486</v>
      </c>
      <c r="CC261" s="322">
        <f t="shared" si="1147"/>
        <v>7.4362439317764526</v>
      </c>
      <c r="CD261" s="322">
        <f t="shared" si="1147"/>
        <v>7.518042615025994</v>
      </c>
      <c r="CE261" s="322">
        <f t="shared" si="1147"/>
        <v>7.6007410837912799</v>
      </c>
      <c r="CF261" s="322">
        <f t="shared" si="1147"/>
        <v>7.6843492357129835</v>
      </c>
      <c r="CG261" s="322">
        <f t="shared" si="1147"/>
        <v>7.7688770773058256</v>
      </c>
      <c r="CH261" s="322">
        <f t="shared" si="1147"/>
        <v>7.8543347251561872</v>
      </c>
      <c r="CI261" s="322">
        <f t="shared" si="1147"/>
        <v>7.9407324071329048</v>
      </c>
      <c r="CJ261" s="322">
        <f t="shared" si="1147"/>
        <v>8.0280804636113654</v>
      </c>
    </row>
    <row r="262" spans="2:88" hidden="1" outlineLevel="1">
      <c r="B262" s="319"/>
      <c r="C262" s="320"/>
      <c r="D262" s="320"/>
      <c r="E262" s="320"/>
      <c r="F262" s="320"/>
      <c r="G262" s="320"/>
      <c r="H262" s="320"/>
      <c r="I262" s="320"/>
      <c r="J262" s="320"/>
      <c r="K262" s="320"/>
      <c r="L262" s="320"/>
      <c r="M262" s="320"/>
      <c r="N262" s="320"/>
      <c r="O262" s="320"/>
      <c r="P262" s="320"/>
      <c r="Q262" s="320"/>
      <c r="R262" s="320"/>
      <c r="S262" s="320"/>
      <c r="T262" s="320"/>
      <c r="U262" s="320"/>
      <c r="V262" s="320"/>
      <c r="W262" s="320"/>
      <c r="X262" s="320"/>
      <c r="Y262" s="320"/>
      <c r="Z262" s="320"/>
      <c r="AA262" s="320"/>
      <c r="AB262" s="320"/>
      <c r="AC262" s="320"/>
      <c r="AD262" s="320"/>
      <c r="AE262" s="320"/>
      <c r="AF262" s="320"/>
      <c r="AG262" s="320"/>
      <c r="AH262" s="320"/>
      <c r="AI262" s="320"/>
      <c r="AJ262" s="320"/>
      <c r="AK262" s="320"/>
      <c r="AL262" s="320"/>
      <c r="AM262" s="320"/>
      <c r="AN262" s="320"/>
      <c r="AO262" s="320"/>
      <c r="AP262" s="320"/>
      <c r="AQ262" s="320"/>
      <c r="AR262" s="320"/>
      <c r="AS262" s="320"/>
      <c r="AT262" s="320"/>
      <c r="AU262" s="320"/>
      <c r="AV262" s="320"/>
      <c r="AW262" s="320"/>
      <c r="AX262" s="320"/>
      <c r="AY262" s="320"/>
      <c r="AZ262" s="320"/>
      <c r="BA262" s="320"/>
      <c r="BB262" s="320"/>
      <c r="BC262" s="320"/>
      <c r="BD262" s="320"/>
      <c r="BE262" s="320"/>
      <c r="BF262" s="320"/>
      <c r="BG262" s="320"/>
      <c r="BH262" s="320"/>
      <c r="BI262" s="320"/>
      <c r="BJ262" s="320"/>
      <c r="BK262" s="320"/>
      <c r="BL262" s="320"/>
      <c r="BM262" s="320"/>
      <c r="BN262" s="320"/>
      <c r="BO262" s="320"/>
      <c r="BP262" s="320"/>
      <c r="BQ262" s="320"/>
      <c r="BR262" s="320"/>
      <c r="BS262" s="320"/>
      <c r="BT262" s="320"/>
      <c r="BU262" s="320"/>
      <c r="BV262" s="320"/>
      <c r="BW262" s="320"/>
      <c r="BX262" s="320"/>
      <c r="BY262" s="320"/>
      <c r="BZ262" s="320"/>
      <c r="CA262" s="320"/>
      <c r="CB262" s="320"/>
      <c r="CC262" s="320"/>
      <c r="CD262" s="320"/>
      <c r="CE262" s="320"/>
      <c r="CF262" s="320"/>
      <c r="CG262" s="320"/>
      <c r="CH262" s="320"/>
      <c r="CI262" s="320"/>
      <c r="CJ262" s="320"/>
    </row>
    <row r="263" spans="2:88" hidden="1" outlineLevel="1">
      <c r="B263" s="319" t="s">
        <v>367</v>
      </c>
      <c r="C263" s="322">
        <f t="shared" ref="C263:AQ263" si="1148">C257-C259+C261</f>
        <v>3.1678418464412483</v>
      </c>
      <c r="D263" s="322">
        <f t="shared" si="1148"/>
        <v>6.2121378608712874</v>
      </c>
      <c r="E263" s="322">
        <f t="shared" si="1148"/>
        <v>9.1394486437540969</v>
      </c>
      <c r="F263" s="322">
        <f t="shared" si="1148"/>
        <v>11.956010981927957</v>
      </c>
      <c r="G263" s="322">
        <f t="shared" si="1148"/>
        <v>14.667754085667099</v>
      </c>
      <c r="H263" s="322">
        <f t="shared" si="1148"/>
        <v>17.280315014400475</v>
      </c>
      <c r="I263" s="322">
        <f t="shared" si="1148"/>
        <v>19.799053331660364</v>
      </c>
      <c r="J263" s="322">
        <f t="shared" si="1148"/>
        <v>22.229065027805039</v>
      </c>
      <c r="K263" s="322">
        <f t="shared" si="1148"/>
        <v>24.575195747132483</v>
      </c>
      <c r="L263" s="322">
        <f t="shared" si="1148"/>
        <v>26.842053354171451</v>
      </c>
      <c r="M263" s="322">
        <f t="shared" si="1148"/>
        <v>29.034019872196822</v>
      </c>
      <c r="N263" s="322">
        <f t="shared" si="1148"/>
        <v>31.155262825363998</v>
      </c>
      <c r="O263" s="322">
        <f t="shared" si="1148"/>
        <v>33.209746014287362</v>
      </c>
      <c r="P263" s="322">
        <f t="shared" si="1148"/>
        <v>35.201239753396663</v>
      </c>
      <c r="Q263" s="322">
        <f t="shared" si="1148"/>
        <v>37.133330596988557</v>
      </c>
      <c r="R263" s="322">
        <f t="shared" si="1148"/>
        <v>39.009430579544741</v>
      </c>
      <c r="S263" s="322">
        <f t="shared" si="1148"/>
        <v>40.832785994609573</v>
      </c>
      <c r="T263" s="322">
        <f t="shared" si="1148"/>
        <v>42.606485735305625</v>
      </c>
      <c r="U263" s="322">
        <f t="shared" si="1148"/>
        <v>44.333469218411565</v>
      </c>
      <c r="V263" s="322">
        <f t="shared" si="1148"/>
        <v>46.016533912830795</v>
      </c>
      <c r="W263" s="322">
        <f t="shared" si="1148"/>
        <v>47.6583424922378</v>
      </c>
      <c r="X263" s="322">
        <f t="shared" si="1148"/>
        <v>49.261429630699986</v>
      </c>
      <c r="Y263" s="322">
        <f t="shared" si="1148"/>
        <v>50.828208459132874</v>
      </c>
      <c r="Z263" s="322">
        <f t="shared" si="1148"/>
        <v>52.360976699553767</v>
      </c>
      <c r="AA263" s="322">
        <f t="shared" si="1148"/>
        <v>53.861922493250766</v>
      </c>
      <c r="AB263" s="322">
        <f t="shared" si="1148"/>
        <v>55.333129938178338</v>
      </c>
      <c r="AC263" s="322">
        <f t="shared" si="1148"/>
        <v>56.776584350125027</v>
      </c>
      <c r="AD263" s="322">
        <f t="shared" si="1148"/>
        <v>58.194177261471793</v>
      </c>
      <c r="AE263" s="322">
        <f t="shared" si="1148"/>
        <v>59.587711170668598</v>
      </c>
      <c r="AF263" s="322">
        <f t="shared" si="1148"/>
        <v>60.958904054900536</v>
      </c>
      <c r="AG263" s="322">
        <f t="shared" si="1148"/>
        <v>62.309393657791297</v>
      </c>
      <c r="AH263" s="322">
        <f t="shared" si="1148"/>
        <v>63.640741563399509</v>
      </c>
      <c r="AI263" s="322">
        <f t="shared" si="1148"/>
        <v>64.954437067200786</v>
      </c>
      <c r="AJ263" s="322">
        <f t="shared" si="1148"/>
        <v>66.251900854213687</v>
      </c>
      <c r="AK263" s="322">
        <f t="shared" si="1148"/>
        <v>67.534488493920051</v>
      </c>
      <c r="AL263" s="322">
        <f t="shared" si="1148"/>
        <v>68.803493761147678</v>
      </c>
      <c r="AM263" s="322">
        <f t="shared" si="1148"/>
        <v>70.060151791625088</v>
      </c>
      <c r="AN263" s="322">
        <f t="shared" si="1148"/>
        <v>71.3056420804825</v>
      </c>
      <c r="AO263" s="322">
        <f t="shared" si="1148"/>
        <v>72.541091331559869</v>
      </c>
      <c r="AP263" s="322">
        <f t="shared" si="1148"/>
        <v>73.767576164989478</v>
      </c>
      <c r="AQ263" s="322">
        <f t="shared" si="1148"/>
        <v>74.986125690147702</v>
      </c>
      <c r="AR263" s="322">
        <f>AR257-AR259+AR261</f>
        <v>76.197723950715499</v>
      </c>
      <c r="AS263" s="322">
        <f t="shared" ref="AS263:BK263" si="1149">AS257-AS259+AS261</f>
        <v>77.403312248250728</v>
      </c>
      <c r="AT263" s="322">
        <f t="shared" si="1149"/>
        <v>78.603791350354982</v>
      </c>
      <c r="AU263" s="322">
        <f t="shared" si="1149"/>
        <v>79.800023589213708</v>
      </c>
      <c r="AV263" s="322">
        <f t="shared" si="1149"/>
        <v>80.992834855999632</v>
      </c>
      <c r="AW263" s="322">
        <f t="shared" si="1149"/>
        <v>82.183016496354981</v>
      </c>
      <c r="AX263" s="322">
        <f t="shared" si="1149"/>
        <v>83.371327111907263</v>
      </c>
      <c r="AY263" s="322">
        <f t="shared" si="1149"/>
        <v>84.558494272526005</v>
      </c>
      <c r="AZ263" s="322">
        <f t="shared" si="1149"/>
        <v>85.745216143792163</v>
      </c>
      <c r="BA263" s="322">
        <f t="shared" si="1149"/>
        <v>86.932163033928816</v>
      </c>
      <c r="BB263" s="322">
        <f t="shared" si="1149"/>
        <v>88.119978864229225</v>
      </c>
      <c r="BC263" s="322">
        <f t="shared" si="1149"/>
        <v>89.309282566816591</v>
      </c>
      <c r="BD263" s="322">
        <f t="shared" si="1149"/>
        <v>90.500669413378375</v>
      </c>
      <c r="BE263" s="322">
        <f t="shared" si="1149"/>
        <v>91.694712278335999</v>
      </c>
      <c r="BF263" s="322">
        <f t="shared" si="1149"/>
        <v>92.891962839737616</v>
      </c>
      <c r="BG263" s="322">
        <f t="shared" si="1149"/>
        <v>94.092952720997673</v>
      </c>
      <c r="BH263" s="322">
        <f t="shared" si="1149"/>
        <v>95.298194576450442</v>
      </c>
      <c r="BI263" s="322">
        <f t="shared" si="1149"/>
        <v>96.508183123537094</v>
      </c>
      <c r="BJ263" s="322">
        <f t="shared" si="1149"/>
        <v>97.723396124304415</v>
      </c>
      <c r="BK263" s="322">
        <f t="shared" si="1149"/>
        <v>98.944295318759757</v>
      </c>
      <c r="BL263" s="322">
        <f>BL257-BL259+BL261</f>
        <v>100.17132731249971</v>
      </c>
      <c r="BM263" s="322">
        <f>BM257-BM259+BM261</f>
        <v>101.40492442090913</v>
      </c>
      <c r="BN263" s="322">
        <f t="shared" ref="BN263:CJ263" si="1150">BN257-BN259+BN261</f>
        <v>102.64550547211245</v>
      </c>
      <c r="BO263" s="322">
        <f t="shared" si="1150"/>
        <v>103.89347657075032</v>
      </c>
      <c r="BP263" s="322">
        <f t="shared" si="1150"/>
        <v>105.14923182455099</v>
      </c>
      <c r="BQ263" s="322">
        <f t="shared" si="1150"/>
        <v>106.41315403556735</v>
      </c>
      <c r="BR263" s="322">
        <f t="shared" si="1150"/>
        <v>107.68561535785756</v>
      </c>
      <c r="BS263" s="322">
        <f t="shared" si="1150"/>
        <v>108.96697792329802</v>
      </c>
      <c r="BT263" s="322">
        <f t="shared" si="1150"/>
        <v>110.25759443713312</v>
      </c>
      <c r="BU263" s="322">
        <f t="shared" si="1150"/>
        <v>111.55780874478648</v>
      </c>
      <c r="BV263" s="322">
        <f t="shared" si="1150"/>
        <v>112.86795637138178</v>
      </c>
      <c r="BW263" s="322">
        <f t="shared" si="1150"/>
        <v>114.18836503534949</v>
      </c>
      <c r="BX263" s="322">
        <f t="shared" si="1150"/>
        <v>115.51935513742671</v>
      </c>
      <c r="BY263" s="322">
        <f t="shared" si="1150"/>
        <v>116.86124022629237</v>
      </c>
      <c r="BZ263" s="322">
        <f t="shared" si="1150"/>
        <v>118.21432744201785</v>
      </c>
      <c r="CA263" s="322">
        <f t="shared" si="1150"/>
        <v>119.5789179384545</v>
      </c>
      <c r="CB263" s="322">
        <f t="shared" si="1150"/>
        <v>120.95530728562322</v>
      </c>
      <c r="CC263" s="322">
        <f t="shared" si="1150"/>
        <v>122.3437858531185</v>
      </c>
      <c r="CD263" s="322">
        <f t="shared" si="1150"/>
        <v>123.74463917548857</v>
      </c>
      <c r="CE263" s="322">
        <f t="shared" si="1150"/>
        <v>125.15814830050542</v>
      </c>
      <c r="CF263" s="322">
        <f t="shared" si="1150"/>
        <v>126.58459012119313</v>
      </c>
      <c r="CG263" s="322">
        <f t="shared" si="1150"/>
        <v>128.0242376924393</v>
      </c>
      <c r="CH263" s="322">
        <f t="shared" si="1150"/>
        <v>129.47736053297351</v>
      </c>
      <c r="CI263" s="322">
        <f t="shared" si="1150"/>
        <v>130.94422491345773</v>
      </c>
      <c r="CJ263" s="322">
        <f t="shared" si="1150"/>
        <v>132.42509413139621</v>
      </c>
    </row>
    <row r="264" spans="2:88" hidden="1" outlineLevel="1">
      <c r="B264" s="319"/>
      <c r="C264" s="319"/>
      <c r="D264" s="319"/>
      <c r="E264" s="319"/>
      <c r="F264" s="319"/>
      <c r="G264" s="319"/>
      <c r="H264" s="319"/>
      <c r="I264" s="319"/>
      <c r="J264" s="319"/>
      <c r="K264" s="319"/>
      <c r="L264" s="319"/>
      <c r="M264" s="319"/>
      <c r="N264" s="319"/>
      <c r="O264" s="319"/>
      <c r="P264" s="319"/>
      <c r="Q264" s="319"/>
      <c r="R264" s="319"/>
      <c r="S264" s="319"/>
      <c r="T264" s="319"/>
      <c r="U264" s="319"/>
      <c r="V264" s="319"/>
      <c r="W264" s="319"/>
      <c r="X264" s="319"/>
      <c r="Y264" s="319"/>
      <c r="Z264" s="319"/>
      <c r="AA264" s="319"/>
      <c r="AB264" s="319"/>
      <c r="AC264" s="319"/>
      <c r="AD264" s="319"/>
      <c r="AE264" s="319"/>
      <c r="AF264" s="319"/>
      <c r="AG264" s="319"/>
      <c r="AH264" s="319"/>
      <c r="AI264" s="319"/>
      <c r="AJ264" s="319"/>
      <c r="AK264" s="319"/>
      <c r="AL264" s="319"/>
      <c r="AM264" s="319"/>
      <c r="AN264" s="319"/>
      <c r="AO264" s="319"/>
      <c r="AP264" s="319"/>
      <c r="AQ264" s="320"/>
      <c r="AR264" s="320"/>
      <c r="AS264" s="320"/>
      <c r="AT264" s="320"/>
      <c r="AU264" s="320"/>
      <c r="AV264" s="320"/>
      <c r="AW264" s="320"/>
      <c r="AX264" s="320"/>
      <c r="AY264" s="320"/>
      <c r="AZ264" s="320"/>
      <c r="BA264" s="320"/>
      <c r="BB264" s="320"/>
      <c r="BC264" s="320"/>
      <c r="BD264" s="320"/>
      <c r="BE264" s="320"/>
      <c r="BF264" s="320"/>
      <c r="BG264" s="320"/>
      <c r="BH264" s="320"/>
      <c r="BI264" s="320"/>
      <c r="BJ264" s="320"/>
      <c r="BK264" s="320"/>
      <c r="BL264" s="320"/>
      <c r="BM264" s="320"/>
      <c r="BN264" s="320"/>
      <c r="BO264" s="320"/>
      <c r="BP264" s="320"/>
      <c r="BQ264" s="320"/>
      <c r="BR264" s="320"/>
      <c r="BS264" s="320"/>
      <c r="BT264" s="320"/>
      <c r="BU264" s="320"/>
      <c r="BV264" s="320"/>
      <c r="BW264" s="320"/>
      <c r="BX264" s="320"/>
      <c r="BY264" s="320"/>
      <c r="BZ264" s="320"/>
      <c r="CA264" s="320"/>
      <c r="CB264" s="320"/>
      <c r="CC264" s="320"/>
      <c r="CD264" s="320"/>
      <c r="CE264" s="320"/>
      <c r="CF264" s="320"/>
      <c r="CG264" s="320"/>
      <c r="CH264" s="320"/>
      <c r="CI264" s="320"/>
      <c r="CJ264" s="320"/>
    </row>
    <row r="265" spans="2:88" hidden="1" outlineLevel="1">
      <c r="B265" s="319" t="s">
        <v>377</v>
      </c>
      <c r="C265" s="319"/>
      <c r="D265" s="319"/>
      <c r="E265" s="319"/>
      <c r="F265" s="319"/>
      <c r="G265" s="319"/>
      <c r="H265" s="319"/>
      <c r="I265" s="319"/>
      <c r="J265" s="319"/>
      <c r="K265" s="319"/>
      <c r="L265" s="319"/>
      <c r="M265" s="319"/>
      <c r="N265" s="319"/>
      <c r="O265" s="319"/>
      <c r="P265" s="319"/>
      <c r="Q265" s="319"/>
      <c r="R265" s="319"/>
      <c r="S265" s="319"/>
      <c r="T265" s="319"/>
      <c r="U265" s="319"/>
      <c r="V265" s="319"/>
      <c r="W265" s="319"/>
      <c r="X265" s="319"/>
      <c r="Y265" s="319"/>
      <c r="Z265" s="319"/>
      <c r="AA265" s="319"/>
      <c r="AB265" s="319"/>
      <c r="AC265" s="319"/>
      <c r="AD265" s="319"/>
      <c r="AE265" s="319"/>
      <c r="AF265" s="319"/>
      <c r="AG265" s="319"/>
      <c r="AH265" s="319"/>
      <c r="AI265" s="319"/>
      <c r="AJ265" s="319"/>
      <c r="AK265" s="319"/>
      <c r="AL265" s="319"/>
      <c r="AM265" s="319"/>
      <c r="AN265" s="319"/>
      <c r="AO265" s="319"/>
      <c r="AP265" s="319"/>
      <c r="AQ265" s="322"/>
      <c r="AR265" s="322"/>
      <c r="AS265" s="322"/>
      <c r="AT265" s="322"/>
      <c r="AU265" s="322"/>
      <c r="AV265" s="322"/>
      <c r="AW265" s="322"/>
      <c r="AX265" s="322"/>
      <c r="AY265" s="322"/>
      <c r="AZ265" s="322"/>
      <c r="BA265" s="322"/>
      <c r="BB265" s="322"/>
      <c r="BC265" s="322"/>
      <c r="BD265" s="322"/>
      <c r="BE265" s="322"/>
      <c r="BF265" s="322"/>
      <c r="BG265" s="322"/>
      <c r="BH265" s="322"/>
      <c r="BI265" s="322"/>
      <c r="BJ265" s="322"/>
      <c r="BK265" s="322"/>
      <c r="BL265" s="322"/>
      <c r="BM265" s="322"/>
      <c r="BN265" s="322"/>
      <c r="BO265" s="322"/>
      <c r="BP265" s="322"/>
      <c r="BQ265" s="322"/>
      <c r="BR265" s="322"/>
      <c r="BS265" s="322"/>
      <c r="BT265" s="322"/>
      <c r="BU265" s="322"/>
      <c r="BV265" s="322"/>
      <c r="BW265" s="322">
        <f>BW267-BV267</f>
        <v>0</v>
      </c>
      <c r="BX265" s="322">
        <f t="shared" ref="BX265:CJ265" si="1151">BX267-BW267</f>
        <v>0</v>
      </c>
      <c r="BY265" s="322">
        <f t="shared" si="1151"/>
        <v>0</v>
      </c>
      <c r="BZ265" s="322">
        <f t="shared" si="1151"/>
        <v>0</v>
      </c>
      <c r="CA265" s="322">
        <f t="shared" si="1151"/>
        <v>0</v>
      </c>
      <c r="CB265" s="322">
        <f t="shared" si="1151"/>
        <v>0</v>
      </c>
      <c r="CC265" s="322">
        <f t="shared" si="1151"/>
        <v>0</v>
      </c>
      <c r="CD265" s="322">
        <f t="shared" si="1151"/>
        <v>0</v>
      </c>
      <c r="CE265" s="322">
        <f t="shared" si="1151"/>
        <v>0</v>
      </c>
      <c r="CF265" s="322">
        <f t="shared" si="1151"/>
        <v>0</v>
      </c>
      <c r="CG265" s="322">
        <f t="shared" si="1151"/>
        <v>0</v>
      </c>
      <c r="CH265" s="322">
        <f t="shared" si="1151"/>
        <v>0</v>
      </c>
      <c r="CI265" s="322">
        <f t="shared" si="1151"/>
        <v>0</v>
      </c>
      <c r="CJ265" s="322">
        <f t="shared" si="1151"/>
        <v>0</v>
      </c>
    </row>
    <row r="266" spans="2:88" hidden="1" outlineLevel="1">
      <c r="B266" s="319"/>
      <c r="C266" s="319"/>
      <c r="D266" s="319"/>
      <c r="E266" s="319"/>
      <c r="F266" s="319"/>
      <c r="G266" s="319"/>
      <c r="H266" s="319"/>
      <c r="I266" s="319"/>
      <c r="J266" s="319"/>
      <c r="K266" s="319"/>
      <c r="L266" s="319"/>
      <c r="M266" s="319"/>
      <c r="N266" s="319"/>
      <c r="O266" s="319"/>
      <c r="P266" s="319"/>
      <c r="Q266" s="319"/>
      <c r="R266" s="319"/>
      <c r="S266" s="319"/>
      <c r="T266" s="319"/>
      <c r="U266" s="319"/>
      <c r="V266" s="319"/>
      <c r="W266" s="319"/>
      <c r="X266" s="319"/>
      <c r="Y266" s="319"/>
      <c r="Z266" s="319"/>
      <c r="AA266" s="319"/>
      <c r="AB266" s="319"/>
      <c r="AC266" s="319"/>
      <c r="AD266" s="319"/>
      <c r="AE266" s="319"/>
      <c r="AF266" s="319"/>
      <c r="AG266" s="319"/>
      <c r="AH266" s="319"/>
      <c r="AI266" s="319"/>
      <c r="AJ266" s="319"/>
      <c r="AK266" s="319"/>
      <c r="AL266" s="319"/>
      <c r="AM266" s="319"/>
      <c r="AN266" s="319"/>
      <c r="AO266" s="319"/>
      <c r="AP266" s="319"/>
      <c r="AQ266" s="320"/>
      <c r="AR266" s="320"/>
      <c r="AS266" s="320"/>
      <c r="AT266" s="320"/>
      <c r="AU266" s="320"/>
      <c r="AV266" s="320"/>
      <c r="AW266" s="320"/>
      <c r="AX266" s="320"/>
      <c r="AY266" s="320"/>
      <c r="AZ266" s="320"/>
      <c r="BA266" s="320"/>
      <c r="BB266" s="320"/>
      <c r="BC266" s="320"/>
      <c r="BD266" s="320"/>
      <c r="BE266" s="320"/>
      <c r="BF266" s="320"/>
      <c r="BG266" s="320"/>
      <c r="BH266" s="320"/>
      <c r="BI266" s="320"/>
      <c r="BJ266" s="320"/>
      <c r="BK266" s="320"/>
      <c r="BL266" s="320"/>
      <c r="BM266" s="320"/>
      <c r="BN266" s="320"/>
      <c r="BO266" s="320"/>
      <c r="BP266" s="320"/>
      <c r="BQ266" s="320"/>
      <c r="BR266" s="320"/>
      <c r="BS266" s="320"/>
      <c r="BT266" s="320"/>
      <c r="BU266" s="320"/>
      <c r="BV266" s="320"/>
      <c r="BW266" s="320"/>
      <c r="BX266" s="320"/>
      <c r="BY266" s="320"/>
      <c r="BZ266" s="320"/>
      <c r="CA266" s="320"/>
      <c r="CB266" s="320"/>
      <c r="CC266" s="320"/>
      <c r="CD266" s="320"/>
      <c r="CE266" s="320"/>
      <c r="CF266" s="320"/>
      <c r="CG266" s="320"/>
      <c r="CH266" s="320"/>
      <c r="CI266" s="320"/>
      <c r="CJ266" s="320"/>
    </row>
    <row r="267" spans="2:88" hidden="1" outlineLevel="1">
      <c r="B267" s="319" t="s">
        <v>376</v>
      </c>
      <c r="C267" s="319"/>
      <c r="D267" s="319"/>
      <c r="E267" s="319"/>
      <c r="F267" s="319"/>
      <c r="G267" s="319"/>
      <c r="H267" s="319"/>
      <c r="I267" s="319"/>
      <c r="J267" s="319"/>
      <c r="K267" s="319"/>
      <c r="L267" s="319"/>
      <c r="M267" s="319"/>
      <c r="N267" s="319"/>
      <c r="O267" s="319"/>
      <c r="P267" s="319"/>
      <c r="Q267" s="319"/>
      <c r="R267" s="319"/>
      <c r="S267" s="319"/>
      <c r="T267" s="319"/>
      <c r="U267" s="319"/>
      <c r="V267" s="319"/>
      <c r="W267" s="319"/>
      <c r="X267" s="319"/>
      <c r="Y267" s="319"/>
      <c r="Z267" s="319"/>
      <c r="AA267" s="319"/>
      <c r="AB267" s="319"/>
      <c r="AC267" s="319"/>
      <c r="AD267" s="319"/>
      <c r="AE267" s="319"/>
      <c r="AF267" s="319"/>
      <c r="AG267" s="319"/>
      <c r="AH267" s="319"/>
      <c r="AI267" s="319"/>
      <c r="AJ267" s="319"/>
      <c r="AK267" s="319"/>
      <c r="AL267" s="319"/>
      <c r="AM267" s="319"/>
      <c r="AN267" s="319"/>
      <c r="AO267" s="319"/>
      <c r="AP267" s="319"/>
      <c r="AQ267" s="322"/>
      <c r="AR267" s="322"/>
      <c r="AS267" s="322"/>
      <c r="AT267" s="322"/>
      <c r="AU267" s="322"/>
      <c r="AV267" s="322"/>
      <c r="AW267" s="322"/>
      <c r="AX267" s="322"/>
      <c r="AY267" s="322"/>
      <c r="AZ267" s="322"/>
      <c r="BA267" s="322"/>
      <c r="BB267" s="322"/>
      <c r="BC267" s="322"/>
      <c r="BD267" s="322"/>
      <c r="BE267" s="322"/>
      <c r="BF267" s="322"/>
      <c r="BG267" s="322"/>
      <c r="BH267" s="322"/>
      <c r="BI267" s="322"/>
      <c r="BJ267" s="322"/>
      <c r="BK267" s="322"/>
      <c r="BL267" s="322"/>
      <c r="BM267" s="322"/>
      <c r="BN267" s="322"/>
      <c r="BO267" s="322"/>
      <c r="BP267" s="322"/>
      <c r="BQ267" s="322"/>
      <c r="BR267" s="322"/>
      <c r="BS267" s="322"/>
      <c r="BT267" s="322"/>
      <c r="BU267" s="322"/>
      <c r="BV267" s="322"/>
      <c r="BW267" s="322">
        <f>BW261*BW268</f>
        <v>0</v>
      </c>
      <c r="BX267" s="322">
        <f t="shared" ref="BX267:CJ267" si="1152">BX261*BX268</f>
        <v>0</v>
      </c>
      <c r="BY267" s="322">
        <f t="shared" si="1152"/>
        <v>0</v>
      </c>
      <c r="BZ267" s="322">
        <f t="shared" si="1152"/>
        <v>0</v>
      </c>
      <c r="CA267" s="322">
        <f t="shared" si="1152"/>
        <v>0</v>
      </c>
      <c r="CB267" s="322">
        <f t="shared" si="1152"/>
        <v>0</v>
      </c>
      <c r="CC267" s="322">
        <f t="shared" si="1152"/>
        <v>0</v>
      </c>
      <c r="CD267" s="322">
        <f t="shared" si="1152"/>
        <v>0</v>
      </c>
      <c r="CE267" s="322">
        <f t="shared" si="1152"/>
        <v>0</v>
      </c>
      <c r="CF267" s="322">
        <f t="shared" si="1152"/>
        <v>0</v>
      </c>
      <c r="CG267" s="322">
        <f t="shared" si="1152"/>
        <v>0</v>
      </c>
      <c r="CH267" s="322">
        <f t="shared" si="1152"/>
        <v>0</v>
      </c>
      <c r="CI267" s="322">
        <f t="shared" si="1152"/>
        <v>0</v>
      </c>
      <c r="CJ267" s="322">
        <f t="shared" si="1152"/>
        <v>0</v>
      </c>
    </row>
    <row r="268" spans="2:88" hidden="1" outlineLevel="1">
      <c r="B268" s="313" t="s">
        <v>350</v>
      </c>
      <c r="C268" s="313"/>
      <c r="D268" s="313"/>
      <c r="E268" s="313"/>
      <c r="F268" s="313"/>
      <c r="G268" s="313"/>
      <c r="H268" s="313"/>
      <c r="I268" s="313"/>
      <c r="J268" s="313"/>
      <c r="K268" s="313"/>
      <c r="L268" s="313"/>
      <c r="M268" s="313"/>
      <c r="N268" s="313"/>
      <c r="O268" s="313"/>
      <c r="P268" s="313"/>
      <c r="Q268" s="313"/>
      <c r="R268" s="313"/>
      <c r="S268" s="313"/>
      <c r="T268" s="313"/>
      <c r="U268" s="313"/>
      <c r="V268" s="313"/>
      <c r="W268" s="313"/>
      <c r="X268" s="313"/>
      <c r="Y268" s="313"/>
      <c r="Z268" s="313"/>
      <c r="AA268" s="313"/>
      <c r="AB268" s="313"/>
      <c r="AC268" s="313"/>
      <c r="AD268" s="313"/>
      <c r="AE268" s="313"/>
      <c r="AF268" s="313"/>
      <c r="AG268" s="313"/>
      <c r="AH268" s="313"/>
      <c r="AI268" s="313"/>
      <c r="AJ268" s="313"/>
      <c r="AK268" s="313"/>
      <c r="AL268" s="313"/>
      <c r="AM268" s="313"/>
      <c r="AN268" s="313"/>
      <c r="AO268" s="313"/>
      <c r="AP268" s="313"/>
      <c r="AQ268" s="315"/>
      <c r="AR268" s="315"/>
      <c r="AS268" s="315"/>
      <c r="AT268" s="315"/>
      <c r="AU268" s="315"/>
      <c r="AV268" s="315"/>
      <c r="AW268" s="315"/>
      <c r="AX268" s="315"/>
      <c r="AY268" s="315"/>
      <c r="AZ268" s="315"/>
      <c r="BA268" s="315"/>
      <c r="BB268" s="315"/>
      <c r="BC268" s="315"/>
      <c r="BD268" s="315"/>
      <c r="BE268" s="315"/>
      <c r="BF268" s="315"/>
      <c r="BG268" s="315"/>
      <c r="BH268" s="315"/>
      <c r="BI268" s="315"/>
      <c r="BJ268" s="315"/>
      <c r="BK268" s="315"/>
      <c r="BL268" s="315"/>
      <c r="BM268" s="315"/>
      <c r="BN268" s="315"/>
      <c r="BO268" s="315"/>
      <c r="BP268" s="315"/>
      <c r="BQ268" s="315"/>
      <c r="BR268" s="315"/>
      <c r="BS268" s="315"/>
      <c r="BT268" s="315"/>
      <c r="BU268" s="315"/>
      <c r="BV268" s="315"/>
      <c r="BW268" s="315">
        <f t="shared" ref="BW268:CJ268" si="1153">CHOOSE($BW$3,BW66,BW67,BW68)</f>
        <v>0</v>
      </c>
      <c r="BX268" s="315">
        <f t="shared" si="1153"/>
        <v>0</v>
      </c>
      <c r="BY268" s="315">
        <f t="shared" si="1153"/>
        <v>0</v>
      </c>
      <c r="BZ268" s="315">
        <f t="shared" si="1153"/>
        <v>0</v>
      </c>
      <c r="CA268" s="315">
        <f t="shared" si="1153"/>
        <v>0</v>
      </c>
      <c r="CB268" s="315">
        <f t="shared" si="1153"/>
        <v>0</v>
      </c>
      <c r="CC268" s="315">
        <f t="shared" si="1153"/>
        <v>0</v>
      </c>
      <c r="CD268" s="315">
        <f t="shared" si="1153"/>
        <v>0</v>
      </c>
      <c r="CE268" s="315">
        <f t="shared" si="1153"/>
        <v>0</v>
      </c>
      <c r="CF268" s="315">
        <f t="shared" si="1153"/>
        <v>0</v>
      </c>
      <c r="CG268" s="315">
        <f t="shared" si="1153"/>
        <v>0</v>
      </c>
      <c r="CH268" s="315">
        <f t="shared" si="1153"/>
        <v>0</v>
      </c>
      <c r="CI268" s="315">
        <f t="shared" si="1153"/>
        <v>0</v>
      </c>
      <c r="CJ268" s="315">
        <f t="shared" si="1153"/>
        <v>0</v>
      </c>
    </row>
    <row r="269" spans="2:88" hidden="1" outlineLevel="2">
      <c r="B269" s="319"/>
      <c r="C269" s="319"/>
      <c r="D269" s="319"/>
      <c r="E269" s="319"/>
      <c r="F269" s="319"/>
      <c r="G269" s="319"/>
      <c r="H269" s="319"/>
      <c r="I269" s="319"/>
      <c r="J269" s="319"/>
      <c r="K269" s="319"/>
      <c r="L269" s="319"/>
      <c r="M269" s="319"/>
      <c r="N269" s="319"/>
      <c r="O269" s="319"/>
      <c r="P269" s="319"/>
      <c r="Q269" s="319"/>
      <c r="R269" s="319"/>
      <c r="S269" s="319"/>
      <c r="T269" s="319"/>
      <c r="U269" s="319"/>
      <c r="V269" s="319"/>
      <c r="W269" s="319"/>
      <c r="X269" s="319"/>
      <c r="Y269" s="319"/>
      <c r="Z269" s="319"/>
      <c r="AA269" s="319"/>
      <c r="AB269" s="319"/>
      <c r="AC269" s="319"/>
      <c r="AD269" s="319"/>
      <c r="AE269" s="319"/>
      <c r="AF269" s="319"/>
      <c r="AG269" s="319"/>
      <c r="AH269" s="319"/>
      <c r="AI269" s="319"/>
      <c r="AJ269" s="319"/>
      <c r="AK269" s="319"/>
      <c r="AL269" s="319"/>
      <c r="AM269" s="319"/>
      <c r="AN269" s="319"/>
      <c r="AO269" s="319"/>
      <c r="AP269" s="319"/>
      <c r="AQ269" s="320"/>
      <c r="AR269" s="320"/>
      <c r="AS269" s="320"/>
      <c r="AT269" s="320"/>
      <c r="AU269" s="320"/>
      <c r="AV269" s="320"/>
      <c r="AW269" s="320"/>
      <c r="AX269" s="320"/>
      <c r="AY269" s="320"/>
      <c r="AZ269" s="320"/>
      <c r="BA269" s="320"/>
      <c r="BB269" s="320"/>
      <c r="BC269" s="320"/>
      <c r="BD269" s="320"/>
      <c r="BE269" s="320"/>
      <c r="BF269" s="320"/>
      <c r="BG269" s="320"/>
      <c r="BH269" s="320"/>
      <c r="BI269" s="320"/>
      <c r="BJ269" s="320"/>
      <c r="BK269" s="320"/>
      <c r="BL269" s="320"/>
      <c r="BM269" s="320"/>
      <c r="BN269" s="320"/>
      <c r="BO269" s="320"/>
      <c r="BP269" s="320"/>
      <c r="BQ269" s="320"/>
      <c r="BR269" s="320"/>
      <c r="BS269" s="320"/>
      <c r="BT269" s="320"/>
      <c r="BU269" s="320"/>
      <c r="BV269" s="320"/>
      <c r="BW269" s="320"/>
      <c r="BX269" s="320"/>
      <c r="BY269" s="320"/>
      <c r="BZ269" s="320"/>
      <c r="CA269" s="320"/>
      <c r="CB269" s="320"/>
      <c r="CC269" s="320"/>
      <c r="CD269" s="320"/>
      <c r="CE269" s="320"/>
      <c r="CF269" s="320"/>
      <c r="CG269" s="320"/>
      <c r="CH269" s="320"/>
      <c r="CI269" s="320"/>
      <c r="CJ269" s="320"/>
    </row>
    <row r="270" spans="2:88" hidden="1" outlineLevel="2">
      <c r="B270" s="319" t="s">
        <v>375</v>
      </c>
      <c r="C270" s="319"/>
      <c r="D270" s="319"/>
      <c r="E270" s="319"/>
      <c r="F270" s="319"/>
      <c r="G270" s="319"/>
      <c r="H270" s="319"/>
      <c r="I270" s="319"/>
      <c r="J270" s="319"/>
      <c r="K270" s="319"/>
      <c r="L270" s="319"/>
      <c r="M270" s="319"/>
      <c r="N270" s="319"/>
      <c r="O270" s="319"/>
      <c r="P270" s="319"/>
      <c r="Q270" s="319"/>
      <c r="R270" s="319"/>
      <c r="S270" s="319"/>
      <c r="T270" s="319"/>
      <c r="U270" s="319"/>
      <c r="V270" s="319"/>
      <c r="W270" s="319"/>
      <c r="X270" s="319"/>
      <c r="Y270" s="319"/>
      <c r="Z270" s="319"/>
      <c r="AA270" s="319"/>
      <c r="AB270" s="319"/>
      <c r="AC270" s="319"/>
      <c r="AD270" s="319"/>
      <c r="AE270" s="319"/>
      <c r="AF270" s="319"/>
      <c r="AG270" s="319"/>
      <c r="AH270" s="319"/>
      <c r="AI270" s="319"/>
      <c r="AJ270" s="319"/>
      <c r="AK270" s="319"/>
      <c r="AL270" s="319"/>
      <c r="AM270" s="319"/>
      <c r="AN270" s="319"/>
      <c r="AO270" s="319"/>
      <c r="AP270" s="319"/>
      <c r="AQ270" s="321"/>
      <c r="AR270" s="321"/>
      <c r="AS270" s="321"/>
      <c r="AT270" s="321"/>
      <c r="AU270" s="321"/>
      <c r="AV270" s="321"/>
      <c r="AW270" s="321"/>
      <c r="AX270" s="321"/>
      <c r="AY270" s="321"/>
      <c r="AZ270" s="321"/>
      <c r="BA270" s="321"/>
      <c r="BB270" s="321"/>
      <c r="BC270" s="321"/>
      <c r="BD270" s="321"/>
      <c r="BE270" s="321"/>
      <c r="BF270" s="321"/>
      <c r="BG270" s="321"/>
      <c r="BH270" s="321"/>
      <c r="BI270" s="321"/>
      <c r="BJ270" s="321"/>
      <c r="BK270" s="321"/>
      <c r="BL270" s="321"/>
      <c r="BM270" s="321"/>
      <c r="BN270" s="321"/>
      <c r="BO270" s="321"/>
      <c r="BP270" s="321"/>
      <c r="BQ270" s="321"/>
      <c r="BR270" s="321"/>
      <c r="BS270" s="321"/>
      <c r="BT270" s="321"/>
      <c r="BU270" s="321"/>
      <c r="BV270" s="321"/>
      <c r="BW270" s="321">
        <f t="shared" ref="BW270" si="1154">BR267*BW271</f>
        <v>0</v>
      </c>
      <c r="BX270" s="321">
        <f t="shared" ref="BX270" si="1155">BS267*BX271</f>
        <v>0</v>
      </c>
      <c r="BY270" s="321">
        <f t="shared" ref="BY270" si="1156">BT267*BY271</f>
        <v>0</v>
      </c>
      <c r="BZ270" s="321">
        <f t="shared" ref="BZ270" si="1157">BU267*BZ271</f>
        <v>0</v>
      </c>
      <c r="CA270" s="321">
        <f t="shared" ref="CA270" si="1158">BV267*CA271</f>
        <v>0</v>
      </c>
      <c r="CB270" s="321">
        <f t="shared" ref="CB270" si="1159">BW267*CB271</f>
        <v>0</v>
      </c>
      <c r="CC270" s="321">
        <f t="shared" ref="CC270" si="1160">BX267*CC271</f>
        <v>0</v>
      </c>
      <c r="CD270" s="321">
        <f t="shared" ref="CD270" si="1161">BY267*CD271</f>
        <v>0</v>
      </c>
      <c r="CE270" s="321">
        <f t="shared" ref="CE270" si="1162">BZ267*CE271</f>
        <v>0</v>
      </c>
      <c r="CF270" s="321">
        <f t="shared" ref="CF270" si="1163">CA267*CF271</f>
        <v>0</v>
      </c>
      <c r="CG270" s="321">
        <f t="shared" ref="CG270" si="1164">CB267*CG271</f>
        <v>0</v>
      </c>
      <c r="CH270" s="321">
        <f t="shared" ref="CH270" si="1165">CC267*CH271</f>
        <v>0</v>
      </c>
      <c r="CI270" s="321">
        <f t="shared" ref="CI270" si="1166">CD267*CI271</f>
        <v>0</v>
      </c>
      <c r="CJ270" s="321">
        <f t="shared" ref="CJ270" si="1167">CE267*CJ271</f>
        <v>0</v>
      </c>
    </row>
    <row r="271" spans="2:88" hidden="1" outlineLevel="2">
      <c r="B271" s="323" t="s">
        <v>350</v>
      </c>
      <c r="C271" s="323"/>
      <c r="D271" s="323"/>
      <c r="E271" s="323"/>
      <c r="F271" s="323"/>
      <c r="G271" s="323"/>
      <c r="H271" s="323"/>
      <c r="I271" s="323"/>
      <c r="J271" s="323"/>
      <c r="K271" s="323"/>
      <c r="L271" s="323"/>
      <c r="M271" s="323"/>
      <c r="N271" s="323"/>
      <c r="O271" s="323"/>
      <c r="P271" s="323"/>
      <c r="Q271" s="323"/>
      <c r="R271" s="323"/>
      <c r="S271" s="323"/>
      <c r="T271" s="323"/>
      <c r="U271" s="323"/>
      <c r="V271" s="323"/>
      <c r="W271" s="323"/>
      <c r="X271" s="323"/>
      <c r="Y271" s="323"/>
      <c r="Z271" s="323"/>
      <c r="AA271" s="323"/>
      <c r="AB271" s="323"/>
      <c r="AC271" s="323"/>
      <c r="AD271" s="323"/>
      <c r="AE271" s="323"/>
      <c r="AF271" s="323"/>
      <c r="AG271" s="323"/>
      <c r="AH271" s="323"/>
      <c r="AI271" s="323"/>
      <c r="AJ271" s="323"/>
      <c r="AK271" s="323"/>
      <c r="AL271" s="323"/>
      <c r="AM271" s="323"/>
      <c r="AN271" s="323"/>
      <c r="AO271" s="323"/>
      <c r="AP271" s="323"/>
      <c r="AQ271" s="324"/>
      <c r="AR271" s="324"/>
      <c r="AS271" s="324"/>
      <c r="AT271" s="324"/>
      <c r="AU271" s="324"/>
      <c r="AV271" s="324"/>
      <c r="AW271" s="324"/>
      <c r="AX271" s="324"/>
      <c r="AY271" s="324"/>
      <c r="AZ271" s="324"/>
      <c r="BA271" s="324"/>
      <c r="BB271" s="324"/>
      <c r="BC271" s="324"/>
      <c r="BD271" s="324"/>
      <c r="BE271" s="324"/>
      <c r="BF271" s="324"/>
      <c r="BG271" s="324"/>
      <c r="BH271" s="324"/>
      <c r="BI271" s="324"/>
      <c r="BJ271" s="324"/>
      <c r="BK271" s="324"/>
      <c r="BL271" s="324"/>
      <c r="BM271" s="324"/>
      <c r="BN271" s="324"/>
      <c r="BO271" s="324"/>
      <c r="BP271" s="324"/>
      <c r="BQ271" s="324"/>
      <c r="BR271" s="324"/>
      <c r="BS271" s="324"/>
      <c r="BT271" s="324"/>
      <c r="BU271" s="324"/>
      <c r="BV271" s="324"/>
      <c r="BW271" s="324">
        <f t="shared" ref="BW271:CJ271" si="1168">CHOOSE($BW$3,BW81,BW82,BW83)</f>
        <v>0</v>
      </c>
      <c r="BX271" s="324">
        <f t="shared" si="1168"/>
        <v>0</v>
      </c>
      <c r="BY271" s="324">
        <f t="shared" si="1168"/>
        <v>0</v>
      </c>
      <c r="BZ271" s="324">
        <f t="shared" si="1168"/>
        <v>0</v>
      </c>
      <c r="CA271" s="324">
        <f t="shared" si="1168"/>
        <v>0</v>
      </c>
      <c r="CB271" s="324">
        <f t="shared" si="1168"/>
        <v>0</v>
      </c>
      <c r="CC271" s="324">
        <f t="shared" si="1168"/>
        <v>0</v>
      </c>
      <c r="CD271" s="324">
        <f t="shared" si="1168"/>
        <v>0</v>
      </c>
      <c r="CE271" s="324">
        <f t="shared" si="1168"/>
        <v>0</v>
      </c>
      <c r="CF271" s="324">
        <f t="shared" si="1168"/>
        <v>0</v>
      </c>
      <c r="CG271" s="324">
        <f t="shared" si="1168"/>
        <v>0</v>
      </c>
      <c r="CH271" s="324">
        <f t="shared" si="1168"/>
        <v>0</v>
      </c>
      <c r="CI271" s="324">
        <f t="shared" si="1168"/>
        <v>0</v>
      </c>
      <c r="CJ271" s="324">
        <f t="shared" si="1168"/>
        <v>0</v>
      </c>
    </row>
    <row r="272" spans="2:88" hidden="1" outlineLevel="1" collapsed="1">
      <c r="B272" s="319"/>
      <c r="C272" s="319"/>
      <c r="D272" s="319"/>
      <c r="E272" s="319"/>
      <c r="F272" s="319"/>
      <c r="G272" s="319"/>
      <c r="H272" s="319"/>
      <c r="I272" s="319"/>
      <c r="J272" s="319"/>
      <c r="K272" s="319"/>
      <c r="L272" s="319"/>
      <c r="M272" s="319"/>
      <c r="N272" s="319"/>
      <c r="O272" s="319"/>
      <c r="P272" s="319"/>
      <c r="Q272" s="319"/>
      <c r="R272" s="319"/>
      <c r="S272" s="319"/>
      <c r="T272" s="319"/>
      <c r="U272" s="319"/>
      <c r="V272" s="319"/>
      <c r="W272" s="319"/>
      <c r="X272" s="319"/>
      <c r="Y272" s="319"/>
      <c r="Z272" s="319"/>
      <c r="AA272" s="319"/>
      <c r="AB272" s="319"/>
      <c r="AC272" s="319"/>
      <c r="AD272" s="319"/>
      <c r="AE272" s="319"/>
      <c r="AF272" s="319"/>
      <c r="AG272" s="319"/>
      <c r="AH272" s="319"/>
      <c r="AI272" s="319"/>
      <c r="AJ272" s="319"/>
      <c r="AK272" s="319"/>
      <c r="AL272" s="319"/>
      <c r="AM272" s="319"/>
      <c r="AN272" s="319"/>
      <c r="AO272" s="319"/>
      <c r="AP272" s="319"/>
      <c r="AQ272" s="319"/>
      <c r="AR272" s="319"/>
      <c r="AS272" s="319"/>
      <c r="AT272" s="319"/>
      <c r="AU272" s="319"/>
      <c r="AV272" s="319"/>
      <c r="AW272" s="319"/>
      <c r="AX272" s="319"/>
      <c r="AY272" s="319"/>
      <c r="AZ272" s="319"/>
      <c r="BA272" s="319"/>
      <c r="BB272" s="319"/>
      <c r="BC272" s="319"/>
      <c r="BD272" s="319"/>
      <c r="BE272" s="319"/>
      <c r="BF272" s="319"/>
      <c r="BG272" s="319"/>
      <c r="BH272" s="319"/>
      <c r="BI272" s="319"/>
      <c r="BJ272" s="319"/>
      <c r="BK272" s="319"/>
      <c r="BL272" s="319"/>
      <c r="BM272" s="319"/>
      <c r="BN272" s="319"/>
      <c r="BO272" s="319"/>
      <c r="BP272" s="319"/>
      <c r="BQ272" s="319"/>
      <c r="BR272" s="319"/>
      <c r="BS272" s="310"/>
      <c r="BT272" s="310"/>
      <c r="BU272" s="310"/>
      <c r="BV272" s="310"/>
      <c r="BW272" s="310"/>
      <c r="BX272" s="310"/>
      <c r="BY272" s="310"/>
      <c r="BZ272" s="310"/>
      <c r="CA272" s="310"/>
      <c r="CB272" s="310"/>
      <c r="CC272" s="310"/>
      <c r="CD272" s="310"/>
      <c r="CE272" s="310"/>
      <c r="CF272" s="310"/>
      <c r="CG272" s="310"/>
      <c r="CH272" s="310"/>
      <c r="CI272" s="310"/>
      <c r="CJ272" s="310"/>
    </row>
    <row r="273" spans="2:88" collapsed="1">
      <c r="B273" s="311" t="s">
        <v>356</v>
      </c>
      <c r="C273" s="311"/>
      <c r="D273" s="311"/>
      <c r="E273" s="311"/>
      <c r="F273" s="311"/>
      <c r="G273" s="311"/>
      <c r="H273" s="311"/>
      <c r="I273" s="311"/>
      <c r="J273" s="311"/>
      <c r="K273" s="311"/>
      <c r="L273" s="311"/>
      <c r="M273" s="311"/>
      <c r="N273" s="311"/>
      <c r="O273" s="311"/>
      <c r="P273" s="311"/>
      <c r="Q273" s="311"/>
      <c r="R273" s="311"/>
      <c r="S273" s="311"/>
      <c r="T273" s="311"/>
      <c r="U273" s="311"/>
      <c r="V273" s="311"/>
      <c r="W273" s="311"/>
      <c r="X273" s="311"/>
      <c r="Y273" s="311"/>
      <c r="Z273" s="311"/>
      <c r="AA273" s="311"/>
      <c r="AB273" s="311"/>
      <c r="AC273" s="311"/>
      <c r="AD273" s="311"/>
      <c r="AE273" s="311"/>
      <c r="AF273" s="311"/>
      <c r="AG273" s="311"/>
      <c r="AH273" s="311"/>
      <c r="AI273" s="311"/>
      <c r="AJ273" s="311"/>
      <c r="AK273" s="311"/>
      <c r="AL273" s="311"/>
      <c r="AM273" s="311"/>
      <c r="AN273" s="311"/>
      <c r="AO273" s="311"/>
      <c r="AP273" s="311"/>
      <c r="AQ273" s="311"/>
      <c r="AR273" s="311"/>
      <c r="AS273" s="311"/>
      <c r="AT273" s="311"/>
      <c r="AU273" s="311"/>
      <c r="AV273" s="311"/>
      <c r="AW273" s="311"/>
      <c r="AX273" s="311"/>
      <c r="AY273" s="311"/>
      <c r="AZ273" s="311"/>
      <c r="BA273" s="311"/>
      <c r="BB273" s="311"/>
      <c r="BC273" s="311"/>
      <c r="BD273" s="311"/>
      <c r="BE273" s="311"/>
      <c r="BF273" s="311"/>
      <c r="BG273" s="311"/>
      <c r="BH273" s="311"/>
      <c r="BI273" s="311"/>
      <c r="BJ273" s="311"/>
      <c r="BK273" s="311"/>
      <c r="BL273" s="311"/>
      <c r="BM273" s="311"/>
      <c r="BN273" s="311"/>
      <c r="BO273" s="311"/>
      <c r="BP273" s="311"/>
      <c r="BQ273" s="311"/>
      <c r="BR273" s="311"/>
      <c r="BS273" s="310"/>
      <c r="BT273" s="310"/>
      <c r="BU273" s="310"/>
      <c r="BV273" s="310"/>
      <c r="BW273" s="314">
        <f>BW169*0.8</f>
        <v>1000000</v>
      </c>
      <c r="BX273" s="314">
        <f t="shared" ref="BX273" si="1169">BW273*(1+BX274)</f>
        <v>1010000</v>
      </c>
      <c r="BY273" s="314">
        <f t="shared" ref="BY273" si="1170">BX273*(1+BY274)</f>
        <v>1020100</v>
      </c>
      <c r="BZ273" s="314">
        <f t="shared" ref="BZ273" si="1171">BY273*(1+BZ274)</f>
        <v>1030301</v>
      </c>
      <c r="CA273" s="314">
        <f t="shared" ref="CA273" si="1172">BZ273*(1+CA274)</f>
        <v>1040604.01</v>
      </c>
      <c r="CB273" s="314">
        <f t="shared" ref="CB273" si="1173">CA273*(1+CB274)</f>
        <v>1051010.0501000001</v>
      </c>
      <c r="CC273" s="314">
        <f t="shared" ref="CC273" si="1174">CB273*(1+CC274)</f>
        <v>1061520.1506010001</v>
      </c>
      <c r="CD273" s="314">
        <f t="shared" ref="CD273" si="1175">CC273*(1+CD274)</f>
        <v>1072135.3521070101</v>
      </c>
      <c r="CE273" s="314">
        <f t="shared" ref="CE273" si="1176">CD273*(1+CE274)</f>
        <v>1082856.7056280803</v>
      </c>
      <c r="CF273" s="314">
        <f t="shared" ref="CF273" si="1177">CE273*(1+CF274)</f>
        <v>1093685.2726843611</v>
      </c>
      <c r="CG273" s="314">
        <f t="shared" ref="CG273" si="1178">CF273*(1+CG274)</f>
        <v>1104622.1254112048</v>
      </c>
      <c r="CH273" s="314">
        <f t="shared" ref="CH273" si="1179">CG273*(1+CH274)</f>
        <v>1115668.3466653167</v>
      </c>
      <c r="CI273" s="314">
        <f t="shared" ref="CI273" si="1180">CH273*(1+CI274)</f>
        <v>1126825.0301319698</v>
      </c>
      <c r="CJ273" s="314">
        <f t="shared" ref="CJ273" si="1181">CI273*(1+CJ274)</f>
        <v>1138093.2804332895</v>
      </c>
    </row>
    <row r="274" spans="2:88">
      <c r="B274" s="325" t="s">
        <v>342</v>
      </c>
      <c r="C274" s="325"/>
      <c r="D274" s="325"/>
      <c r="E274" s="325"/>
      <c r="F274" s="325"/>
      <c r="G274" s="325"/>
      <c r="H274" s="325"/>
      <c r="I274" s="325"/>
      <c r="J274" s="325"/>
      <c r="K274" s="325"/>
      <c r="L274" s="325"/>
      <c r="M274" s="325"/>
      <c r="N274" s="325"/>
      <c r="O274" s="325"/>
      <c r="P274" s="325"/>
      <c r="Q274" s="325"/>
      <c r="R274" s="325"/>
      <c r="S274" s="325"/>
      <c r="T274" s="325"/>
      <c r="U274" s="325"/>
      <c r="V274" s="325"/>
      <c r="W274" s="325"/>
      <c r="X274" s="325"/>
      <c r="Y274" s="325"/>
      <c r="Z274" s="325"/>
      <c r="AA274" s="325"/>
      <c r="AB274" s="325"/>
      <c r="AC274" s="325"/>
      <c r="AD274" s="325"/>
      <c r="AE274" s="325"/>
      <c r="AF274" s="325"/>
      <c r="AG274" s="325"/>
      <c r="AH274" s="325"/>
      <c r="AI274" s="325"/>
      <c r="AJ274" s="325"/>
      <c r="AK274" s="325"/>
      <c r="AL274" s="325"/>
      <c r="AM274" s="325"/>
      <c r="AN274" s="325"/>
      <c r="AO274" s="325"/>
      <c r="AP274" s="325"/>
      <c r="AQ274" s="325"/>
      <c r="AR274" s="325"/>
      <c r="AS274" s="325"/>
      <c r="AT274" s="325"/>
      <c r="AU274" s="325"/>
      <c r="AV274" s="325"/>
      <c r="AW274" s="325"/>
      <c r="AX274" s="325"/>
      <c r="AY274" s="325"/>
      <c r="AZ274" s="325"/>
      <c r="BA274" s="325"/>
      <c r="BB274" s="325"/>
      <c r="BC274" s="325"/>
      <c r="BD274" s="325"/>
      <c r="BE274" s="325"/>
      <c r="BF274" s="325"/>
      <c r="BG274" s="325"/>
      <c r="BH274" s="325"/>
      <c r="BI274" s="325"/>
      <c r="BJ274" s="325"/>
      <c r="BK274" s="325"/>
      <c r="BL274" s="325"/>
      <c r="BM274" s="325"/>
      <c r="BN274" s="325"/>
      <c r="BO274" s="325"/>
      <c r="BP274" s="325"/>
      <c r="BQ274" s="325"/>
      <c r="BR274" s="325"/>
      <c r="BS274" s="310"/>
      <c r="BT274" s="310"/>
      <c r="BU274" s="310"/>
      <c r="BV274" s="310"/>
      <c r="BW274" s="315"/>
      <c r="BX274" s="315">
        <v>0.01</v>
      </c>
      <c r="BY274" s="315">
        <f t="shared" ref="BY274" si="1182">BX274</f>
        <v>0.01</v>
      </c>
      <c r="BZ274" s="315">
        <f t="shared" ref="BZ274" si="1183">BY274</f>
        <v>0.01</v>
      </c>
      <c r="CA274" s="315">
        <f t="shared" ref="CA274" si="1184">BZ274</f>
        <v>0.01</v>
      </c>
      <c r="CB274" s="315">
        <f t="shared" ref="CB274" si="1185">CA274</f>
        <v>0.01</v>
      </c>
      <c r="CC274" s="315">
        <f t="shared" ref="CC274" si="1186">CB274</f>
        <v>0.01</v>
      </c>
      <c r="CD274" s="315">
        <f t="shared" ref="CD274" si="1187">CC274</f>
        <v>0.01</v>
      </c>
      <c r="CE274" s="315">
        <f t="shared" ref="CE274" si="1188">CD274</f>
        <v>0.01</v>
      </c>
      <c r="CF274" s="315">
        <f t="shared" ref="CF274" si="1189">CE274</f>
        <v>0.01</v>
      </c>
      <c r="CG274" s="315">
        <f t="shared" ref="CG274" si="1190">CF274</f>
        <v>0.01</v>
      </c>
      <c r="CH274" s="315">
        <f t="shared" ref="CH274" si="1191">CG274</f>
        <v>0.01</v>
      </c>
      <c r="CI274" s="315">
        <f t="shared" ref="CI274" si="1192">CH274</f>
        <v>0.01</v>
      </c>
      <c r="CJ274" s="315">
        <f t="shared" ref="CJ274" si="1193">CI274</f>
        <v>0.01</v>
      </c>
    </row>
    <row r="275" spans="2:88">
      <c r="B275" s="311" t="s">
        <v>343</v>
      </c>
      <c r="C275" s="311"/>
      <c r="D275" s="311"/>
      <c r="E275" s="311"/>
      <c r="F275" s="311"/>
      <c r="G275" s="311"/>
      <c r="H275" s="311"/>
      <c r="I275" s="311"/>
      <c r="J275" s="311"/>
      <c r="K275" s="311"/>
      <c r="L275" s="311"/>
      <c r="M275" s="311"/>
      <c r="N275" s="311"/>
      <c r="O275" s="311"/>
      <c r="P275" s="311"/>
      <c r="Q275" s="311"/>
      <c r="R275" s="311"/>
      <c r="S275" s="311"/>
      <c r="T275" s="311"/>
      <c r="U275" s="311"/>
      <c r="V275" s="311"/>
      <c r="W275" s="311"/>
      <c r="X275" s="311"/>
      <c r="Y275" s="311"/>
      <c r="Z275" s="311"/>
      <c r="AA275" s="311"/>
      <c r="AB275" s="311"/>
      <c r="AC275" s="311"/>
      <c r="AD275" s="311"/>
      <c r="AE275" s="311"/>
      <c r="AF275" s="311"/>
      <c r="AG275" s="311"/>
      <c r="AH275" s="311"/>
      <c r="AI275" s="311"/>
      <c r="AJ275" s="311"/>
      <c r="AK275" s="311"/>
      <c r="AL275" s="311"/>
      <c r="AM275" s="311"/>
      <c r="AN275" s="311"/>
      <c r="AO275" s="311"/>
      <c r="AP275" s="311"/>
      <c r="AQ275" s="311"/>
      <c r="AR275" s="311"/>
      <c r="AS275" s="311"/>
      <c r="AT275" s="311"/>
      <c r="AU275" s="311"/>
      <c r="AV275" s="311"/>
      <c r="AW275" s="311"/>
      <c r="AX275" s="311"/>
      <c r="AY275" s="311"/>
      <c r="AZ275" s="311"/>
      <c r="BA275" s="311"/>
      <c r="BB275" s="311"/>
      <c r="BC275" s="311"/>
      <c r="BD275" s="311"/>
      <c r="BE275" s="311"/>
      <c r="BF275" s="311"/>
      <c r="BG275" s="311"/>
      <c r="BH275" s="311"/>
      <c r="BI275" s="311"/>
      <c r="BJ275" s="311"/>
      <c r="BK275" s="311"/>
      <c r="BL275" s="311"/>
      <c r="BM275" s="311"/>
      <c r="BN275" s="311"/>
      <c r="BO275" s="311"/>
      <c r="BP275" s="311"/>
      <c r="BQ275" s="311"/>
      <c r="BR275" s="311"/>
      <c r="BS275" s="310"/>
      <c r="BT275" s="310"/>
      <c r="BU275" s="310"/>
      <c r="BV275" s="310"/>
      <c r="BW275" s="314">
        <f t="shared" ref="BW275:CJ275" si="1194">BW273*(1-BW276)</f>
        <v>900000</v>
      </c>
      <c r="BX275" s="314">
        <f t="shared" si="1194"/>
        <v>909000</v>
      </c>
      <c r="BY275" s="314">
        <f t="shared" si="1194"/>
        <v>918090</v>
      </c>
      <c r="BZ275" s="314">
        <f t="shared" si="1194"/>
        <v>927270.9</v>
      </c>
      <c r="CA275" s="314">
        <f t="shared" si="1194"/>
        <v>936543.60900000005</v>
      </c>
      <c r="CB275" s="314">
        <f t="shared" si="1194"/>
        <v>945909.04509000015</v>
      </c>
      <c r="CC275" s="314">
        <f t="shared" si="1194"/>
        <v>955368.13554090005</v>
      </c>
      <c r="CD275" s="314">
        <f t="shared" si="1194"/>
        <v>964921.81689630914</v>
      </c>
      <c r="CE275" s="314">
        <f t="shared" si="1194"/>
        <v>974571.03506527224</v>
      </c>
      <c r="CF275" s="314">
        <f t="shared" si="1194"/>
        <v>984316.74541592505</v>
      </c>
      <c r="CG275" s="314">
        <f t="shared" si="1194"/>
        <v>994159.91287008428</v>
      </c>
      <c r="CH275" s="314">
        <f t="shared" si="1194"/>
        <v>1004101.5119987851</v>
      </c>
      <c r="CI275" s="314">
        <f t="shared" si="1194"/>
        <v>1014142.5271187729</v>
      </c>
      <c r="CJ275" s="314">
        <f t="shared" si="1194"/>
        <v>1024283.9523899605</v>
      </c>
    </row>
    <row r="276" spans="2:88">
      <c r="B276" s="325" t="s">
        <v>344</v>
      </c>
      <c r="C276" s="325"/>
      <c r="D276" s="325"/>
      <c r="E276" s="325"/>
      <c r="F276" s="325"/>
      <c r="G276" s="325"/>
      <c r="H276" s="325"/>
      <c r="I276" s="325"/>
      <c r="J276" s="325"/>
      <c r="K276" s="325"/>
      <c r="L276" s="325"/>
      <c r="M276" s="325"/>
      <c r="N276" s="325"/>
      <c r="O276" s="325"/>
      <c r="P276" s="325"/>
      <c r="Q276" s="325"/>
      <c r="R276" s="325"/>
      <c r="S276" s="325"/>
      <c r="T276" s="325"/>
      <c r="U276" s="325"/>
      <c r="V276" s="325"/>
      <c r="W276" s="325"/>
      <c r="X276" s="325"/>
      <c r="Y276" s="325"/>
      <c r="Z276" s="325"/>
      <c r="AA276" s="325"/>
      <c r="AB276" s="325"/>
      <c r="AC276" s="325"/>
      <c r="AD276" s="325"/>
      <c r="AE276" s="325"/>
      <c r="AF276" s="325"/>
      <c r="AG276" s="325"/>
      <c r="AH276" s="325"/>
      <c r="AI276" s="325"/>
      <c r="AJ276" s="325"/>
      <c r="AK276" s="325"/>
      <c r="AL276" s="325"/>
      <c r="AM276" s="325"/>
      <c r="AN276" s="325"/>
      <c r="AO276" s="325"/>
      <c r="AP276" s="325"/>
      <c r="AQ276" s="325"/>
      <c r="AR276" s="325"/>
      <c r="AS276" s="325"/>
      <c r="AT276" s="325"/>
      <c r="AU276" s="325"/>
      <c r="AV276" s="325"/>
      <c r="AW276" s="325"/>
      <c r="AX276" s="325"/>
      <c r="AY276" s="325"/>
      <c r="AZ276" s="325"/>
      <c r="BA276" s="325"/>
      <c r="BB276" s="325"/>
      <c r="BC276" s="325"/>
      <c r="BD276" s="325"/>
      <c r="BE276" s="325"/>
      <c r="BF276" s="325"/>
      <c r="BG276" s="325"/>
      <c r="BH276" s="325"/>
      <c r="BI276" s="325"/>
      <c r="BJ276" s="325"/>
      <c r="BK276" s="325"/>
      <c r="BL276" s="325"/>
      <c r="BM276" s="325"/>
      <c r="BN276" s="325"/>
      <c r="BO276" s="325"/>
      <c r="BP276" s="325"/>
      <c r="BQ276" s="325"/>
      <c r="BR276" s="325"/>
      <c r="BS276" s="310"/>
      <c r="BT276" s="310"/>
      <c r="BU276" s="310"/>
      <c r="BV276" s="310"/>
      <c r="BW276" s="315">
        <v>0.1</v>
      </c>
      <c r="BX276" s="315">
        <f>BW276</f>
        <v>0.1</v>
      </c>
      <c r="BY276" s="315">
        <f t="shared" ref="BY276" si="1195">BX276</f>
        <v>0.1</v>
      </c>
      <c r="BZ276" s="315">
        <f t="shared" ref="BZ276" si="1196">BY276</f>
        <v>0.1</v>
      </c>
      <c r="CA276" s="315">
        <f t="shared" ref="CA276" si="1197">BZ276</f>
        <v>0.1</v>
      </c>
      <c r="CB276" s="315">
        <f t="shared" ref="CB276" si="1198">CA276</f>
        <v>0.1</v>
      </c>
      <c r="CC276" s="315">
        <f t="shared" ref="CC276" si="1199">CB276</f>
        <v>0.1</v>
      </c>
      <c r="CD276" s="315">
        <f t="shared" ref="CD276" si="1200">CC276</f>
        <v>0.1</v>
      </c>
      <c r="CE276" s="315">
        <f t="shared" ref="CE276" si="1201">CD276</f>
        <v>0.1</v>
      </c>
      <c r="CF276" s="315">
        <f t="shared" ref="CF276" si="1202">CE276</f>
        <v>0.1</v>
      </c>
      <c r="CG276" s="315">
        <f t="shared" ref="CG276" si="1203">CF276</f>
        <v>0.1</v>
      </c>
      <c r="CH276" s="315">
        <f t="shared" ref="CH276" si="1204">CG276</f>
        <v>0.1</v>
      </c>
      <c r="CI276" s="315">
        <f t="shared" ref="CI276" si="1205">CH276</f>
        <v>0.1</v>
      </c>
      <c r="CJ276" s="315">
        <f t="shared" ref="CJ276" si="1206">CI276</f>
        <v>0.1</v>
      </c>
    </row>
    <row r="277" spans="2:88" hidden="1" outlineLevel="1">
      <c r="B277" s="310"/>
      <c r="C277" s="310"/>
      <c r="D277" s="310"/>
      <c r="E277" s="310"/>
      <c r="F277" s="310"/>
      <c r="G277" s="310"/>
      <c r="H277" s="310"/>
      <c r="I277" s="310"/>
      <c r="J277" s="310"/>
      <c r="K277" s="310"/>
      <c r="L277" s="310"/>
      <c r="M277" s="310"/>
      <c r="N277" s="310"/>
      <c r="O277" s="310"/>
      <c r="P277" s="310"/>
      <c r="Q277" s="310"/>
      <c r="R277" s="310"/>
      <c r="S277" s="310"/>
      <c r="T277" s="310"/>
      <c r="U277" s="310"/>
      <c r="V277" s="310"/>
      <c r="W277" s="310"/>
      <c r="X277" s="310"/>
      <c r="Y277" s="310"/>
      <c r="Z277" s="310"/>
      <c r="AA277" s="310"/>
      <c r="AB277" s="310"/>
      <c r="AC277" s="310"/>
      <c r="AD277" s="310"/>
      <c r="AE277" s="310"/>
      <c r="AF277" s="310"/>
      <c r="AG277" s="310"/>
      <c r="AH277" s="310"/>
      <c r="AI277" s="310"/>
      <c r="AJ277" s="310"/>
      <c r="AK277" s="310"/>
      <c r="AL277" s="310"/>
      <c r="AM277" s="310"/>
      <c r="AN277" s="310"/>
      <c r="AO277" s="310"/>
      <c r="AP277" s="310"/>
      <c r="AQ277" s="310"/>
      <c r="AR277" s="310"/>
      <c r="AS277" s="310"/>
      <c r="AT277" s="310"/>
      <c r="AU277" s="310"/>
      <c r="AV277" s="310"/>
      <c r="AW277" s="310"/>
      <c r="AX277" s="310"/>
      <c r="AY277" s="310"/>
      <c r="AZ277" s="310"/>
      <c r="BA277" s="310"/>
      <c r="BB277" s="310"/>
      <c r="BC277" s="310"/>
      <c r="BD277" s="310"/>
      <c r="BE277" s="310"/>
      <c r="BF277" s="310"/>
      <c r="BG277" s="310"/>
      <c r="BH277" s="310"/>
      <c r="BI277" s="310"/>
      <c r="BJ277" s="310"/>
      <c r="BK277" s="310"/>
      <c r="BL277" s="310"/>
      <c r="BM277" s="310"/>
      <c r="BN277" s="310"/>
      <c r="BO277" s="310"/>
      <c r="BP277" s="310"/>
      <c r="BQ277" s="310"/>
      <c r="BR277" s="310"/>
      <c r="BS277" s="310"/>
      <c r="BT277" s="310"/>
      <c r="BU277" s="310"/>
      <c r="BV277" s="310"/>
      <c r="BW277" s="310"/>
      <c r="BX277" s="310"/>
      <c r="BY277" s="310"/>
      <c r="BZ277" s="310"/>
      <c r="CA277" s="310"/>
      <c r="CB277" s="310"/>
      <c r="CC277" s="310"/>
      <c r="CD277" s="310"/>
      <c r="CE277" s="310"/>
      <c r="CF277" s="310"/>
      <c r="CG277" s="310"/>
      <c r="CH277" s="310"/>
      <c r="CI277" s="310"/>
      <c r="CJ277" s="310"/>
    </row>
    <row r="278" spans="2:88" hidden="1" outlineLevel="1">
      <c r="B278" s="311" t="s">
        <v>357</v>
      </c>
      <c r="C278" s="311"/>
      <c r="D278" s="311"/>
      <c r="E278" s="311"/>
      <c r="F278" s="311"/>
      <c r="G278" s="311"/>
      <c r="H278" s="311"/>
      <c r="I278" s="311"/>
      <c r="J278" s="311"/>
      <c r="K278" s="311"/>
      <c r="L278" s="311"/>
      <c r="M278" s="311"/>
      <c r="N278" s="311"/>
      <c r="O278" s="311"/>
      <c r="P278" s="311"/>
      <c r="Q278" s="311"/>
      <c r="R278" s="311"/>
      <c r="S278" s="311"/>
      <c r="T278" s="311"/>
      <c r="U278" s="311"/>
      <c r="V278" s="311"/>
      <c r="W278" s="311"/>
      <c r="X278" s="311"/>
      <c r="Y278" s="311"/>
      <c r="Z278" s="311"/>
      <c r="AA278" s="311"/>
      <c r="AB278" s="311"/>
      <c r="AC278" s="311"/>
      <c r="AD278" s="311"/>
      <c r="AE278" s="311"/>
      <c r="AF278" s="311"/>
      <c r="AG278" s="311"/>
      <c r="AH278" s="311"/>
      <c r="AI278" s="311"/>
      <c r="AJ278" s="311"/>
      <c r="AK278" s="311"/>
      <c r="AL278" s="311"/>
      <c r="AM278" s="311"/>
      <c r="AN278" s="311"/>
      <c r="AO278" s="311"/>
      <c r="AP278" s="311"/>
      <c r="AQ278" s="311"/>
      <c r="AR278" s="311"/>
      <c r="AS278" s="311"/>
      <c r="AT278" s="311"/>
      <c r="AU278" s="311"/>
      <c r="AV278" s="311"/>
      <c r="AW278" s="311"/>
      <c r="AX278" s="311"/>
      <c r="AY278" s="311"/>
      <c r="AZ278" s="311"/>
      <c r="BA278" s="311"/>
      <c r="BB278" s="311"/>
      <c r="BC278" s="311"/>
      <c r="BD278" s="311"/>
      <c r="BE278" s="311"/>
      <c r="BF278" s="311"/>
      <c r="BG278" s="311"/>
      <c r="BH278" s="311"/>
      <c r="BI278" s="311"/>
      <c r="BJ278" s="311"/>
      <c r="BK278" s="311"/>
      <c r="BL278" s="311"/>
      <c r="BM278" s="311"/>
      <c r="BN278" s="311"/>
      <c r="BO278" s="311"/>
      <c r="BP278" s="311"/>
      <c r="BQ278" s="311"/>
      <c r="BR278" s="311"/>
      <c r="BS278" s="310"/>
      <c r="BT278" s="310"/>
      <c r="BU278" s="310"/>
      <c r="BV278" s="310"/>
      <c r="BW278" s="314">
        <f>BW174*0.8</f>
        <v>500000</v>
      </c>
      <c r="BX278" s="314">
        <f t="shared" ref="BX278" si="1207">BW278*(1+BX279)</f>
        <v>505000</v>
      </c>
      <c r="BY278" s="314">
        <f t="shared" ref="BY278" si="1208">BX278*(1+BY279)</f>
        <v>510050</v>
      </c>
      <c r="BZ278" s="314">
        <f t="shared" ref="BZ278" si="1209">BY278*(1+BZ279)</f>
        <v>515150.5</v>
      </c>
      <c r="CA278" s="314">
        <f t="shared" ref="CA278" si="1210">BZ278*(1+CA279)</f>
        <v>520302.005</v>
      </c>
      <c r="CB278" s="314">
        <f t="shared" ref="CB278" si="1211">CA278*(1+CB279)</f>
        <v>525505.02505000005</v>
      </c>
      <c r="CC278" s="314">
        <f t="shared" ref="CC278" si="1212">CB278*(1+CC279)</f>
        <v>530760.07530050003</v>
      </c>
      <c r="CD278" s="314">
        <f t="shared" ref="CD278" si="1213">CC278*(1+CD279)</f>
        <v>536067.67605350504</v>
      </c>
      <c r="CE278" s="314">
        <f t="shared" ref="CE278" si="1214">CD278*(1+CE279)</f>
        <v>541428.35281404015</v>
      </c>
      <c r="CF278" s="314">
        <f t="shared" ref="CF278" si="1215">CE278*(1+CF279)</f>
        <v>546842.63634218054</v>
      </c>
      <c r="CG278" s="314">
        <f t="shared" ref="CG278" si="1216">CF278*(1+CG279)</f>
        <v>552311.06270560238</v>
      </c>
      <c r="CH278" s="314">
        <f t="shared" ref="CH278" si="1217">CG278*(1+CH279)</f>
        <v>557834.17333265836</v>
      </c>
      <c r="CI278" s="314">
        <f t="shared" ref="CI278" si="1218">CH278*(1+CI279)</f>
        <v>563412.51506598492</v>
      </c>
      <c r="CJ278" s="314">
        <f t="shared" ref="CJ278" si="1219">CI278*(1+CJ279)</f>
        <v>569046.64021664474</v>
      </c>
    </row>
    <row r="279" spans="2:88" hidden="1" outlineLevel="1">
      <c r="B279" s="325" t="s">
        <v>342</v>
      </c>
      <c r="C279" s="325"/>
      <c r="D279" s="325"/>
      <c r="E279" s="325"/>
      <c r="F279" s="325"/>
      <c r="G279" s="325"/>
      <c r="H279" s="325"/>
      <c r="I279" s="325"/>
      <c r="J279" s="325"/>
      <c r="K279" s="325"/>
      <c r="L279" s="325"/>
      <c r="M279" s="325"/>
      <c r="N279" s="325"/>
      <c r="O279" s="325"/>
      <c r="P279" s="325"/>
      <c r="Q279" s="325"/>
      <c r="R279" s="325"/>
      <c r="S279" s="325"/>
      <c r="T279" s="325"/>
      <c r="U279" s="325"/>
      <c r="V279" s="325"/>
      <c r="W279" s="325"/>
      <c r="X279" s="325"/>
      <c r="Y279" s="325"/>
      <c r="Z279" s="325"/>
      <c r="AA279" s="325"/>
      <c r="AB279" s="325"/>
      <c r="AC279" s="325"/>
      <c r="AD279" s="325"/>
      <c r="AE279" s="325"/>
      <c r="AF279" s="325"/>
      <c r="AG279" s="325"/>
      <c r="AH279" s="325"/>
      <c r="AI279" s="325"/>
      <c r="AJ279" s="325"/>
      <c r="AK279" s="325"/>
      <c r="AL279" s="325"/>
      <c r="AM279" s="325"/>
      <c r="AN279" s="325"/>
      <c r="AO279" s="325"/>
      <c r="AP279" s="325"/>
      <c r="AQ279" s="325"/>
      <c r="AR279" s="325"/>
      <c r="AS279" s="325"/>
      <c r="AT279" s="325"/>
      <c r="AU279" s="325"/>
      <c r="AV279" s="325"/>
      <c r="AW279" s="325"/>
      <c r="AX279" s="325"/>
      <c r="AY279" s="325"/>
      <c r="AZ279" s="325"/>
      <c r="BA279" s="325"/>
      <c r="BB279" s="325"/>
      <c r="BC279" s="325"/>
      <c r="BD279" s="325"/>
      <c r="BE279" s="325"/>
      <c r="BF279" s="325"/>
      <c r="BG279" s="325"/>
      <c r="BH279" s="325"/>
      <c r="BI279" s="325"/>
      <c r="BJ279" s="325"/>
      <c r="BK279" s="325"/>
      <c r="BL279" s="325"/>
      <c r="BM279" s="325"/>
      <c r="BN279" s="325"/>
      <c r="BO279" s="325"/>
      <c r="BP279" s="325"/>
      <c r="BQ279" s="325"/>
      <c r="BR279" s="325"/>
      <c r="BS279" s="310"/>
      <c r="BT279" s="310"/>
      <c r="BU279" s="310"/>
      <c r="BV279" s="310"/>
      <c r="BW279" s="315"/>
      <c r="BX279" s="315">
        <v>0.01</v>
      </c>
      <c r="BY279" s="315">
        <f t="shared" ref="BY279" si="1220">BX279</f>
        <v>0.01</v>
      </c>
      <c r="BZ279" s="315">
        <f t="shared" ref="BZ279" si="1221">BY279</f>
        <v>0.01</v>
      </c>
      <c r="CA279" s="315">
        <f t="shared" ref="CA279" si="1222">BZ279</f>
        <v>0.01</v>
      </c>
      <c r="CB279" s="315">
        <f t="shared" ref="CB279" si="1223">CA279</f>
        <v>0.01</v>
      </c>
      <c r="CC279" s="315">
        <f t="shared" ref="CC279" si="1224">CB279</f>
        <v>0.01</v>
      </c>
      <c r="CD279" s="315">
        <f t="shared" ref="CD279" si="1225">CC279</f>
        <v>0.01</v>
      </c>
      <c r="CE279" s="315">
        <f t="shared" ref="CE279" si="1226">CD279</f>
        <v>0.01</v>
      </c>
      <c r="CF279" s="315">
        <f t="shared" ref="CF279" si="1227">CE279</f>
        <v>0.01</v>
      </c>
      <c r="CG279" s="315">
        <f t="shared" ref="CG279" si="1228">CF279</f>
        <v>0.01</v>
      </c>
      <c r="CH279" s="315">
        <f t="shared" ref="CH279" si="1229">CG279</f>
        <v>0.01</v>
      </c>
      <c r="CI279" s="315">
        <f t="shared" ref="CI279" si="1230">CH279</f>
        <v>0.01</v>
      </c>
      <c r="CJ279" s="315">
        <f t="shared" ref="CJ279" si="1231">CI279</f>
        <v>0.01</v>
      </c>
    </row>
    <row r="280" spans="2:88" hidden="1" outlineLevel="1">
      <c r="B280" s="311" t="s">
        <v>343</v>
      </c>
      <c r="C280" s="311"/>
      <c r="D280" s="311"/>
      <c r="E280" s="311"/>
      <c r="F280" s="311"/>
      <c r="G280" s="311"/>
      <c r="H280" s="311"/>
      <c r="I280" s="311"/>
      <c r="J280" s="311"/>
      <c r="K280" s="311"/>
      <c r="L280" s="311"/>
      <c r="M280" s="311"/>
      <c r="N280" s="311"/>
      <c r="O280" s="311"/>
      <c r="P280" s="311"/>
      <c r="Q280" s="311"/>
      <c r="R280" s="311"/>
      <c r="S280" s="311"/>
      <c r="T280" s="311"/>
      <c r="U280" s="311"/>
      <c r="V280" s="311"/>
      <c r="W280" s="311"/>
      <c r="X280" s="311"/>
      <c r="Y280" s="311"/>
      <c r="Z280" s="311"/>
      <c r="AA280" s="311"/>
      <c r="AB280" s="311"/>
      <c r="AC280" s="311"/>
      <c r="AD280" s="311"/>
      <c r="AE280" s="311"/>
      <c r="AF280" s="311"/>
      <c r="AG280" s="311"/>
      <c r="AH280" s="311"/>
      <c r="AI280" s="311"/>
      <c r="AJ280" s="311"/>
      <c r="AK280" s="311"/>
      <c r="AL280" s="311"/>
      <c r="AM280" s="311"/>
      <c r="AN280" s="311"/>
      <c r="AO280" s="311"/>
      <c r="AP280" s="311"/>
      <c r="AQ280" s="311"/>
      <c r="AR280" s="311"/>
      <c r="AS280" s="311"/>
      <c r="AT280" s="311"/>
      <c r="AU280" s="311"/>
      <c r="AV280" s="311"/>
      <c r="AW280" s="311"/>
      <c r="AX280" s="311"/>
      <c r="AY280" s="311"/>
      <c r="AZ280" s="311"/>
      <c r="BA280" s="311"/>
      <c r="BB280" s="311"/>
      <c r="BC280" s="311"/>
      <c r="BD280" s="311"/>
      <c r="BE280" s="311"/>
      <c r="BF280" s="311"/>
      <c r="BG280" s="311"/>
      <c r="BH280" s="311"/>
      <c r="BI280" s="311"/>
      <c r="BJ280" s="311"/>
      <c r="BK280" s="311"/>
      <c r="BL280" s="311"/>
      <c r="BM280" s="311"/>
      <c r="BN280" s="311"/>
      <c r="BO280" s="311"/>
      <c r="BP280" s="311"/>
      <c r="BQ280" s="311"/>
      <c r="BR280" s="311"/>
      <c r="BS280" s="310"/>
      <c r="BT280" s="310"/>
      <c r="BU280" s="310"/>
      <c r="BV280" s="310"/>
      <c r="BW280" s="314">
        <f t="shared" ref="BW280:CJ280" si="1232">BW278*(1-BW281)</f>
        <v>450000</v>
      </c>
      <c r="BX280" s="314">
        <f t="shared" si="1232"/>
        <v>454500</v>
      </c>
      <c r="BY280" s="314">
        <f t="shared" si="1232"/>
        <v>459045</v>
      </c>
      <c r="BZ280" s="314">
        <f t="shared" si="1232"/>
        <v>463635.45</v>
      </c>
      <c r="CA280" s="314">
        <f t="shared" si="1232"/>
        <v>468271.80450000003</v>
      </c>
      <c r="CB280" s="314">
        <f t="shared" si="1232"/>
        <v>472954.52254500007</v>
      </c>
      <c r="CC280" s="314">
        <f t="shared" si="1232"/>
        <v>477684.06777045003</v>
      </c>
      <c r="CD280" s="314">
        <f t="shared" si="1232"/>
        <v>482460.90844815457</v>
      </c>
      <c r="CE280" s="314">
        <f t="shared" si="1232"/>
        <v>487285.51753263612</v>
      </c>
      <c r="CF280" s="314">
        <f t="shared" si="1232"/>
        <v>492158.37270796252</v>
      </c>
      <c r="CG280" s="314">
        <f t="shared" si="1232"/>
        <v>497079.95643504214</v>
      </c>
      <c r="CH280" s="314">
        <f t="shared" si="1232"/>
        <v>502050.75599939254</v>
      </c>
      <c r="CI280" s="314">
        <f t="shared" si="1232"/>
        <v>507071.26355938643</v>
      </c>
      <c r="CJ280" s="314">
        <f t="shared" si="1232"/>
        <v>512141.97619498026</v>
      </c>
    </row>
    <row r="281" spans="2:88" hidden="1" outlineLevel="1">
      <c r="B281" s="325" t="s">
        <v>344</v>
      </c>
      <c r="C281" s="325"/>
      <c r="D281" s="325"/>
      <c r="E281" s="325"/>
      <c r="F281" s="325"/>
      <c r="G281" s="325"/>
      <c r="H281" s="325"/>
      <c r="I281" s="325"/>
      <c r="J281" s="325"/>
      <c r="K281" s="325"/>
      <c r="L281" s="325"/>
      <c r="M281" s="325"/>
      <c r="N281" s="325"/>
      <c r="O281" s="325"/>
      <c r="P281" s="325"/>
      <c r="Q281" s="325"/>
      <c r="R281" s="325"/>
      <c r="S281" s="325"/>
      <c r="T281" s="325"/>
      <c r="U281" s="325"/>
      <c r="V281" s="325"/>
      <c r="W281" s="325"/>
      <c r="X281" s="325"/>
      <c r="Y281" s="325"/>
      <c r="Z281" s="325"/>
      <c r="AA281" s="325"/>
      <c r="AB281" s="325"/>
      <c r="AC281" s="325"/>
      <c r="AD281" s="325"/>
      <c r="AE281" s="325"/>
      <c r="AF281" s="325"/>
      <c r="AG281" s="325"/>
      <c r="AH281" s="325"/>
      <c r="AI281" s="325"/>
      <c r="AJ281" s="325"/>
      <c r="AK281" s="325"/>
      <c r="AL281" s="325"/>
      <c r="AM281" s="325"/>
      <c r="AN281" s="325"/>
      <c r="AO281" s="325"/>
      <c r="AP281" s="325"/>
      <c r="AQ281" s="325"/>
      <c r="AR281" s="325"/>
      <c r="AS281" s="325"/>
      <c r="AT281" s="325"/>
      <c r="AU281" s="325"/>
      <c r="AV281" s="325"/>
      <c r="AW281" s="325"/>
      <c r="AX281" s="325"/>
      <c r="AY281" s="325"/>
      <c r="AZ281" s="325"/>
      <c r="BA281" s="325"/>
      <c r="BB281" s="325"/>
      <c r="BC281" s="325"/>
      <c r="BD281" s="325"/>
      <c r="BE281" s="325"/>
      <c r="BF281" s="325"/>
      <c r="BG281" s="325"/>
      <c r="BH281" s="325"/>
      <c r="BI281" s="325"/>
      <c r="BJ281" s="325"/>
      <c r="BK281" s="325"/>
      <c r="BL281" s="325"/>
      <c r="BM281" s="325"/>
      <c r="BN281" s="325"/>
      <c r="BO281" s="325"/>
      <c r="BP281" s="325"/>
      <c r="BQ281" s="325"/>
      <c r="BR281" s="325"/>
      <c r="BS281" s="310"/>
      <c r="BT281" s="310"/>
      <c r="BU281" s="310"/>
      <c r="BV281" s="310"/>
      <c r="BW281" s="315">
        <v>0.1</v>
      </c>
      <c r="BX281" s="315">
        <f>BW281</f>
        <v>0.1</v>
      </c>
      <c r="BY281" s="315">
        <f t="shared" ref="BY281" si="1233">BX281</f>
        <v>0.1</v>
      </c>
      <c r="BZ281" s="315">
        <f t="shared" ref="BZ281" si="1234">BY281</f>
        <v>0.1</v>
      </c>
      <c r="CA281" s="315">
        <f t="shared" ref="CA281" si="1235">BZ281</f>
        <v>0.1</v>
      </c>
      <c r="CB281" s="315">
        <f t="shared" ref="CB281" si="1236">CA281</f>
        <v>0.1</v>
      </c>
      <c r="CC281" s="315">
        <f t="shared" ref="CC281" si="1237">CB281</f>
        <v>0.1</v>
      </c>
      <c r="CD281" s="315">
        <f t="shared" ref="CD281" si="1238">CC281</f>
        <v>0.1</v>
      </c>
      <c r="CE281" s="315">
        <f t="shared" ref="CE281" si="1239">CD281</f>
        <v>0.1</v>
      </c>
      <c r="CF281" s="315">
        <f t="shared" ref="CF281" si="1240">CE281</f>
        <v>0.1</v>
      </c>
      <c r="CG281" s="315">
        <f t="shared" ref="CG281" si="1241">CF281</f>
        <v>0.1</v>
      </c>
      <c r="CH281" s="315">
        <f t="shared" ref="CH281" si="1242">CG281</f>
        <v>0.1</v>
      </c>
      <c r="CI281" s="315">
        <f t="shared" ref="CI281" si="1243">CH281</f>
        <v>0.1</v>
      </c>
      <c r="CJ281" s="315">
        <f t="shared" ref="CJ281" si="1244">CI281</f>
        <v>0.1</v>
      </c>
    </row>
    <row r="282" spans="2:88" collapsed="1">
      <c r="B282" s="325"/>
      <c r="C282" s="325"/>
      <c r="D282" s="325"/>
      <c r="E282" s="325"/>
      <c r="F282" s="325"/>
      <c r="G282" s="325"/>
      <c r="H282" s="325"/>
      <c r="I282" s="325"/>
      <c r="J282" s="325"/>
      <c r="K282" s="325"/>
      <c r="L282" s="325"/>
      <c r="M282" s="325"/>
      <c r="N282" s="325"/>
      <c r="O282" s="325"/>
      <c r="P282" s="325"/>
      <c r="Q282" s="325"/>
      <c r="R282" s="325"/>
      <c r="S282" s="325"/>
      <c r="T282" s="325"/>
      <c r="U282" s="325"/>
      <c r="V282" s="325"/>
      <c r="W282" s="325"/>
      <c r="X282" s="325"/>
      <c r="Y282" s="325"/>
      <c r="Z282" s="325"/>
      <c r="AA282" s="325"/>
      <c r="AB282" s="325"/>
      <c r="AC282" s="325"/>
      <c r="AD282" s="325"/>
      <c r="AE282" s="325"/>
      <c r="AF282" s="325"/>
      <c r="AG282" s="325"/>
      <c r="AH282" s="325"/>
      <c r="AI282" s="325"/>
      <c r="AJ282" s="325"/>
      <c r="AK282" s="325"/>
      <c r="AL282" s="325"/>
      <c r="AM282" s="325"/>
      <c r="AN282" s="325"/>
      <c r="AO282" s="325"/>
      <c r="AP282" s="325"/>
      <c r="AQ282" s="325"/>
      <c r="AR282" s="325"/>
      <c r="AS282" s="325"/>
      <c r="AT282" s="325"/>
      <c r="AU282" s="325"/>
      <c r="AV282" s="325"/>
      <c r="AW282" s="325"/>
      <c r="AX282" s="325"/>
      <c r="AY282" s="325"/>
      <c r="AZ282" s="325"/>
      <c r="BA282" s="325"/>
      <c r="BB282" s="325"/>
      <c r="BC282" s="325"/>
      <c r="BD282" s="325"/>
      <c r="BE282" s="325"/>
      <c r="BF282" s="325"/>
      <c r="BG282" s="325"/>
      <c r="BH282" s="325"/>
      <c r="BI282" s="325"/>
      <c r="BJ282" s="325"/>
      <c r="BK282" s="325"/>
      <c r="BL282" s="325"/>
      <c r="BM282" s="325"/>
      <c r="BN282" s="325"/>
      <c r="BO282" s="325"/>
      <c r="BP282" s="325"/>
      <c r="BQ282" s="325"/>
      <c r="BR282" s="325"/>
      <c r="BS282" s="310"/>
      <c r="BT282" s="310"/>
      <c r="BU282" s="310"/>
      <c r="BV282" s="310"/>
      <c r="BW282" s="315"/>
      <c r="BX282" s="315"/>
      <c r="BY282" s="315"/>
      <c r="BZ282" s="315"/>
      <c r="CA282" s="315"/>
      <c r="CB282" s="315"/>
      <c r="CC282" s="315"/>
      <c r="CD282" s="315"/>
      <c r="CE282" s="315"/>
      <c r="CF282" s="315"/>
      <c r="CG282" s="315"/>
      <c r="CH282" s="315"/>
      <c r="CI282" s="315"/>
      <c r="CJ282" s="315"/>
    </row>
    <row r="283" spans="2:88" collapsed="1">
      <c r="B283" s="310" t="s">
        <v>348</v>
      </c>
      <c r="C283" s="310"/>
      <c r="D283" s="310"/>
      <c r="E283" s="310"/>
      <c r="F283" s="310"/>
      <c r="G283" s="310"/>
      <c r="H283" s="310"/>
      <c r="I283" s="310"/>
      <c r="J283" s="310"/>
      <c r="K283" s="310"/>
      <c r="L283" s="310"/>
      <c r="M283" s="310"/>
      <c r="N283" s="310"/>
      <c r="O283" s="310"/>
      <c r="P283" s="310"/>
      <c r="Q283" s="310"/>
      <c r="R283" s="310"/>
      <c r="S283" s="310"/>
      <c r="T283" s="310"/>
      <c r="U283" s="310"/>
      <c r="V283" s="310"/>
      <c r="W283" s="310"/>
      <c r="X283" s="310"/>
      <c r="Y283" s="310"/>
      <c r="Z283" s="310"/>
      <c r="AA283" s="310"/>
      <c r="AB283" s="310"/>
      <c r="AC283" s="310"/>
      <c r="AD283" s="310"/>
      <c r="AE283" s="310"/>
      <c r="AF283" s="310"/>
      <c r="AG283" s="310"/>
      <c r="AH283" s="310"/>
      <c r="AI283" s="310"/>
      <c r="AJ283" s="310"/>
      <c r="AK283" s="310"/>
      <c r="AL283" s="310"/>
      <c r="AM283" s="310"/>
      <c r="AN283" s="310"/>
      <c r="AO283" s="310"/>
      <c r="AP283" s="310"/>
      <c r="AQ283" s="310"/>
      <c r="AR283" s="310"/>
      <c r="AS283" s="310"/>
      <c r="AT283" s="310"/>
      <c r="AU283" s="310"/>
      <c r="AV283" s="310"/>
      <c r="AW283" s="310"/>
      <c r="AX283" s="310"/>
      <c r="AY283" s="310"/>
      <c r="AZ283" s="310"/>
      <c r="BA283" s="310"/>
      <c r="BB283" s="310"/>
      <c r="BC283" s="310"/>
      <c r="BD283" s="310"/>
      <c r="BE283" s="310"/>
      <c r="BF283" s="310"/>
      <c r="BG283" s="310"/>
      <c r="BH283" s="310"/>
      <c r="BI283" s="310"/>
      <c r="BJ283" s="310"/>
      <c r="BK283" s="310"/>
      <c r="BL283" s="310"/>
      <c r="BM283" s="310"/>
      <c r="BN283" s="310"/>
      <c r="BO283" s="310"/>
      <c r="BP283" s="310"/>
      <c r="BQ283" s="310"/>
      <c r="BR283" s="310"/>
      <c r="BS283" s="310"/>
      <c r="BT283" s="310"/>
      <c r="BU283" s="310"/>
      <c r="BV283" s="310"/>
      <c r="BW283" s="331">
        <f t="shared" ref="BW283:CJ283" si="1245">BW214*BW275/1000000</f>
        <v>0</v>
      </c>
      <c r="BX283" s="331">
        <f t="shared" si="1245"/>
        <v>0</v>
      </c>
      <c r="BY283" s="331">
        <f t="shared" si="1245"/>
        <v>31.367181691884806</v>
      </c>
      <c r="BZ283" s="331">
        <f t="shared" si="1245"/>
        <v>119.10911889970805</v>
      </c>
      <c r="CA283" s="331">
        <f t="shared" si="1245"/>
        <v>208.4974498280244</v>
      </c>
      <c r="CB283" s="331">
        <f t="shared" si="1245"/>
        <v>266.12353874236749</v>
      </c>
      <c r="CC283" s="331">
        <f t="shared" si="1245"/>
        <v>307.97359419791457</v>
      </c>
      <c r="CD283" s="331">
        <f t="shared" si="1245"/>
        <v>332.97344128739923</v>
      </c>
      <c r="CE283" s="331">
        <f t="shared" si="1245"/>
        <v>349.44702481722561</v>
      </c>
      <c r="CF283" s="331">
        <f t="shared" si="1245"/>
        <v>366.46773938979601</v>
      </c>
      <c r="CG283" s="331">
        <f t="shared" si="1245"/>
        <v>374.20387336831459</v>
      </c>
      <c r="CH283" s="331">
        <f t="shared" si="1245"/>
        <v>382.1033171351196</v>
      </c>
      <c r="CI283" s="331">
        <f t="shared" si="1245"/>
        <v>390.16951815984197</v>
      </c>
      <c r="CJ283" s="331">
        <f t="shared" si="1245"/>
        <v>398.40599668819613</v>
      </c>
    </row>
    <row r="284" spans="2:88" hidden="1" outlineLevel="1">
      <c r="B284" s="310" t="s">
        <v>347</v>
      </c>
      <c r="C284" s="310"/>
      <c r="D284" s="310"/>
      <c r="E284" s="310"/>
      <c r="F284" s="310"/>
      <c r="G284" s="310"/>
      <c r="H284" s="310"/>
      <c r="I284" s="310"/>
      <c r="J284" s="310"/>
      <c r="K284" s="310"/>
      <c r="L284" s="310"/>
      <c r="M284" s="310"/>
      <c r="N284" s="310"/>
      <c r="O284" s="310"/>
      <c r="P284" s="310"/>
      <c r="Q284" s="310"/>
      <c r="R284" s="310"/>
      <c r="S284" s="310"/>
      <c r="T284" s="310"/>
      <c r="U284" s="310"/>
      <c r="V284" s="310"/>
      <c r="W284" s="310"/>
      <c r="X284" s="310"/>
      <c r="Y284" s="310"/>
      <c r="Z284" s="310"/>
      <c r="AA284" s="310"/>
      <c r="AB284" s="310"/>
      <c r="AC284" s="310"/>
      <c r="AD284" s="310"/>
      <c r="AE284" s="310"/>
      <c r="AF284" s="310"/>
      <c r="AG284" s="310"/>
      <c r="AH284" s="310"/>
      <c r="AI284" s="310"/>
      <c r="AJ284" s="310"/>
      <c r="AK284" s="310"/>
      <c r="AL284" s="310"/>
      <c r="AM284" s="310"/>
      <c r="AN284" s="310"/>
      <c r="AO284" s="310"/>
      <c r="AP284" s="310"/>
      <c r="AQ284" s="310"/>
      <c r="AR284" s="310"/>
      <c r="AS284" s="310"/>
      <c r="AT284" s="310"/>
      <c r="AU284" s="310"/>
      <c r="AV284" s="310"/>
      <c r="AW284" s="310"/>
      <c r="AX284" s="310"/>
      <c r="AY284" s="310"/>
      <c r="AZ284" s="310"/>
      <c r="BA284" s="310"/>
      <c r="BB284" s="310"/>
      <c r="BC284" s="310"/>
      <c r="BD284" s="310"/>
      <c r="BE284" s="310"/>
      <c r="BF284" s="310"/>
      <c r="BG284" s="310"/>
      <c r="BH284" s="310"/>
      <c r="BI284" s="310"/>
      <c r="BJ284" s="310"/>
      <c r="BK284" s="310"/>
      <c r="BL284" s="310"/>
      <c r="BM284" s="310"/>
      <c r="BN284" s="310"/>
      <c r="BO284" s="310"/>
      <c r="BP284" s="310"/>
      <c r="BQ284" s="310"/>
      <c r="BR284" s="310"/>
      <c r="BS284" s="310"/>
      <c r="BT284" s="310"/>
      <c r="BU284" s="310"/>
      <c r="BV284" s="310"/>
      <c r="BW284" s="331">
        <f t="shared" ref="BW284:CJ284" si="1246">BW219*BW280/1000000</f>
        <v>0</v>
      </c>
      <c r="BX284" s="331">
        <f t="shared" si="1246"/>
        <v>0</v>
      </c>
      <c r="BY284" s="331">
        <f t="shared" si="1246"/>
        <v>0</v>
      </c>
      <c r="BZ284" s="331">
        <f t="shared" si="1246"/>
        <v>0</v>
      </c>
      <c r="CA284" s="331">
        <f t="shared" si="1246"/>
        <v>0</v>
      </c>
      <c r="CB284" s="331">
        <f t="shared" si="1246"/>
        <v>0</v>
      </c>
      <c r="CC284" s="331">
        <f t="shared" si="1246"/>
        <v>0</v>
      </c>
      <c r="CD284" s="331">
        <f t="shared" si="1246"/>
        <v>0</v>
      </c>
      <c r="CE284" s="331">
        <f t="shared" si="1246"/>
        <v>0</v>
      </c>
      <c r="CF284" s="331">
        <f t="shared" si="1246"/>
        <v>0</v>
      </c>
      <c r="CG284" s="331">
        <f t="shared" si="1246"/>
        <v>0</v>
      </c>
      <c r="CH284" s="331">
        <f t="shared" si="1246"/>
        <v>0</v>
      </c>
      <c r="CI284" s="331">
        <f t="shared" si="1246"/>
        <v>0</v>
      </c>
      <c r="CJ284" s="331">
        <f t="shared" si="1246"/>
        <v>0</v>
      </c>
    </row>
    <row r="285" spans="2:88" collapsed="1">
      <c r="B285" s="310"/>
      <c r="C285" s="310"/>
      <c r="D285" s="310"/>
      <c r="E285" s="310"/>
      <c r="F285" s="310"/>
      <c r="G285" s="310"/>
      <c r="H285" s="310"/>
      <c r="I285" s="310"/>
      <c r="J285" s="310"/>
      <c r="K285" s="310"/>
      <c r="L285" s="310"/>
      <c r="M285" s="310"/>
      <c r="N285" s="310"/>
      <c r="O285" s="310"/>
      <c r="P285" s="310"/>
      <c r="Q285" s="310"/>
      <c r="R285" s="310"/>
      <c r="S285" s="310"/>
      <c r="T285" s="310"/>
      <c r="U285" s="310"/>
      <c r="V285" s="310"/>
      <c r="W285" s="310"/>
      <c r="X285" s="310"/>
      <c r="Y285" s="310"/>
      <c r="Z285" s="310"/>
      <c r="AA285" s="310"/>
      <c r="AB285" s="310"/>
      <c r="AC285" s="310"/>
      <c r="AD285" s="310"/>
      <c r="AE285" s="310"/>
      <c r="AF285" s="310"/>
      <c r="AG285" s="310"/>
      <c r="AH285" s="310"/>
      <c r="AI285" s="310"/>
      <c r="AJ285" s="310"/>
      <c r="AK285" s="310"/>
      <c r="AL285" s="310"/>
      <c r="AM285" s="310"/>
      <c r="AN285" s="310"/>
      <c r="AO285" s="310"/>
      <c r="AP285" s="310"/>
      <c r="AQ285" s="310"/>
      <c r="AR285" s="310"/>
      <c r="AS285" s="310"/>
      <c r="AT285" s="310"/>
      <c r="AU285" s="310"/>
      <c r="AV285" s="310"/>
      <c r="AW285" s="310"/>
      <c r="AX285" s="310"/>
      <c r="AY285" s="310"/>
      <c r="AZ285" s="310"/>
      <c r="BA285" s="310"/>
      <c r="BB285" s="310"/>
      <c r="BC285" s="310"/>
      <c r="BD285" s="310"/>
      <c r="BE285" s="310"/>
      <c r="BF285" s="310"/>
      <c r="BG285" s="310"/>
      <c r="BH285" s="310"/>
      <c r="BI285" s="310"/>
      <c r="BJ285" s="310"/>
      <c r="BK285" s="310"/>
      <c r="BL285" s="310"/>
      <c r="BM285" s="310"/>
      <c r="BN285" s="310"/>
      <c r="BO285" s="310"/>
      <c r="BP285" s="310"/>
      <c r="BQ285" s="310"/>
      <c r="BR285" s="310"/>
      <c r="BS285" s="310"/>
      <c r="BT285" s="310"/>
      <c r="BU285" s="310"/>
      <c r="BV285" s="310"/>
      <c r="BW285" s="332"/>
      <c r="BX285" s="332"/>
      <c r="BY285" s="332"/>
      <c r="BZ285" s="332"/>
      <c r="CA285" s="332"/>
      <c r="CB285" s="332"/>
      <c r="CC285" s="332"/>
      <c r="CD285" s="332"/>
      <c r="CE285" s="332"/>
      <c r="CF285" s="332"/>
      <c r="CG285" s="332"/>
      <c r="CH285" s="332"/>
      <c r="CI285" s="332"/>
      <c r="CJ285" s="332"/>
    </row>
    <row r="286" spans="2:88">
      <c r="B286" s="310" t="s">
        <v>407</v>
      </c>
      <c r="C286" s="310"/>
      <c r="D286" s="310"/>
      <c r="E286" s="310"/>
      <c r="F286" s="310"/>
      <c r="G286" s="310"/>
      <c r="H286" s="310"/>
      <c r="I286" s="310"/>
      <c r="J286" s="310"/>
      <c r="K286" s="310"/>
      <c r="L286" s="310"/>
      <c r="M286" s="310"/>
      <c r="N286" s="310"/>
      <c r="O286" s="310"/>
      <c r="P286" s="310"/>
      <c r="Q286" s="310"/>
      <c r="R286" s="310"/>
      <c r="S286" s="310"/>
      <c r="T286" s="310"/>
      <c r="U286" s="310"/>
      <c r="V286" s="310"/>
      <c r="W286" s="310"/>
      <c r="X286" s="310"/>
      <c r="Y286" s="310"/>
      <c r="Z286" s="310"/>
      <c r="AA286" s="310"/>
      <c r="AB286" s="310"/>
      <c r="AC286" s="310"/>
      <c r="AD286" s="310"/>
      <c r="AE286" s="310"/>
      <c r="AF286" s="310"/>
      <c r="AG286" s="310"/>
      <c r="AH286" s="310"/>
      <c r="AI286" s="310"/>
      <c r="AJ286" s="310"/>
      <c r="AK286" s="310"/>
      <c r="AL286" s="310"/>
      <c r="AM286" s="310"/>
      <c r="AN286" s="310"/>
      <c r="AO286" s="310"/>
      <c r="AP286" s="310"/>
      <c r="AQ286" s="310"/>
      <c r="AR286" s="310"/>
      <c r="AS286" s="310"/>
      <c r="AT286" s="310"/>
      <c r="AU286" s="310"/>
      <c r="AV286" s="310"/>
      <c r="AW286" s="310"/>
      <c r="AX286" s="310"/>
      <c r="AY286" s="310"/>
      <c r="AZ286" s="310"/>
      <c r="BA286" s="310"/>
      <c r="BB286" s="310"/>
      <c r="BC286" s="310"/>
      <c r="BD286" s="310"/>
      <c r="BE286" s="310"/>
      <c r="BF286" s="310"/>
      <c r="BG286" s="310"/>
      <c r="BH286" s="310"/>
      <c r="BI286" s="310"/>
      <c r="BJ286" s="310"/>
      <c r="BK286" s="310"/>
      <c r="BL286" s="310"/>
      <c r="BM286" s="310"/>
      <c r="BN286" s="310"/>
      <c r="BO286" s="310"/>
      <c r="BP286" s="310"/>
      <c r="BQ286" s="310"/>
      <c r="BR286" s="310"/>
      <c r="BS286" s="310"/>
      <c r="BT286" s="310"/>
      <c r="BU286" s="310"/>
      <c r="BV286" s="310"/>
      <c r="BW286" s="331">
        <f t="shared" ref="BW286:CJ286" si="1247">(BW231+BW248+BW265)*BW275/1000000</f>
        <v>0</v>
      </c>
      <c r="BX286" s="331">
        <f t="shared" si="1247"/>
        <v>0</v>
      </c>
      <c r="BY286" s="331">
        <f t="shared" si="1247"/>
        <v>0</v>
      </c>
      <c r="BZ286" s="331">
        <f t="shared" si="1247"/>
        <v>0</v>
      </c>
      <c r="CA286" s="331">
        <f t="shared" si="1247"/>
        <v>196.20832351428754</v>
      </c>
      <c r="CB286" s="331">
        <f t="shared" si="1247"/>
        <v>526.26284290983347</v>
      </c>
      <c r="CC286" s="331">
        <f t="shared" si="1247"/>
        <v>582.07380311256998</v>
      </c>
      <c r="CD286" s="331">
        <f t="shared" si="1247"/>
        <v>415.02814592748371</v>
      </c>
      <c r="CE286" s="331">
        <f t="shared" si="1247"/>
        <v>340.2094437939279</v>
      </c>
      <c r="CF286" s="331">
        <f t="shared" si="1247"/>
        <v>238.49610546392532</v>
      </c>
      <c r="CG286" s="331">
        <f t="shared" si="1247"/>
        <v>185.1083464402281</v>
      </c>
      <c r="CH286" s="331">
        <f t="shared" si="1247"/>
        <v>194.33191775018136</v>
      </c>
      <c r="CI286" s="331">
        <f t="shared" si="1247"/>
        <v>203.80411273081819</v>
      </c>
      <c r="CJ286" s="331">
        <f t="shared" si="1247"/>
        <v>213.53123323639957</v>
      </c>
    </row>
    <row r="287" spans="2:88" hidden="1" outlineLevel="1">
      <c r="B287" s="310" t="s">
        <v>408</v>
      </c>
      <c r="C287" s="310"/>
      <c r="D287" s="310"/>
      <c r="E287" s="310"/>
      <c r="F287" s="310"/>
      <c r="G287" s="310"/>
      <c r="H287" s="310"/>
      <c r="I287" s="310"/>
      <c r="J287" s="310"/>
      <c r="K287" s="310"/>
      <c r="L287" s="310"/>
      <c r="M287" s="310"/>
      <c r="N287" s="310"/>
      <c r="O287" s="310"/>
      <c r="P287" s="310"/>
      <c r="Q287" s="310"/>
      <c r="R287" s="310"/>
      <c r="S287" s="310"/>
      <c r="T287" s="310"/>
      <c r="U287" s="310"/>
      <c r="V287" s="310"/>
      <c r="W287" s="310"/>
      <c r="X287" s="310"/>
      <c r="Y287" s="310"/>
      <c r="Z287" s="310"/>
      <c r="AA287" s="310"/>
      <c r="AB287" s="310"/>
      <c r="AC287" s="310"/>
      <c r="AD287" s="310"/>
      <c r="AE287" s="310"/>
      <c r="AF287" s="310"/>
      <c r="AG287" s="310"/>
      <c r="AH287" s="310"/>
      <c r="AI287" s="310"/>
      <c r="AJ287" s="310"/>
      <c r="AK287" s="310"/>
      <c r="AL287" s="310"/>
      <c r="AM287" s="310"/>
      <c r="AN287" s="310"/>
      <c r="AO287" s="310"/>
      <c r="AP287" s="310"/>
      <c r="AQ287" s="310"/>
      <c r="AR287" s="310"/>
      <c r="AS287" s="310"/>
      <c r="AT287" s="310"/>
      <c r="AU287" s="310"/>
      <c r="AV287" s="310"/>
      <c r="AW287" s="310"/>
      <c r="AX287" s="310"/>
      <c r="AY287" s="310"/>
      <c r="AZ287" s="310"/>
      <c r="BA287" s="310"/>
      <c r="BB287" s="310"/>
      <c r="BC287" s="310"/>
      <c r="BD287" s="310"/>
      <c r="BE287" s="310"/>
      <c r="BF287" s="310"/>
      <c r="BG287" s="310"/>
      <c r="BH287" s="310"/>
      <c r="BI287" s="310"/>
      <c r="BJ287" s="310"/>
      <c r="BK287" s="310"/>
      <c r="BL287" s="310"/>
      <c r="BM287" s="310"/>
      <c r="BN287" s="310"/>
      <c r="BO287" s="310"/>
      <c r="BP287" s="310"/>
      <c r="BQ287" s="310"/>
      <c r="BR287" s="310"/>
      <c r="BS287" s="310"/>
      <c r="BT287" s="310"/>
      <c r="BU287" s="310"/>
      <c r="BV287" s="310"/>
      <c r="BW287" s="331">
        <f t="shared" ref="BW287:CJ287" si="1248">(BW270+BW253+BW236)*BW280/1000000</f>
        <v>0</v>
      </c>
      <c r="BX287" s="331">
        <f t="shared" si="1248"/>
        <v>0</v>
      </c>
      <c r="BY287" s="331">
        <f t="shared" si="1248"/>
        <v>0</v>
      </c>
      <c r="BZ287" s="331">
        <f t="shared" si="1248"/>
        <v>0</v>
      </c>
      <c r="CA287" s="331">
        <f t="shared" si="1248"/>
        <v>0</v>
      </c>
      <c r="CB287" s="331">
        <f t="shared" si="1248"/>
        <v>0</v>
      </c>
      <c r="CC287" s="331">
        <f t="shared" si="1248"/>
        <v>0</v>
      </c>
      <c r="CD287" s="331">
        <f t="shared" si="1248"/>
        <v>0</v>
      </c>
      <c r="CE287" s="331">
        <f t="shared" si="1248"/>
        <v>0</v>
      </c>
      <c r="CF287" s="331">
        <f t="shared" si="1248"/>
        <v>0</v>
      </c>
      <c r="CG287" s="331">
        <f t="shared" si="1248"/>
        <v>0</v>
      </c>
      <c r="CH287" s="331">
        <f t="shared" si="1248"/>
        <v>0</v>
      </c>
      <c r="CI287" s="331">
        <f t="shared" si="1248"/>
        <v>0</v>
      </c>
      <c r="CJ287" s="331">
        <f t="shared" si="1248"/>
        <v>0</v>
      </c>
    </row>
    <row r="288" spans="2:88" collapsed="1">
      <c r="B288" s="310"/>
      <c r="C288" s="310"/>
      <c r="D288" s="310"/>
      <c r="E288" s="310"/>
      <c r="F288" s="310"/>
      <c r="G288" s="310"/>
      <c r="H288" s="310"/>
      <c r="I288" s="310"/>
      <c r="J288" s="310"/>
      <c r="K288" s="310"/>
      <c r="L288" s="310"/>
      <c r="M288" s="310"/>
      <c r="N288" s="310"/>
      <c r="O288" s="310"/>
      <c r="P288" s="310"/>
      <c r="Q288" s="310"/>
      <c r="R288" s="310"/>
      <c r="S288" s="310"/>
      <c r="T288" s="310"/>
      <c r="U288" s="310"/>
      <c r="V288" s="310"/>
      <c r="W288" s="310"/>
      <c r="X288" s="310"/>
      <c r="Y288" s="310"/>
      <c r="Z288" s="310"/>
      <c r="AA288" s="310"/>
      <c r="AB288" s="310"/>
      <c r="AC288" s="310"/>
      <c r="AD288" s="310"/>
      <c r="AE288" s="310"/>
      <c r="AF288" s="310"/>
      <c r="AG288" s="310"/>
      <c r="AH288" s="310"/>
      <c r="AI288" s="310"/>
      <c r="AJ288" s="310"/>
      <c r="AK288" s="310"/>
      <c r="AL288" s="310"/>
      <c r="AM288" s="310"/>
      <c r="AN288" s="310"/>
      <c r="AO288" s="310"/>
      <c r="AP288" s="310"/>
      <c r="AQ288" s="310"/>
      <c r="AR288" s="310"/>
      <c r="AS288" s="310"/>
      <c r="AT288" s="310"/>
      <c r="AU288" s="310"/>
      <c r="AV288" s="310"/>
      <c r="AW288" s="310"/>
      <c r="AX288" s="310"/>
      <c r="AY288" s="310"/>
      <c r="AZ288" s="310"/>
      <c r="BA288" s="310"/>
      <c r="BB288" s="310"/>
      <c r="BC288" s="310"/>
      <c r="BD288" s="310"/>
      <c r="BE288" s="310"/>
      <c r="BF288" s="310"/>
      <c r="BG288" s="310"/>
      <c r="BH288" s="310"/>
      <c r="BI288" s="310"/>
      <c r="BJ288" s="310"/>
      <c r="BK288" s="310"/>
      <c r="BL288" s="310"/>
      <c r="BM288" s="310"/>
      <c r="BN288" s="310"/>
      <c r="BO288" s="310"/>
      <c r="BP288" s="310"/>
      <c r="BQ288" s="310"/>
      <c r="BR288" s="310"/>
      <c r="BS288" s="310"/>
      <c r="BT288" s="310"/>
      <c r="BU288" s="310"/>
      <c r="BV288" s="310"/>
      <c r="BW288" s="331"/>
      <c r="BX288" s="331"/>
      <c r="BY288" s="331"/>
      <c r="BZ288" s="331"/>
      <c r="CA288" s="331"/>
      <c r="CB288" s="331"/>
      <c r="CC288" s="331"/>
      <c r="CD288" s="331"/>
      <c r="CE288" s="331"/>
      <c r="CF288" s="331"/>
      <c r="CG288" s="331"/>
      <c r="CH288" s="331"/>
      <c r="CI288" s="331"/>
      <c r="CJ288" s="331"/>
    </row>
    <row r="289" spans="2:88" hidden="1" outlineLevel="1">
      <c r="B289" s="357" t="s">
        <v>58</v>
      </c>
      <c r="C289" s="357"/>
      <c r="D289" s="357"/>
      <c r="E289" s="357"/>
      <c r="F289" s="357"/>
      <c r="G289" s="357"/>
      <c r="H289" s="357"/>
      <c r="I289" s="357"/>
      <c r="J289" s="357"/>
      <c r="K289" s="357"/>
      <c r="L289" s="357"/>
      <c r="M289" s="357"/>
      <c r="N289" s="357"/>
      <c r="O289" s="357"/>
      <c r="P289" s="357"/>
      <c r="Q289" s="357"/>
      <c r="R289" s="357"/>
      <c r="S289" s="357"/>
      <c r="T289" s="357"/>
      <c r="U289" s="357"/>
      <c r="V289" s="357"/>
      <c r="W289" s="357"/>
      <c r="X289" s="357"/>
      <c r="Y289" s="357"/>
      <c r="Z289" s="357"/>
      <c r="AA289" s="357"/>
      <c r="AB289" s="357"/>
      <c r="AC289" s="357"/>
      <c r="AD289" s="357"/>
      <c r="AE289" s="357"/>
      <c r="AF289" s="357"/>
      <c r="AG289" s="357"/>
      <c r="AH289" s="357"/>
      <c r="AI289" s="357"/>
      <c r="AJ289" s="357"/>
      <c r="AK289" s="357"/>
      <c r="AL289" s="357"/>
      <c r="AM289" s="357"/>
      <c r="AN289" s="357"/>
      <c r="AO289" s="357"/>
      <c r="AP289" s="357"/>
      <c r="AQ289" s="357"/>
      <c r="AR289" s="357"/>
      <c r="AS289" s="357"/>
      <c r="AT289" s="357"/>
      <c r="AU289" s="357"/>
      <c r="AV289" s="357"/>
      <c r="AW289" s="357"/>
      <c r="AX289" s="357"/>
      <c r="AY289" s="357"/>
      <c r="AZ289" s="357"/>
      <c r="BA289" s="357"/>
      <c r="BB289" s="357"/>
      <c r="BC289" s="357"/>
      <c r="BD289" s="357"/>
      <c r="BE289" s="357"/>
      <c r="BF289" s="357"/>
      <c r="BG289" s="357"/>
      <c r="BH289" s="357"/>
      <c r="BI289" s="357"/>
      <c r="BJ289" s="357"/>
      <c r="BK289" s="357"/>
      <c r="BL289" s="357"/>
      <c r="BM289" s="357"/>
      <c r="BN289" s="357"/>
      <c r="BO289" s="357"/>
      <c r="BP289" s="357"/>
      <c r="BQ289" s="357"/>
      <c r="BR289" s="357"/>
      <c r="BS289" s="358"/>
      <c r="BT289" s="358"/>
      <c r="BU289" s="358"/>
      <c r="BV289" s="358"/>
      <c r="BW289" s="359">
        <v>1</v>
      </c>
      <c r="BX289" s="359">
        <f>BW289</f>
        <v>1</v>
      </c>
      <c r="BY289" s="359">
        <f t="shared" ref="BY289:CJ289" si="1249">BX289</f>
        <v>1</v>
      </c>
      <c r="BZ289" s="359">
        <f t="shared" si="1249"/>
        <v>1</v>
      </c>
      <c r="CA289" s="359">
        <f t="shared" si="1249"/>
        <v>1</v>
      </c>
      <c r="CB289" s="359">
        <f t="shared" si="1249"/>
        <v>1</v>
      </c>
      <c r="CC289" s="359">
        <f t="shared" si="1249"/>
        <v>1</v>
      </c>
      <c r="CD289" s="359">
        <f t="shared" si="1249"/>
        <v>1</v>
      </c>
      <c r="CE289" s="359">
        <f t="shared" si="1249"/>
        <v>1</v>
      </c>
      <c r="CF289" s="359">
        <f t="shared" si="1249"/>
        <v>1</v>
      </c>
      <c r="CG289" s="359">
        <f t="shared" si="1249"/>
        <v>1</v>
      </c>
      <c r="CH289" s="359">
        <f t="shared" si="1249"/>
        <v>1</v>
      </c>
      <c r="CI289" s="359">
        <f t="shared" si="1249"/>
        <v>1</v>
      </c>
      <c r="CJ289" s="359">
        <f t="shared" si="1249"/>
        <v>1</v>
      </c>
    </row>
    <row r="290" spans="2:88" hidden="1" outlineLevel="1">
      <c r="B290" s="357" t="s">
        <v>59</v>
      </c>
      <c r="C290" s="357"/>
      <c r="D290" s="357"/>
      <c r="E290" s="357"/>
      <c r="F290" s="357"/>
      <c r="G290" s="357"/>
      <c r="H290" s="357"/>
      <c r="I290" s="357"/>
      <c r="J290" s="357"/>
      <c r="K290" s="357"/>
      <c r="L290" s="357"/>
      <c r="M290" s="357"/>
      <c r="N290" s="357"/>
      <c r="O290" s="357"/>
      <c r="P290" s="357"/>
      <c r="Q290" s="357"/>
      <c r="R290" s="357"/>
      <c r="S290" s="357"/>
      <c r="T290" s="357"/>
      <c r="U290" s="357"/>
      <c r="V290" s="357"/>
      <c r="W290" s="357"/>
      <c r="X290" s="357"/>
      <c r="Y290" s="357"/>
      <c r="Z290" s="357"/>
      <c r="AA290" s="357"/>
      <c r="AB290" s="357"/>
      <c r="AC290" s="357"/>
      <c r="AD290" s="357"/>
      <c r="AE290" s="357"/>
      <c r="AF290" s="357"/>
      <c r="AG290" s="357"/>
      <c r="AH290" s="357"/>
      <c r="AI290" s="357"/>
      <c r="AJ290" s="357"/>
      <c r="AK290" s="357"/>
      <c r="AL290" s="357"/>
      <c r="AM290" s="357"/>
      <c r="AN290" s="357"/>
      <c r="AO290" s="357"/>
      <c r="AP290" s="357"/>
      <c r="AQ290" s="357"/>
      <c r="AR290" s="357"/>
      <c r="AS290" s="357"/>
      <c r="AT290" s="357"/>
      <c r="AU290" s="357"/>
      <c r="AV290" s="357"/>
      <c r="AW290" s="357"/>
      <c r="AX290" s="357"/>
      <c r="AY290" s="357"/>
      <c r="AZ290" s="357"/>
      <c r="BA290" s="357"/>
      <c r="BB290" s="357"/>
      <c r="BC290" s="357"/>
      <c r="BD290" s="357"/>
      <c r="BE290" s="357"/>
      <c r="BF290" s="357"/>
      <c r="BG290" s="357"/>
      <c r="BH290" s="357"/>
      <c r="BI290" s="357"/>
      <c r="BJ290" s="357"/>
      <c r="BK290" s="357"/>
      <c r="BL290" s="357"/>
      <c r="BM290" s="357"/>
      <c r="BN290" s="357"/>
      <c r="BO290" s="357"/>
      <c r="BP290" s="357"/>
      <c r="BQ290" s="357"/>
      <c r="BR290" s="357"/>
      <c r="BS290" s="358"/>
      <c r="BT290" s="358"/>
      <c r="BU290" s="358"/>
      <c r="BV290" s="358"/>
      <c r="BW290" s="359">
        <v>0.8</v>
      </c>
      <c r="BX290" s="359">
        <f>BW290</f>
        <v>0.8</v>
      </c>
      <c r="BY290" s="359">
        <f t="shared" ref="BY290:CJ290" si="1250">BX290</f>
        <v>0.8</v>
      </c>
      <c r="BZ290" s="359">
        <f t="shared" si="1250"/>
        <v>0.8</v>
      </c>
      <c r="CA290" s="359">
        <f t="shared" si="1250"/>
        <v>0.8</v>
      </c>
      <c r="CB290" s="359">
        <f t="shared" si="1250"/>
        <v>0.8</v>
      </c>
      <c r="CC290" s="359">
        <f t="shared" si="1250"/>
        <v>0.8</v>
      </c>
      <c r="CD290" s="359">
        <f t="shared" si="1250"/>
        <v>0.8</v>
      </c>
      <c r="CE290" s="359">
        <f t="shared" si="1250"/>
        <v>0.8</v>
      </c>
      <c r="CF290" s="359">
        <f t="shared" si="1250"/>
        <v>0.8</v>
      </c>
      <c r="CG290" s="359">
        <f t="shared" si="1250"/>
        <v>0.8</v>
      </c>
      <c r="CH290" s="359">
        <f t="shared" si="1250"/>
        <v>0.8</v>
      </c>
      <c r="CI290" s="359">
        <f t="shared" si="1250"/>
        <v>0.8</v>
      </c>
      <c r="CJ290" s="359">
        <f t="shared" si="1250"/>
        <v>0.8</v>
      </c>
    </row>
    <row r="291" spans="2:88" hidden="1" outlineLevel="1">
      <c r="B291" s="357" t="s">
        <v>60</v>
      </c>
      <c r="C291" s="357"/>
      <c r="D291" s="357"/>
      <c r="E291" s="357"/>
      <c r="F291" s="357"/>
      <c r="G291" s="357"/>
      <c r="H291" s="357"/>
      <c r="I291" s="357"/>
      <c r="J291" s="357"/>
      <c r="K291" s="357"/>
      <c r="L291" s="357"/>
      <c r="M291" s="357"/>
      <c r="N291" s="357"/>
      <c r="O291" s="357"/>
      <c r="P291" s="357"/>
      <c r="Q291" s="357"/>
      <c r="R291" s="357"/>
      <c r="S291" s="357"/>
      <c r="T291" s="357"/>
      <c r="U291" s="357"/>
      <c r="V291" s="357"/>
      <c r="W291" s="357"/>
      <c r="X291" s="357"/>
      <c r="Y291" s="357"/>
      <c r="Z291" s="357"/>
      <c r="AA291" s="357"/>
      <c r="AB291" s="357"/>
      <c r="AC291" s="357"/>
      <c r="AD291" s="357"/>
      <c r="AE291" s="357"/>
      <c r="AF291" s="357"/>
      <c r="AG291" s="357"/>
      <c r="AH291" s="357"/>
      <c r="AI291" s="357"/>
      <c r="AJ291" s="357"/>
      <c r="AK291" s="357"/>
      <c r="AL291" s="357"/>
      <c r="AM291" s="357"/>
      <c r="AN291" s="357"/>
      <c r="AO291" s="357"/>
      <c r="AP291" s="357"/>
      <c r="AQ291" s="357"/>
      <c r="AR291" s="357"/>
      <c r="AS291" s="357"/>
      <c r="AT291" s="357"/>
      <c r="AU291" s="357"/>
      <c r="AV291" s="357"/>
      <c r="AW291" s="357"/>
      <c r="AX291" s="357"/>
      <c r="AY291" s="357"/>
      <c r="AZ291" s="357"/>
      <c r="BA291" s="357"/>
      <c r="BB291" s="357"/>
      <c r="BC291" s="357"/>
      <c r="BD291" s="357"/>
      <c r="BE291" s="357"/>
      <c r="BF291" s="357"/>
      <c r="BG291" s="357"/>
      <c r="BH291" s="357"/>
      <c r="BI291" s="357"/>
      <c r="BJ291" s="357"/>
      <c r="BK291" s="357"/>
      <c r="BL291" s="357"/>
      <c r="BM291" s="357"/>
      <c r="BN291" s="357"/>
      <c r="BO291" s="357"/>
      <c r="BP291" s="357"/>
      <c r="BQ291" s="357"/>
      <c r="BR291" s="357"/>
      <c r="BS291" s="358"/>
      <c r="BT291" s="358"/>
      <c r="BU291" s="358"/>
      <c r="BV291" s="358"/>
      <c r="BW291" s="359">
        <v>0</v>
      </c>
      <c r="BX291" s="359">
        <f>BW291</f>
        <v>0</v>
      </c>
      <c r="BY291" s="359">
        <f t="shared" ref="BY291:CJ291" si="1251">BX291</f>
        <v>0</v>
      </c>
      <c r="BZ291" s="359">
        <f t="shared" si="1251"/>
        <v>0</v>
      </c>
      <c r="CA291" s="359">
        <f t="shared" si="1251"/>
        <v>0</v>
      </c>
      <c r="CB291" s="359">
        <f t="shared" si="1251"/>
        <v>0</v>
      </c>
      <c r="CC291" s="359">
        <f t="shared" si="1251"/>
        <v>0</v>
      </c>
      <c r="CD291" s="359">
        <f t="shared" si="1251"/>
        <v>0</v>
      </c>
      <c r="CE291" s="359">
        <f t="shared" si="1251"/>
        <v>0</v>
      </c>
      <c r="CF291" s="359">
        <f t="shared" si="1251"/>
        <v>0</v>
      </c>
      <c r="CG291" s="359">
        <f t="shared" si="1251"/>
        <v>0</v>
      </c>
      <c r="CH291" s="359">
        <f t="shared" si="1251"/>
        <v>0</v>
      </c>
      <c r="CI291" s="359">
        <f t="shared" si="1251"/>
        <v>0</v>
      </c>
      <c r="CJ291" s="359">
        <f t="shared" si="1251"/>
        <v>0</v>
      </c>
    </row>
    <row r="292" spans="2:88" collapsed="1">
      <c r="B292" s="325" t="s">
        <v>409</v>
      </c>
      <c r="C292" s="325"/>
      <c r="D292" s="325"/>
      <c r="E292" s="325"/>
      <c r="F292" s="325"/>
      <c r="G292" s="325"/>
      <c r="H292" s="325"/>
      <c r="I292" s="325"/>
      <c r="J292" s="325"/>
      <c r="K292" s="325"/>
      <c r="L292" s="325"/>
      <c r="M292" s="325"/>
      <c r="N292" s="325"/>
      <c r="O292" s="325"/>
      <c r="P292" s="325"/>
      <c r="Q292" s="325"/>
      <c r="R292" s="325"/>
      <c r="S292" s="325"/>
      <c r="T292" s="325"/>
      <c r="U292" s="325"/>
      <c r="V292" s="325"/>
      <c r="W292" s="325"/>
      <c r="X292" s="325"/>
      <c r="Y292" s="325"/>
      <c r="Z292" s="325"/>
      <c r="AA292" s="325"/>
      <c r="AB292" s="325"/>
      <c r="AC292" s="325"/>
      <c r="AD292" s="325"/>
      <c r="AE292" s="325"/>
      <c r="AF292" s="325"/>
      <c r="AG292" s="325"/>
      <c r="AH292" s="325"/>
      <c r="AI292" s="325"/>
      <c r="AJ292" s="325"/>
      <c r="AK292" s="325"/>
      <c r="AL292" s="325"/>
      <c r="AM292" s="325"/>
      <c r="AN292" s="325"/>
      <c r="AO292" s="325"/>
      <c r="AP292" s="325"/>
      <c r="AQ292" s="325"/>
      <c r="AR292" s="325"/>
      <c r="AS292" s="325"/>
      <c r="AT292" s="325"/>
      <c r="AU292" s="325"/>
      <c r="AV292" s="325"/>
      <c r="AW292" s="325"/>
      <c r="AX292" s="325"/>
      <c r="AY292" s="325"/>
      <c r="AZ292" s="325"/>
      <c r="BA292" s="325"/>
      <c r="BB292" s="325"/>
      <c r="BC292" s="325"/>
      <c r="BD292" s="325"/>
      <c r="BE292" s="325"/>
      <c r="BF292" s="325"/>
      <c r="BG292" s="325"/>
      <c r="BH292" s="325"/>
      <c r="BI292" s="325"/>
      <c r="BJ292" s="325"/>
      <c r="BK292" s="325"/>
      <c r="BL292" s="325"/>
      <c r="BM292" s="325"/>
      <c r="BN292" s="325"/>
      <c r="BO292" s="325"/>
      <c r="BP292" s="325"/>
      <c r="BQ292" s="325"/>
      <c r="BR292" s="325"/>
      <c r="BS292" s="310"/>
      <c r="BT292" s="310"/>
      <c r="BU292" s="310"/>
      <c r="BV292" s="310"/>
      <c r="BW292" s="315">
        <f>CHOOSE($BW$3,BW289,BW290,BW291)</f>
        <v>0.8</v>
      </c>
      <c r="BX292" s="315">
        <f t="shared" ref="BX292" si="1252">CHOOSE($BW$3,BX289,BX290,BX291)</f>
        <v>0.8</v>
      </c>
      <c r="BY292" s="315">
        <f t="shared" ref="BY292" si="1253">CHOOSE($BW$3,BY289,BY290,BY291)</f>
        <v>0.8</v>
      </c>
      <c r="BZ292" s="315">
        <f t="shared" ref="BZ292" si="1254">CHOOSE($BW$3,BZ289,BZ290,BZ291)</f>
        <v>0.8</v>
      </c>
      <c r="CA292" s="315">
        <f t="shared" ref="CA292" si="1255">CHOOSE($BW$3,CA289,CA290,CA291)</f>
        <v>0.8</v>
      </c>
      <c r="CB292" s="315">
        <f t="shared" ref="CB292" si="1256">CHOOSE($BW$3,CB289,CB290,CB291)</f>
        <v>0.8</v>
      </c>
      <c r="CC292" s="315">
        <f t="shared" ref="CC292" si="1257">CHOOSE($BW$3,CC289,CC290,CC291)</f>
        <v>0.8</v>
      </c>
      <c r="CD292" s="315">
        <f t="shared" ref="CD292" si="1258">CHOOSE($BW$3,CD289,CD290,CD291)</f>
        <v>0.8</v>
      </c>
      <c r="CE292" s="315">
        <f t="shared" ref="CE292" si="1259">CHOOSE($BW$3,CE289,CE290,CE291)</f>
        <v>0.8</v>
      </c>
      <c r="CF292" s="315">
        <f t="shared" ref="CF292" si="1260">CHOOSE($BW$3,CF289,CF290,CF291)</f>
        <v>0.8</v>
      </c>
      <c r="CG292" s="315">
        <f t="shared" ref="CG292" si="1261">CHOOSE($BW$3,CG289,CG290,CG291)</f>
        <v>0.8</v>
      </c>
      <c r="CH292" s="315">
        <f t="shared" ref="CH292" si="1262">CHOOSE($BW$3,CH289,CH290,CH291)</f>
        <v>0.8</v>
      </c>
      <c r="CI292" s="315">
        <f t="shared" ref="CI292" si="1263">CHOOSE($BW$3,CI289,CI290,CI291)</f>
        <v>0.8</v>
      </c>
      <c r="CJ292" s="315">
        <f t="shared" ref="CJ292" si="1264">CHOOSE($BW$3,CJ289,CJ290,CJ291)</f>
        <v>0.8</v>
      </c>
    </row>
    <row r="293" spans="2:88">
      <c r="B293" s="310"/>
      <c r="C293" s="310"/>
      <c r="D293" s="310"/>
      <c r="E293" s="310"/>
      <c r="F293" s="310"/>
      <c r="G293" s="310"/>
      <c r="H293" s="310"/>
      <c r="I293" s="310"/>
      <c r="J293" s="310"/>
      <c r="K293" s="310"/>
      <c r="L293" s="310"/>
      <c r="M293" s="310"/>
      <c r="N293" s="310"/>
      <c r="O293" s="310"/>
      <c r="P293" s="310"/>
      <c r="Q293" s="310"/>
      <c r="R293" s="310"/>
      <c r="S293" s="310"/>
      <c r="T293" s="310"/>
      <c r="U293" s="310"/>
      <c r="V293" s="310"/>
      <c r="W293" s="310"/>
      <c r="X293" s="310"/>
      <c r="Y293" s="310"/>
      <c r="Z293" s="310"/>
      <c r="AA293" s="310"/>
      <c r="AB293" s="310"/>
      <c r="AC293" s="310"/>
      <c r="AD293" s="310"/>
      <c r="AE293" s="310"/>
      <c r="AF293" s="310"/>
      <c r="AG293" s="310"/>
      <c r="AH293" s="310"/>
      <c r="AI293" s="310"/>
      <c r="AJ293" s="310"/>
      <c r="AK293" s="310"/>
      <c r="AL293" s="310"/>
      <c r="AM293" s="310"/>
      <c r="AN293" s="310"/>
      <c r="AO293" s="310"/>
      <c r="AP293" s="310"/>
      <c r="AQ293" s="310"/>
      <c r="AR293" s="310"/>
      <c r="AS293" s="310"/>
      <c r="AT293" s="310"/>
      <c r="AU293" s="310"/>
      <c r="AV293" s="310"/>
      <c r="AW293" s="310"/>
      <c r="AX293" s="310"/>
      <c r="AY293" s="310"/>
      <c r="AZ293" s="310"/>
      <c r="BA293" s="310"/>
      <c r="BB293" s="310"/>
      <c r="BC293" s="310"/>
      <c r="BD293" s="310"/>
      <c r="BE293" s="310"/>
      <c r="BF293" s="310"/>
      <c r="BG293" s="310"/>
      <c r="BH293" s="310"/>
      <c r="BI293" s="310"/>
      <c r="BJ293" s="310"/>
      <c r="BK293" s="310"/>
      <c r="BL293" s="310"/>
      <c r="BM293" s="310"/>
      <c r="BN293" s="310"/>
      <c r="BO293" s="310"/>
      <c r="BP293" s="310"/>
      <c r="BQ293" s="310"/>
      <c r="BR293" s="310"/>
      <c r="BS293" s="310"/>
      <c r="BT293" s="310"/>
      <c r="BU293" s="310"/>
      <c r="BV293" s="310"/>
      <c r="BW293" s="331"/>
      <c r="BX293" s="331"/>
      <c r="BY293" s="331"/>
      <c r="BZ293" s="331"/>
      <c r="CA293" s="331"/>
      <c r="CB293" s="331"/>
      <c r="CC293" s="331"/>
      <c r="CD293" s="331"/>
      <c r="CE293" s="331"/>
      <c r="CF293" s="331"/>
      <c r="CG293" s="331"/>
      <c r="CH293" s="331"/>
      <c r="CI293" s="331"/>
      <c r="CJ293" s="331"/>
    </row>
    <row r="294" spans="2:88">
      <c r="B294" s="310" t="s">
        <v>410</v>
      </c>
      <c r="C294" s="310"/>
      <c r="D294" s="310"/>
      <c r="E294" s="310"/>
      <c r="F294" s="310"/>
      <c r="G294" s="310"/>
      <c r="H294" s="310"/>
      <c r="I294" s="310"/>
      <c r="J294" s="310"/>
      <c r="K294" s="310"/>
      <c r="L294" s="310"/>
      <c r="M294" s="310"/>
      <c r="N294" s="310"/>
      <c r="O294" s="310"/>
      <c r="P294" s="310"/>
      <c r="Q294" s="310"/>
      <c r="R294" s="310"/>
      <c r="S294" s="310"/>
      <c r="T294" s="310"/>
      <c r="U294" s="310"/>
      <c r="V294" s="310"/>
      <c r="W294" s="310"/>
      <c r="X294" s="310"/>
      <c r="Y294" s="310"/>
      <c r="Z294" s="310"/>
      <c r="AA294" s="310"/>
      <c r="AB294" s="310"/>
      <c r="AC294" s="310"/>
      <c r="AD294" s="310"/>
      <c r="AE294" s="310"/>
      <c r="AF294" s="310"/>
      <c r="AG294" s="310"/>
      <c r="AH294" s="310"/>
      <c r="AI294" s="310"/>
      <c r="AJ294" s="310"/>
      <c r="AK294" s="310"/>
      <c r="AL294" s="310"/>
      <c r="AM294" s="310"/>
      <c r="AN294" s="310"/>
      <c r="AO294" s="310"/>
      <c r="AP294" s="310"/>
      <c r="AQ294" s="310"/>
      <c r="AR294" s="310"/>
      <c r="AS294" s="310"/>
      <c r="AT294" s="310"/>
      <c r="AU294" s="310"/>
      <c r="AV294" s="310"/>
      <c r="AW294" s="310"/>
      <c r="AX294" s="310"/>
      <c r="AY294" s="310"/>
      <c r="AZ294" s="310"/>
      <c r="BA294" s="310"/>
      <c r="BB294" s="310"/>
      <c r="BC294" s="310"/>
      <c r="BD294" s="310"/>
      <c r="BE294" s="310"/>
      <c r="BF294" s="310"/>
      <c r="BG294" s="310"/>
      <c r="BH294" s="310"/>
      <c r="BI294" s="310"/>
      <c r="BJ294" s="310"/>
      <c r="BK294" s="310"/>
      <c r="BL294" s="310"/>
      <c r="BM294" s="310"/>
      <c r="BN294" s="310"/>
      <c r="BO294" s="310"/>
      <c r="BP294" s="310"/>
      <c r="BQ294" s="310"/>
      <c r="BR294" s="310"/>
      <c r="BS294" s="310"/>
      <c r="BT294" s="310"/>
      <c r="BU294" s="310"/>
      <c r="BV294" s="310"/>
      <c r="BW294" s="331">
        <f t="shared" ref="BW294:CJ294" si="1265">(BW286+BW287)*BW292</f>
        <v>0</v>
      </c>
      <c r="BX294" s="331">
        <f t="shared" si="1265"/>
        <v>0</v>
      </c>
      <c r="BY294" s="331">
        <f t="shared" si="1265"/>
        <v>0</v>
      </c>
      <c r="BZ294" s="331">
        <f t="shared" si="1265"/>
        <v>0</v>
      </c>
      <c r="CA294" s="331">
        <f t="shared" si="1265"/>
        <v>156.96665881143005</v>
      </c>
      <c r="CB294" s="331">
        <f t="shared" si="1265"/>
        <v>421.0102743278668</v>
      </c>
      <c r="CC294" s="331">
        <f t="shared" si="1265"/>
        <v>465.65904249005598</v>
      </c>
      <c r="CD294" s="331">
        <f t="shared" si="1265"/>
        <v>332.02251674198698</v>
      </c>
      <c r="CE294" s="331">
        <f t="shared" si="1265"/>
        <v>272.16755503514236</v>
      </c>
      <c r="CF294" s="331">
        <f t="shared" si="1265"/>
        <v>190.79688437114027</v>
      </c>
      <c r="CG294" s="331">
        <f t="shared" si="1265"/>
        <v>148.08667715218249</v>
      </c>
      <c r="CH294" s="331">
        <f t="shared" si="1265"/>
        <v>155.4655342001451</v>
      </c>
      <c r="CI294" s="331">
        <f t="shared" si="1265"/>
        <v>163.04329018465455</v>
      </c>
      <c r="CJ294" s="331">
        <f t="shared" si="1265"/>
        <v>170.82498658911967</v>
      </c>
    </row>
    <row r="295" spans="2:88">
      <c r="B295" s="310"/>
      <c r="C295" s="310"/>
      <c r="D295" s="310"/>
      <c r="E295" s="310"/>
      <c r="F295" s="310"/>
      <c r="G295" s="310"/>
      <c r="H295" s="310"/>
      <c r="I295" s="310"/>
      <c r="J295" s="310"/>
      <c r="K295" s="310"/>
      <c r="L295" s="310"/>
      <c r="M295" s="310"/>
      <c r="N295" s="310"/>
      <c r="O295" s="310"/>
      <c r="P295" s="310"/>
      <c r="Q295" s="310"/>
      <c r="R295" s="310"/>
      <c r="S295" s="310"/>
      <c r="T295" s="310"/>
      <c r="U295" s="310"/>
      <c r="V295" s="310"/>
      <c r="W295" s="310"/>
      <c r="X295" s="310"/>
      <c r="Y295" s="310"/>
      <c r="Z295" s="310"/>
      <c r="AA295" s="310"/>
      <c r="AB295" s="310"/>
      <c r="AC295" s="310"/>
      <c r="AD295" s="310"/>
      <c r="AE295" s="310"/>
      <c r="AF295" s="310"/>
      <c r="AG295" s="310"/>
      <c r="AH295" s="310"/>
      <c r="AI295" s="310"/>
      <c r="AJ295" s="310"/>
      <c r="AK295" s="310"/>
      <c r="AL295" s="310"/>
      <c r="AM295" s="310"/>
      <c r="AN295" s="310"/>
      <c r="AO295" s="310"/>
      <c r="AP295" s="310"/>
      <c r="AQ295" s="310"/>
      <c r="AR295" s="310"/>
      <c r="AS295" s="310"/>
      <c r="AT295" s="310"/>
      <c r="AU295" s="310"/>
      <c r="AV295" s="310"/>
      <c r="AW295" s="310"/>
      <c r="AX295" s="310"/>
      <c r="AY295" s="310"/>
      <c r="AZ295" s="310"/>
      <c r="BA295" s="310"/>
      <c r="BB295" s="310"/>
      <c r="BC295" s="310"/>
      <c r="BD295" s="310"/>
      <c r="BE295" s="310"/>
      <c r="BF295" s="310"/>
      <c r="BG295" s="310"/>
      <c r="BH295" s="310"/>
      <c r="BI295" s="310"/>
      <c r="BJ295" s="310"/>
      <c r="BK295" s="310"/>
      <c r="BL295" s="310"/>
      <c r="BM295" s="310"/>
      <c r="BN295" s="310"/>
      <c r="BO295" s="310"/>
      <c r="BP295" s="310"/>
      <c r="BQ295" s="310"/>
      <c r="BR295" s="310"/>
      <c r="BS295" s="310"/>
      <c r="BT295" s="310"/>
      <c r="BU295" s="310"/>
      <c r="BV295" s="310"/>
      <c r="BW295" s="310"/>
      <c r="BX295" s="310"/>
      <c r="BY295" s="310"/>
      <c r="BZ295" s="310"/>
      <c r="CA295" s="310"/>
      <c r="CB295" s="310"/>
      <c r="CC295" s="310"/>
      <c r="CD295" s="310"/>
      <c r="CE295" s="310"/>
      <c r="CF295" s="310"/>
      <c r="CG295" s="310"/>
      <c r="CH295" s="310"/>
      <c r="CI295" s="310"/>
      <c r="CJ295" s="310"/>
    </row>
    <row r="296" spans="2:88">
      <c r="B296" s="329" t="s">
        <v>380</v>
      </c>
      <c r="C296" s="329"/>
      <c r="D296" s="329"/>
      <c r="E296" s="329"/>
      <c r="F296" s="329"/>
      <c r="G296" s="329"/>
      <c r="H296" s="329"/>
      <c r="I296" s="329"/>
      <c r="J296" s="329"/>
      <c r="K296" s="329"/>
      <c r="L296" s="329"/>
      <c r="M296" s="329"/>
      <c r="N296" s="329"/>
      <c r="O296" s="329"/>
      <c r="P296" s="329"/>
      <c r="Q296" s="329"/>
      <c r="R296" s="329"/>
      <c r="S296" s="329"/>
      <c r="T296" s="329"/>
      <c r="U296" s="329"/>
      <c r="V296" s="329"/>
      <c r="W296" s="329"/>
      <c r="X296" s="329"/>
      <c r="Y296" s="329"/>
      <c r="Z296" s="329"/>
      <c r="AA296" s="329"/>
      <c r="AB296" s="329"/>
      <c r="AC296" s="329"/>
      <c r="AD296" s="329"/>
      <c r="AE296" s="329"/>
      <c r="AF296" s="329"/>
      <c r="AG296" s="329"/>
      <c r="AH296" s="329"/>
      <c r="AI296" s="329"/>
      <c r="AJ296" s="329"/>
      <c r="AK296" s="329"/>
      <c r="AL296" s="329"/>
      <c r="AM296" s="329"/>
      <c r="AN296" s="329"/>
      <c r="AO296" s="329"/>
      <c r="AP296" s="329"/>
      <c r="AQ296" s="329"/>
      <c r="AR296" s="329"/>
      <c r="AS296" s="329"/>
      <c r="AT296" s="329"/>
      <c r="AU296" s="329"/>
      <c r="AV296" s="329"/>
      <c r="AW296" s="329"/>
      <c r="AX296" s="329"/>
      <c r="AY296" s="329"/>
      <c r="AZ296" s="329"/>
      <c r="BA296" s="329"/>
      <c r="BB296" s="329"/>
      <c r="BC296" s="329"/>
      <c r="BD296" s="329"/>
      <c r="BE296" s="329"/>
      <c r="BF296" s="329"/>
      <c r="BG296" s="329"/>
      <c r="BH296" s="329"/>
      <c r="BI296" s="329"/>
      <c r="BJ296" s="329"/>
      <c r="BK296" s="329"/>
      <c r="BL296" s="329"/>
      <c r="BM296" s="329"/>
      <c r="BN296" s="329"/>
      <c r="BO296" s="329"/>
      <c r="BP296" s="329"/>
      <c r="BQ296" s="329"/>
      <c r="BR296" s="329"/>
      <c r="BS296" s="326"/>
      <c r="BT296" s="326"/>
      <c r="BU296" s="326"/>
      <c r="BV296" s="327"/>
      <c r="BW296" s="327">
        <f>BW283+BW294+BW284</f>
        <v>0</v>
      </c>
      <c r="BX296" s="327">
        <f t="shared" ref="BX296:CJ296" si="1266">BX283+BX294+BX284</f>
        <v>0</v>
      </c>
      <c r="BY296" s="327">
        <f t="shared" si="1266"/>
        <v>31.367181691884806</v>
      </c>
      <c r="BZ296" s="327">
        <f t="shared" si="1266"/>
        <v>119.10911889970805</v>
      </c>
      <c r="CA296" s="327">
        <f t="shared" si="1266"/>
        <v>365.46410863945448</v>
      </c>
      <c r="CB296" s="327">
        <f t="shared" si="1266"/>
        <v>687.13381307023428</v>
      </c>
      <c r="CC296" s="327">
        <f t="shared" si="1266"/>
        <v>773.63263668797049</v>
      </c>
      <c r="CD296" s="327">
        <f t="shared" si="1266"/>
        <v>664.9959580293862</v>
      </c>
      <c r="CE296" s="327">
        <f t="shared" si="1266"/>
        <v>621.61457985236802</v>
      </c>
      <c r="CF296" s="327">
        <f t="shared" si="1266"/>
        <v>557.26462376093627</v>
      </c>
      <c r="CG296" s="327">
        <f t="shared" si="1266"/>
        <v>522.29055052049705</v>
      </c>
      <c r="CH296" s="327">
        <f t="shared" si="1266"/>
        <v>537.56885133526475</v>
      </c>
      <c r="CI296" s="327">
        <f t="shared" si="1266"/>
        <v>553.21280834449658</v>
      </c>
      <c r="CJ296" s="327">
        <f t="shared" si="1266"/>
        <v>569.23098327731577</v>
      </c>
    </row>
    <row r="298" spans="2:88">
      <c r="B298" s="329" t="s">
        <v>389</v>
      </c>
      <c r="C298" s="329"/>
      <c r="D298" s="329"/>
      <c r="E298" s="329"/>
      <c r="F298" s="329"/>
      <c r="G298" s="329"/>
      <c r="H298" s="329"/>
      <c r="I298" s="329"/>
      <c r="J298" s="329"/>
      <c r="K298" s="329"/>
      <c r="L298" s="329"/>
      <c r="M298" s="329"/>
      <c r="N298" s="329"/>
      <c r="O298" s="329"/>
      <c r="P298" s="329"/>
      <c r="Q298" s="329"/>
      <c r="R298" s="329"/>
      <c r="S298" s="329"/>
      <c r="T298" s="329"/>
      <c r="U298" s="329"/>
      <c r="V298" s="329"/>
      <c r="W298" s="329"/>
      <c r="X298" s="329"/>
      <c r="Y298" s="329"/>
      <c r="Z298" s="329"/>
      <c r="AA298" s="329"/>
      <c r="AB298" s="329"/>
      <c r="AC298" s="329"/>
      <c r="AD298" s="329"/>
      <c r="AE298" s="329"/>
      <c r="AF298" s="329"/>
      <c r="AG298" s="329"/>
      <c r="AH298" s="329"/>
      <c r="AI298" s="329"/>
      <c r="AJ298" s="329"/>
      <c r="AK298" s="329"/>
      <c r="AL298" s="329"/>
      <c r="AM298" s="329"/>
      <c r="AN298" s="329"/>
      <c r="AO298" s="329"/>
      <c r="AP298" s="329"/>
      <c r="AQ298" s="329"/>
      <c r="AR298" s="329"/>
      <c r="AS298" s="329"/>
      <c r="AT298" s="329"/>
      <c r="AU298" s="329"/>
      <c r="AV298" s="329"/>
      <c r="AW298" s="329"/>
      <c r="AX298" s="329"/>
      <c r="AY298" s="329"/>
      <c r="AZ298" s="329"/>
      <c r="BA298" s="329"/>
      <c r="BB298" s="329"/>
      <c r="BC298" s="329"/>
      <c r="BD298" s="329"/>
      <c r="BE298" s="329"/>
      <c r="BF298" s="329"/>
      <c r="BG298" s="329"/>
      <c r="BH298" s="329"/>
      <c r="BI298" s="329"/>
      <c r="BJ298" s="329"/>
      <c r="BK298" s="329"/>
      <c r="BL298" s="329"/>
      <c r="BM298" s="329"/>
      <c r="BN298" s="329"/>
      <c r="BO298" s="329"/>
      <c r="BP298" s="329"/>
      <c r="BQ298" s="329"/>
      <c r="BR298" s="329"/>
      <c r="BS298" s="326"/>
      <c r="BT298" s="326"/>
      <c r="BU298" s="326"/>
      <c r="BV298" s="327"/>
      <c r="BW298" s="327">
        <f t="shared" ref="BW298:CJ298" si="1267">BW296+BW192</f>
        <v>0</v>
      </c>
      <c r="BX298" s="327">
        <f t="shared" si="1267"/>
        <v>0</v>
      </c>
      <c r="BY298" s="327">
        <f t="shared" si="1267"/>
        <v>80.378403085454806</v>
      </c>
      <c r="BZ298" s="327">
        <f t="shared" si="1267"/>
        <v>294.26958786986694</v>
      </c>
      <c r="CA298" s="327">
        <f t="shared" si="1267"/>
        <v>902.91132722688747</v>
      </c>
      <c r="CB298" s="327">
        <f t="shared" si="1267"/>
        <v>1697.6247146441083</v>
      </c>
      <c r="CC298" s="327">
        <f t="shared" si="1267"/>
        <v>1911.3276906408682</v>
      </c>
      <c r="CD298" s="327">
        <f t="shared" si="1267"/>
        <v>1642.9311904255426</v>
      </c>
      <c r="CE298" s="327">
        <f t="shared" si="1267"/>
        <v>1535.753667870556</v>
      </c>
      <c r="CF298" s="327">
        <f t="shared" si="1267"/>
        <v>1376.7714234093719</v>
      </c>
      <c r="CG298" s="327">
        <f t="shared" si="1267"/>
        <v>1290.3648895212277</v>
      </c>
      <c r="CH298" s="327">
        <f t="shared" si="1267"/>
        <v>1328.1112797694775</v>
      </c>
      <c r="CI298" s="327">
        <f t="shared" si="1267"/>
        <v>1366.7610559099326</v>
      </c>
      <c r="CJ298" s="327">
        <f t="shared" si="1267"/>
        <v>1406.3353704498386</v>
      </c>
    </row>
    <row r="300" spans="2:88">
      <c r="B300" s="325" t="s">
        <v>390</v>
      </c>
      <c r="C300" s="325"/>
      <c r="D300" s="325"/>
      <c r="E300" s="325"/>
      <c r="F300" s="325"/>
      <c r="G300" s="325"/>
      <c r="H300" s="325"/>
      <c r="I300" s="325"/>
      <c r="J300" s="325"/>
      <c r="K300" s="325"/>
      <c r="L300" s="325"/>
      <c r="M300" s="325"/>
      <c r="N300" s="325"/>
      <c r="O300" s="325"/>
      <c r="P300" s="325"/>
      <c r="Q300" s="325"/>
      <c r="R300" s="325"/>
      <c r="S300" s="325"/>
      <c r="T300" s="325"/>
      <c r="U300" s="325"/>
      <c r="V300" s="325"/>
      <c r="W300" s="325"/>
      <c r="X300" s="325"/>
      <c r="Y300" s="325"/>
      <c r="Z300" s="325"/>
      <c r="AA300" s="325"/>
      <c r="AB300" s="325"/>
      <c r="AC300" s="325"/>
      <c r="AD300" s="325"/>
      <c r="AE300" s="325"/>
      <c r="AF300" s="325"/>
      <c r="AG300" s="325"/>
      <c r="AH300" s="325"/>
      <c r="AI300" s="325"/>
      <c r="AJ300" s="325"/>
      <c r="AK300" s="325"/>
      <c r="AL300" s="325"/>
      <c r="AM300" s="325"/>
      <c r="AN300" s="325"/>
      <c r="AO300" s="325"/>
      <c r="AP300" s="325"/>
      <c r="AQ300" s="325"/>
      <c r="AR300" s="325"/>
      <c r="AS300" s="325"/>
      <c r="AT300" s="325"/>
      <c r="AU300" s="325"/>
      <c r="AV300" s="325"/>
      <c r="AW300" s="325"/>
      <c r="AX300" s="325"/>
      <c r="AY300" s="325"/>
      <c r="AZ300" s="325"/>
      <c r="BA300" s="325"/>
      <c r="BB300" s="325"/>
      <c r="BC300" s="325"/>
      <c r="BD300" s="325"/>
      <c r="BE300" s="325"/>
      <c r="BF300" s="325"/>
      <c r="BG300" s="325"/>
      <c r="BH300" s="325"/>
      <c r="BI300" s="325"/>
      <c r="BJ300" s="325"/>
      <c r="BK300" s="325"/>
      <c r="BL300" s="325"/>
      <c r="BM300" s="325"/>
      <c r="BN300" s="325"/>
      <c r="BO300" s="325"/>
      <c r="BP300" s="325"/>
      <c r="BQ300" s="325"/>
      <c r="BR300" s="325"/>
      <c r="BS300" s="310"/>
      <c r="BT300" s="310"/>
      <c r="BU300" s="310"/>
      <c r="BV300" s="310"/>
      <c r="BW300" s="315">
        <v>0.09</v>
      </c>
      <c r="BX300" s="315">
        <f>BW300</f>
        <v>0.09</v>
      </c>
      <c r="BY300" s="315">
        <f>BX300</f>
        <v>0.09</v>
      </c>
      <c r="BZ300" s="315">
        <f t="shared" ref="BZ300:CJ300" si="1268">BY300</f>
        <v>0.09</v>
      </c>
      <c r="CA300" s="315">
        <f t="shared" si="1268"/>
        <v>0.09</v>
      </c>
      <c r="CB300" s="315">
        <f t="shared" si="1268"/>
        <v>0.09</v>
      </c>
      <c r="CC300" s="315">
        <f t="shared" si="1268"/>
        <v>0.09</v>
      </c>
      <c r="CD300" s="315">
        <f t="shared" si="1268"/>
        <v>0.09</v>
      </c>
      <c r="CE300" s="315">
        <f t="shared" si="1268"/>
        <v>0.09</v>
      </c>
      <c r="CF300" s="315">
        <f t="shared" si="1268"/>
        <v>0.09</v>
      </c>
      <c r="CG300" s="315">
        <f t="shared" si="1268"/>
        <v>0.09</v>
      </c>
      <c r="CH300" s="315">
        <f t="shared" si="1268"/>
        <v>0.09</v>
      </c>
      <c r="CI300" s="315">
        <f t="shared" si="1268"/>
        <v>0.09</v>
      </c>
      <c r="CJ300" s="315">
        <f t="shared" si="1268"/>
        <v>0.09</v>
      </c>
    </row>
    <row r="302" spans="2:88">
      <c r="B302" s="329" t="s">
        <v>391</v>
      </c>
      <c r="C302" s="329"/>
      <c r="D302" s="329"/>
      <c r="E302" s="329"/>
      <c r="F302" s="329"/>
      <c r="G302" s="329"/>
      <c r="H302" s="329"/>
      <c r="I302" s="329"/>
      <c r="J302" s="329"/>
      <c r="K302" s="329"/>
      <c r="L302" s="329"/>
      <c r="M302" s="329"/>
      <c r="N302" s="329"/>
      <c r="O302" s="329"/>
      <c r="P302" s="329"/>
      <c r="Q302" s="329"/>
      <c r="R302" s="329"/>
      <c r="S302" s="329"/>
      <c r="T302" s="329"/>
      <c r="U302" s="329"/>
      <c r="V302" s="329"/>
      <c r="W302" s="329"/>
      <c r="X302" s="329"/>
      <c r="Y302" s="329"/>
      <c r="Z302" s="329"/>
      <c r="AA302" s="329"/>
      <c r="AB302" s="329"/>
      <c r="AC302" s="329"/>
      <c r="AD302" s="329"/>
      <c r="AE302" s="329"/>
      <c r="AF302" s="329"/>
      <c r="AG302" s="329"/>
      <c r="AH302" s="329"/>
      <c r="AI302" s="329"/>
      <c r="AJ302" s="329"/>
      <c r="AK302" s="329"/>
      <c r="AL302" s="329"/>
      <c r="AM302" s="329"/>
      <c r="AN302" s="329"/>
      <c r="AO302" s="329"/>
      <c r="AP302" s="329"/>
      <c r="AQ302" s="329"/>
      <c r="AR302" s="329"/>
      <c r="AS302" s="329"/>
      <c r="AT302" s="329"/>
      <c r="AU302" s="329"/>
      <c r="AV302" s="329"/>
      <c r="AW302" s="329"/>
      <c r="AX302" s="329"/>
      <c r="AY302" s="329"/>
      <c r="AZ302" s="329"/>
      <c r="BA302" s="329"/>
      <c r="BB302" s="329"/>
      <c r="BC302" s="329"/>
      <c r="BD302" s="329"/>
      <c r="BE302" s="329"/>
      <c r="BF302" s="329"/>
      <c r="BG302" s="329"/>
      <c r="BH302" s="329"/>
      <c r="BI302" s="329"/>
      <c r="BJ302" s="329"/>
      <c r="BK302" s="329"/>
      <c r="BL302" s="329"/>
      <c r="BM302" s="329"/>
      <c r="BN302" s="329"/>
      <c r="BO302" s="329"/>
      <c r="BP302" s="329"/>
      <c r="BQ302" s="329"/>
      <c r="BR302" s="329"/>
      <c r="BS302" s="326"/>
      <c r="BT302" s="326"/>
      <c r="BU302" s="326"/>
      <c r="BV302" s="327"/>
      <c r="BW302" s="327">
        <f>BW298*(1-BW300)</f>
        <v>0</v>
      </c>
      <c r="BX302" s="327">
        <f t="shared" ref="BX302:CJ302" si="1269">BX298*(1-BX300)</f>
        <v>0</v>
      </c>
      <c r="BY302" s="327">
        <f t="shared" si="1269"/>
        <v>73.144346807763881</v>
      </c>
      <c r="BZ302" s="327">
        <f t="shared" si="1269"/>
        <v>267.78532496157891</v>
      </c>
      <c r="CA302" s="327">
        <f t="shared" si="1269"/>
        <v>821.64930777646759</v>
      </c>
      <c r="CB302" s="327">
        <f t="shared" si="1269"/>
        <v>1544.8384903261385</v>
      </c>
      <c r="CC302" s="327">
        <f t="shared" si="1269"/>
        <v>1739.3081984831902</v>
      </c>
      <c r="CD302" s="327">
        <f t="shared" si="1269"/>
        <v>1495.0673832872437</v>
      </c>
      <c r="CE302" s="327">
        <f t="shared" si="1269"/>
        <v>1397.535837762206</v>
      </c>
      <c r="CF302" s="327">
        <f t="shared" si="1269"/>
        <v>1252.8619953025284</v>
      </c>
      <c r="CG302" s="327">
        <f t="shared" si="1269"/>
        <v>1174.2320494643172</v>
      </c>
      <c r="CH302" s="327">
        <f t="shared" si="1269"/>
        <v>1208.5812645902245</v>
      </c>
      <c r="CI302" s="327">
        <f t="shared" si="1269"/>
        <v>1243.7525608780386</v>
      </c>
      <c r="CJ302" s="327">
        <f t="shared" si="1269"/>
        <v>1279.7651871093531</v>
      </c>
    </row>
    <row r="307" spans="76:88" hidden="1">
      <c r="BX307" s="397">
        <f t="shared" ref="BX307:CC307" si="1270">BX283+BX179</f>
        <v>0</v>
      </c>
      <c r="BY307" s="397">
        <f t="shared" si="1270"/>
        <v>80.378403085454806</v>
      </c>
      <c r="BZ307" s="397">
        <f t="shared" si="1270"/>
        <v>294.26958786986694</v>
      </c>
      <c r="CA307" s="397">
        <f t="shared" si="1270"/>
        <v>515.11134663394262</v>
      </c>
      <c r="CB307" s="397">
        <f t="shared" si="1270"/>
        <v>657.48168395173138</v>
      </c>
      <c r="CC307" s="397">
        <f t="shared" si="1270"/>
        <v>760.87593860661241</v>
      </c>
      <c r="CD307" s="397">
        <f>CD283+CD179</f>
        <v>822.64026671004524</v>
      </c>
      <c r="CE307" s="397">
        <f t="shared" ref="CE307:CJ307" si="1271">CE283+CE179</f>
        <v>863.3397083719691</v>
      </c>
      <c r="CF307" s="397">
        <f t="shared" si="1271"/>
        <v>905.39088555126068</v>
      </c>
      <c r="CG307" s="397">
        <f t="shared" si="1271"/>
        <v>924.50368714524757</v>
      </c>
      <c r="CH307" s="397">
        <f t="shared" si="1271"/>
        <v>944.01995998088364</v>
      </c>
      <c r="CI307" s="397">
        <f t="shared" si="1271"/>
        <v>963.94822133608</v>
      </c>
      <c r="CJ307" s="397">
        <f t="shared" si="1271"/>
        <v>984.2971682884845</v>
      </c>
    </row>
    <row r="308" spans="76:88" hidden="1">
      <c r="BX308" s="397">
        <f>BX286+BX182</f>
        <v>0</v>
      </c>
      <c r="BY308" s="397">
        <f t="shared" ref="BY308:CJ308" si="1272">BY286+BY182</f>
        <v>0</v>
      </c>
      <c r="BZ308" s="397">
        <f t="shared" si="1272"/>
        <v>0</v>
      </c>
      <c r="CA308" s="397">
        <f t="shared" si="1272"/>
        <v>484.74997574118095</v>
      </c>
      <c r="CB308" s="397">
        <f t="shared" si="1272"/>
        <v>1300.1787883654708</v>
      </c>
      <c r="CC308" s="397">
        <f t="shared" si="1272"/>
        <v>1438.0646900428196</v>
      </c>
      <c r="CD308" s="397">
        <f t="shared" si="1272"/>
        <v>1025.3636546443718</v>
      </c>
      <c r="CE308" s="397">
        <f t="shared" si="1272"/>
        <v>840.51744937323338</v>
      </c>
      <c r="CF308" s="397">
        <f t="shared" si="1272"/>
        <v>589.22567232263896</v>
      </c>
      <c r="CG308" s="397">
        <f t="shared" si="1272"/>
        <v>457.32650296997525</v>
      </c>
      <c r="CH308" s="397">
        <f t="shared" si="1272"/>
        <v>480.11414973574222</v>
      </c>
      <c r="CI308" s="397">
        <f t="shared" si="1272"/>
        <v>503.51604321731571</v>
      </c>
      <c r="CJ308" s="397">
        <f t="shared" si="1272"/>
        <v>527.54775270169273</v>
      </c>
    </row>
    <row r="309" spans="76:88" hidden="1">
      <c r="BX309" s="397">
        <f>BX294+BX190</f>
        <v>0</v>
      </c>
      <c r="BY309" s="397">
        <f t="shared" ref="BY309:CJ309" si="1273">BY294+BY190</f>
        <v>0</v>
      </c>
      <c r="BZ309" s="397">
        <f t="shared" si="1273"/>
        <v>0</v>
      </c>
      <c r="CA309" s="397">
        <f t="shared" si="1273"/>
        <v>387.79998059294479</v>
      </c>
      <c r="CB309" s="397">
        <f t="shared" si="1273"/>
        <v>1040.1430306923767</v>
      </c>
      <c r="CC309" s="397">
        <f t="shared" si="1273"/>
        <v>1150.4517520342558</v>
      </c>
      <c r="CD309" s="397">
        <f t="shared" si="1273"/>
        <v>820.29092371549734</v>
      </c>
      <c r="CE309" s="397">
        <f t="shared" si="1273"/>
        <v>672.41395949858679</v>
      </c>
      <c r="CF309" s="397">
        <f t="shared" si="1273"/>
        <v>471.38053785811115</v>
      </c>
      <c r="CG309" s="397">
        <f t="shared" si="1273"/>
        <v>365.86120237598021</v>
      </c>
      <c r="CH309" s="397">
        <f t="shared" si="1273"/>
        <v>384.09131978859381</v>
      </c>
      <c r="CI309" s="397">
        <f t="shared" si="1273"/>
        <v>402.81283457385257</v>
      </c>
      <c r="CJ309" s="397">
        <f t="shared" si="1273"/>
        <v>422.03820216135421</v>
      </c>
    </row>
    <row r="310" spans="76:88" hidden="1">
      <c r="BX310" s="397">
        <f>BX309+BX307</f>
        <v>0</v>
      </c>
      <c r="BY310" s="397">
        <f t="shared" ref="BY310:CJ310" si="1274">BY309+BY307</f>
        <v>80.378403085454806</v>
      </c>
      <c r="BZ310" s="397">
        <f t="shared" si="1274"/>
        <v>294.26958786986694</v>
      </c>
      <c r="CA310" s="397">
        <f t="shared" si="1274"/>
        <v>902.91132722688735</v>
      </c>
      <c r="CB310" s="397">
        <f t="shared" si="1274"/>
        <v>1697.6247146441081</v>
      </c>
      <c r="CC310" s="397">
        <f t="shared" si="1274"/>
        <v>1911.3276906408682</v>
      </c>
      <c r="CD310" s="397">
        <f t="shared" si="1274"/>
        <v>1642.9311904255426</v>
      </c>
      <c r="CE310" s="397">
        <f t="shared" si="1274"/>
        <v>1535.753667870556</v>
      </c>
      <c r="CF310" s="397">
        <f t="shared" si="1274"/>
        <v>1376.7714234093719</v>
      </c>
      <c r="CG310" s="397">
        <f t="shared" si="1274"/>
        <v>1290.3648895212277</v>
      </c>
      <c r="CH310" s="397">
        <f t="shared" si="1274"/>
        <v>1328.1112797694775</v>
      </c>
      <c r="CI310" s="397">
        <f t="shared" si="1274"/>
        <v>1366.7610559099326</v>
      </c>
      <c r="CJ310" s="397">
        <f t="shared" si="1274"/>
        <v>1406.3353704498386</v>
      </c>
    </row>
  </sheetData>
  <pageMargins left="0" right="0" top="0" bottom="0" header="0" footer="0"/>
  <pageSetup paperSize="5" scale="38"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452" bestFit="1" customWidth="1"/>
    <col min="2" max="2" width="19.85546875" style="476" customWidth="1"/>
    <col min="3" max="3" width="12" style="452" bestFit="1" customWidth="1"/>
    <col min="4" max="256" width="9.140625" style="452"/>
    <col min="257" max="257" width="29.5703125" style="452" bestFit="1" customWidth="1"/>
    <col min="258" max="258" width="19.85546875" style="452" customWidth="1"/>
    <col min="259" max="259" width="12" style="452" bestFit="1" customWidth="1"/>
    <col min="260" max="512" width="9.140625" style="452"/>
    <col min="513" max="513" width="29.5703125" style="452" bestFit="1" customWidth="1"/>
    <col min="514" max="514" width="19.85546875" style="452" customWidth="1"/>
    <col min="515" max="515" width="12" style="452" bestFit="1" customWidth="1"/>
    <col min="516" max="768" width="9.140625" style="452"/>
    <col min="769" max="769" width="29.5703125" style="452" bestFit="1" customWidth="1"/>
    <col min="770" max="770" width="19.85546875" style="452" customWidth="1"/>
    <col min="771" max="771" width="12" style="452" bestFit="1" customWidth="1"/>
    <col min="772" max="1024" width="9.140625" style="452"/>
    <col min="1025" max="1025" width="29.5703125" style="452" bestFit="1" customWidth="1"/>
    <col min="1026" max="1026" width="19.85546875" style="452" customWidth="1"/>
    <col min="1027" max="1027" width="12" style="452" bestFit="1" customWidth="1"/>
    <col min="1028" max="1280" width="9.140625" style="452"/>
    <col min="1281" max="1281" width="29.5703125" style="452" bestFit="1" customWidth="1"/>
    <col min="1282" max="1282" width="19.85546875" style="452" customWidth="1"/>
    <col min="1283" max="1283" width="12" style="452" bestFit="1" customWidth="1"/>
    <col min="1284" max="1536" width="9.140625" style="452"/>
    <col min="1537" max="1537" width="29.5703125" style="452" bestFit="1" customWidth="1"/>
    <col min="1538" max="1538" width="19.85546875" style="452" customWidth="1"/>
    <col min="1539" max="1539" width="12" style="452" bestFit="1" customWidth="1"/>
    <col min="1540" max="1792" width="9.140625" style="452"/>
    <col min="1793" max="1793" width="29.5703125" style="452" bestFit="1" customWidth="1"/>
    <col min="1794" max="1794" width="19.85546875" style="452" customWidth="1"/>
    <col min="1795" max="1795" width="12" style="452" bestFit="1" customWidth="1"/>
    <col min="1796" max="2048" width="9.140625" style="452"/>
    <col min="2049" max="2049" width="29.5703125" style="452" bestFit="1" customWidth="1"/>
    <col min="2050" max="2050" width="19.85546875" style="452" customWidth="1"/>
    <col min="2051" max="2051" width="12" style="452" bestFit="1" customWidth="1"/>
    <col min="2052" max="2304" width="9.140625" style="452"/>
    <col min="2305" max="2305" width="29.5703125" style="452" bestFit="1" customWidth="1"/>
    <col min="2306" max="2306" width="19.85546875" style="452" customWidth="1"/>
    <col min="2307" max="2307" width="12" style="452" bestFit="1" customWidth="1"/>
    <col min="2308" max="2560" width="9.140625" style="452"/>
    <col min="2561" max="2561" width="29.5703125" style="452" bestFit="1" customWidth="1"/>
    <col min="2562" max="2562" width="19.85546875" style="452" customWidth="1"/>
    <col min="2563" max="2563" width="12" style="452" bestFit="1" customWidth="1"/>
    <col min="2564" max="2816" width="9.140625" style="452"/>
    <col min="2817" max="2817" width="29.5703125" style="452" bestFit="1" customWidth="1"/>
    <col min="2818" max="2818" width="19.85546875" style="452" customWidth="1"/>
    <col min="2819" max="2819" width="12" style="452" bestFit="1" customWidth="1"/>
    <col min="2820" max="3072" width="9.140625" style="452"/>
    <col min="3073" max="3073" width="29.5703125" style="452" bestFit="1" customWidth="1"/>
    <col min="3074" max="3074" width="19.85546875" style="452" customWidth="1"/>
    <col min="3075" max="3075" width="12" style="452" bestFit="1" customWidth="1"/>
    <col min="3076" max="3328" width="9.140625" style="452"/>
    <col min="3329" max="3329" width="29.5703125" style="452" bestFit="1" customWidth="1"/>
    <col min="3330" max="3330" width="19.85546875" style="452" customWidth="1"/>
    <col min="3331" max="3331" width="12" style="452" bestFit="1" customWidth="1"/>
    <col min="3332" max="3584" width="9.140625" style="452"/>
    <col min="3585" max="3585" width="29.5703125" style="452" bestFit="1" customWidth="1"/>
    <col min="3586" max="3586" width="19.85546875" style="452" customWidth="1"/>
    <col min="3587" max="3587" width="12" style="452" bestFit="1" customWidth="1"/>
    <col min="3588" max="3840" width="9.140625" style="452"/>
    <col min="3841" max="3841" width="29.5703125" style="452" bestFit="1" customWidth="1"/>
    <col min="3842" max="3842" width="19.85546875" style="452" customWidth="1"/>
    <col min="3843" max="3843" width="12" style="452" bestFit="1" customWidth="1"/>
    <col min="3844" max="4096" width="9.140625" style="452"/>
    <col min="4097" max="4097" width="29.5703125" style="452" bestFit="1" customWidth="1"/>
    <col min="4098" max="4098" width="19.85546875" style="452" customWidth="1"/>
    <col min="4099" max="4099" width="12" style="452" bestFit="1" customWidth="1"/>
    <col min="4100" max="4352" width="9.140625" style="452"/>
    <col min="4353" max="4353" width="29.5703125" style="452" bestFit="1" customWidth="1"/>
    <col min="4354" max="4354" width="19.85546875" style="452" customWidth="1"/>
    <col min="4355" max="4355" width="12" style="452" bestFit="1" customWidth="1"/>
    <col min="4356" max="4608" width="9.140625" style="452"/>
    <col min="4609" max="4609" width="29.5703125" style="452" bestFit="1" customWidth="1"/>
    <col min="4610" max="4610" width="19.85546875" style="452" customWidth="1"/>
    <col min="4611" max="4611" width="12" style="452" bestFit="1" customWidth="1"/>
    <col min="4612" max="4864" width="9.140625" style="452"/>
    <col min="4865" max="4865" width="29.5703125" style="452" bestFit="1" customWidth="1"/>
    <col min="4866" max="4866" width="19.85546875" style="452" customWidth="1"/>
    <col min="4867" max="4867" width="12" style="452" bestFit="1" customWidth="1"/>
    <col min="4868" max="5120" width="9.140625" style="452"/>
    <col min="5121" max="5121" width="29.5703125" style="452" bestFit="1" customWidth="1"/>
    <col min="5122" max="5122" width="19.85546875" style="452" customWidth="1"/>
    <col min="5123" max="5123" width="12" style="452" bestFit="1" customWidth="1"/>
    <col min="5124" max="5376" width="9.140625" style="452"/>
    <col min="5377" max="5377" width="29.5703125" style="452" bestFit="1" customWidth="1"/>
    <col min="5378" max="5378" width="19.85546875" style="452" customWidth="1"/>
    <col min="5379" max="5379" width="12" style="452" bestFit="1" customWidth="1"/>
    <col min="5380" max="5632" width="9.140625" style="452"/>
    <col min="5633" max="5633" width="29.5703125" style="452" bestFit="1" customWidth="1"/>
    <col min="5634" max="5634" width="19.85546875" style="452" customWidth="1"/>
    <col min="5635" max="5635" width="12" style="452" bestFit="1" customWidth="1"/>
    <col min="5636" max="5888" width="9.140625" style="452"/>
    <col min="5889" max="5889" width="29.5703125" style="452" bestFit="1" customWidth="1"/>
    <col min="5890" max="5890" width="19.85546875" style="452" customWidth="1"/>
    <col min="5891" max="5891" width="12" style="452" bestFit="1" customWidth="1"/>
    <col min="5892" max="6144" width="9.140625" style="452"/>
    <col min="6145" max="6145" width="29.5703125" style="452" bestFit="1" customWidth="1"/>
    <col min="6146" max="6146" width="19.85546875" style="452" customWidth="1"/>
    <col min="6147" max="6147" width="12" style="452" bestFit="1" customWidth="1"/>
    <col min="6148" max="6400" width="9.140625" style="452"/>
    <col min="6401" max="6401" width="29.5703125" style="452" bestFit="1" customWidth="1"/>
    <col min="6402" max="6402" width="19.85546875" style="452" customWidth="1"/>
    <col min="6403" max="6403" width="12" style="452" bestFit="1" customWidth="1"/>
    <col min="6404" max="6656" width="9.140625" style="452"/>
    <col min="6657" max="6657" width="29.5703125" style="452" bestFit="1" customWidth="1"/>
    <col min="6658" max="6658" width="19.85546875" style="452" customWidth="1"/>
    <col min="6659" max="6659" width="12" style="452" bestFit="1" customWidth="1"/>
    <col min="6660" max="6912" width="9.140625" style="452"/>
    <col min="6913" max="6913" width="29.5703125" style="452" bestFit="1" customWidth="1"/>
    <col min="6914" max="6914" width="19.85546875" style="452" customWidth="1"/>
    <col min="6915" max="6915" width="12" style="452" bestFit="1" customWidth="1"/>
    <col min="6916" max="7168" width="9.140625" style="452"/>
    <col min="7169" max="7169" width="29.5703125" style="452" bestFit="1" customWidth="1"/>
    <col min="7170" max="7170" width="19.85546875" style="452" customWidth="1"/>
    <col min="7171" max="7171" width="12" style="452" bestFit="1" customWidth="1"/>
    <col min="7172" max="7424" width="9.140625" style="452"/>
    <col min="7425" max="7425" width="29.5703125" style="452" bestFit="1" customWidth="1"/>
    <col min="7426" max="7426" width="19.85546875" style="452" customWidth="1"/>
    <col min="7427" max="7427" width="12" style="452" bestFit="1" customWidth="1"/>
    <col min="7428" max="7680" width="9.140625" style="452"/>
    <col min="7681" max="7681" width="29.5703125" style="452" bestFit="1" customWidth="1"/>
    <col min="7682" max="7682" width="19.85546875" style="452" customWidth="1"/>
    <col min="7683" max="7683" width="12" style="452" bestFit="1" customWidth="1"/>
    <col min="7684" max="7936" width="9.140625" style="452"/>
    <col min="7937" max="7937" width="29.5703125" style="452" bestFit="1" customWidth="1"/>
    <col min="7938" max="7938" width="19.85546875" style="452" customWidth="1"/>
    <col min="7939" max="7939" width="12" style="452" bestFit="1" customWidth="1"/>
    <col min="7940" max="8192" width="9.140625" style="452"/>
    <col min="8193" max="8193" width="29.5703125" style="452" bestFit="1" customWidth="1"/>
    <col min="8194" max="8194" width="19.85546875" style="452" customWidth="1"/>
    <col min="8195" max="8195" width="12" style="452" bestFit="1" customWidth="1"/>
    <col min="8196" max="8448" width="9.140625" style="452"/>
    <col min="8449" max="8449" width="29.5703125" style="452" bestFit="1" customWidth="1"/>
    <col min="8450" max="8450" width="19.85546875" style="452" customWidth="1"/>
    <col min="8451" max="8451" width="12" style="452" bestFit="1" customWidth="1"/>
    <col min="8452" max="8704" width="9.140625" style="452"/>
    <col min="8705" max="8705" width="29.5703125" style="452" bestFit="1" customWidth="1"/>
    <col min="8706" max="8706" width="19.85546875" style="452" customWidth="1"/>
    <col min="8707" max="8707" width="12" style="452" bestFit="1" customWidth="1"/>
    <col min="8708" max="8960" width="9.140625" style="452"/>
    <col min="8961" max="8961" width="29.5703125" style="452" bestFit="1" customWidth="1"/>
    <col min="8962" max="8962" width="19.85546875" style="452" customWidth="1"/>
    <col min="8963" max="8963" width="12" style="452" bestFit="1" customWidth="1"/>
    <col min="8964" max="9216" width="9.140625" style="452"/>
    <col min="9217" max="9217" width="29.5703125" style="452" bestFit="1" customWidth="1"/>
    <col min="9218" max="9218" width="19.85546875" style="452" customWidth="1"/>
    <col min="9219" max="9219" width="12" style="452" bestFit="1" customWidth="1"/>
    <col min="9220" max="9472" width="9.140625" style="452"/>
    <col min="9473" max="9473" width="29.5703125" style="452" bestFit="1" customWidth="1"/>
    <col min="9474" max="9474" width="19.85546875" style="452" customWidth="1"/>
    <col min="9475" max="9475" width="12" style="452" bestFit="1" customWidth="1"/>
    <col min="9476" max="9728" width="9.140625" style="452"/>
    <col min="9729" max="9729" width="29.5703125" style="452" bestFit="1" customWidth="1"/>
    <col min="9730" max="9730" width="19.85546875" style="452" customWidth="1"/>
    <col min="9731" max="9731" width="12" style="452" bestFit="1" customWidth="1"/>
    <col min="9732" max="9984" width="9.140625" style="452"/>
    <col min="9985" max="9985" width="29.5703125" style="452" bestFit="1" customWidth="1"/>
    <col min="9986" max="9986" width="19.85546875" style="452" customWidth="1"/>
    <col min="9987" max="9987" width="12" style="452" bestFit="1" customWidth="1"/>
    <col min="9988" max="10240" width="9.140625" style="452"/>
    <col min="10241" max="10241" width="29.5703125" style="452" bestFit="1" customWidth="1"/>
    <col min="10242" max="10242" width="19.85546875" style="452" customWidth="1"/>
    <col min="10243" max="10243" width="12" style="452" bestFit="1" customWidth="1"/>
    <col min="10244" max="10496" width="9.140625" style="452"/>
    <col min="10497" max="10497" width="29.5703125" style="452" bestFit="1" customWidth="1"/>
    <col min="10498" max="10498" width="19.85546875" style="452" customWidth="1"/>
    <col min="10499" max="10499" width="12" style="452" bestFit="1" customWidth="1"/>
    <col min="10500" max="10752" width="9.140625" style="452"/>
    <col min="10753" max="10753" width="29.5703125" style="452" bestFit="1" customWidth="1"/>
    <col min="10754" max="10754" width="19.85546875" style="452" customWidth="1"/>
    <col min="10755" max="10755" width="12" style="452" bestFit="1" customWidth="1"/>
    <col min="10756" max="11008" width="9.140625" style="452"/>
    <col min="11009" max="11009" width="29.5703125" style="452" bestFit="1" customWidth="1"/>
    <col min="11010" max="11010" width="19.85546875" style="452" customWidth="1"/>
    <col min="11011" max="11011" width="12" style="452" bestFit="1" customWidth="1"/>
    <col min="11012" max="11264" width="9.140625" style="452"/>
    <col min="11265" max="11265" width="29.5703125" style="452" bestFit="1" customWidth="1"/>
    <col min="11266" max="11266" width="19.85546875" style="452" customWidth="1"/>
    <col min="11267" max="11267" width="12" style="452" bestFit="1" customWidth="1"/>
    <col min="11268" max="11520" width="9.140625" style="452"/>
    <col min="11521" max="11521" width="29.5703125" style="452" bestFit="1" customWidth="1"/>
    <col min="11522" max="11522" width="19.85546875" style="452" customWidth="1"/>
    <col min="11523" max="11523" width="12" style="452" bestFit="1" customWidth="1"/>
    <col min="11524" max="11776" width="9.140625" style="452"/>
    <col min="11777" max="11777" width="29.5703125" style="452" bestFit="1" customWidth="1"/>
    <col min="11778" max="11778" width="19.85546875" style="452" customWidth="1"/>
    <col min="11779" max="11779" width="12" style="452" bestFit="1" customWidth="1"/>
    <col min="11780" max="12032" width="9.140625" style="452"/>
    <col min="12033" max="12033" width="29.5703125" style="452" bestFit="1" customWidth="1"/>
    <col min="12034" max="12034" width="19.85546875" style="452" customWidth="1"/>
    <col min="12035" max="12035" width="12" style="452" bestFit="1" customWidth="1"/>
    <col min="12036" max="12288" width="9.140625" style="452"/>
    <col min="12289" max="12289" width="29.5703125" style="452" bestFit="1" customWidth="1"/>
    <col min="12290" max="12290" width="19.85546875" style="452" customWidth="1"/>
    <col min="12291" max="12291" width="12" style="452" bestFit="1" customWidth="1"/>
    <col min="12292" max="12544" width="9.140625" style="452"/>
    <col min="12545" max="12545" width="29.5703125" style="452" bestFit="1" customWidth="1"/>
    <col min="12546" max="12546" width="19.85546875" style="452" customWidth="1"/>
    <col min="12547" max="12547" width="12" style="452" bestFit="1" customWidth="1"/>
    <col min="12548" max="12800" width="9.140625" style="452"/>
    <col min="12801" max="12801" width="29.5703125" style="452" bestFit="1" customWidth="1"/>
    <col min="12802" max="12802" width="19.85546875" style="452" customWidth="1"/>
    <col min="12803" max="12803" width="12" style="452" bestFit="1" customWidth="1"/>
    <col min="12804" max="13056" width="9.140625" style="452"/>
    <col min="13057" max="13057" width="29.5703125" style="452" bestFit="1" customWidth="1"/>
    <col min="13058" max="13058" width="19.85546875" style="452" customWidth="1"/>
    <col min="13059" max="13059" width="12" style="452" bestFit="1" customWidth="1"/>
    <col min="13060" max="13312" width="9.140625" style="452"/>
    <col min="13313" max="13313" width="29.5703125" style="452" bestFit="1" customWidth="1"/>
    <col min="13314" max="13314" width="19.85546875" style="452" customWidth="1"/>
    <col min="13315" max="13315" width="12" style="452" bestFit="1" customWidth="1"/>
    <col min="13316" max="13568" width="9.140625" style="452"/>
    <col min="13569" max="13569" width="29.5703125" style="452" bestFit="1" customWidth="1"/>
    <col min="13570" max="13570" width="19.85546875" style="452" customWidth="1"/>
    <col min="13571" max="13571" width="12" style="452" bestFit="1" customWidth="1"/>
    <col min="13572" max="13824" width="9.140625" style="452"/>
    <col min="13825" max="13825" width="29.5703125" style="452" bestFit="1" customWidth="1"/>
    <col min="13826" max="13826" width="19.85546875" style="452" customWidth="1"/>
    <col min="13827" max="13827" width="12" style="452" bestFit="1" customWidth="1"/>
    <col min="13828" max="14080" width="9.140625" style="452"/>
    <col min="14081" max="14081" width="29.5703125" style="452" bestFit="1" customWidth="1"/>
    <col min="14082" max="14082" width="19.85546875" style="452" customWidth="1"/>
    <col min="14083" max="14083" width="12" style="452" bestFit="1" customWidth="1"/>
    <col min="14084" max="14336" width="9.140625" style="452"/>
    <col min="14337" max="14337" width="29.5703125" style="452" bestFit="1" customWidth="1"/>
    <col min="14338" max="14338" width="19.85546875" style="452" customWidth="1"/>
    <col min="14339" max="14339" width="12" style="452" bestFit="1" customWidth="1"/>
    <col min="14340" max="14592" width="9.140625" style="452"/>
    <col min="14593" max="14593" width="29.5703125" style="452" bestFit="1" customWidth="1"/>
    <col min="14594" max="14594" width="19.85546875" style="452" customWidth="1"/>
    <col min="14595" max="14595" width="12" style="452" bestFit="1" customWidth="1"/>
    <col min="14596" max="14848" width="9.140625" style="452"/>
    <col min="14849" max="14849" width="29.5703125" style="452" bestFit="1" customWidth="1"/>
    <col min="14850" max="14850" width="19.85546875" style="452" customWidth="1"/>
    <col min="14851" max="14851" width="12" style="452" bestFit="1" customWidth="1"/>
    <col min="14852" max="15104" width="9.140625" style="452"/>
    <col min="15105" max="15105" width="29.5703125" style="452" bestFit="1" customWidth="1"/>
    <col min="15106" max="15106" width="19.85546875" style="452" customWidth="1"/>
    <col min="15107" max="15107" width="12" style="452" bestFit="1" customWidth="1"/>
    <col min="15108" max="15360" width="9.140625" style="452"/>
    <col min="15361" max="15361" width="29.5703125" style="452" bestFit="1" customWidth="1"/>
    <col min="15362" max="15362" width="19.85546875" style="452" customWidth="1"/>
    <col min="15363" max="15363" width="12" style="452" bestFit="1" customWidth="1"/>
    <col min="15364" max="15616" width="9.140625" style="452"/>
    <col min="15617" max="15617" width="29.5703125" style="452" bestFit="1" customWidth="1"/>
    <col min="15618" max="15618" width="19.85546875" style="452" customWidth="1"/>
    <col min="15619" max="15619" width="12" style="452" bestFit="1" customWidth="1"/>
    <col min="15620" max="15872" width="9.140625" style="452"/>
    <col min="15873" max="15873" width="29.5703125" style="452" bestFit="1" customWidth="1"/>
    <col min="15874" max="15874" width="19.85546875" style="452" customWidth="1"/>
    <col min="15875" max="15875" width="12" style="452" bestFit="1" customWidth="1"/>
    <col min="15876" max="16128" width="9.140625" style="452"/>
    <col min="16129" max="16129" width="29.5703125" style="452" bestFit="1" customWidth="1"/>
    <col min="16130" max="16130" width="19.85546875" style="452" customWidth="1"/>
    <col min="16131" max="16131" width="12" style="452" bestFit="1" customWidth="1"/>
    <col min="16132" max="16384" width="9.140625" style="452"/>
  </cols>
  <sheetData>
    <row r="1" spans="1:2">
      <c r="A1" s="452" t="s">
        <v>716</v>
      </c>
      <c r="B1" s="475">
        <v>6.1</v>
      </c>
    </row>
    <row r="2" spans="1:2">
      <c r="A2" s="452" t="s">
        <v>717</v>
      </c>
      <c r="B2" s="479">
        <v>43164.443553240744</v>
      </c>
    </row>
    <row r="3" spans="1:2">
      <c r="A3" s="452" t="s">
        <v>718</v>
      </c>
      <c r="B3" s="476" t="s">
        <v>423</v>
      </c>
    </row>
    <row r="4" spans="1:2">
      <c r="A4" s="452" t="s">
        <v>719</v>
      </c>
      <c r="B4" s="476" t="s">
        <v>720</v>
      </c>
    </row>
    <row r="5" spans="1:2">
      <c r="A5" s="452" t="s">
        <v>721</v>
      </c>
      <c r="B5" s="476" t="s">
        <v>722</v>
      </c>
    </row>
    <row r="6" spans="1:2">
      <c r="A6" s="452" t="s">
        <v>723</v>
      </c>
    </row>
    <row r="7" spans="1:2">
      <c r="A7" s="452" t="s">
        <v>724</v>
      </c>
      <c r="B7" s="476" t="s">
        <v>396</v>
      </c>
    </row>
    <row r="8" spans="1:2">
      <c r="A8" s="452" t="s">
        <v>725</v>
      </c>
      <c r="B8" s="476" t="s">
        <v>726</v>
      </c>
    </row>
    <row r="9" spans="1:2">
      <c r="A9" s="452" t="s">
        <v>727</v>
      </c>
      <c r="B9" s="476" t="s">
        <v>763</v>
      </c>
    </row>
    <row r="10" spans="1:2">
      <c r="A10" s="452" t="s">
        <v>728</v>
      </c>
    </row>
    <row r="11" spans="1:2">
      <c r="A11" s="452" t="s">
        <v>729</v>
      </c>
    </row>
    <row r="12" spans="1:2">
      <c r="A12" s="452" t="s">
        <v>730</v>
      </c>
    </row>
    <row r="13" spans="1:2">
      <c r="A13" s="452" t="s">
        <v>731</v>
      </c>
    </row>
    <row r="14" spans="1:2">
      <c r="A14" s="452" t="s">
        <v>732</v>
      </c>
    </row>
    <row r="15" spans="1:2">
      <c r="A15" s="452" t="s">
        <v>733</v>
      </c>
    </row>
    <row r="16" spans="1:2">
      <c r="A16" s="452" t="s">
        <v>734</v>
      </c>
    </row>
    <row r="17" spans="1:4">
      <c r="A17" s="452" t="s">
        <v>735</v>
      </c>
      <c r="B17" s="476" t="s">
        <v>764</v>
      </c>
    </row>
    <row r="18" spans="1:4">
      <c r="A18" s="452" t="s">
        <v>736</v>
      </c>
      <c r="B18" s="476" t="s">
        <v>424</v>
      </c>
    </row>
    <row r="19" spans="1:4">
      <c r="A19" s="452" t="s">
        <v>737</v>
      </c>
      <c r="B19" s="476" t="s">
        <v>395</v>
      </c>
    </row>
    <row r="20" spans="1:4">
      <c r="A20" s="452" t="s">
        <v>738</v>
      </c>
      <c r="B20" s="477" t="s">
        <v>767</v>
      </c>
    </row>
    <row r="21" spans="1:4">
      <c r="A21" s="452" t="s">
        <v>420</v>
      </c>
      <c r="B21" s="476" t="s">
        <v>395</v>
      </c>
    </row>
    <row r="22" spans="1:4">
      <c r="A22" s="452" t="s">
        <v>739</v>
      </c>
      <c r="B22" s="477" t="s">
        <v>416</v>
      </c>
    </row>
    <row r="23" spans="1:4">
      <c r="A23" s="452" t="s">
        <v>399</v>
      </c>
      <c r="B23" s="475">
        <v>127.35</v>
      </c>
    </row>
    <row r="24" spans="1:4">
      <c r="A24" s="452" t="s">
        <v>398</v>
      </c>
      <c r="B24" s="476" t="s">
        <v>61</v>
      </c>
      <c r="D24" s="452" t="s">
        <v>418</v>
      </c>
    </row>
    <row r="25" spans="1:4">
      <c r="A25" s="452" t="s">
        <v>740</v>
      </c>
      <c r="B25" s="476" t="s">
        <v>768</v>
      </c>
    </row>
    <row r="26" spans="1:4">
      <c r="A26" s="452" t="s">
        <v>741</v>
      </c>
      <c r="B26" s="476">
        <v>0</v>
      </c>
    </row>
    <row r="27" spans="1:4">
      <c r="A27" s="452" t="s">
        <v>742</v>
      </c>
      <c r="B27" s="476" t="s">
        <v>743</v>
      </c>
    </row>
    <row r="28" spans="1:4">
      <c r="A28" s="452" t="s">
        <v>744</v>
      </c>
      <c r="B28" s="476" t="s">
        <v>745</v>
      </c>
    </row>
    <row r="29" spans="1:4">
      <c r="A29" s="452" t="s">
        <v>746</v>
      </c>
    </row>
    <row r="30" spans="1:4">
      <c r="A30" s="452" t="s">
        <v>747</v>
      </c>
    </row>
    <row r="31" spans="1:4">
      <c r="A31" s="452" t="s">
        <v>748</v>
      </c>
    </row>
    <row r="32" spans="1:4">
      <c r="A32" s="452" t="s">
        <v>749</v>
      </c>
      <c r="B32" s="475"/>
    </row>
    <row r="33" spans="1:2">
      <c r="A33" s="452" t="s">
        <v>750</v>
      </c>
      <c r="B33" s="475"/>
    </row>
    <row r="34" spans="1:2">
      <c r="A34" s="452" t="s">
        <v>751</v>
      </c>
      <c r="B34" s="475"/>
    </row>
    <row r="35" spans="1:2">
      <c r="A35" s="452" t="s">
        <v>752</v>
      </c>
      <c r="B35" s="476">
        <v>1000000</v>
      </c>
    </row>
    <row r="36" spans="1:2">
      <c r="A36" s="452" t="s">
        <v>753</v>
      </c>
      <c r="B36" s="476" t="s">
        <v>765</v>
      </c>
    </row>
    <row r="37" spans="1:2">
      <c r="A37" s="452" t="s">
        <v>754</v>
      </c>
      <c r="B37" s="476" t="s">
        <v>755</v>
      </c>
    </row>
    <row r="38" spans="1:2">
      <c r="A38" s="452" t="s">
        <v>756</v>
      </c>
      <c r="B38" s="476" t="s">
        <v>757</v>
      </c>
    </row>
    <row r="39" spans="1:2">
      <c r="A39" s="452" t="s">
        <v>758</v>
      </c>
      <c r="B39" s="476" t="s">
        <v>766</v>
      </c>
    </row>
    <row r="40" spans="1:2">
      <c r="A40" s="452" t="s">
        <v>759</v>
      </c>
      <c r="B40" s="476">
        <v>1500004768</v>
      </c>
    </row>
    <row r="41" spans="1:2">
      <c r="A41" s="452" t="s">
        <v>760</v>
      </c>
      <c r="B41" s="476">
        <v>1</v>
      </c>
    </row>
    <row r="42" spans="1:2">
      <c r="A42" s="478" t="s">
        <v>761</v>
      </c>
    </row>
    <row r="43" spans="1:2">
      <c r="A43" s="452" t="s">
        <v>762</v>
      </c>
    </row>
  </sheetData>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3"/>
  <sheetViews>
    <sheetView workbookViewId="0">
      <selection activeCell="E11" sqref="E11"/>
    </sheetView>
  </sheetViews>
  <sheetFormatPr defaultRowHeight="12.75"/>
  <cols>
    <col min="1" max="1" width="28.5703125" style="452" bestFit="1" customWidth="1"/>
    <col min="2" max="256" width="9.140625" style="452"/>
    <col min="257" max="257" width="28.5703125" style="452" bestFit="1" customWidth="1"/>
    <col min="258" max="512" width="9.140625" style="452"/>
    <col min="513" max="513" width="28.5703125" style="452" bestFit="1" customWidth="1"/>
    <col min="514" max="768" width="9.140625" style="452"/>
    <col min="769" max="769" width="28.5703125" style="452" bestFit="1" customWidth="1"/>
    <col min="770" max="1024" width="9.140625" style="452"/>
    <col min="1025" max="1025" width="28.5703125" style="452" bestFit="1" customWidth="1"/>
    <col min="1026" max="1280" width="9.140625" style="452"/>
    <col min="1281" max="1281" width="28.5703125" style="452" bestFit="1" customWidth="1"/>
    <col min="1282" max="1536" width="9.140625" style="452"/>
    <col min="1537" max="1537" width="28.5703125" style="452" bestFit="1" customWidth="1"/>
    <col min="1538" max="1792" width="9.140625" style="452"/>
    <col min="1793" max="1793" width="28.5703125" style="452" bestFit="1" customWidth="1"/>
    <col min="1794" max="2048" width="9.140625" style="452"/>
    <col min="2049" max="2049" width="28.5703125" style="452" bestFit="1" customWidth="1"/>
    <col min="2050" max="2304" width="9.140625" style="452"/>
    <col min="2305" max="2305" width="28.5703125" style="452" bestFit="1" customWidth="1"/>
    <col min="2306" max="2560" width="9.140625" style="452"/>
    <col min="2561" max="2561" width="28.5703125" style="452" bestFit="1" customWidth="1"/>
    <col min="2562" max="2816" width="9.140625" style="452"/>
    <col min="2817" max="2817" width="28.5703125" style="452" bestFit="1" customWidth="1"/>
    <col min="2818" max="3072" width="9.140625" style="452"/>
    <col min="3073" max="3073" width="28.5703125" style="452" bestFit="1" customWidth="1"/>
    <col min="3074" max="3328" width="9.140625" style="452"/>
    <col min="3329" max="3329" width="28.5703125" style="452" bestFit="1" customWidth="1"/>
    <col min="3330" max="3584" width="9.140625" style="452"/>
    <col min="3585" max="3585" width="28.5703125" style="452" bestFit="1" customWidth="1"/>
    <col min="3586" max="3840" width="9.140625" style="452"/>
    <col min="3841" max="3841" width="28.5703125" style="452" bestFit="1" customWidth="1"/>
    <col min="3842" max="4096" width="9.140625" style="452"/>
    <col min="4097" max="4097" width="28.5703125" style="452" bestFit="1" customWidth="1"/>
    <col min="4098" max="4352" width="9.140625" style="452"/>
    <col min="4353" max="4353" width="28.5703125" style="452" bestFit="1" customWidth="1"/>
    <col min="4354" max="4608" width="9.140625" style="452"/>
    <col min="4609" max="4609" width="28.5703125" style="452" bestFit="1" customWidth="1"/>
    <col min="4610" max="4864" width="9.140625" style="452"/>
    <col min="4865" max="4865" width="28.5703125" style="452" bestFit="1" customWidth="1"/>
    <col min="4866" max="5120" width="9.140625" style="452"/>
    <col min="5121" max="5121" width="28.5703125" style="452" bestFit="1" customWidth="1"/>
    <col min="5122" max="5376" width="9.140625" style="452"/>
    <col min="5377" max="5377" width="28.5703125" style="452" bestFit="1" customWidth="1"/>
    <col min="5378" max="5632" width="9.140625" style="452"/>
    <col min="5633" max="5633" width="28.5703125" style="452" bestFit="1" customWidth="1"/>
    <col min="5634" max="5888" width="9.140625" style="452"/>
    <col min="5889" max="5889" width="28.5703125" style="452" bestFit="1" customWidth="1"/>
    <col min="5890" max="6144" width="9.140625" style="452"/>
    <col min="6145" max="6145" width="28.5703125" style="452" bestFit="1" customWidth="1"/>
    <col min="6146" max="6400" width="9.140625" style="452"/>
    <col min="6401" max="6401" width="28.5703125" style="452" bestFit="1" customWidth="1"/>
    <col min="6402" max="6656" width="9.140625" style="452"/>
    <col min="6657" max="6657" width="28.5703125" style="452" bestFit="1" customWidth="1"/>
    <col min="6658" max="6912" width="9.140625" style="452"/>
    <col min="6913" max="6913" width="28.5703125" style="452" bestFit="1" customWidth="1"/>
    <col min="6914" max="7168" width="9.140625" style="452"/>
    <col min="7169" max="7169" width="28.5703125" style="452" bestFit="1" customWidth="1"/>
    <col min="7170" max="7424" width="9.140625" style="452"/>
    <col min="7425" max="7425" width="28.5703125" style="452" bestFit="1" customWidth="1"/>
    <col min="7426" max="7680" width="9.140625" style="452"/>
    <col min="7681" max="7681" width="28.5703125" style="452" bestFit="1" customWidth="1"/>
    <col min="7682" max="7936" width="9.140625" style="452"/>
    <col min="7937" max="7937" width="28.5703125" style="452" bestFit="1" customWidth="1"/>
    <col min="7938" max="8192" width="9.140625" style="452"/>
    <col min="8193" max="8193" width="28.5703125" style="452" bestFit="1" customWidth="1"/>
    <col min="8194" max="8448" width="9.140625" style="452"/>
    <col min="8449" max="8449" width="28.5703125" style="452" bestFit="1" customWidth="1"/>
    <col min="8450" max="8704" width="9.140625" style="452"/>
    <col min="8705" max="8705" width="28.5703125" style="452" bestFit="1" customWidth="1"/>
    <col min="8706" max="8960" width="9.140625" style="452"/>
    <col min="8961" max="8961" width="28.5703125" style="452" bestFit="1" customWidth="1"/>
    <col min="8962" max="9216" width="9.140625" style="452"/>
    <col min="9217" max="9217" width="28.5703125" style="452" bestFit="1" customWidth="1"/>
    <col min="9218" max="9472" width="9.140625" style="452"/>
    <col min="9473" max="9473" width="28.5703125" style="452" bestFit="1" customWidth="1"/>
    <col min="9474" max="9728" width="9.140625" style="452"/>
    <col min="9729" max="9729" width="28.5703125" style="452" bestFit="1" customWidth="1"/>
    <col min="9730" max="9984" width="9.140625" style="452"/>
    <col min="9985" max="9985" width="28.5703125" style="452" bestFit="1" customWidth="1"/>
    <col min="9986" max="10240" width="9.140625" style="452"/>
    <col min="10241" max="10241" width="28.5703125" style="452" bestFit="1" customWidth="1"/>
    <col min="10242" max="10496" width="9.140625" style="452"/>
    <col min="10497" max="10497" width="28.5703125" style="452" bestFit="1" customWidth="1"/>
    <col min="10498" max="10752" width="9.140625" style="452"/>
    <col min="10753" max="10753" width="28.5703125" style="452" bestFit="1" customWidth="1"/>
    <col min="10754" max="11008" width="9.140625" style="452"/>
    <col min="11009" max="11009" width="28.5703125" style="452" bestFit="1" customWidth="1"/>
    <col min="11010" max="11264" width="9.140625" style="452"/>
    <col min="11265" max="11265" width="28.5703125" style="452" bestFit="1" customWidth="1"/>
    <col min="11266" max="11520" width="9.140625" style="452"/>
    <col min="11521" max="11521" width="28.5703125" style="452" bestFit="1" customWidth="1"/>
    <col min="11522" max="11776" width="9.140625" style="452"/>
    <col min="11777" max="11777" width="28.5703125" style="452" bestFit="1" customWidth="1"/>
    <col min="11778" max="12032" width="9.140625" style="452"/>
    <col min="12033" max="12033" width="28.5703125" style="452" bestFit="1" customWidth="1"/>
    <col min="12034" max="12288" width="9.140625" style="452"/>
    <col min="12289" max="12289" width="28.5703125" style="452" bestFit="1" customWidth="1"/>
    <col min="12290" max="12544" width="9.140625" style="452"/>
    <col min="12545" max="12545" width="28.5703125" style="452" bestFit="1" customWidth="1"/>
    <col min="12546" max="12800" width="9.140625" style="452"/>
    <col min="12801" max="12801" width="28.5703125" style="452" bestFit="1" customWidth="1"/>
    <col min="12802" max="13056" width="9.140625" style="452"/>
    <col min="13057" max="13057" width="28.5703125" style="452" bestFit="1" customWidth="1"/>
    <col min="13058" max="13312" width="9.140625" style="452"/>
    <col min="13313" max="13313" width="28.5703125" style="452" bestFit="1" customWidth="1"/>
    <col min="13314" max="13568" width="9.140625" style="452"/>
    <col min="13569" max="13569" width="28.5703125" style="452" bestFit="1" customWidth="1"/>
    <col min="13570" max="13824" width="9.140625" style="452"/>
    <col min="13825" max="13825" width="28.5703125" style="452" bestFit="1" customWidth="1"/>
    <col min="13826" max="14080" width="9.140625" style="452"/>
    <col min="14081" max="14081" width="28.5703125" style="452" bestFit="1" customWidth="1"/>
    <col min="14082" max="14336" width="9.140625" style="452"/>
    <col min="14337" max="14337" width="28.5703125" style="452" bestFit="1" customWidth="1"/>
    <col min="14338" max="14592" width="9.140625" style="452"/>
    <col min="14593" max="14593" width="28.5703125" style="452" bestFit="1" customWidth="1"/>
    <col min="14594" max="14848" width="9.140625" style="452"/>
    <col min="14849" max="14849" width="28.5703125" style="452" bestFit="1" customWidth="1"/>
    <col min="14850" max="15104" width="9.140625" style="452"/>
    <col min="15105" max="15105" width="28.5703125" style="452" bestFit="1" customWidth="1"/>
    <col min="15106" max="15360" width="9.140625" style="452"/>
    <col min="15361" max="15361" width="28.5703125" style="452" bestFit="1" customWidth="1"/>
    <col min="15362" max="15616" width="9.140625" style="452"/>
    <col min="15617" max="15617" width="28.5703125" style="452" bestFit="1" customWidth="1"/>
    <col min="15618" max="15872" width="9.140625" style="452"/>
    <col min="15873" max="15873" width="28.5703125" style="452" bestFit="1" customWidth="1"/>
    <col min="15874" max="16128" width="9.140625" style="452"/>
    <col min="16129" max="16129" width="28.5703125" style="452" bestFit="1" customWidth="1"/>
    <col min="16130" max="16384" width="9.140625" style="452"/>
  </cols>
  <sheetData>
    <row r="1" spans="1:1">
      <c r="A1" s="480" t="s">
        <v>769</v>
      </c>
    </row>
    <row r="2" spans="1:1">
      <c r="A2" s="480" t="s">
        <v>774</v>
      </c>
    </row>
    <row r="3" spans="1:1">
      <c r="A3" s="480" t="s">
        <v>775</v>
      </c>
    </row>
    <row r="4" spans="1:1">
      <c r="A4" s="480" t="s">
        <v>776</v>
      </c>
    </row>
    <row r="5" spans="1:1">
      <c r="A5" s="480" t="s">
        <v>777</v>
      </c>
    </row>
    <row r="6" spans="1:1">
      <c r="A6" s="480" t="s">
        <v>770</v>
      </c>
    </row>
    <row r="7" spans="1:1">
      <c r="A7" s="480" t="s">
        <v>778</v>
      </c>
    </row>
    <row r="8" spans="1:1">
      <c r="A8" s="480" t="s">
        <v>779</v>
      </c>
    </row>
    <row r="9" spans="1:1">
      <c r="A9" s="480" t="s">
        <v>780</v>
      </c>
    </row>
    <row r="10" spans="1:1">
      <c r="A10" s="480" t="s">
        <v>771</v>
      </c>
    </row>
    <row r="11" spans="1:1">
      <c r="A11" s="480" t="s">
        <v>781</v>
      </c>
    </row>
    <row r="12" spans="1:1">
      <c r="A12" s="480" t="s">
        <v>772</v>
      </c>
    </row>
    <row r="13" spans="1:1">
      <c r="A13" s="480" t="s">
        <v>773</v>
      </c>
    </row>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2"/>
  <sheetViews>
    <sheetView zoomScaleNormal="100" workbookViewId="0"/>
  </sheetViews>
  <sheetFormatPr defaultRowHeight="12.75"/>
  <sheetData>
    <row r="1" spans="1:20">
      <c r="A1" t="s">
        <v>404</v>
      </c>
    </row>
    <row r="2" spans="1:20">
      <c r="A2" s="1" t="s">
        <v>65</v>
      </c>
      <c r="B2" s="1" t="s">
        <v>72</v>
      </c>
      <c r="C2" s="1" t="s">
        <v>218</v>
      </c>
      <c r="D2" s="1" t="s">
        <v>61</v>
      </c>
      <c r="E2" s="1" t="s">
        <v>401</v>
      </c>
      <c r="F2" s="1" t="s">
        <v>421</v>
      </c>
      <c r="G2" s="1" t="s">
        <v>402</v>
      </c>
      <c r="H2" s="1" t="s">
        <v>61</v>
      </c>
      <c r="I2" s="1" t="s">
        <v>217</v>
      </c>
      <c r="J2" s="1" t="s">
        <v>224</v>
      </c>
      <c r="K2" s="1" t="s">
        <v>64</v>
      </c>
      <c r="L2" s="1" t="s">
        <v>67</v>
      </c>
      <c r="M2" s="1" t="s">
        <v>216</v>
      </c>
      <c r="N2" s="1" t="s">
        <v>232</v>
      </c>
      <c r="O2" s="1" t="s">
        <v>403</v>
      </c>
      <c r="P2" s="1" t="s">
        <v>416</v>
      </c>
      <c r="Q2" s="1" t="s">
        <v>226</v>
      </c>
      <c r="R2" s="1" t="s">
        <v>227</v>
      </c>
      <c r="S2" s="1" t="s">
        <v>63</v>
      </c>
      <c r="T2" s="1" t="s">
        <v>61</v>
      </c>
    </row>
  </sheetData>
  <phoneticPr fontId="3"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13755637-C13A-43DD-9B79-0F9F1B0C6BCC}">
  <ds:schemaRefs>
    <ds:schemaRef ds:uri="thomsonreuters.linking.metadatachange"/>
  </ds:schemaRefs>
</ds:datastoreItem>
</file>

<file path=customXml/itemProps2.xml><?xml version="1.0" encoding="utf-8"?>
<ds:datastoreItem xmlns:ds="http://schemas.openxmlformats.org/officeDocument/2006/customXml" ds:itemID="{079550B6-E087-47E8-BED0-DBFC7C079E43}">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93</vt:i4>
      </vt:variant>
    </vt:vector>
  </HeadingPairs>
  <TitlesOfParts>
    <vt:vector size="101" baseType="lpstr">
      <vt:lpstr>ImportantDisclosures</vt:lpstr>
      <vt:lpstr>DCF</vt:lpstr>
      <vt:lpstr>IS</vt:lpstr>
      <vt:lpstr>BS</vt:lpstr>
      <vt:lpstr>CF</vt:lpstr>
      <vt:lpstr>SMA Mkt Model</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'SMA Mkt Model'!Linking_16</vt:lpstr>
      <vt:lpstr>'SMA Mkt Model'!Linking_17</vt:lpstr>
      <vt:lpstr>'SMA Mkt Model'!Linking_22</vt:lpstr>
      <vt:lpstr>'SMA Mkt Model'!Linking_3</vt:lpstr>
      <vt:lpstr>Linking_30</vt:lpstr>
      <vt:lpstr>Linking_31</vt:lpstr>
      <vt:lpstr>Linking_32</vt:lpstr>
      <vt:lpstr>Linking_35</vt:lpstr>
      <vt:lpstr>Linking_36</vt:lpstr>
      <vt:lpstr>Linking_37</vt:lpstr>
      <vt:lpstr>Linking_38</vt:lpstr>
      <vt:lpstr>Linking_39</vt:lpstr>
      <vt:lpstr>'SMA Mkt Model'!Linking_4</vt:lpstr>
      <vt:lpstr>Linking_44</vt:lpstr>
      <vt:lpstr>Linking_45</vt:lpstr>
      <vt:lpstr>Linking_46</vt:lpstr>
      <vt:lpstr>Linking_47</vt:lpstr>
      <vt:lpstr>Linking_5</vt:lpstr>
      <vt:lpstr>Linking_Area_102</vt:lpstr>
      <vt:lpstr>Linking_Range_1</vt:lpstr>
      <vt:lpstr>Linking_Range_123</vt:lpstr>
      <vt:lpstr>Linking_Range_2</vt:lpstr>
      <vt:lpstr>Linking_Range_3</vt:lpstr>
      <vt:lpstr>Linking_Range_4</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2013-01-14T19:20:50Z</dcterms:created>
  <dc:creator>Brienne Kugler</dc:creator>
  <cp:lastModifiedBy>Lebowitz, David (Research)</cp:lastModifiedBy>
  <cp:lastPrinted>2018-03-01T18:55:06Z</cp:lastPrinted>
  <dcterms:modified xsi:type="dcterms:W3CDTF">2018-03-05T15:38:44Z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linkTarget="Prop__Plant___Equip_Net" name="_Plant___Equip_Net" pid="2">
    <vt:r8>0</vt:r8>
  </property>
  <property fmtid="{D5CDD505-2E9C-101B-9397-08002B2CF9AE}" name="LinkingAutoNameNumberLinking_Range_" pid="3">
    <vt:lpwstr>53</vt:lpwstr>
  </property>
  <property fmtid="{D5CDD505-2E9C-101B-9397-08002B2CF9AE}" name="{A44787D4-0540-4523-9961-78E4036D8C6D}" pid="4">
    <vt:lpwstr>{36642469-F6FE-44DE-807F-20528C59CCC9}</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754267</vt:lpwstr>
  </property>
  <property fmtid="{D5CDD505-2E9C-101B-9397-08002B2CF9AE}" name="ERModPubCompanyName" pid="8">
    <vt:lpwstr>AveXis Inc</vt:lpwstr>
  </property>
  <property fmtid="{D5CDD505-2E9C-101B-9397-08002B2CF9AE}" name="MSDH34TAG" pid="9">
    <vt:lpwstr>.TEZUF76X5TAHATHESADREYAK-00-INB160+*94600-06=4c767352/-208b/-11e8/-9b95/-96f032c946f3,MD=20180305105156/-0500,ZZ=000Z-b6ef.</vt:lpwstr>
  </property>
</Properties>
</file>