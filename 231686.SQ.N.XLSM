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ms-office.activeX" PartName="/xl/activeX/activeX1.bin"/>
  <Override ContentType="application/vnd.ms-office.activeX+xml" PartName="/xl/activeX/activeX1.xml"/>
  <Override ContentType="application/vnd.ms-office.activeX" PartName="/xl/activeX/activeX2.bin"/>
  <Override ContentType="application/vnd.ms-office.activeX+xml" PartName="/xl/activeX/activeX2.xml"/>
  <Override ContentType="application/vnd.ms-office.activeX" PartName="/xl/activeX/activeX3.bin"/>
  <Override ContentType="application/vnd.ms-office.activeX+xml" PartName="/xl/activeX/activeX3.xml"/>
  <Override ContentType="application/vnd.ms-office.activeX" PartName="/xl/activeX/activeX4.bin"/>
  <Override ContentType="application/vnd.ms-office.activeX+xml" PartName="/xl/activeX/activeX4.xml"/>
  <Override ContentType="application/vnd.ms-office.activeX" PartName="/xl/activeX/activeX5.bin"/>
  <Override ContentType="application/vnd.ms-office.activeX+xml" PartName="/xl/activeX/activeX5.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defaultThemeVersion="124226"/>
  <bookViews>
    <workbookView xWindow="480" yWindow="195" windowWidth="19440" windowHeight="7620"/>
  </bookViews>
  <sheets>
    <sheet name="ImportantDisclosures" sheetId="25" r:id="rId1"/>
    <sheet name="Portfolio Manager's Snapshot" sheetId="1" r:id="rId2"/>
    <sheet name="Quarterly Model" sheetId="2" r:id="rId3"/>
    <sheet name="Segment Detail" sheetId="3" r:id="rId4"/>
    <sheet name="Price Target" sheetId="4" r:id="rId5"/>
    <sheet name="DCF Analysis" sheetId="5" r:id="rId6"/>
    <sheet name="Presentation Format" sheetId="6" r:id="rId7"/>
    <sheet name="IndexInformation" sheetId="26" r:id="rId8"/>
    <sheet name="ModPubIndex" sheetId="27" r:id="rId9"/>
    <sheet name="MW-Cache" sheetId="21" state="veryHidden" r:id="rId10"/>
  </sheets>
  <definedNames>
    <definedName name="__FDS_HYPERLINK_TOGGLE_STATE__" hidden="1">"ON"</definedName>
    <definedName name="__FDS_UNIQUE_RANGE_ID_GENERATOR_COUNTER" hidden="1">1</definedName>
    <definedName name="__FDS_USED_FOR_REUSING_RANGE_IDS_RECYCLE">{2371,2371,2371,2371,2371,2371,2371,2371,2371,2371,2371,2371,2371,2371,2371,2371,2371,2371,2371,2371,2371,2371,2371,2371,2371,2371,2371,2371,2371,2371,2371,2371,2371,2371}</definedName>
    <definedName name="_bdm.066E2DDA26704AC394611645311D8619.edm" localSheetId="1" hidden="1">'Portfolio Manager''s Snapshot'!$B$9:$L$55</definedName>
    <definedName name="_bdm.A09149FEEB6644F6A0FA46B54625C9B2.edm" localSheetId="5" hidden="1">'DCF Analysis'!$B$3:$Q$109</definedName>
    <definedName name="_bdm.BA4879D84E8D49878573258B189CD8CB.edm" localSheetId="1" hidden="1">'Portfolio Manager''s Snapshot'!$B$11:$L$55</definedName>
    <definedName name="_bdm.BE27D87FFAE04CC0A4ABB4EA409C5D97.edm" localSheetId="5" hidden="1">'DCF Analysis'!$B$3:$Q$117</definedName>
    <definedName name="_bdm.C3AAF8809BEB44A7B215987826283A49.edm" hidden="1">'Portfolio Manager''s Snapshot'!$1:$1048576</definedName>
    <definedName name="_bdm.D5BEA084CC57433298178706A37A6E78.edm" localSheetId="5" hidden="1">'DCF Analysis'!$B$2:$Q$117</definedName>
    <definedName name="_Order1" hidden="1">0</definedName>
    <definedName name="_Order1_1" hidden="1">255</definedName>
    <definedName name="_Order2" hidden="1">255</definedName>
    <definedName name="_Regression_Int" hidden="1">1</definedName>
    <definedName name="_Switch">'DCF Analysis'!$B$5</definedName>
    <definedName name="_Toggle">'DCF Analysis'!$A$5</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ccessDatabase" hidden="1">"C:\DATA\Kevin\Kevin's Model.mdb"</definedName>
    <definedName name="actual_start_year">1992</definedName>
    <definedName name="AdditionalInstructions">IndexInformation!$B$42</definedName>
    <definedName name="Address" localSheetId="0">ImportantDisclosures!$A$2:$A$2</definedName>
    <definedName name="admin">1</definedName>
    <definedName name="AllTables">{1}</definedName>
    <definedName name="ANA" localSheetId="8">ModPubIndex!$A$7</definedName>
    <definedName name="anscount" hidden="1">1</definedName>
    <definedName name="AS2DocOpenMode" hidden="1">"AS2DocumentEdit"</definedName>
    <definedName name="AssetsCurrentDeferredIncomeTaxes">0</definedName>
    <definedName name="AssetsCurrentShortTermInvestments">0</definedName>
    <definedName name="AssetsIntangiblesAccumulatedAmortization">0</definedName>
    <definedName name="AssetsIntangiblesGross">0</definedName>
    <definedName name="AssetsOtherAccumulatedAmortization">0</definedName>
    <definedName name="AssetsOtherGross">0</definedName>
    <definedName name="AssetsOtherNet">0</definedName>
    <definedName name="Authors" localSheetId="0">ImportantDisclosures!$A$7</definedName>
    <definedName name="Authors" localSheetId="7">IndexInformation!$B$18</definedName>
    <definedName name="bbb" hidden="1">{#N/A,#N/A,FALSE,"toc";#N/A,#N/A,FALSE,"a1";#N/A,#N/A,FALSE,"a2";#N/A,#N/A,FALSE,"a3";#N/A,#N/A,FALSE,"a4";#N/A,#N/A,FALSE,"a5";#N/A,#N/A,FALSE,"a6";#N/A,#N/A,FALSE,"a7";#N/A,#N/A,FALSE,"a8";#N/A,#N/A,FALSE,"a9";#N/A,#N/A,FALSE,"a10";#N/A,#N/A,FALSE,"a11";#N/A,#N/A,FALSE,"a12";#N/A,#N/A,FALSE,"a13";#N/A,#N/A,FALSE,"a14";#N/A,#N/A,FALSE,"a15";#N/A,#N/A,FALSE,"a16";#N/A,#N/A,FALSE,"a17";#N/A,#N/A,FALSE,"a18";#N/A,#N/A,FALSE,"a19";#N/A,#N/A,FALSE,"a20";#N/A,#N/A,FALSE,"a21";#N/A,#N/A,FALSE,"a22";#N/A,#N/A,FALSE,"a23";#N/A,#N/A,FALSE,"a24";#N/A,#N/A,FALSE,"a25"}</definedName>
    <definedName name="BRO" localSheetId="8">ModPubIndex!$A$1</definedName>
    <definedName name="case_num">1</definedName>
    <definedName name="CashFlowCapitalExpenditureCellular">0</definedName>
    <definedName name="CashFlowCapitalExpenditureOther">0</definedName>
    <definedName name="CashFlowCapitalExpenditurePaging">0</definedName>
    <definedName name="CashFlowCapitalExpenditureTelephone">0</definedName>
    <definedName name="CashFlowCapitalExpenditureWireless">0</definedName>
    <definedName name="CashFlowDividendPaidPreferredStock">0</definedName>
    <definedName name="cb_sChart12595BBC_opts" hidden="1">"1, 1, 1, False, 2, True, False, , 0, False, False, 2, 2"</definedName>
    <definedName name="cb_sChart12595E44_opts" hidden="1">"1, 3, 1, False, 2, True, False, , 0, True, False, 2, 2"</definedName>
    <definedName name="cb_sChart13893CA8_opts" hidden="1">"1, 3, 1, False, 2, False, False, , 0, False, True, 1, 1"</definedName>
    <definedName name="cb_sChart138A89C6_opts" hidden="1">"1, 5, 1, False, 2, True, False, , 0, False, True, 1, 1"</definedName>
    <definedName name="cb_sChart138A98B2_opts" hidden="1">"1, 3, 1, False, 2, False, False, , 0, False, False, 1, 1"</definedName>
    <definedName name="cb_sChart138A9A2F_opts" hidden="1">"1, 5, 1, False, 2, False, False, , 0, False, False, 1, 1"</definedName>
    <definedName name="cb_sChart138B4149_opts" hidden="1">"1, 5, 1, False, 2, False, False, , 0, False, False, 1, 1"</definedName>
    <definedName name="cb_sChart14E6EA1E_opts" hidden="1">"1, 9, 1, False, 2, False, False, , 0, False, False, 1, 2"</definedName>
    <definedName name="cb_sChart14E6EB91_opts" hidden="1">"1, 9, 1, False, 2, False, False, , 0, False, False, 1, 1"</definedName>
    <definedName name="cb_sChart14E6ED99_opts" hidden="1">"1, 9, 1, False, 2, False, False, , 0, False, False, 1, 1"</definedName>
    <definedName name="cb_sChart14E6F3EE_opts" hidden="1">"1, 9, 1, False, 2, False, False, , 0, False, False, 1, 1"</definedName>
    <definedName name="cb_sChart14E81502_opts" hidden="1">"1, 9, 1, False, 2, False, False, , 0, False, False, 1, 2"</definedName>
    <definedName name="cb_sChart14E81DF6_opts" hidden="1">"1, 9, 1, False, 2, False, False, , 0, False, False, 1, 2"</definedName>
    <definedName name="cb_sChart14E82800_opts" hidden="1">"1, 9, 1, False, 2, False, False, , 0, False, False, 1, 2"</definedName>
    <definedName name="cb_sChart14E83288_opts" hidden="1">"1, 9, 1, False, 2, False, False, , 0, False, False, 1, 2"</definedName>
    <definedName name="cb_sChart14E8F629_opts" hidden="1">"1, 9, 1, False, 2, False, False, , 0, False, False, 1, 2"</definedName>
    <definedName name="cb_sChart14F787E8_opts" hidden="1">"1, 9, 1, False, 2, False, False, , 0, False, False, 1, 2"</definedName>
    <definedName name="cb_sChart14F7947A_opts" hidden="1">"1, 9, 1, False, 2, False, False, , 0, False, False, 1, 2"</definedName>
    <definedName name="cb_sChart14F79A09_opts" hidden="1">"1, 9, 1, False, 2, False, False, , 0, False, False, 1, 2"</definedName>
    <definedName name="cb_sChart14FA60AB_opts" hidden="1">"1, 9, 1, False, 2, False, False, , 0, False, False, 1, 2"</definedName>
    <definedName name="cb_sChart14FA650D_opts" hidden="1">"1, 9, 1, False, 2, False, False, , 0, False, False, 1, 2"</definedName>
    <definedName name="cb_sChart1501ACE3_opts" hidden="1">"1, 8, 1, False, 2, False, False, , 0, False, False, 1, 2"</definedName>
    <definedName name="cb_sChart1501AEF7_opts" hidden="1">"1, 9, 1, False, 2, False, False, , 0, False, False, 1, 2"</definedName>
    <definedName name="cb_sChart1501DCE6_opts" hidden="1">"1, 9, 1, False, 2, False, False, , 0, False, False, 1, 2"</definedName>
    <definedName name="cb_sChart1501EF92_opts" hidden="1">"1, 9, 1, False, 2, False, False, , 0, False, False, 1, 2"</definedName>
    <definedName name="cb_sChart1501F8CB_opts" hidden="1">"1, 9, 1, False, 2, False, False, , 0, False, False, 1, 2"</definedName>
    <definedName name="cb_sChart150208AA_opts" hidden="1">"1, 9, 1, False, 2, False, False, , 0, False, False, 1, 2"</definedName>
    <definedName name="cb_sChart15020EC4_opts" hidden="1">"1, 9, 1, False, 2, False, False, , 0, False, False, 1, 2"</definedName>
    <definedName name="cb_sChart150212BF_opts" hidden="1">"1, 9, 1, False, 2, False, False, , 0, False, False, 1, 2"</definedName>
    <definedName name="cb_sChart15021F68_opts" hidden="1">"1, 9, 1, False, 2, False, False, , 0, False, False, 1, 1"</definedName>
    <definedName name="cb_sChart15022484_opts" hidden="1">"1, 9, 1, False, 2, False, False, , 0, False, False, 1, 2"</definedName>
    <definedName name="cb_sChart150226F5_opts" hidden="1">"1, 9, 1, False, 2, False, False, , 0, False, False, 1, 2"</definedName>
    <definedName name="cb_sChart15144595_opts" hidden="1">"1, 9, 1, False, 2, False, False, , 0, False, False, 1, 2"</definedName>
    <definedName name="cb_sChart15145615_opts" hidden="1">"1, 9, 1, False, 2, False, False, , 0, False, False, 1, 2"</definedName>
    <definedName name="cb_sChart151464B0_opts" hidden="1">"1, 9, 1, False, 2, False, False, , 0, False, False, 1, 2"</definedName>
    <definedName name="cb_sChart15146FA1_opts" hidden="1">"1, 9, 1, False, 2, False, False, , 0, False, False, 1, 2"</definedName>
    <definedName name="cb_sChart15149A94_opts" hidden="1">"1, 9, 1, False, 2, False, False, , 0, False, False, 1, 2"</definedName>
    <definedName name="cb_sChart1514EEC3_opts" hidden="1">"1, 9, 1, False, 2, False, False, , 0, False, False, 1, 2"</definedName>
    <definedName name="cb_sChart1514F2E0_opts" hidden="1">"1, 9, 1, False, 2, False, False, , 0, False, False, 1, 2"</definedName>
    <definedName name="cb_sChart151510A0_opts" hidden="1">"1, 9, 1, False, 2, False, False, , 0, False, False, 1, 2"</definedName>
    <definedName name="cb_sChart15154C37_opts" hidden="1">"1, 9, 1, False, 2, False, False, , 0, False, False, 1, 2"</definedName>
    <definedName name="cb_sChart15157034_opts" hidden="1">"1, 9, 1, False, 2, False, False, , 0, False, False, 1, 2"</definedName>
    <definedName name="cb_sChart1515F81B_opts" hidden="1">"1, 9, 1, False, 2, False, False, , 0, False, False, 1, 2"</definedName>
    <definedName name="cb_sChart1515F9EA_opts" hidden="1">"1, 9, 1, False, 2, False, False, , 0, False, False, 1, 2"</definedName>
    <definedName name="cb_sChart15161029_opts" hidden="1">"1, 9, 1, False, 2, False, False, , 0, False, False, 1, 2"</definedName>
    <definedName name="cb_sChart15163773_opts" hidden="1">"1, 9, 1, False, 2, False, False, , 0, False, False, 1, 2"</definedName>
    <definedName name="cb_sChart15164F8C_opts" hidden="1">"1, 9, 1, False, 2, False, False, , 0, False, False, 1, 2"</definedName>
    <definedName name="cb_sChart15165265_opts" hidden="1">"1, 9, 1, False, 2, False, False, , 0, False, False, 1, 2"</definedName>
    <definedName name="cb_sChart15166173_opts" hidden="1">"1, 9, 1, False, 2, False, False, , 0, False, False, 1, 2"</definedName>
    <definedName name="cb_sChart1516A84C_opts" hidden="1">"1, 9, 1, False, 2, False, False, , 0, False, False, 1, 2"</definedName>
    <definedName name="cb_sChart155036A2_opts" hidden="1">"1, 1, 1, False, 2, True, False, , 0, False, False, 1, 1"</definedName>
    <definedName name="cb_sChart16EBA7BA_opts" hidden="1">"1, 1, 1, False, 2, True, False, , 0, False, True, 1, 2"</definedName>
    <definedName name="cb_sChart19550B88_opts" hidden="1">"1, 1, 1, False, 2, False, False, , 0, False, False, 1, 1"</definedName>
    <definedName name="cb_sChart1955183C_opts" hidden="1">"2, 1, 1, True, 2, False, False, , 0, False, False, 1, 1"</definedName>
    <definedName name="cb_sChart19551C4E_opts" hidden="1">"2, 1, 1, True, 2, True, False, , 0, False, False, 1, 1"</definedName>
    <definedName name="cb_sChart1955C01A_opts" hidden="1">"2, 1, 1, False, 2, False, False, , 0, False, True, 1, 1"</definedName>
    <definedName name="cb_sChart1955C1C7_opts" hidden="1">"2, 1, 1, True, 2, False, False, , 0, False, True, 1, 1"</definedName>
    <definedName name="cb_sChart19EB7A17_opts" hidden="1">"1, 3, 1, False, 2, False, False, , 0, False, True, 1, 1"</definedName>
    <definedName name="cb_sChart19EB7D70_opts" hidden="1">"1, 5, 1, False, 2, False, False, , 0, False, True, 1, 1"</definedName>
    <definedName name="cb_sChart19EB7F61_opts" hidden="1">"1, 3, 1, False, 2, False, False, , 0, False, True, 1, 1"</definedName>
    <definedName name="cb_sChart1AC0211C_opts" hidden="1">"1, 1, 1, False, 2, False, False, , 0, False, False, 2, 2"</definedName>
    <definedName name="cb_sChart1AC021B3_opts" hidden="1">"1, 1, 1, False, 2, False, False, , 0, False, False, 2, 2"</definedName>
    <definedName name="cb_sChart1AC02226_opts" hidden="1">"1, 1, 1, False, 2, False, False, , 0, False, False, 2, 2"</definedName>
    <definedName name="cb_sChart1AC02446_opts" hidden="1">"1, 1, 1, False, 2, True, False, , 0, False, True, 2, 2"</definedName>
    <definedName name="cb_sChart1AC02765_opts" hidden="1">"1, 1, 1, False, 2, True, False, , 0, False, True, 2, 2"</definedName>
    <definedName name="cb_sChart1AC027D9_opts" hidden="1">"1, 1, 1, False, 2, True, False, , 0, False, True, 2, 2"</definedName>
    <definedName name="cb_sChart1B9A4AFE_opts" hidden="1">"1, 9, 1, False, 2, False, False, , 0, False, False, 1, 2"</definedName>
    <definedName name="cb_sChart1BA1DC3F_opts" hidden="1">"1, 9, 1, False, 2, False, False, , 0, False, False, 1, 2"</definedName>
    <definedName name="cb_sChart1C94B61D_opts" hidden="1">"1, 9, 3, False, 2, False, False, , 0, False, True, 1, 1"</definedName>
    <definedName name="cb_sChart1C94BA0C_opts" hidden="1">"1, 1, 1, False, 2, True, False, , 0, False, True, 1, 1"</definedName>
    <definedName name="cb_sChart1C94BFE1_opts" hidden="1">"1, 9, 1, False, 2, False, False, , 0, False, True, 1, 1"</definedName>
    <definedName name="cb_sChart1DB9B8D4_opts" hidden="1">"1, 10, 1, False, 2, False, False, , 0, False, False, 1, 1"</definedName>
    <definedName name="cb_sChart1DB9C5CE_opts" hidden="1">"1, 10, 1, False, 2, False, False, , 0, False, False, 1, 1"</definedName>
    <definedName name="cb_sChart1DBCD0EE_opts" hidden="1">"1, 10, 1, False, 2, False, False, , 0, False, False, 1, 1"</definedName>
    <definedName name="cb_sChart1DBCD418_opts" hidden="1">"1, 10, 1, False, 2, False, False, , 0, False, False, 1, 1"</definedName>
    <definedName name="ccc" hidden="1">{#N/A,#N/A,FALSE,"toc";#N/A,#N/A,FALSE,"a1";#N/A,#N/A,FALSE,"a2";#N/A,#N/A,FALSE,"a3";#N/A,#N/A,FALSE,"a4";#N/A,#N/A,FALSE,"a5";#N/A,#N/A,FALSE,"a6";#N/A,#N/A,FALSE,"a7";#N/A,#N/A,FALSE,"a8";#N/A,#N/A,FALSE,"a9";#N/A,#N/A,FALSE,"a10";#N/A,#N/A,FALSE,"a11";#N/A,#N/A,FALSE,"a12";#N/A,#N/A,FALSE,"a13";#N/A,#N/A,FALSE,"a14";#N/A,#N/A,FALSE,"a15";#N/A,#N/A,FALSE,"a16";#N/A,#N/A,FALSE,"a17";#N/A,#N/A,FALSE,"a18";#N/A,#N/A,FALSE,"a19";#N/A,#N/A,FALSE,"a20";#N/A,#N/A,FALSE,"a21";#N/A,#N/A,FALSE,"a22";#N/A,#N/A,FALSE,"a23";#N/A,#N/A,FALSE,"a24";#N/A,#N/A,FALSE,"a25"}</definedName>
    <definedName name="chart">"Chart 1"</definedName>
    <definedName name="Class_B">68.45</definedName>
    <definedName name="cm">1</definedName>
    <definedName name="CopyrightStamp">ImportantDisclosures!$A$27</definedName>
    <definedName name="COU" localSheetId="8">ModPubIndex!$A$5</definedName>
    <definedName name="CQEnd" localSheetId="7">IndexInformation!$B$31</definedName>
    <definedName name="cu102.ShareScalingFactor" hidden="1">1000000</definedName>
    <definedName name="cu103.EmployeeScalingFactor" hidden="1">1000</definedName>
    <definedName name="cu107.DPSSymbol" hidden="1">"US$"</definedName>
    <definedName name="cu107.EPSSymbol" hidden="1">"US$"</definedName>
    <definedName name="cu71.ScalingFactor" hidden="1">1000000</definedName>
    <definedName name="cu71.ScalingFactor_1" hidden="1">1000</definedName>
    <definedName name="Currency" localSheetId="7">IndexInformation!$B$24</definedName>
    <definedName name="CurrentStockPrice" localSheetId="7">IndexInformation!$B$23</definedName>
    <definedName name="CurrQtrEPS" localSheetId="7">IndexInformation!$B$29</definedName>
    <definedName name="CurrYearEPS" localSheetId="7">IndexInformation!$B$11</definedName>
    <definedName name="CurrYearTotalRevenue" localSheetId="7">IndexInformation!$B$10</definedName>
    <definedName name="CurrYearTotalRevenueActual" localSheetId="7">IndexInformation!$B$32</definedName>
    <definedName name="CUSIP" localSheetId="7">IndexInformation!$B$20</definedName>
    <definedName name="CYEnd" localSheetId="7">IndexInformation!$B$30</definedName>
    <definedName name="Date" localSheetId="0">ImportantDisclosures!$A$8</definedName>
    <definedName name="DB">"WIRENYPROD"</definedName>
    <definedName name="dd">{"Jan","Feb","Mar","Apr","May","Jun","Jul","Aug","Sep","Oct","Nov","Dec";"January","February","March","April","May","June","July","August","September","October","November","December"}</definedName>
    <definedName name="Deleted" localSheetId="7">IndexInformation!$B$27</definedName>
    <definedName name="Description" localSheetId="7">IndexInformation!$B$7</definedName>
    <definedName name="DEVELOPMENT">5</definedName>
    <definedName name="Discipline" localSheetId="7">IndexInformation!$B$3</definedName>
    <definedName name="DISCIPLINE" localSheetId="8">ModPubIndex!$A$12</definedName>
    <definedName name="DisclosuresText">ImportantDisclosures!$A$22</definedName>
    <definedName name="Distribution" localSheetId="7">IndexInformation!$B$26</definedName>
    <definedName name="DistTable" localSheetId="0">ImportantDisclosures!#REF!</definedName>
    <definedName name="DistTablePreamble" localSheetId="0">ImportantDisclosures!#REF!</definedName>
    <definedName name="DOCDAT" localSheetId="8">ModPubIndex!$A$2</definedName>
    <definedName name="DOCTIME" localSheetId="8">ModPubIndex!$A$3</definedName>
    <definedName name="DocType" localSheetId="7">IndexInformation!$B$5</definedName>
    <definedName name="EMAIL_ALERT" localSheetId="8">ModPubIndex!$A$10</definedName>
    <definedName name="EmailAlert" localSheetId="7">IndexInformation!$B$28</definedName>
    <definedName name="EquityAdjustments">0</definedName>
    <definedName name="EquityEmployeeStockOwnershipPlan">0</definedName>
    <definedName name="EquityPaidInCapital">0</definedName>
    <definedName name="EquityTreasuryStock">0</definedName>
    <definedName name="Eric" hidden="1">{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136}</definedName>
    <definedName name="ethg" hidden="1">{"'RCIM'!$E$128"}</definedName>
    <definedName name="ev.Calculation" hidden="1">2</definedName>
    <definedName name="ev.Initialized" hidden="1">FALSE</definedName>
    <definedName name="Exch">" Sheet2!$F$2"</definedName>
    <definedName name="FC_Balance_Q" localSheetId="2">'Quarterly Model'!$B$218</definedName>
    <definedName name="FC_DCF">'DCF Analysis'!$B$1</definedName>
    <definedName name="FC_Income_Q" localSheetId="2">'Quarterly Model'!$B$1</definedName>
    <definedName name="FC_Revenue" localSheetId="3">'Segment Detail'!$B$1</definedName>
    <definedName name="FiveYearGrowthRate" localSheetId="7">IndexInformation!$B$16</definedName>
    <definedName name="FollowingYearEPS" localSheetId="7">IndexInformation!$B$15</definedName>
    <definedName name="FollowingYearTotalRevenue" localSheetId="7">IndexInformation!$B$14</definedName>
    <definedName name="FollowingYearTotalRevenueActual" localSheetId="7">IndexInformation!$B$34</definedName>
    <definedName name="Goodwill_Amortization">25</definedName>
    <definedName name="GWyears">40</definedName>
    <definedName name="help" hidden="1">{"'RCIM'!$E$128"}</definedName>
    <definedName name="HL" localSheetId="8">ModPubIndex!$A$8</definedName>
    <definedName name="hn.ExtDb" hidden="1">FALSE</definedName>
    <definedName name="hn.ModelType" hidden="1">"DEAL"</definedName>
    <definedName name="hn.ModelVersion" hidden="1">1</definedName>
    <definedName name="hn.NoUpload" hidden="1">0</definedName>
    <definedName name="hn.Version">"Version 2.14"</definedName>
    <definedName name="HTML_CodePage" hidden="1">936</definedName>
    <definedName name="HTML_Control" hidden="1">{"'Asm'!$E$1:$AX$53"}</definedName>
    <definedName name="HTML_Description" hidden="1">"lin zijian"</definedName>
    <definedName name="HTML_Email" hidden="1">""</definedName>
    <definedName name="HTML_Header" hidden="1">"现金流量表（全部投资）"</definedName>
    <definedName name="HTML_LastUpdate" hidden="1">"10/12/98"</definedName>
    <definedName name="HTML_LineAfter" hidden="1">TRUE</definedName>
    <definedName name="HTML_LineBefore" hidden="1">FALSE</definedName>
    <definedName name="HTML_Name" hidden="1">"linzijia"</definedName>
    <definedName name="HTML_OBDlg2" hidden="1">TRUE</definedName>
    <definedName name="HTML_OBDlg4" hidden="1">TRUE</definedName>
    <definedName name="HTML_OS" hidden="1">0</definedName>
    <definedName name="HTML_PathFile" hidden="1">"C:\lin\bk\MyHTML.htm"</definedName>
    <definedName name="HTML_Title" hidden="1">"PlanRpts220"</definedName>
    <definedName name="HTML1_1" hidden="1">"[TB9.XLS]St_tot_94_95!$A$1:$J$428"</definedName>
    <definedName name="HTML1_10" hidden="1">""</definedName>
    <definedName name="HTML1_11" hidden="1">1</definedName>
    <definedName name="HTML1_12" hidden="1">"F:\USERS\ECON\Census95\Int\T9ST.htm"</definedName>
    <definedName name="HTML1_2" hidden="1">1</definedName>
    <definedName name="HTML1_3" hidden="1">""</definedName>
    <definedName name="HTML1_4" hidden="1">""</definedName>
    <definedName name="HTML1_5" hidden="1">""</definedName>
    <definedName name="HTML1_6" hidden="1">-4146</definedName>
    <definedName name="HTML1_7" hidden="1">-4146</definedName>
    <definedName name="HTML1_8" hidden="1">"2/17/98"</definedName>
    <definedName name="HTML1_9" hidden="1">"BPH"</definedName>
    <definedName name="HTML2_1" hidden="1">"[TB9.XLS]St_tot_94_95!$A$1:$J$427"</definedName>
    <definedName name="HTML2_10" hidden="1">""</definedName>
    <definedName name="HTML2_11" hidden="1">1</definedName>
    <definedName name="HTML2_12" hidden="1">"F:\USERS\ECON\Census95\Int\T9ST.htm"</definedName>
    <definedName name="HTML2_2" hidden="1">1</definedName>
    <definedName name="HTML2_3" hidden="1">""</definedName>
    <definedName name="HTML2_4" hidden="1">""</definedName>
    <definedName name="HTML2_5" hidden="1">""</definedName>
    <definedName name="HTML2_6" hidden="1">-4146</definedName>
    <definedName name="HTML2_7" hidden="1">-4146</definedName>
    <definedName name="HTML2_8" hidden="1">"2/17/98"</definedName>
    <definedName name="HTML2_9" hidden="1">"BPH"</definedName>
    <definedName name="HTML3_1" hidden="1">"[TB9.XLS]St_tot_94_95!$A$1:$H$427"</definedName>
    <definedName name="HTML3_10" hidden="1">""</definedName>
    <definedName name="HTML3_11" hidden="1">1</definedName>
    <definedName name="HTML3_12" hidden="1">"F:\USERS\ECON\Census95\Int\T9st.htm"</definedName>
    <definedName name="HTML3_2" hidden="1">1</definedName>
    <definedName name="HTML3_3" hidden="1">""</definedName>
    <definedName name="HTML3_4" hidden="1">""</definedName>
    <definedName name="HTML3_5" hidden="1">""</definedName>
    <definedName name="HTML3_6" hidden="1">-4146</definedName>
    <definedName name="HTML3_7" hidden="1">-4146</definedName>
    <definedName name="HTML3_8" hidden="1">"2/17/98"</definedName>
    <definedName name="HTML3_9" hidden="1">"BPH"</definedName>
    <definedName name="HTMLCount" hidden="1">3</definedName>
    <definedName name="IncomeEPSFullyDiluted">0</definedName>
    <definedName name="IncomeEPSPrimary">0</definedName>
    <definedName name="IncomeEPSRegular">0</definedName>
    <definedName name="IND" localSheetId="8">ModPubIndex!$A$9</definedName>
    <definedName name="Industry" localSheetId="0">ImportantDisclosures!$A$12</definedName>
    <definedName name="IndustryId">IndexInformation!$B$40</definedName>
    <definedName name="IndustryRating" localSheetId="0">ImportantDisclosures!$A$13</definedName>
    <definedName name="input">{"0.614608629108408";"0.089";"0.07";"0.036";"0.09";"0.39";"0.177761404547907";"0.116071428571429";"0.708";"0.0556964285714285";"0.127160714285714"}</definedName>
    <definedName name="Int_exp">8%</definedName>
    <definedName name="IsColHidden" hidden="1">FALSE</definedName>
    <definedName name="IsLTMColHidden" hidden="1">FALSE</definedName>
    <definedName name="jhiuh" hidden="1">{"'RCIM'!$E$128"}</definedName>
    <definedName name="joimnf" hidden="1">{"'RCIM'!$E$128"}</definedName>
    <definedName name="KeepVersions" localSheetId="7">IndexInformation!$B$8</definedName>
    <definedName name="kw" hidden="1">{"fdsup://Directions/FactSet Auditing Viewer?action=AUDIT_VALUE&amp;DB=129&amp;ID1=03783310&amp;VALUEID=02001&amp;SDATE=2009&amp;PERIODTYPE=ANN_STD&amp;window=popup_no_bar&amp;width=385&amp;height=120&amp;START_MAXIMIZED=FALSE&amp;creator=factset&amp;display_string=Audit"}</definedName>
    <definedName name="LanguageCode">IndexInformation!$B$38</definedName>
    <definedName name="LastCell" localSheetId="0">ImportantDisclosures!$A$22</definedName>
    <definedName name="LiabilitiesCurrentAccruedLiabilities">0</definedName>
    <definedName name="LiabilitiesCurrentNotesPayable">0</definedName>
    <definedName name="LiabilitiesDeferredIncomeTaxes">0</definedName>
    <definedName name="LiabilitiesOther">0</definedName>
    <definedName name="LiabilitiesUnamortizedInvestmentTaxCredits">0</definedName>
    <definedName name="Linking_1">'Presentation Format'!$B$5:$AC$72</definedName>
    <definedName name="Linking_2">'Presentation Format'!$B$74:$AC$119</definedName>
    <definedName name="Linking_23">'Presentation Format'!$B$5:$AM$72</definedName>
    <definedName name="Linking_24">'Presentation Format'!$B$74:$AM$119</definedName>
    <definedName name="Linking_25">'Presentation Format'!$B$121:$AM$153</definedName>
    <definedName name="Linking_28">'DCF Analysis'!$B$5:$R$131</definedName>
    <definedName name="Linking_3">'Presentation Format'!$B$121:$AC$153</definedName>
    <definedName name="Linking_4">'DCF Analysis'!$B$3:$S$129</definedName>
    <definedName name="Linking_5">'DCF Analysis'!$B$5:$R$129</definedName>
    <definedName name="Linking_6">#N/A</definedName>
    <definedName name="Linking_7">#N/A</definedName>
    <definedName name="Linking_Range_10">'Portfolio Manager''s Snapshot'!$B$11:$L$43</definedName>
    <definedName name="Linking_Range_18">'DCF Analysis'!$B$3:$R$128</definedName>
    <definedName name="Linking_Range_19">'Presentation Format'!$B$5:$S$72</definedName>
    <definedName name="Linking_Range_20">'Presentation Format'!$B$74:$S$119</definedName>
    <definedName name="Linking_Range_21">'Presentation Format'!$B$121:$S$153</definedName>
    <definedName name="Linking_Range_22">'Price Target'!$B$4:$D$16</definedName>
    <definedName name="Linking_Range_23">'DCF Analysis'!$B$3:$R$129</definedName>
    <definedName name="Linking_Range_24">'Presentation Format'!$B$5:$S$73</definedName>
    <definedName name="Linking_Range_25">'Portfolio Manager''s Snapshot'!$B$11:$L$47</definedName>
    <definedName name="Linking_Range_26">'Presentation Format'!$B$121:$X$153</definedName>
    <definedName name="Linking_Range_27">'Presentation Format'!$B$74:$X$119</definedName>
    <definedName name="Linking_Range_28">'Presentation Format'!$B$5:$X$72</definedName>
    <definedName name="Linking_Range_30">'DCF Analysis'!$B$5:$P$117</definedName>
    <definedName name="Linking_Range_31">'DCF Analysis'!$B$5:$P$70</definedName>
    <definedName name="Linking_Range_32">'DCF Analysis'!$B$68:$P$117</definedName>
    <definedName name="Linking_Range_33">'DCF Analysis'!$B$5:$P$5</definedName>
    <definedName name="Linking_Range_34">'DCF Analysis'!$E$120:$I$129</definedName>
    <definedName name="Linking_Range_35">'DCF Analysis'!$K$120:$R$129</definedName>
    <definedName name="Linking_Range_43">'Portfolio Manager''s Snapshot'!$B$11:$L$54</definedName>
    <definedName name="Linking_Range_8">'DCF Analysis'!$B$3:$Q$129</definedName>
    <definedName name="MacroVersion" localSheetId="7">IndexInformation!$B$1</definedName>
    <definedName name="mfpoerjf" hidden="1">{"'RCIM'!$E$128"}</definedName>
    <definedName name="misc">1</definedName>
    <definedName name="misc2">1</definedName>
    <definedName name="ModelPrice" localSheetId="0">ImportantDisclosures!$A$14</definedName>
    <definedName name="MonthNames">{"Jan","Feb","Mar","Apr","May","Jun","Jul","Aug","Sep","Oct","Nov","Dec";"January","February","March","April","May","June","July","August","September","October","November","December"}</definedName>
    <definedName name="Multiplier" localSheetId="7">IndexInformation!$B$35</definedName>
    <definedName name="mvropemld" hidden="1">{"'RCIM'!$E$128"}</definedName>
    <definedName name="ncowe" hidden="1">{"'RCIM'!$E$128"}</definedName>
    <definedName name="NextYearEPS" localSheetId="7">IndexInformation!$B$13</definedName>
    <definedName name="NextYearTotalRevenue" localSheetId="7">IndexInformation!$B$12</definedName>
    <definedName name="NextYearTotalRevenueActual" localSheetId="7">IndexInformation!$B$33</definedName>
    <definedName name="Normalized_Income_Statement">"IS_Annual"</definedName>
    <definedName name="NvsASD">"V2000-09-08"</definedName>
    <definedName name="NvsAutoDrillOk">"VN"</definedName>
    <definedName name="NvsElapsedTime">0.000234143517445773</definedName>
    <definedName name="NvsEndTime">36707.2948738426</definedName>
    <definedName name="NvsInstSpec">"%,FMI_ALT_BU,TCA_ALTBU_CORPS,NCONSOLIDATING"</definedName>
    <definedName name="NvsLayoutType">"M3"</definedName>
    <definedName name="NvsNplSpec">"%,X,RZF..,CZF.."</definedName>
    <definedName name="NvsPanelEffdt">"V9999-01-01"</definedName>
    <definedName name="NvsPanelSetid">"VMIDIV"</definedName>
    <definedName name="NvsReqBU">"V52"</definedName>
    <definedName name="NvsReqBUOnly">"VN"</definedName>
    <definedName name="NvsTransLed">"VN"</definedName>
    <definedName name="NvsTreeASD">"V2000-09-08"</definedName>
    <definedName name="NvsValTbl.PRODUCT">"MI_GL_PRODCT_VW"</definedName>
    <definedName name="ObjectType">IndexInformation!$B$37</definedName>
    <definedName name="OpExAmortization">0</definedName>
    <definedName name="OpExBeforeDepreciationAmortizationExtraordinariesOther">0</definedName>
    <definedName name="OpExBeforeDepreciationAmortizationExtraordinariesTotal">0</definedName>
    <definedName name="OpExCostOfEquipment">0</definedName>
    <definedName name="OpExDepreciation">0</definedName>
    <definedName name="OpExGeneralAdministrative">0</definedName>
    <definedName name="OpExSellingMarketing">0</definedName>
    <definedName name="OpExTotal">0</definedName>
    <definedName name="OtherExEquityIncome">0</definedName>
    <definedName name="OtherExGainOnSale">0</definedName>
    <definedName name="OtherExInterestIncome">0</definedName>
    <definedName name="OtherExMinorityInterest">0</definedName>
    <definedName name="OtherExTotal">0</definedName>
    <definedName name="PA_Balance_Q" localSheetId="2">'Quarterly Model'!$B$218:$B$266</definedName>
    <definedName name="PA_Cash_Q" localSheetId="2">'Quarterly Model'!$B$160:$B$210</definedName>
    <definedName name="PA_DCF">'DCF Analysis'!$B$1:$R$158</definedName>
    <definedName name="PA_Income_Q" localSheetId="2">'Quarterly Model'!$B$1:$B$149</definedName>
    <definedName name="PA_Revenue" localSheetId="3">'Segment Detail'!$B$1:$B$36</definedName>
    <definedName name="PANA" localSheetId="8">ModPubIndex!$A$11</definedName>
    <definedName name="PathName" localSheetId="7">IndexInformation!$B$25</definedName>
    <definedName name="pbPrinterFormat">"\\SUSNY007\P100088913 on Ne00:"</definedName>
    <definedName name="pbStartPageNumber">1</definedName>
    <definedName name="Pdate">35902</definedName>
    <definedName name="perc">{"0.85","0.875","0.9","0.925","0.95","0.975","1","1.025","1.05","1.075","1.1","1.125","1.15"}</definedName>
    <definedName name="pooling_Premium">25%</definedName>
    <definedName name="price_date">36098</definedName>
    <definedName name="_xlnm.Print_Area">"Formula removed, name can be deleted."</definedName>
    <definedName name="PRODUCT" localSheetId="8">ModPubIndex!$A$6</definedName>
    <definedName name="ProjectName">{"Client Name or Project Name"}</definedName>
    <definedName name="PSYM" localSheetId="8">ModPubIndex!$A$4</definedName>
    <definedName name="PUB_UserID" hidden="1">"MAYERX"</definedName>
    <definedName name="PublishDate" localSheetId="7">IndexInformation!$B$2</definedName>
    <definedName name="Purchase_Premium_A">25%</definedName>
    <definedName name="Purchase_Premium_B">0.25</definedName>
    <definedName name="Rating" localSheetId="7">IndexInformation!$B$9</definedName>
    <definedName name="RatingsDefined" localSheetId="0">ImportantDisclosures!$A$21</definedName>
    <definedName name="RatingsDefs" localSheetId="0">ImportantDisclosures!#REF!</definedName>
    <definedName name="redux">1</definedName>
    <definedName name="RegACDisclosure" localSheetId="0">ImportantDisclosures!#REF!</definedName>
    <definedName name="ResearchTopic" localSheetId="7">IndexInformation!$B$4</definedName>
    <definedName name="RevenuesCellularEquipment">0</definedName>
    <definedName name="RevenuesCellularOther">0</definedName>
    <definedName name="RevenuesCellularService">0</definedName>
    <definedName name="RevenuesCellularTotal">0</definedName>
    <definedName name="RevenuesPagingEquipment">0</definedName>
    <definedName name="RevenuesPagingOther">0</definedName>
    <definedName name="RevenuesPagingService">0</definedName>
    <definedName name="RevenuesPagingTotal">0</definedName>
    <definedName name="RevenuesWirelessEquipment">0</definedName>
    <definedName name="RevenuesWirelessOther">0</definedName>
    <definedName name="RevenuesWirelessService">0</definedName>
    <definedName name="RIC" localSheetId="7">IndexInformation!$B$21</definedName>
    <definedName name="rrrrrrrr" hidden="1">{"'RCIM'!$E$128"}</definedName>
    <definedName name="SAPFuncF4Help" hidden="1">Main.SAPF4Help()</definedName>
    <definedName name="SECSettlement" localSheetId="0">ImportantDisclosures!#REF!</definedName>
    <definedName name="SEDOL" localSheetId="7">IndexInformation!$B$22</definedName>
    <definedName name="sencount" hidden="1">1</definedName>
    <definedName name="seniorRate">"SrRate"</definedName>
    <definedName name="SharesConvertibleSecurities">0</definedName>
    <definedName name="SharesFullyDiluted">0</definedName>
    <definedName name="SharesOptions">0</definedName>
    <definedName name="SharesOutstandingLatestDate">0</definedName>
    <definedName name="SharesOutstandingOther">0</definedName>
    <definedName name="SharesOutstandingSenior">0</definedName>
    <definedName name="SharesOutstandingSubordinate">0</definedName>
    <definedName name="SharesPrimary">0</definedName>
    <definedName name="SharesWarrants">0</definedName>
    <definedName name="solver_lin" hidden="1">0</definedName>
    <definedName name="solver_num" hidden="1">0</definedName>
    <definedName name="solver_typ" hidden="1">3</definedName>
    <definedName name="solver_val" hidden="1">0.1076</definedName>
    <definedName name="SourceDefined" localSheetId="0">ImportantDisclosures!$A$19</definedName>
    <definedName name="spebdy" hidden="1">{"'RCIM'!$E$128"}</definedName>
    <definedName name="SPWS_WBID">"F1754E3C-8B33-11D3-B915-000086369788"</definedName>
    <definedName name="SrRate">"SrRating"</definedName>
    <definedName name="StatsAccessLinesDomesticInternationalTotalAverage">0</definedName>
    <definedName name="StatsAccessLinesTotalAverage">0</definedName>
    <definedName name="StatsAverageMonthlyRevenue">0</definedName>
    <definedName name="StatsEmployeesConsolidatedInternational">0</definedName>
    <definedName name="StatsEmployeesTelephoneInternational">0</definedName>
    <definedName name="StatsPagingAverageMonthlyRevenue">0</definedName>
    <definedName name="StatsPagingSubscribers">0</definedName>
    <definedName name="StatsPenetration">0</definedName>
    <definedName name="StatsPOPS">0</definedName>
    <definedName name="StatsProportionatePenetration">0</definedName>
    <definedName name="StatsProportionatePOPS">0</definedName>
    <definedName name="StatsProportionateSubscribersAverage">0</definedName>
    <definedName name="StatsProportionateSubscribersBeginning">0</definedName>
    <definedName name="StatsProportionateSubscribersEnding">0</definedName>
    <definedName name="StatsProportionateSubscribersNetAdds">0</definedName>
    <definedName name="StatsSubscribersAverage">0</definedName>
    <definedName name="StatsSubscribersBeginning">0</definedName>
    <definedName name="StatsSubscribersEnding">0</definedName>
    <definedName name="StatsSubscribersNetAdds">0</definedName>
    <definedName name="StockRating" localSheetId="0">ImportantDisclosures!$A$11</definedName>
    <definedName name="SubjectCode" localSheetId="7">IndexInformation!$B$6</definedName>
    <definedName name="SubmitterUserId">IndexInformation!$B$39</definedName>
    <definedName name="SUPPRESSED" localSheetId="8">ModPubIndex!$A$13</definedName>
    <definedName name="Target_Net_Debt">"targ_netdebt"</definedName>
    <definedName name="TargetPrice" localSheetId="0">ImportantDisclosures!$A$15</definedName>
    <definedName name="tax_rate">38%</definedName>
    <definedName name="Template.WIRE">"DBACCESS"</definedName>
    <definedName name="TemplateRegion">IndexInformation!$B$36</definedName>
    <definedName name="This_Year">"1998E"</definedName>
    <definedName name="Ticker" localSheetId="0">ImportantDisclosures!$A$10</definedName>
    <definedName name="TickerRegion">IndexInformation!$B$41</definedName>
    <definedName name="Tickers" localSheetId="7">IndexInformation!$B$19</definedName>
    <definedName name="Total_Fair_Market_Value_Per_Share">"dcfval03"</definedName>
    <definedName name="UpdateReason" localSheetId="7">IndexInformation!$B$17</definedName>
    <definedName name="USRegDisclosures" localSheetId="0">ImportantDisclosures!#REF!</definedName>
    <definedName name="ValuationAdjustmentsOther">0</definedName>
    <definedName name="ValuationAdjustmentsValue">0</definedName>
    <definedName name="ValuationCellularValue">0</definedName>
    <definedName name="ValuationDebtAdjustment">0</definedName>
    <definedName name="ValuationDebtNet">0</definedName>
    <definedName name="ValuationDebtTotal">0</definedName>
    <definedName name="ValuationFirmValue">0</definedName>
    <definedName name="ValuationInvestments">0</definedName>
    <definedName name="ValuationMarketCapitalization">0</definedName>
    <definedName name="ValuationOtherValue">0</definedName>
    <definedName name="ValuationPagingValue">0</definedName>
    <definedName name="ValuationTelephoneValue">0</definedName>
    <definedName name="ValuationWirelessValue">0</definedName>
    <definedName name="Version.WIRE">1</definedName>
    <definedName name="wrn.app_a" hidden="1">{#N/A,#N/A,FALSE,"toc";#N/A,#N/A,FALSE,"a1";#N/A,#N/A,FALSE,"a2";#N/A,#N/A,FALSE,"a3";#N/A,#N/A,FALSE,"a4";#N/A,#N/A,FALSE,"a5";#N/A,#N/A,FALSE,"a6";#N/A,#N/A,FALSE,"a7";#N/A,#N/A,FALSE,"a8";#N/A,#N/A,FALSE,"a9";#N/A,#N/A,FALSE,"a10";#N/A,#N/A,FALSE,"a11";#N/A,#N/A,FALSE,"a12";#N/A,#N/A,FALSE,"a13";#N/A,#N/A,FALSE,"a14a";#N/A,#N/A,FALSE,"a14b";#N/A,#N/A,FALSE,"a15";#N/A,#N/A,FALSE,"a16"}</definedName>
    <definedName name="wrn.app_a." hidden="1">{#N/A,#N/A,FALSE,"toc";#N/A,#N/A,FALSE,"a1";#N/A,#N/A,FALSE,"a2";#N/A,#N/A,FALSE,"a3";#N/A,#N/A,FALSE,"a4";#N/A,#N/A,FALSE,"a5";#N/A,#N/A,FALSE,"a6";#N/A,#N/A,FALSE,"a7";#N/A,#N/A,FALSE,"a8";#N/A,#N/A,FALSE,"a9";#N/A,#N/A,FALSE,"a10";#N/A,#N/A,FALSE,"a11";#N/A,#N/A,FALSE,"a12";#N/A,#N/A,FALSE,"a13";#N/A,#N/A,FALSE,"a14a";#N/A,#N/A,FALSE,"a14b";#N/A,#N/A,FALSE,"a15";#N/A,#N/A,FALSE,"a16"}</definedName>
    <definedName name="wrn.AppendixA." hidden="1">{#N/A,#N/A,FALSE,"toc";#N/A,#N/A,FALSE,"a1";#N/A,#N/A,FALSE,"a2";#N/A,#N/A,FALSE,"a3";#N/A,#N/A,FALSE,"a4";#N/A,#N/A,FALSE,"a5";#N/A,#N/A,FALSE,"a6";#N/A,#N/A,FALSE,"a7";#N/A,#N/A,FALSE,"a8";#N/A,#N/A,FALSE,"a9";#N/A,#N/A,FALSE,"a10";#N/A,#N/A,FALSE,"a11";#N/A,#N/A,FALSE,"a12";#N/A,#N/A,FALSE,"a13";#N/A,#N/A,FALSE,"a14";#N/A,#N/A,FALSE,"a15";#N/A,#N/A,FALSE,"a16";#N/A,#N/A,FALSE,"a17";#N/A,#N/A,FALSE,"a18";#N/A,#N/A,FALSE,"a19";#N/A,#N/A,FALSE,"a20";#N/A,#N/A,FALSE,"a21";#N/A,#N/A,FALSE,"a22";#N/A,#N/A,FALSE,"a23";#N/A,#N/A,FALSE,"a24";#N/A,#N/A,FALSE,"a25"}</definedName>
    <definedName name="wrn.OUTPUT." hidden="1">{"DCF","UPSIDE CASE",FALSE,"Sheet1";"DCF","BASE CASE",FALSE,"Sheet1";"DCF","DOWNSIDE CASE",FALSE,"Sheet1"}</definedName>
    <definedName name="wrn.SBEI." hidden="1">{#N/A,#N/A,TRUE,"Table1";#N/A,#N/A,TRUE,"Table2";#N/A,#N/A,TRUE,"Table3";#N/A,#N/A,TRUE,"Table4";#N/A,#N/A,TRUE,"Table5";#N/A,#N/A,TRUE,"Table6";#N/A,#N/A,TRUE,"Table7";#N/A,#N/A,TRUE,"Table8";#N/A,#N/A,TRUE,"Table9";#N/A,#N/A,TRUE,"Table10";#N/A,#N/A,TRUE,"Table11";#N/A,#N/A,TRUE,"Table12";#N/A,#N/A,TRUE,"Table13";#N/A,#N/A,TRUE,"Table14"}</definedName>
    <definedName name="wrn.Sm_Bus_Char." hidden="1">{#N/A,#N/A,TRUE,"Self_Emp_inv";#N/A,#N/A,TRUE,"Self_Emp_bus";#N/A,#N/A,TRUE,"Employees";#N/A,#N/A,TRUE,"Empl_Char";#N/A,#N/A,TRUE,"Empl_Age";#N/A,#N/A,TRUE,"Empl_Educ";#N/A,#N/A,TRUE,"Empl_Loc";#N/A,#N/A,TRUE,"Empl_Fin_Asst";#N/A,#N/A,TRUE,"Empl_Pens";#N/A,#N/A,TRUE,"Empl_Health"}</definedName>
    <definedName name="Year_End">1988</definedName>
    <definedName name="YrEnd_FFr_USD">0.1767</definedName>
  </definedNames>
  <calcPr calcId="145621"/>
</workbook>
</file>

<file path=xl/calcChain.xml><?xml version="1.0" encoding="utf-8"?>
<calcChain xmlns="http://schemas.openxmlformats.org/spreadsheetml/2006/main">
  <c r="O96" i="3" l="1"/>
  <c r="P96" i="3"/>
  <c r="P97" i="3" s="1"/>
  <c r="Q96" i="3"/>
  <c r="Q97" i="3" s="1"/>
  <c r="R96" i="3"/>
  <c r="S96" i="3"/>
  <c r="S97" i="3" s="1"/>
  <c r="T96" i="3"/>
  <c r="T97" i="3" s="1"/>
  <c r="U96" i="3"/>
  <c r="U97" i="3" s="1"/>
  <c r="O97" i="3"/>
  <c r="R97" i="3"/>
  <c r="O98" i="3"/>
  <c r="P98" i="3"/>
  <c r="Q98" i="3"/>
  <c r="R98" i="3"/>
  <c r="S98" i="3"/>
  <c r="T98" i="3"/>
  <c r="U98" i="3"/>
  <c r="P7" i="5" l="1"/>
  <c r="P85" i="5"/>
  <c r="O85" i="5"/>
  <c r="N85" i="5"/>
  <c r="M85" i="5"/>
  <c r="L85" i="5"/>
  <c r="AI13" i="3" l="1"/>
  <c r="AD13" i="3"/>
  <c r="C68" i="3" l="1"/>
  <c r="C67" i="3"/>
  <c r="C66" i="3"/>
  <c r="D68" i="3"/>
  <c r="D67" i="3"/>
  <c r="D66" i="3"/>
  <c r="V68" i="3"/>
  <c r="U68" i="3"/>
  <c r="T68" i="3"/>
  <c r="V67" i="3"/>
  <c r="U67" i="3"/>
  <c r="T67" i="3"/>
  <c r="T71" i="3" s="1"/>
  <c r="V66" i="3"/>
  <c r="U66" i="3"/>
  <c r="T66" i="3"/>
  <c r="R68" i="3"/>
  <c r="Q68" i="3"/>
  <c r="P68" i="3"/>
  <c r="P72" i="3" s="1"/>
  <c r="O68" i="3"/>
  <c r="T72" i="3" s="1"/>
  <c r="R67" i="3"/>
  <c r="Q67" i="3"/>
  <c r="P67" i="3"/>
  <c r="O67" i="3"/>
  <c r="R66" i="3"/>
  <c r="Q66" i="3"/>
  <c r="P66" i="3"/>
  <c r="O66" i="3"/>
  <c r="M68" i="3"/>
  <c r="M67" i="3"/>
  <c r="L68" i="3"/>
  <c r="Q72" i="3" s="1"/>
  <c r="L67" i="3"/>
  <c r="L66" i="3"/>
  <c r="K68" i="3"/>
  <c r="K67" i="3"/>
  <c r="K66" i="3"/>
  <c r="D76" i="3"/>
  <c r="M79" i="3"/>
  <c r="M75" i="3"/>
  <c r="R79" i="3"/>
  <c r="R75" i="3"/>
  <c r="T80" i="3"/>
  <c r="U80" i="3"/>
  <c r="T76" i="3"/>
  <c r="U76" i="3"/>
  <c r="O80" i="3"/>
  <c r="P80" i="3"/>
  <c r="O76" i="3"/>
  <c r="P76" i="3"/>
  <c r="Q80" i="3"/>
  <c r="Q76" i="3"/>
  <c r="V76" i="3"/>
  <c r="V80" i="3"/>
  <c r="S80" i="3"/>
  <c r="S76" i="3"/>
  <c r="N76" i="3"/>
  <c r="N80" i="3"/>
  <c r="I76" i="3"/>
  <c r="R71" i="3" l="1"/>
  <c r="V71" i="3"/>
  <c r="Q70" i="3"/>
  <c r="T70" i="3"/>
  <c r="V72" i="3"/>
  <c r="U70" i="3"/>
  <c r="P70" i="3"/>
  <c r="R72" i="3"/>
  <c r="U72" i="3"/>
  <c r="P71" i="3"/>
  <c r="R80" i="3"/>
  <c r="Q71" i="3"/>
  <c r="V70" i="3"/>
  <c r="U71" i="3"/>
  <c r="R76" i="3"/>
  <c r="AE42" i="3" l="1"/>
  <c r="AF42" i="3" s="1"/>
  <c r="AG42" i="3" s="1"/>
  <c r="AE34" i="3" l="1"/>
  <c r="AF34" i="3" s="1"/>
  <c r="AG34" i="3" s="1"/>
  <c r="AJ34" i="3"/>
  <c r="AK34" i="3" s="1"/>
  <c r="AL34" i="3" s="1"/>
  <c r="R29" i="3"/>
  <c r="Q29" i="3"/>
  <c r="P29" i="3"/>
  <c r="O29" i="3"/>
  <c r="V29" i="3"/>
  <c r="U29" i="3"/>
  <c r="T29" i="3"/>
  <c r="Z14" i="3"/>
  <c r="AA14" i="3" s="1"/>
  <c r="AB14" i="3" s="1"/>
  <c r="H155" i="6" l="1"/>
  <c r="G155" i="6"/>
  <c r="F155" i="6"/>
  <c r="E155" i="6"/>
  <c r="B153" i="6"/>
  <c r="B152" i="6"/>
  <c r="V150" i="6"/>
  <c r="U150" i="6"/>
  <c r="T150" i="6"/>
  <c r="R150" i="6"/>
  <c r="Q150" i="6"/>
  <c r="P150" i="6"/>
  <c r="O150" i="6"/>
  <c r="M150" i="6"/>
  <c r="L150" i="6"/>
  <c r="K150" i="6"/>
  <c r="J150" i="6"/>
  <c r="I150" i="6"/>
  <c r="D150" i="6"/>
  <c r="B150" i="6"/>
  <c r="V149" i="6"/>
  <c r="U149" i="6"/>
  <c r="T149" i="6"/>
  <c r="R149" i="6"/>
  <c r="Q149" i="6"/>
  <c r="P149" i="6"/>
  <c r="O149" i="6"/>
  <c r="M149" i="6"/>
  <c r="L149" i="6"/>
  <c r="K149" i="6"/>
  <c r="J149" i="6"/>
  <c r="I149" i="6"/>
  <c r="D149" i="6"/>
  <c r="B149" i="6"/>
  <c r="V148" i="6"/>
  <c r="U148" i="6"/>
  <c r="T148" i="6"/>
  <c r="R148" i="6"/>
  <c r="Q148" i="6"/>
  <c r="P148" i="6"/>
  <c r="O148" i="6"/>
  <c r="M148" i="6"/>
  <c r="L148" i="6"/>
  <c r="K148" i="6"/>
  <c r="J148" i="6"/>
  <c r="I148" i="6"/>
  <c r="D148" i="6"/>
  <c r="B148" i="6"/>
  <c r="T147" i="6"/>
  <c r="R147" i="6"/>
  <c r="Q147" i="6"/>
  <c r="P147" i="6"/>
  <c r="O147" i="6"/>
  <c r="M147" i="6"/>
  <c r="L147" i="6"/>
  <c r="K147" i="6"/>
  <c r="J147" i="6"/>
  <c r="I147" i="6"/>
  <c r="D147" i="6"/>
  <c r="B147" i="6"/>
  <c r="T146" i="6"/>
  <c r="R146" i="6"/>
  <c r="Q146" i="6"/>
  <c r="P146" i="6"/>
  <c r="O146" i="6"/>
  <c r="M146" i="6"/>
  <c r="L146" i="6"/>
  <c r="K146" i="6"/>
  <c r="J146" i="6"/>
  <c r="I146" i="6"/>
  <c r="D146" i="6"/>
  <c r="B146" i="6"/>
  <c r="B144" i="6"/>
  <c r="V143" i="6"/>
  <c r="U143" i="6"/>
  <c r="T143" i="6"/>
  <c r="R143" i="6"/>
  <c r="Q143" i="6"/>
  <c r="P143" i="6"/>
  <c r="O143" i="6"/>
  <c r="M143" i="6"/>
  <c r="L143" i="6"/>
  <c r="K143" i="6"/>
  <c r="J143" i="6"/>
  <c r="I143" i="6"/>
  <c r="D143" i="6"/>
  <c r="B143" i="6"/>
  <c r="V142" i="6"/>
  <c r="U142" i="6"/>
  <c r="T142" i="6"/>
  <c r="R142" i="6"/>
  <c r="Q142" i="6"/>
  <c r="P142" i="6"/>
  <c r="M142" i="6"/>
  <c r="L142" i="6"/>
  <c r="K142" i="6"/>
  <c r="J142" i="6"/>
  <c r="I142" i="6"/>
  <c r="D142" i="6"/>
  <c r="B142" i="6"/>
  <c r="B141" i="6"/>
  <c r="V140" i="6"/>
  <c r="Q140" i="6"/>
  <c r="P140" i="6"/>
  <c r="O140" i="6"/>
  <c r="M140" i="6"/>
  <c r="L140" i="6"/>
  <c r="K140" i="6"/>
  <c r="J140" i="6"/>
  <c r="I140" i="6"/>
  <c r="D140" i="6"/>
  <c r="B140" i="6"/>
  <c r="V139" i="6"/>
  <c r="U139" i="6"/>
  <c r="T139" i="6"/>
  <c r="R139" i="6"/>
  <c r="Q139" i="6"/>
  <c r="P139" i="6"/>
  <c r="O139" i="6"/>
  <c r="M139" i="6"/>
  <c r="L139" i="6"/>
  <c r="K139" i="6"/>
  <c r="J139" i="6"/>
  <c r="I139" i="6"/>
  <c r="D139" i="6"/>
  <c r="B139" i="6"/>
  <c r="V138" i="6"/>
  <c r="U138" i="6"/>
  <c r="T138" i="6"/>
  <c r="R138" i="6"/>
  <c r="Q138" i="6"/>
  <c r="P138" i="6"/>
  <c r="O138" i="6"/>
  <c r="M138" i="6"/>
  <c r="L138" i="6"/>
  <c r="K138" i="6"/>
  <c r="J138" i="6"/>
  <c r="I138" i="6"/>
  <c r="D138" i="6"/>
  <c r="B138" i="6"/>
  <c r="U137" i="6"/>
  <c r="T137" i="6"/>
  <c r="R137" i="6"/>
  <c r="Q137" i="6"/>
  <c r="P137" i="6"/>
  <c r="O137" i="6"/>
  <c r="M137" i="6"/>
  <c r="L137" i="6"/>
  <c r="K137" i="6"/>
  <c r="J137" i="6"/>
  <c r="I137" i="6"/>
  <c r="D137" i="6"/>
  <c r="B137" i="6"/>
  <c r="V136" i="6"/>
  <c r="U136" i="6"/>
  <c r="T136" i="6"/>
  <c r="R136" i="6"/>
  <c r="Q136" i="6"/>
  <c r="P136" i="6"/>
  <c r="O136" i="6"/>
  <c r="M136" i="6"/>
  <c r="L136" i="6"/>
  <c r="K136" i="6"/>
  <c r="J136" i="6"/>
  <c r="I136" i="6"/>
  <c r="D136" i="6"/>
  <c r="B136" i="6"/>
  <c r="B135" i="6"/>
  <c r="B133" i="6"/>
  <c r="M132" i="6"/>
  <c r="L132" i="6"/>
  <c r="K132" i="6"/>
  <c r="J132" i="6"/>
  <c r="I132" i="6"/>
  <c r="D132" i="6"/>
  <c r="B132" i="6"/>
  <c r="V131" i="6"/>
  <c r="U131" i="6"/>
  <c r="T131" i="6"/>
  <c r="R131" i="6"/>
  <c r="Q131" i="6"/>
  <c r="P131" i="6"/>
  <c r="O131" i="6"/>
  <c r="M131" i="6"/>
  <c r="L131" i="6"/>
  <c r="K131" i="6"/>
  <c r="J131" i="6"/>
  <c r="I131" i="6"/>
  <c r="D131" i="6"/>
  <c r="B131" i="6"/>
  <c r="V130" i="6"/>
  <c r="U130" i="6"/>
  <c r="T130" i="6"/>
  <c r="R130" i="6"/>
  <c r="Q130" i="6"/>
  <c r="P130" i="6"/>
  <c r="O130" i="6"/>
  <c r="M130" i="6"/>
  <c r="L130" i="6"/>
  <c r="K130" i="6"/>
  <c r="J130" i="6"/>
  <c r="I130" i="6"/>
  <c r="D130" i="6"/>
  <c r="B130" i="6"/>
  <c r="V129" i="6"/>
  <c r="U129" i="6"/>
  <c r="T129" i="6"/>
  <c r="R129" i="6"/>
  <c r="Q129" i="6"/>
  <c r="P129" i="6"/>
  <c r="O129" i="6"/>
  <c r="M129" i="6"/>
  <c r="L129" i="6"/>
  <c r="K129" i="6"/>
  <c r="J129" i="6"/>
  <c r="I129" i="6"/>
  <c r="D129" i="6"/>
  <c r="B129" i="6"/>
  <c r="V128" i="6"/>
  <c r="U128" i="6"/>
  <c r="T128" i="6"/>
  <c r="R128" i="6"/>
  <c r="Q128" i="6"/>
  <c r="P128" i="6"/>
  <c r="O128" i="6"/>
  <c r="M128" i="6"/>
  <c r="L128" i="6"/>
  <c r="K128" i="6"/>
  <c r="J128" i="6"/>
  <c r="I128" i="6"/>
  <c r="D128" i="6"/>
  <c r="B128" i="6"/>
  <c r="B127" i="6"/>
  <c r="N126" i="6"/>
  <c r="M126" i="6"/>
  <c r="L126" i="6"/>
  <c r="K126" i="6"/>
  <c r="J126" i="6"/>
  <c r="I126" i="6"/>
  <c r="D126" i="6"/>
  <c r="B126" i="6"/>
  <c r="T125" i="6"/>
  <c r="R125" i="6"/>
  <c r="Q125" i="6"/>
  <c r="P125" i="6"/>
  <c r="O125" i="6"/>
  <c r="M125" i="6"/>
  <c r="L125" i="6"/>
  <c r="K125" i="6"/>
  <c r="J125" i="6"/>
  <c r="I125" i="6"/>
  <c r="D125" i="6"/>
  <c r="B125" i="6"/>
  <c r="V124" i="6"/>
  <c r="U124" i="6"/>
  <c r="T124" i="6"/>
  <c r="R124" i="6"/>
  <c r="Q124" i="6"/>
  <c r="P124" i="6"/>
  <c r="O124" i="6"/>
  <c r="M124" i="6"/>
  <c r="L124" i="6"/>
  <c r="K124" i="6"/>
  <c r="J124" i="6"/>
  <c r="I124" i="6"/>
  <c r="D124" i="6"/>
  <c r="B124" i="6"/>
  <c r="V123" i="6"/>
  <c r="U123" i="6"/>
  <c r="T123" i="6"/>
  <c r="R123" i="6"/>
  <c r="Q123" i="6"/>
  <c r="P123" i="6"/>
  <c r="O123" i="6"/>
  <c r="M123" i="6"/>
  <c r="L123" i="6"/>
  <c r="K123" i="6"/>
  <c r="J123" i="6"/>
  <c r="I123" i="6"/>
  <c r="D123" i="6"/>
  <c r="B123" i="6"/>
  <c r="V122" i="6"/>
  <c r="U122" i="6"/>
  <c r="T122" i="6"/>
  <c r="R122" i="6"/>
  <c r="P122" i="6"/>
  <c r="O122" i="6"/>
  <c r="M122" i="6"/>
  <c r="L122" i="6"/>
  <c r="K122" i="6"/>
  <c r="J122" i="6"/>
  <c r="I122" i="6"/>
  <c r="D122" i="6"/>
  <c r="B122" i="6"/>
  <c r="AL114" i="6"/>
  <c r="AK114" i="6"/>
  <c r="AJ114" i="6"/>
  <c r="AI114" i="6"/>
  <c r="AG114" i="6"/>
  <c r="AF114" i="6"/>
  <c r="AE114" i="6"/>
  <c r="AD114" i="6"/>
  <c r="AB114" i="6"/>
  <c r="AA114" i="6"/>
  <c r="Z114" i="6"/>
  <c r="Y114" i="6"/>
  <c r="W114" i="6"/>
  <c r="R114" i="6"/>
  <c r="Q114" i="6"/>
  <c r="P114" i="6"/>
  <c r="O114" i="6"/>
  <c r="K114" i="6"/>
  <c r="J114" i="6"/>
  <c r="I114" i="6"/>
  <c r="D114" i="6"/>
  <c r="C114" i="6"/>
  <c r="B114" i="6"/>
  <c r="AL113" i="6"/>
  <c r="AK113" i="6"/>
  <c r="AJ113" i="6"/>
  <c r="AI113" i="6"/>
  <c r="AH113" i="6"/>
  <c r="AG113" i="6"/>
  <c r="AF113" i="6"/>
  <c r="AE113" i="6"/>
  <c r="AD113" i="6"/>
  <c r="AB113" i="6"/>
  <c r="AA113" i="6"/>
  <c r="Z113" i="6"/>
  <c r="Y113" i="6"/>
  <c r="W113" i="6"/>
  <c r="O113" i="6"/>
  <c r="K113" i="6"/>
  <c r="J113" i="6"/>
  <c r="I113" i="6"/>
  <c r="D113" i="6"/>
  <c r="C113" i="6"/>
  <c r="B113" i="6"/>
  <c r="AL112" i="6"/>
  <c r="AK112" i="6"/>
  <c r="AJ112" i="6"/>
  <c r="AI112" i="6"/>
  <c r="AG112" i="6"/>
  <c r="AF112" i="6"/>
  <c r="AE112" i="6"/>
  <c r="AD112" i="6"/>
  <c r="AB112" i="6"/>
  <c r="AA112" i="6"/>
  <c r="Z112" i="6"/>
  <c r="Y112" i="6"/>
  <c r="W112" i="6"/>
  <c r="T112" i="6"/>
  <c r="R112" i="6"/>
  <c r="Q112" i="6"/>
  <c r="P112" i="6"/>
  <c r="O112" i="6"/>
  <c r="M112" i="6"/>
  <c r="K112" i="6"/>
  <c r="J112" i="6"/>
  <c r="I112" i="6"/>
  <c r="D112" i="6"/>
  <c r="C112" i="6"/>
  <c r="B112" i="6"/>
  <c r="AL111" i="6"/>
  <c r="AK111" i="6"/>
  <c r="AJ111" i="6"/>
  <c r="AI111" i="6"/>
  <c r="AG111" i="6"/>
  <c r="AF111" i="6"/>
  <c r="AE111" i="6"/>
  <c r="AD111" i="6"/>
  <c r="AB111" i="6"/>
  <c r="AA111" i="6"/>
  <c r="Z111" i="6"/>
  <c r="Y111" i="6"/>
  <c r="W111" i="6"/>
  <c r="T111" i="6"/>
  <c r="Q111" i="6"/>
  <c r="P111" i="6"/>
  <c r="O111" i="6"/>
  <c r="M111" i="6"/>
  <c r="K111" i="6"/>
  <c r="J111" i="6"/>
  <c r="I111" i="6"/>
  <c r="D111" i="6"/>
  <c r="C111" i="6"/>
  <c r="B111" i="6"/>
  <c r="AL110" i="6"/>
  <c r="AK110" i="6"/>
  <c r="AJ110" i="6"/>
  <c r="AI110" i="6"/>
  <c r="AG110" i="6"/>
  <c r="AF110" i="6"/>
  <c r="AE110" i="6"/>
  <c r="AD110" i="6"/>
  <c r="AB110" i="6"/>
  <c r="AA110" i="6"/>
  <c r="Z110" i="6"/>
  <c r="Y110" i="6"/>
  <c r="W110" i="6"/>
  <c r="T110" i="6"/>
  <c r="O110" i="6"/>
  <c r="L110" i="6"/>
  <c r="K110" i="6"/>
  <c r="J110" i="6"/>
  <c r="I110" i="6"/>
  <c r="D110" i="6"/>
  <c r="C110" i="6"/>
  <c r="B110" i="6"/>
  <c r="AL109" i="6"/>
  <c r="AK109" i="6"/>
  <c r="AJ109" i="6"/>
  <c r="AI109" i="6"/>
  <c r="AG109" i="6"/>
  <c r="AF109" i="6"/>
  <c r="AE109" i="6"/>
  <c r="AD109" i="6"/>
  <c r="AB109" i="6"/>
  <c r="AA109" i="6"/>
  <c r="Z109" i="6"/>
  <c r="Y109" i="6"/>
  <c r="W109" i="6"/>
  <c r="V109" i="6"/>
  <c r="U109" i="6"/>
  <c r="T109" i="6"/>
  <c r="R109" i="6"/>
  <c r="Q109" i="6"/>
  <c r="P109" i="6"/>
  <c r="O109" i="6"/>
  <c r="K109" i="6"/>
  <c r="J109" i="6"/>
  <c r="I109" i="6"/>
  <c r="D109" i="6"/>
  <c r="C109" i="6"/>
  <c r="B109" i="6"/>
  <c r="AL105" i="6"/>
  <c r="AK105" i="6"/>
  <c r="AJ105" i="6"/>
  <c r="AI105" i="6"/>
  <c r="AG105" i="6"/>
  <c r="AF105" i="6"/>
  <c r="AE105" i="6"/>
  <c r="AD105" i="6"/>
  <c r="AB105" i="6"/>
  <c r="AA105" i="6"/>
  <c r="Z105" i="6"/>
  <c r="Y105" i="6"/>
  <c r="W105" i="6"/>
  <c r="T105" i="6"/>
  <c r="O105" i="6"/>
  <c r="K105" i="6"/>
  <c r="J105" i="6"/>
  <c r="I105" i="6"/>
  <c r="D105" i="6"/>
  <c r="C105" i="6"/>
  <c r="B105" i="6"/>
  <c r="K104" i="6"/>
  <c r="J104" i="6"/>
  <c r="I104" i="6"/>
  <c r="D104" i="6"/>
  <c r="C104" i="6"/>
  <c r="B104" i="6"/>
  <c r="AL103" i="6"/>
  <c r="AK103" i="6"/>
  <c r="AJ103" i="6"/>
  <c r="AI103" i="6"/>
  <c r="AG103" i="6"/>
  <c r="AF103" i="6"/>
  <c r="AE103" i="6"/>
  <c r="AD103" i="6"/>
  <c r="AB103" i="6"/>
  <c r="AA103" i="6"/>
  <c r="Z103" i="6"/>
  <c r="Y103" i="6"/>
  <c r="W103" i="6"/>
  <c r="U103" i="6"/>
  <c r="T103" i="6"/>
  <c r="O103" i="6"/>
  <c r="K103" i="6"/>
  <c r="J103" i="6"/>
  <c r="I103" i="6"/>
  <c r="D103" i="6"/>
  <c r="C103" i="6"/>
  <c r="B103" i="6"/>
  <c r="T102" i="6"/>
  <c r="O102" i="6"/>
  <c r="K102" i="6"/>
  <c r="J102" i="6"/>
  <c r="I102" i="6"/>
  <c r="D102" i="6"/>
  <c r="C102" i="6"/>
  <c r="B102" i="6"/>
  <c r="O98" i="6"/>
  <c r="K98" i="6"/>
  <c r="J98" i="6"/>
  <c r="I98" i="6"/>
  <c r="D98" i="6"/>
  <c r="C98" i="6"/>
  <c r="B98" i="6"/>
  <c r="T97" i="6"/>
  <c r="O97" i="6"/>
  <c r="K97" i="6"/>
  <c r="J97" i="6"/>
  <c r="I97" i="6"/>
  <c r="D97" i="6"/>
  <c r="C97" i="6"/>
  <c r="B97" i="6"/>
  <c r="T96" i="6"/>
  <c r="O96" i="6"/>
  <c r="K96" i="6"/>
  <c r="J96" i="6"/>
  <c r="I96" i="6"/>
  <c r="D96" i="6"/>
  <c r="C96" i="6"/>
  <c r="B96" i="6"/>
  <c r="T95" i="6"/>
  <c r="O95" i="6"/>
  <c r="K95" i="6"/>
  <c r="J95" i="6"/>
  <c r="I95" i="6"/>
  <c r="D95" i="6"/>
  <c r="C95" i="6"/>
  <c r="B95" i="6"/>
  <c r="O94" i="6"/>
  <c r="K94" i="6"/>
  <c r="J94" i="6"/>
  <c r="I94" i="6"/>
  <c r="D94" i="6"/>
  <c r="C94" i="6"/>
  <c r="B94" i="6"/>
  <c r="T93" i="6"/>
  <c r="O93" i="6"/>
  <c r="K93" i="6"/>
  <c r="J93" i="6"/>
  <c r="I93" i="6"/>
  <c r="D93" i="6"/>
  <c r="C93" i="6"/>
  <c r="B93" i="6"/>
  <c r="O92" i="6"/>
  <c r="K92" i="6"/>
  <c r="J92" i="6"/>
  <c r="I92" i="6"/>
  <c r="D92" i="6"/>
  <c r="C92" i="6"/>
  <c r="B92" i="6"/>
  <c r="T91" i="6"/>
  <c r="O91" i="6"/>
  <c r="K91" i="6"/>
  <c r="J91" i="6"/>
  <c r="I91" i="6"/>
  <c r="D91" i="6"/>
  <c r="C91" i="6"/>
  <c r="B91" i="6"/>
  <c r="U90" i="6"/>
  <c r="T90" i="6"/>
  <c r="O90" i="6"/>
  <c r="K90" i="6"/>
  <c r="J90" i="6"/>
  <c r="I90" i="6"/>
  <c r="D90" i="6"/>
  <c r="C90" i="6"/>
  <c r="B90" i="6"/>
  <c r="T89" i="6"/>
  <c r="O89" i="6"/>
  <c r="K89" i="6"/>
  <c r="J89" i="6"/>
  <c r="I89" i="6"/>
  <c r="D89" i="6"/>
  <c r="C89" i="6"/>
  <c r="B89" i="6"/>
  <c r="B88" i="6"/>
  <c r="AL87" i="6"/>
  <c r="AK87" i="6"/>
  <c r="AJ87" i="6"/>
  <c r="AI87" i="6"/>
  <c r="AG87" i="6"/>
  <c r="AF87" i="6"/>
  <c r="AE87" i="6"/>
  <c r="AD87" i="6"/>
  <c r="AB87" i="6"/>
  <c r="AA87" i="6"/>
  <c r="Z87" i="6"/>
  <c r="Y87" i="6"/>
  <c r="W87" i="6"/>
  <c r="T87" i="6"/>
  <c r="O87" i="6"/>
  <c r="L87" i="6"/>
  <c r="K87" i="6"/>
  <c r="J87" i="6"/>
  <c r="I87" i="6"/>
  <c r="D87" i="6"/>
  <c r="C87" i="6"/>
  <c r="B87" i="6"/>
  <c r="AM86" i="6"/>
  <c r="AL86" i="6"/>
  <c r="AK86" i="6"/>
  <c r="AJ86" i="6"/>
  <c r="AI86" i="6"/>
  <c r="AG86" i="6"/>
  <c r="AF86" i="6"/>
  <c r="AE86" i="6"/>
  <c r="AD86" i="6"/>
  <c r="AB86" i="6"/>
  <c r="AA86" i="6"/>
  <c r="Z86" i="6"/>
  <c r="Y86" i="6"/>
  <c r="W86" i="6"/>
  <c r="T86" i="6"/>
  <c r="O86" i="6"/>
  <c r="K86" i="6"/>
  <c r="J86" i="6"/>
  <c r="I86" i="6"/>
  <c r="D86" i="6"/>
  <c r="C86" i="6"/>
  <c r="B86" i="6"/>
  <c r="AL85" i="6"/>
  <c r="AK85" i="6"/>
  <c r="AJ85" i="6"/>
  <c r="AI85" i="6"/>
  <c r="AG85" i="6"/>
  <c r="AF85" i="6"/>
  <c r="AE85" i="6"/>
  <c r="AD85" i="6"/>
  <c r="AB85" i="6"/>
  <c r="AA85" i="6"/>
  <c r="Z85" i="6"/>
  <c r="Y85" i="6"/>
  <c r="W85" i="6"/>
  <c r="T85" i="6"/>
  <c r="O85" i="6"/>
  <c r="K85" i="6"/>
  <c r="J85" i="6"/>
  <c r="I85" i="6"/>
  <c r="D85" i="6"/>
  <c r="C85" i="6"/>
  <c r="B85" i="6"/>
  <c r="T84" i="6"/>
  <c r="O84" i="6"/>
  <c r="K84" i="6"/>
  <c r="J84" i="6"/>
  <c r="I84" i="6"/>
  <c r="D84" i="6"/>
  <c r="C84" i="6"/>
  <c r="B84" i="6"/>
  <c r="AL83" i="6"/>
  <c r="AK83" i="6"/>
  <c r="AJ83" i="6"/>
  <c r="AI83" i="6"/>
  <c r="AG83" i="6"/>
  <c r="AF83" i="6"/>
  <c r="AE83" i="6"/>
  <c r="AD83" i="6"/>
  <c r="AB83" i="6"/>
  <c r="AA83" i="6"/>
  <c r="Z83" i="6"/>
  <c r="Y83" i="6"/>
  <c r="W83" i="6"/>
  <c r="V83" i="6"/>
  <c r="U83" i="6"/>
  <c r="T83" i="6"/>
  <c r="Q83" i="6"/>
  <c r="P83" i="6"/>
  <c r="O83" i="6"/>
  <c r="L83" i="6"/>
  <c r="K83" i="6"/>
  <c r="J83" i="6"/>
  <c r="I83" i="6"/>
  <c r="D83" i="6"/>
  <c r="C83" i="6"/>
  <c r="B83" i="6"/>
  <c r="AL82" i="6"/>
  <c r="AK82" i="6"/>
  <c r="AJ82" i="6"/>
  <c r="AI82" i="6"/>
  <c r="AG82" i="6"/>
  <c r="AF82" i="6"/>
  <c r="AE82" i="6"/>
  <c r="AD82" i="6"/>
  <c r="AB82" i="6"/>
  <c r="AA82" i="6"/>
  <c r="Z82" i="6"/>
  <c r="Y82" i="6"/>
  <c r="W82" i="6"/>
  <c r="V82" i="6"/>
  <c r="U82" i="6"/>
  <c r="T82" i="6"/>
  <c r="Q82" i="6"/>
  <c r="P82" i="6"/>
  <c r="O82" i="6"/>
  <c r="K82" i="6"/>
  <c r="J82" i="6"/>
  <c r="I82" i="6"/>
  <c r="D82" i="6"/>
  <c r="C82" i="6"/>
  <c r="B82" i="6"/>
  <c r="T81" i="6"/>
  <c r="O81" i="6"/>
  <c r="K81" i="6"/>
  <c r="J81" i="6"/>
  <c r="I81" i="6"/>
  <c r="D81" i="6"/>
  <c r="C81" i="6"/>
  <c r="B81" i="6"/>
  <c r="AI80" i="6"/>
  <c r="AD80" i="6"/>
  <c r="Z80" i="6"/>
  <c r="Y80" i="6"/>
  <c r="T80" i="6"/>
  <c r="R80" i="6"/>
  <c r="Q80" i="6"/>
  <c r="P80" i="6"/>
  <c r="O80" i="6"/>
  <c r="M80" i="6"/>
  <c r="L80" i="6"/>
  <c r="B80" i="6"/>
  <c r="B79" i="6"/>
  <c r="T78" i="6"/>
  <c r="O78" i="6"/>
  <c r="K78" i="6"/>
  <c r="J78" i="6"/>
  <c r="I78" i="6"/>
  <c r="D78" i="6"/>
  <c r="C78" i="6"/>
  <c r="B78" i="6"/>
  <c r="B77" i="6"/>
  <c r="T76" i="6"/>
  <c r="O76" i="6"/>
  <c r="K76" i="6"/>
  <c r="J76" i="6"/>
  <c r="I76" i="6"/>
  <c r="D76" i="6"/>
  <c r="C76" i="6"/>
  <c r="B76" i="6"/>
  <c r="V72" i="6"/>
  <c r="U72" i="6"/>
  <c r="T72" i="6"/>
  <c r="R72" i="6"/>
  <c r="Q72" i="6"/>
  <c r="M72" i="6"/>
  <c r="I72" i="6"/>
  <c r="E72" i="6"/>
  <c r="D72" i="6"/>
  <c r="C72" i="6"/>
  <c r="Q71" i="6"/>
  <c r="P71" i="6"/>
  <c r="O71" i="6"/>
  <c r="N71" i="6"/>
  <c r="M71" i="6"/>
  <c r="L71" i="6"/>
  <c r="K71" i="6"/>
  <c r="J71" i="6"/>
  <c r="I71" i="6"/>
  <c r="H71" i="6"/>
  <c r="G71" i="6"/>
  <c r="F71" i="6"/>
  <c r="E71" i="6"/>
  <c r="D71" i="6"/>
  <c r="AL61" i="6"/>
  <c r="AK61" i="6"/>
  <c r="AJ61" i="6"/>
  <c r="AI61" i="6"/>
  <c r="AG61" i="6"/>
  <c r="AF61" i="6"/>
  <c r="AE61" i="6"/>
  <c r="AD61" i="6"/>
  <c r="AB61" i="6"/>
  <c r="AA61" i="6"/>
  <c r="Z61" i="6"/>
  <c r="Y61" i="6"/>
  <c r="W61" i="6"/>
  <c r="V61" i="6"/>
  <c r="U61" i="6"/>
  <c r="T61" i="6"/>
  <c r="R61" i="6"/>
  <c r="Q61" i="6"/>
  <c r="O61" i="6"/>
  <c r="M61" i="6"/>
  <c r="L61" i="6"/>
  <c r="K61" i="6"/>
  <c r="J61" i="6"/>
  <c r="H61" i="6"/>
  <c r="G61" i="6"/>
  <c r="F61" i="6"/>
  <c r="E61" i="6"/>
  <c r="D61" i="6"/>
  <c r="C61" i="6"/>
  <c r="AD59" i="6"/>
  <c r="Y59" i="6"/>
  <c r="V58" i="6"/>
  <c r="U58" i="6"/>
  <c r="T58" i="6"/>
  <c r="R58" i="6"/>
  <c r="Q58" i="6"/>
  <c r="P58" i="6"/>
  <c r="O58" i="6"/>
  <c r="M58" i="6"/>
  <c r="L58" i="6"/>
  <c r="K58" i="6"/>
  <c r="J58" i="6"/>
  <c r="H58" i="6"/>
  <c r="G58" i="6"/>
  <c r="F58" i="6"/>
  <c r="E58" i="6"/>
  <c r="D58" i="6"/>
  <c r="C58" i="6"/>
  <c r="R56" i="6"/>
  <c r="Q56" i="6"/>
  <c r="P56" i="6"/>
  <c r="O56" i="6"/>
  <c r="M56" i="6"/>
  <c r="L56" i="6"/>
  <c r="K56" i="6"/>
  <c r="J56" i="6"/>
  <c r="H56" i="6"/>
  <c r="G56" i="6"/>
  <c r="F56" i="6"/>
  <c r="E56" i="6"/>
  <c r="D56" i="6"/>
  <c r="C56" i="6"/>
  <c r="R55" i="6"/>
  <c r="Q55" i="6"/>
  <c r="P55" i="6"/>
  <c r="O55" i="6"/>
  <c r="M55" i="6"/>
  <c r="L55" i="6"/>
  <c r="K55" i="6"/>
  <c r="J55" i="6"/>
  <c r="H55" i="6"/>
  <c r="G55" i="6"/>
  <c r="F55" i="6"/>
  <c r="E55" i="6"/>
  <c r="D55" i="6"/>
  <c r="C55" i="6"/>
  <c r="H51" i="6"/>
  <c r="G51" i="6"/>
  <c r="F51" i="6"/>
  <c r="E51" i="6"/>
  <c r="V48" i="6"/>
  <c r="U48" i="6"/>
  <c r="T48" i="6"/>
  <c r="R48" i="6"/>
  <c r="Q48" i="6"/>
  <c r="P48" i="6"/>
  <c r="O48" i="6"/>
  <c r="M48" i="6"/>
  <c r="H44" i="6"/>
  <c r="G44" i="6"/>
  <c r="F44" i="6"/>
  <c r="E44" i="6"/>
  <c r="B43" i="6"/>
  <c r="AL41" i="6"/>
  <c r="AK41" i="6"/>
  <c r="AJ41" i="6"/>
  <c r="AI41" i="6"/>
  <c r="AG41" i="6"/>
  <c r="AF41" i="6"/>
  <c r="AE41" i="6"/>
  <c r="AD41" i="6"/>
  <c r="AB41" i="6"/>
  <c r="AA41" i="6"/>
  <c r="Z41" i="6"/>
  <c r="Y41" i="6"/>
  <c r="W41" i="6"/>
  <c r="V41" i="6"/>
  <c r="U41" i="6"/>
  <c r="T41" i="6"/>
  <c r="R41" i="6"/>
  <c r="Q41" i="6"/>
  <c r="P41" i="6"/>
  <c r="O41" i="6"/>
  <c r="M41" i="6"/>
  <c r="L41" i="6"/>
  <c r="K41" i="6"/>
  <c r="J41" i="6"/>
  <c r="H41" i="6"/>
  <c r="G41" i="6"/>
  <c r="F41" i="6"/>
  <c r="E41" i="6"/>
  <c r="D41" i="6"/>
  <c r="C41" i="6"/>
  <c r="V40" i="6"/>
  <c r="U40" i="6"/>
  <c r="T40" i="6"/>
  <c r="R40" i="6"/>
  <c r="Q40" i="6"/>
  <c r="P40" i="6"/>
  <c r="O40" i="6"/>
  <c r="M40" i="6"/>
  <c r="L40" i="6"/>
  <c r="K40" i="6"/>
  <c r="J40" i="6"/>
  <c r="H40" i="6"/>
  <c r="G40" i="6"/>
  <c r="F40" i="6"/>
  <c r="E40" i="6"/>
  <c r="D40" i="6"/>
  <c r="C40" i="6"/>
  <c r="V39" i="6"/>
  <c r="U39" i="6"/>
  <c r="T39" i="6"/>
  <c r="R39" i="6"/>
  <c r="Q39" i="6"/>
  <c r="P39" i="6"/>
  <c r="O39" i="6"/>
  <c r="M39" i="6"/>
  <c r="L39" i="6"/>
  <c r="K39" i="6"/>
  <c r="J39" i="6"/>
  <c r="H39" i="6"/>
  <c r="G39" i="6"/>
  <c r="F39" i="6"/>
  <c r="E39" i="6"/>
  <c r="D39" i="6"/>
  <c r="C39" i="6"/>
  <c r="T38" i="6"/>
  <c r="Q38" i="6"/>
  <c r="M38" i="6"/>
  <c r="L38" i="6"/>
  <c r="K38" i="6"/>
  <c r="J38" i="6"/>
  <c r="H38" i="6"/>
  <c r="G38" i="6"/>
  <c r="F38" i="6"/>
  <c r="E38" i="6"/>
  <c r="D38" i="6"/>
  <c r="C38" i="6"/>
  <c r="V37" i="6"/>
  <c r="U37" i="6"/>
  <c r="T37" i="6"/>
  <c r="R37" i="6"/>
  <c r="Q37" i="6"/>
  <c r="P37" i="6"/>
  <c r="O37" i="6"/>
  <c r="M37" i="6"/>
  <c r="L37" i="6"/>
  <c r="K37" i="6"/>
  <c r="J37" i="6"/>
  <c r="H37" i="6"/>
  <c r="G37" i="6"/>
  <c r="F37" i="6"/>
  <c r="E37" i="6"/>
  <c r="D37" i="6"/>
  <c r="C37" i="6"/>
  <c r="V36" i="6"/>
  <c r="U36" i="6"/>
  <c r="T36" i="6"/>
  <c r="R36" i="6"/>
  <c r="Q36" i="6"/>
  <c r="P36" i="6"/>
  <c r="O36" i="6"/>
  <c r="M36" i="6"/>
  <c r="L36" i="6"/>
  <c r="K36" i="6"/>
  <c r="J36" i="6"/>
  <c r="H36" i="6"/>
  <c r="G36" i="6"/>
  <c r="F36" i="6"/>
  <c r="E36" i="6"/>
  <c r="D36" i="6"/>
  <c r="C36" i="6"/>
  <c r="V29" i="6"/>
  <c r="U29" i="6"/>
  <c r="T29" i="6"/>
  <c r="R29" i="6"/>
  <c r="Q29" i="6"/>
  <c r="P29" i="6"/>
  <c r="O29" i="6"/>
  <c r="M29" i="6"/>
  <c r="L29" i="6"/>
  <c r="K29" i="6"/>
  <c r="J29" i="6"/>
  <c r="H29" i="6"/>
  <c r="G29" i="6"/>
  <c r="F29" i="6"/>
  <c r="E29" i="6"/>
  <c r="D29" i="6"/>
  <c r="C29" i="6"/>
  <c r="V28" i="6"/>
  <c r="U28" i="6"/>
  <c r="T28" i="6"/>
  <c r="R28" i="6"/>
  <c r="Q28" i="6"/>
  <c r="P28" i="6"/>
  <c r="O28" i="6"/>
  <c r="M28" i="6"/>
  <c r="L28" i="6"/>
  <c r="K28" i="6"/>
  <c r="J28" i="6"/>
  <c r="H28" i="6"/>
  <c r="G28" i="6"/>
  <c r="F28" i="6"/>
  <c r="E28" i="6"/>
  <c r="D28" i="6"/>
  <c r="C28" i="6"/>
  <c r="V27" i="6"/>
  <c r="U27" i="6"/>
  <c r="T27" i="6"/>
  <c r="R27" i="6"/>
  <c r="Q27" i="6"/>
  <c r="P27" i="6"/>
  <c r="O27" i="6"/>
  <c r="M27" i="6"/>
  <c r="L27" i="6"/>
  <c r="K27" i="6"/>
  <c r="J27" i="6"/>
  <c r="H27" i="6"/>
  <c r="G27" i="6"/>
  <c r="F27" i="6"/>
  <c r="E27" i="6"/>
  <c r="D27" i="6"/>
  <c r="C27" i="6"/>
  <c r="AM26" i="6"/>
  <c r="AL26" i="6"/>
  <c r="AK26" i="6"/>
  <c r="AJ26" i="6"/>
  <c r="AI26" i="6"/>
  <c r="AH26" i="6"/>
  <c r="AG26" i="6"/>
  <c r="AF26" i="6"/>
  <c r="AE26" i="6"/>
  <c r="AD26" i="6"/>
  <c r="AC26" i="6"/>
  <c r="AB26" i="6"/>
  <c r="AA26" i="6"/>
  <c r="Z26" i="6"/>
  <c r="Y26" i="6"/>
  <c r="X26" i="6"/>
  <c r="W26" i="6"/>
  <c r="V26" i="6"/>
  <c r="U26" i="6"/>
  <c r="T26" i="6"/>
  <c r="R26" i="6"/>
  <c r="Q26" i="6"/>
  <c r="P26" i="6"/>
  <c r="O26" i="6"/>
  <c r="M26" i="6"/>
  <c r="L26" i="6"/>
  <c r="K26" i="6"/>
  <c r="J26" i="6"/>
  <c r="H26" i="6"/>
  <c r="G26" i="6"/>
  <c r="F26" i="6"/>
  <c r="E26" i="6"/>
  <c r="D26" i="6"/>
  <c r="C26" i="6"/>
  <c r="H25" i="6"/>
  <c r="G25" i="6"/>
  <c r="F25" i="6"/>
  <c r="E25" i="6"/>
  <c r="V21" i="6"/>
  <c r="U21" i="6"/>
  <c r="T21" i="6"/>
  <c r="R21" i="6"/>
  <c r="Q21" i="6"/>
  <c r="P21" i="6"/>
  <c r="O21" i="6"/>
  <c r="M21" i="6"/>
  <c r="L21" i="6"/>
  <c r="K21" i="6"/>
  <c r="J21" i="6"/>
  <c r="H21" i="6"/>
  <c r="G21" i="6"/>
  <c r="F21" i="6"/>
  <c r="E21" i="6"/>
  <c r="D21" i="6"/>
  <c r="C21" i="6"/>
  <c r="H19" i="6"/>
  <c r="G19" i="6"/>
  <c r="F19" i="6"/>
  <c r="E19" i="6"/>
  <c r="H16" i="6"/>
  <c r="G16" i="6"/>
  <c r="F16" i="6"/>
  <c r="E16" i="6"/>
  <c r="V15" i="6"/>
  <c r="U15" i="6"/>
  <c r="T15" i="6"/>
  <c r="R15" i="6"/>
  <c r="Q15" i="6"/>
  <c r="P15" i="6"/>
  <c r="O15" i="6"/>
  <c r="M15" i="6"/>
  <c r="L15" i="6"/>
  <c r="K15" i="6"/>
  <c r="J15" i="6"/>
  <c r="H15" i="6"/>
  <c r="G15" i="6"/>
  <c r="F15" i="6"/>
  <c r="E15" i="6"/>
  <c r="D15" i="6"/>
  <c r="C15" i="6"/>
  <c r="B15" i="6"/>
  <c r="H13" i="6"/>
  <c r="G13" i="6"/>
  <c r="F13" i="6"/>
  <c r="E13" i="6"/>
  <c r="V12" i="6"/>
  <c r="U12" i="6"/>
  <c r="T12" i="6"/>
  <c r="R12" i="6"/>
  <c r="Q12" i="6"/>
  <c r="P12" i="6"/>
  <c r="O12" i="6"/>
  <c r="M12" i="6"/>
  <c r="L12" i="6"/>
  <c r="K12" i="6"/>
  <c r="J12" i="6"/>
  <c r="H12" i="6"/>
  <c r="G12" i="6"/>
  <c r="F12" i="6"/>
  <c r="E12" i="6"/>
  <c r="D12" i="6"/>
  <c r="C12" i="6"/>
  <c r="B12" i="6"/>
  <c r="AM10" i="6"/>
  <c r="AL10" i="6"/>
  <c r="AK10" i="6"/>
  <c r="AJ10" i="6"/>
  <c r="AI10" i="6"/>
  <c r="AH10" i="6"/>
  <c r="AG10" i="6"/>
  <c r="AF10" i="6"/>
  <c r="AE10" i="6"/>
  <c r="AD10" i="6"/>
  <c r="AC10" i="6"/>
  <c r="AB10" i="6"/>
  <c r="AA10" i="6"/>
  <c r="Z10" i="6"/>
  <c r="Y10" i="6"/>
  <c r="X10" i="6"/>
  <c r="W10" i="6"/>
  <c r="V10" i="6"/>
  <c r="U10" i="6"/>
  <c r="T10" i="6"/>
  <c r="H10" i="6"/>
  <c r="G10" i="6"/>
  <c r="F10" i="6"/>
  <c r="E10" i="6"/>
  <c r="AM9" i="6"/>
  <c r="AL9" i="6"/>
  <c r="AK9" i="6"/>
  <c r="AJ9" i="6"/>
  <c r="AI9" i="6"/>
  <c r="AH9" i="6"/>
  <c r="AG9" i="6"/>
  <c r="AF9" i="6"/>
  <c r="AE9" i="6"/>
  <c r="AD9" i="6"/>
  <c r="AC9" i="6"/>
  <c r="AB9" i="6"/>
  <c r="AA9" i="6"/>
  <c r="Z9" i="6"/>
  <c r="Y9" i="6"/>
  <c r="X9" i="6"/>
  <c r="W9" i="6"/>
  <c r="V9" i="6"/>
  <c r="U9" i="6"/>
  <c r="T9" i="6"/>
  <c r="R9" i="6"/>
  <c r="Q9" i="6"/>
  <c r="P9" i="6"/>
  <c r="O9" i="6"/>
  <c r="M9" i="6"/>
  <c r="L9" i="6"/>
  <c r="K9" i="6"/>
  <c r="J9" i="6"/>
  <c r="H9" i="6"/>
  <c r="G9" i="6"/>
  <c r="F9" i="6"/>
  <c r="E9" i="6"/>
  <c r="D9" i="6"/>
  <c r="C9" i="6"/>
  <c r="B9" i="6"/>
  <c r="H7" i="6"/>
  <c r="G7" i="6"/>
  <c r="F7" i="6"/>
  <c r="E7" i="6"/>
  <c r="V6" i="6"/>
  <c r="U6" i="6"/>
  <c r="T6" i="6"/>
  <c r="R6" i="6"/>
  <c r="Q6" i="6"/>
  <c r="P6" i="6"/>
  <c r="O6" i="6"/>
  <c r="M6" i="6"/>
  <c r="L6" i="6"/>
  <c r="K6" i="6"/>
  <c r="J6" i="6"/>
  <c r="H6" i="6"/>
  <c r="G6" i="6"/>
  <c r="F6" i="6"/>
  <c r="E6" i="6"/>
  <c r="D6" i="6"/>
  <c r="C6" i="6"/>
  <c r="B6" i="6"/>
  <c r="C5" i="6"/>
  <c r="C121" i="6" s="1"/>
  <c r="C157" i="5"/>
  <c r="E141" i="5" s="1"/>
  <c r="C154" i="5"/>
  <c r="C153" i="5" s="1"/>
  <c r="L126" i="5"/>
  <c r="L127" i="5" s="1"/>
  <c r="L128" i="5" s="1"/>
  <c r="P123" i="5"/>
  <c r="Q123" i="5" s="1"/>
  <c r="N123" i="5"/>
  <c r="M123" i="5" s="1"/>
  <c r="E106" i="5"/>
  <c r="D106" i="5"/>
  <c r="C106" i="5"/>
  <c r="E104" i="5"/>
  <c r="D104" i="5"/>
  <c r="C104" i="5"/>
  <c r="E102" i="5"/>
  <c r="D102" i="5"/>
  <c r="C102" i="5"/>
  <c r="D84" i="5"/>
  <c r="C84" i="5"/>
  <c r="D81" i="5"/>
  <c r="C81" i="5"/>
  <c r="D80" i="5"/>
  <c r="C80" i="5"/>
  <c r="C72" i="5"/>
  <c r="D65" i="5"/>
  <c r="D100" i="5" s="1"/>
  <c r="C65" i="5"/>
  <c r="L61" i="5"/>
  <c r="M61" i="5" s="1"/>
  <c r="N61" i="5" s="1"/>
  <c r="O61" i="5" s="1"/>
  <c r="P61" i="5" s="1"/>
  <c r="L59" i="5"/>
  <c r="M59" i="5" s="1"/>
  <c r="N59" i="5" s="1"/>
  <c r="O59" i="5" s="1"/>
  <c r="P59" i="5" s="1"/>
  <c r="K55" i="5"/>
  <c r="J55" i="5"/>
  <c r="I55" i="5"/>
  <c r="H55" i="5"/>
  <c r="D55" i="5"/>
  <c r="C55" i="5"/>
  <c r="D53" i="5"/>
  <c r="C53" i="5"/>
  <c r="D50" i="5"/>
  <c r="C50" i="5"/>
  <c r="D47" i="5"/>
  <c r="C47" i="5"/>
  <c r="D44" i="5"/>
  <c r="C44" i="5"/>
  <c r="D41" i="5"/>
  <c r="C41" i="5"/>
  <c r="D38" i="5"/>
  <c r="C38" i="5"/>
  <c r="D35" i="5"/>
  <c r="C35" i="5"/>
  <c r="D32" i="5"/>
  <c r="C32" i="5"/>
  <c r="D25" i="5"/>
  <c r="C25" i="5"/>
  <c r="K19" i="5"/>
  <c r="J19" i="5"/>
  <c r="I19" i="5"/>
  <c r="H19" i="5"/>
  <c r="D19" i="5"/>
  <c r="C19" i="5"/>
  <c r="D16" i="5"/>
  <c r="C16" i="5"/>
  <c r="D12" i="5"/>
  <c r="C12" i="5"/>
  <c r="D9" i="5"/>
  <c r="C9" i="5"/>
  <c r="D6" i="5"/>
  <c r="C6" i="5"/>
  <c r="I5" i="5"/>
  <c r="H5" i="5"/>
  <c r="G5" i="5"/>
  <c r="F5" i="5"/>
  <c r="E5" i="5"/>
  <c r="D5" i="5"/>
  <c r="D4" i="5" s="1"/>
  <c r="C5" i="5"/>
  <c r="C4" i="5" s="1"/>
  <c r="C115" i="5" s="1"/>
  <c r="B5" i="5"/>
  <c r="C126" i="5" s="1"/>
  <c r="Q94" i="3"/>
  <c r="P94" i="3"/>
  <c r="V85" i="3"/>
  <c r="U85" i="3"/>
  <c r="T85" i="3"/>
  <c r="R85" i="3"/>
  <c r="L84" i="3"/>
  <c r="Q85" i="3" s="1"/>
  <c r="M62" i="3"/>
  <c r="M66" i="3" s="1"/>
  <c r="R70" i="3" s="1"/>
  <c r="V45" i="3"/>
  <c r="U45" i="3"/>
  <c r="T45" i="3"/>
  <c r="R45" i="3"/>
  <c r="Q45" i="3"/>
  <c r="P45" i="3"/>
  <c r="O45" i="3"/>
  <c r="M45" i="3"/>
  <c r="L45" i="3"/>
  <c r="K45" i="3"/>
  <c r="J45" i="3"/>
  <c r="H45" i="3"/>
  <c r="H49" i="3" s="1"/>
  <c r="H8" i="6" s="1"/>
  <c r="G45" i="3"/>
  <c r="G50" i="3" s="1"/>
  <c r="G11" i="6" s="1"/>
  <c r="F45" i="3"/>
  <c r="F51" i="3" s="1"/>
  <c r="F14" i="6" s="1"/>
  <c r="E45" i="3"/>
  <c r="E52" i="3" s="1"/>
  <c r="E17" i="6" s="1"/>
  <c r="D45" i="3"/>
  <c r="C45" i="3"/>
  <c r="AI43" i="3"/>
  <c r="AG43" i="3"/>
  <c r="AF43" i="3"/>
  <c r="AE43" i="3"/>
  <c r="AD43" i="3"/>
  <c r="AB43" i="3"/>
  <c r="AA43" i="3"/>
  <c r="Z43" i="3"/>
  <c r="Y43" i="3"/>
  <c r="W43" i="3"/>
  <c r="AJ42" i="3"/>
  <c r="AJ43" i="3" s="1"/>
  <c r="AI41" i="3"/>
  <c r="AG41" i="3"/>
  <c r="AF41" i="3"/>
  <c r="AE41" i="3"/>
  <c r="AD41" i="3"/>
  <c r="AB41" i="3"/>
  <c r="AA41" i="3"/>
  <c r="Z41" i="3"/>
  <c r="Y41" i="3"/>
  <c r="W41" i="3"/>
  <c r="V40" i="3"/>
  <c r="U40" i="3"/>
  <c r="U16" i="6" s="1"/>
  <c r="T40" i="3"/>
  <c r="T16" i="6" s="1"/>
  <c r="R40" i="3"/>
  <c r="R16" i="6" s="1"/>
  <c r="Q40" i="3"/>
  <c r="Q16" i="6" s="1"/>
  <c r="P40" i="3"/>
  <c r="P16" i="6" s="1"/>
  <c r="O40" i="3"/>
  <c r="O16" i="6" s="1"/>
  <c r="M40" i="3"/>
  <c r="M16" i="6" s="1"/>
  <c r="L40" i="3"/>
  <c r="L16" i="6" s="1"/>
  <c r="K40" i="3"/>
  <c r="K16" i="6" s="1"/>
  <c r="J40" i="3"/>
  <c r="J16" i="6" s="1"/>
  <c r="D40" i="3"/>
  <c r="D16" i="6" s="1"/>
  <c r="S39" i="3"/>
  <c r="S15" i="6" s="1"/>
  <c r="N39" i="3"/>
  <c r="I39" i="3"/>
  <c r="I40" i="3" s="1"/>
  <c r="I16" i="6" s="1"/>
  <c r="V36" i="3"/>
  <c r="U36" i="3"/>
  <c r="T36" i="3"/>
  <c r="R36" i="3"/>
  <c r="Q36" i="3"/>
  <c r="P36" i="3"/>
  <c r="O36" i="3"/>
  <c r="M36" i="3"/>
  <c r="L36" i="3"/>
  <c r="K36" i="3"/>
  <c r="J36" i="3"/>
  <c r="H36" i="3"/>
  <c r="G36" i="3"/>
  <c r="F36" i="3"/>
  <c r="E36" i="3"/>
  <c r="AK35" i="3"/>
  <c r="AJ35" i="3"/>
  <c r="AI35" i="3"/>
  <c r="AG35" i="3"/>
  <c r="AF35" i="3"/>
  <c r="AE35" i="3"/>
  <c r="AD35" i="3"/>
  <c r="Y35" i="3"/>
  <c r="W35" i="3"/>
  <c r="Z34" i="3"/>
  <c r="Z35" i="3" s="1"/>
  <c r="AL33" i="3"/>
  <c r="AK33" i="3"/>
  <c r="AJ33" i="3"/>
  <c r="AI33" i="3"/>
  <c r="AG33" i="3"/>
  <c r="AF33" i="3"/>
  <c r="AE33" i="3"/>
  <c r="AD33" i="3"/>
  <c r="Y33" i="3"/>
  <c r="W33" i="3"/>
  <c r="V32" i="3"/>
  <c r="U32" i="3"/>
  <c r="U13" i="6" s="1"/>
  <c r="T32" i="3"/>
  <c r="T13" i="6" s="1"/>
  <c r="R32" i="3"/>
  <c r="R13" i="6" s="1"/>
  <c r="Q32" i="3"/>
  <c r="Q13" i="6" s="1"/>
  <c r="P32" i="3"/>
  <c r="P13" i="6" s="1"/>
  <c r="O32" i="3"/>
  <c r="O13" i="6" s="1"/>
  <c r="M32" i="3"/>
  <c r="M13" i="6" s="1"/>
  <c r="L32" i="3"/>
  <c r="L13" i="6" s="1"/>
  <c r="K32" i="3"/>
  <c r="K13" i="6" s="1"/>
  <c r="J32" i="3"/>
  <c r="J13" i="6" s="1"/>
  <c r="D32" i="3"/>
  <c r="D13" i="6" s="1"/>
  <c r="V31" i="3"/>
  <c r="U31" i="3"/>
  <c r="T31" i="3"/>
  <c r="R31" i="3"/>
  <c r="Q31" i="3"/>
  <c r="P31" i="3"/>
  <c r="O31" i="3"/>
  <c r="M31" i="3"/>
  <c r="L31" i="3"/>
  <c r="K31" i="3"/>
  <c r="J31" i="3"/>
  <c r="S30" i="3"/>
  <c r="D22" i="1" s="1"/>
  <c r="N30" i="3"/>
  <c r="N14" i="2" s="1"/>
  <c r="I30" i="3"/>
  <c r="I12" i="6" s="1"/>
  <c r="R24" i="3"/>
  <c r="R10" i="6" s="1"/>
  <c r="Q24" i="3"/>
  <c r="Q10" i="6" s="1"/>
  <c r="P24" i="3"/>
  <c r="P10" i="6" s="1"/>
  <c r="O24" i="3"/>
  <c r="O10" i="6" s="1"/>
  <c r="M24" i="3"/>
  <c r="M10" i="6" s="1"/>
  <c r="L24" i="3"/>
  <c r="L10" i="6" s="1"/>
  <c r="K24" i="3"/>
  <c r="K10" i="6" s="1"/>
  <c r="J24" i="3"/>
  <c r="J10" i="6" s="1"/>
  <c r="D24" i="3"/>
  <c r="D10" i="6" s="1"/>
  <c r="S23" i="3"/>
  <c r="S9" i="6" s="1"/>
  <c r="N23" i="3"/>
  <c r="F19" i="5" s="1"/>
  <c r="I23" i="3"/>
  <c r="I13" i="2" s="1"/>
  <c r="V17" i="3"/>
  <c r="U17" i="3"/>
  <c r="T17" i="3"/>
  <c r="R17" i="3"/>
  <c r="Q17" i="3"/>
  <c r="P17" i="3"/>
  <c r="O17" i="3"/>
  <c r="M17" i="3"/>
  <c r="L17" i="3"/>
  <c r="K17" i="3"/>
  <c r="J17" i="3"/>
  <c r="H17" i="3"/>
  <c r="G17" i="3"/>
  <c r="F17" i="3"/>
  <c r="E17" i="3"/>
  <c r="D17" i="3"/>
  <c r="C17" i="3"/>
  <c r="AI15" i="3"/>
  <c r="AD15" i="3"/>
  <c r="AB15" i="3"/>
  <c r="AA15" i="3"/>
  <c r="Z15" i="3"/>
  <c r="Y15" i="3"/>
  <c r="W15" i="3"/>
  <c r="AJ14" i="3"/>
  <c r="AE14" i="3"/>
  <c r="AB13" i="3"/>
  <c r="AA13" i="3"/>
  <c r="Z13" i="3"/>
  <c r="Y13" i="3"/>
  <c r="W13" i="3"/>
  <c r="V12" i="3"/>
  <c r="U12" i="3"/>
  <c r="K25" i="1" s="1"/>
  <c r="T12" i="3"/>
  <c r="J25" i="1" s="1"/>
  <c r="R12" i="3"/>
  <c r="I25" i="1" s="1"/>
  <c r="Q12" i="3"/>
  <c r="P12" i="3"/>
  <c r="O12" i="3"/>
  <c r="M12" i="3"/>
  <c r="L12" i="3"/>
  <c r="K12" i="3"/>
  <c r="J12" i="3"/>
  <c r="D12" i="3"/>
  <c r="D7" i="5" s="1"/>
  <c r="V11" i="3"/>
  <c r="U11" i="3"/>
  <c r="T11" i="3"/>
  <c r="R11" i="3"/>
  <c r="Q11" i="3"/>
  <c r="P11" i="3"/>
  <c r="O11" i="3"/>
  <c r="M11" i="3"/>
  <c r="L11" i="3"/>
  <c r="K11" i="3"/>
  <c r="J11" i="3"/>
  <c r="H11" i="3"/>
  <c r="G11" i="3"/>
  <c r="F11" i="3"/>
  <c r="S10" i="3"/>
  <c r="G6" i="5" s="1"/>
  <c r="N10" i="3"/>
  <c r="N10" i="2" s="1"/>
  <c r="I10" i="3"/>
  <c r="V8" i="3"/>
  <c r="V7" i="6" s="1"/>
  <c r="U8" i="3"/>
  <c r="U7" i="6" s="1"/>
  <c r="T8" i="3"/>
  <c r="T7" i="6" s="1"/>
  <c r="R8" i="3"/>
  <c r="R7" i="6" s="1"/>
  <c r="Q8" i="3"/>
  <c r="Q7" i="6" s="1"/>
  <c r="P8" i="3"/>
  <c r="P7" i="6" s="1"/>
  <c r="O8" i="3"/>
  <c r="O7" i="6" s="1"/>
  <c r="M8" i="3"/>
  <c r="M7" i="6" s="1"/>
  <c r="L8" i="3"/>
  <c r="L7" i="6" s="1"/>
  <c r="K8" i="3"/>
  <c r="K7" i="6" s="1"/>
  <c r="J8" i="3"/>
  <c r="J7" i="6" s="1"/>
  <c r="D8" i="3"/>
  <c r="D7" i="6" s="1"/>
  <c r="S7" i="3"/>
  <c r="N7" i="3"/>
  <c r="N12" i="2" s="1"/>
  <c r="I7" i="3"/>
  <c r="AM5" i="3"/>
  <c r="AM5" i="6" s="1"/>
  <c r="AL5" i="3"/>
  <c r="AL5" i="6" s="1"/>
  <c r="AL121" i="6" s="1"/>
  <c r="AK5" i="3"/>
  <c r="AK5" i="6" s="1"/>
  <c r="AK121" i="6" s="1"/>
  <c r="AJ5" i="3"/>
  <c r="AJ5" i="6" s="1"/>
  <c r="AI5" i="3"/>
  <c r="AI5" i="6" s="1"/>
  <c r="AI74" i="6" s="1"/>
  <c r="AH5" i="3"/>
  <c r="AH5" i="6" s="1"/>
  <c r="AG5" i="3"/>
  <c r="AG5" i="6" s="1"/>
  <c r="AG121" i="6" s="1"/>
  <c r="AF5" i="3"/>
  <c r="AF5" i="6" s="1"/>
  <c r="AF74" i="6" s="1"/>
  <c r="AE5" i="3"/>
  <c r="AE5" i="6" s="1"/>
  <c r="AD5" i="3"/>
  <c r="AD5" i="6" s="1"/>
  <c r="AC5" i="3"/>
  <c r="AC5" i="6" s="1"/>
  <c r="AC74" i="6" s="1"/>
  <c r="AB5" i="3"/>
  <c r="AB5" i="6" s="1"/>
  <c r="AA5" i="3"/>
  <c r="AA5" i="6" s="1"/>
  <c r="Z5" i="3"/>
  <c r="Z5" i="6" s="1"/>
  <c r="Y5" i="3"/>
  <c r="Y5" i="6" s="1"/>
  <c r="Y121" i="6" s="1"/>
  <c r="X5" i="3"/>
  <c r="X5" i="6" s="1"/>
  <c r="X74" i="6" s="1"/>
  <c r="W5" i="3"/>
  <c r="W5" i="6" s="1"/>
  <c r="V5" i="3"/>
  <c r="V5" i="6" s="1"/>
  <c r="U5" i="3"/>
  <c r="U5" i="6" s="1"/>
  <c r="U121" i="6" s="1"/>
  <c r="T5" i="3"/>
  <c r="T5" i="6" s="1"/>
  <c r="S5" i="3"/>
  <c r="S5" i="6" s="1"/>
  <c r="R5" i="3"/>
  <c r="R5" i="6" s="1"/>
  <c r="Q5" i="3"/>
  <c r="Q5" i="6" s="1"/>
  <c r="P5" i="3"/>
  <c r="P5" i="6" s="1"/>
  <c r="P74" i="6" s="1"/>
  <c r="O5" i="3"/>
  <c r="O5" i="6" s="1"/>
  <c r="O121" i="6" s="1"/>
  <c r="N5" i="3"/>
  <c r="N5" i="6" s="1"/>
  <c r="M5" i="3"/>
  <c r="M5" i="6" s="1"/>
  <c r="L5" i="3"/>
  <c r="L5" i="6" s="1"/>
  <c r="K5" i="3"/>
  <c r="K5" i="6" s="1"/>
  <c r="K121" i="6" s="1"/>
  <c r="J5" i="3"/>
  <c r="J5" i="6" s="1"/>
  <c r="J74" i="6" s="1"/>
  <c r="I5" i="3"/>
  <c r="I5" i="6" s="1"/>
  <c r="H5" i="3"/>
  <c r="H5" i="6" s="1"/>
  <c r="G5" i="3"/>
  <c r="G5" i="6" s="1"/>
  <c r="G74" i="6" s="1"/>
  <c r="F5" i="3"/>
  <c r="F5" i="6" s="1"/>
  <c r="E5" i="3"/>
  <c r="E5" i="6" s="1"/>
  <c r="D5" i="3"/>
  <c r="D5" i="6" s="1"/>
  <c r="V315" i="2"/>
  <c r="U315" i="2"/>
  <c r="T315" i="2"/>
  <c r="R315" i="2"/>
  <c r="Q315" i="2"/>
  <c r="P315" i="2"/>
  <c r="O315" i="2"/>
  <c r="M315" i="2"/>
  <c r="L315" i="2"/>
  <c r="K315" i="2"/>
  <c r="J315" i="2"/>
  <c r="H315" i="2"/>
  <c r="G315" i="2"/>
  <c r="F315" i="2"/>
  <c r="E315" i="2"/>
  <c r="AL314" i="2"/>
  <c r="AK314" i="2"/>
  <c r="AJ314" i="2"/>
  <c r="AI314" i="2"/>
  <c r="AG314" i="2"/>
  <c r="AF314" i="2"/>
  <c r="AE314" i="2"/>
  <c r="AD314" i="2"/>
  <c r="AB314" i="2"/>
  <c r="AA314" i="2"/>
  <c r="Z314" i="2"/>
  <c r="Y314" i="2"/>
  <c r="W314" i="2"/>
  <c r="O314" i="2"/>
  <c r="K314" i="2"/>
  <c r="J314" i="2"/>
  <c r="I314" i="2"/>
  <c r="H314" i="2"/>
  <c r="G314" i="2"/>
  <c r="F314" i="2"/>
  <c r="E314" i="2"/>
  <c r="D314" i="2"/>
  <c r="D312" i="2"/>
  <c r="E312" i="2" s="1"/>
  <c r="F312" i="2" s="1"/>
  <c r="G312" i="2" s="1"/>
  <c r="H312" i="2" s="1"/>
  <c r="I312" i="2" s="1"/>
  <c r="J312" i="2" s="1"/>
  <c r="K312" i="2" s="1"/>
  <c r="L312" i="2" s="1"/>
  <c r="M312" i="2" s="1"/>
  <c r="N312" i="2" s="1"/>
  <c r="O312" i="2" s="1"/>
  <c r="P312" i="2" s="1"/>
  <c r="Q312" i="2" s="1"/>
  <c r="R312" i="2" s="1"/>
  <c r="S312" i="2" s="1"/>
  <c r="T312" i="2" s="1"/>
  <c r="U312" i="2" s="1"/>
  <c r="V312" i="2" s="1"/>
  <c r="W312" i="2" s="1"/>
  <c r="X312" i="2" s="1"/>
  <c r="Y312" i="2" s="1"/>
  <c r="Z312" i="2" s="1"/>
  <c r="AA312" i="2" s="1"/>
  <c r="AB312" i="2" s="1"/>
  <c r="AC312" i="2" s="1"/>
  <c r="AD312" i="2" s="1"/>
  <c r="AE312" i="2" s="1"/>
  <c r="AF312" i="2" s="1"/>
  <c r="AG312" i="2" s="1"/>
  <c r="AH312" i="2" s="1"/>
  <c r="AI312" i="2" s="1"/>
  <c r="AJ312" i="2" s="1"/>
  <c r="AK312" i="2" s="1"/>
  <c r="AL312" i="2" s="1"/>
  <c r="AM312" i="2" s="1"/>
  <c r="T301" i="2"/>
  <c r="R301" i="2"/>
  <c r="Q301" i="2"/>
  <c r="P301" i="2"/>
  <c r="O301" i="2"/>
  <c r="M301" i="2"/>
  <c r="L301" i="2"/>
  <c r="V296" i="2"/>
  <c r="U296" i="2"/>
  <c r="T296" i="2"/>
  <c r="R296" i="2"/>
  <c r="Q296" i="2"/>
  <c r="Q297" i="2" s="1"/>
  <c r="P296" i="2"/>
  <c r="O296" i="2"/>
  <c r="M296" i="2"/>
  <c r="L296" i="2"/>
  <c r="AL295" i="2"/>
  <c r="AK295" i="2"/>
  <c r="AJ295" i="2"/>
  <c r="AI295" i="2"/>
  <c r="AG295" i="2"/>
  <c r="AF295" i="2"/>
  <c r="AE295" i="2"/>
  <c r="AD295" i="2"/>
  <c r="AB295" i="2"/>
  <c r="AA295" i="2"/>
  <c r="Z295" i="2"/>
  <c r="Y295" i="2"/>
  <c r="W295" i="2"/>
  <c r="V295" i="2"/>
  <c r="U295" i="2"/>
  <c r="T295" i="2"/>
  <c r="R295" i="2"/>
  <c r="Q295" i="2"/>
  <c r="P295" i="2"/>
  <c r="O295" i="2"/>
  <c r="M295" i="2"/>
  <c r="L295" i="2"/>
  <c r="V285" i="2"/>
  <c r="W282" i="2" s="1"/>
  <c r="U285" i="2"/>
  <c r="V282" i="2" s="1"/>
  <c r="T285" i="2"/>
  <c r="R285" i="2"/>
  <c r="Q285" i="2"/>
  <c r="R282" i="2" s="1"/>
  <c r="P285" i="2"/>
  <c r="O285" i="2"/>
  <c r="M285" i="2"/>
  <c r="L285" i="2"/>
  <c r="M282" i="2" s="1"/>
  <c r="K285" i="2"/>
  <c r="L282" i="2" s="1"/>
  <c r="J285" i="2"/>
  <c r="I285" i="2"/>
  <c r="J282" i="2" s="1"/>
  <c r="N282" i="2" s="1"/>
  <c r="U282" i="2"/>
  <c r="K282" i="2"/>
  <c r="T279" i="2"/>
  <c r="O279" i="2"/>
  <c r="K279" i="2"/>
  <c r="K284" i="2" s="1"/>
  <c r="J279" i="2"/>
  <c r="T275" i="2"/>
  <c r="T276" i="2" s="1"/>
  <c r="O275" i="2"/>
  <c r="O276" i="2" s="1"/>
  <c r="K275" i="2"/>
  <c r="K276" i="2" s="1"/>
  <c r="J275" i="2"/>
  <c r="I275" i="2"/>
  <c r="D275" i="2"/>
  <c r="D276" i="2" s="1"/>
  <c r="C275" i="2"/>
  <c r="C276" i="2" s="1"/>
  <c r="Q271" i="2"/>
  <c r="M271" i="2"/>
  <c r="L271" i="2"/>
  <c r="K271" i="2"/>
  <c r="J271" i="2"/>
  <c r="D271" i="2"/>
  <c r="T270" i="2"/>
  <c r="Q270" i="2"/>
  <c r="O270" i="2"/>
  <c r="M270" i="2"/>
  <c r="L270" i="2"/>
  <c r="K270" i="2"/>
  <c r="J270" i="2"/>
  <c r="D270" i="2"/>
  <c r="T269" i="2"/>
  <c r="Q269" i="2"/>
  <c r="M269" i="2"/>
  <c r="L269" i="2"/>
  <c r="K269" i="2"/>
  <c r="J269" i="2"/>
  <c r="D269" i="2"/>
  <c r="U267" i="2"/>
  <c r="T267" i="2"/>
  <c r="R267" i="2"/>
  <c r="Q267" i="2"/>
  <c r="P267" i="2"/>
  <c r="O267" i="2"/>
  <c r="M267" i="2"/>
  <c r="L267" i="2"/>
  <c r="K267" i="2"/>
  <c r="J267" i="2"/>
  <c r="I267" i="2"/>
  <c r="D267" i="2"/>
  <c r="W257" i="2"/>
  <c r="V257" i="2"/>
  <c r="U257" i="2"/>
  <c r="U258" i="2" s="1"/>
  <c r="T257" i="2"/>
  <c r="R257" i="2"/>
  <c r="Q257" i="2"/>
  <c r="C142" i="5" s="1"/>
  <c r="C143" i="5" s="1"/>
  <c r="D141" i="5" s="1"/>
  <c r="P257" i="2"/>
  <c r="M257" i="2"/>
  <c r="L257" i="2"/>
  <c r="K257" i="2"/>
  <c r="J257" i="2"/>
  <c r="J258" i="2" s="1"/>
  <c r="I257" i="2"/>
  <c r="D257" i="2"/>
  <c r="AM256" i="2"/>
  <c r="AL256" i="2"/>
  <c r="AK256" i="2"/>
  <c r="AJ256" i="2"/>
  <c r="AI256" i="2"/>
  <c r="AH256" i="2"/>
  <c r="AG256" i="2"/>
  <c r="AF256" i="2"/>
  <c r="AE256" i="2"/>
  <c r="AD256" i="2"/>
  <c r="AC256" i="2"/>
  <c r="AB256" i="2"/>
  <c r="AA256" i="2"/>
  <c r="Z256" i="2"/>
  <c r="Y256" i="2"/>
  <c r="X256" i="2"/>
  <c r="W256" i="2"/>
  <c r="V256" i="2"/>
  <c r="U256" i="2"/>
  <c r="T256" i="2"/>
  <c r="S256" i="2"/>
  <c r="R256" i="2"/>
  <c r="Q256" i="2"/>
  <c r="P256" i="2"/>
  <c r="O256" i="2"/>
  <c r="N256" i="2"/>
  <c r="M256" i="2"/>
  <c r="L256" i="2"/>
  <c r="K256" i="2"/>
  <c r="J256" i="2"/>
  <c r="I256" i="2"/>
  <c r="H256" i="2"/>
  <c r="G256" i="2"/>
  <c r="F256" i="2"/>
  <c r="E256" i="2"/>
  <c r="D256" i="2"/>
  <c r="C256" i="2"/>
  <c r="T252" i="2"/>
  <c r="T152" i="6" s="1"/>
  <c r="R252" i="2"/>
  <c r="R152" i="6" s="1"/>
  <c r="Q252" i="2"/>
  <c r="Q152" i="6" s="1"/>
  <c r="P252" i="2"/>
  <c r="P152" i="6" s="1"/>
  <c r="O252" i="2"/>
  <c r="O152" i="6" s="1"/>
  <c r="M252" i="2"/>
  <c r="M152" i="6" s="1"/>
  <c r="L252" i="2"/>
  <c r="L152" i="6" s="1"/>
  <c r="K252" i="2"/>
  <c r="K152" i="6" s="1"/>
  <c r="J252" i="2"/>
  <c r="J152" i="6" s="1"/>
  <c r="I252" i="2"/>
  <c r="I152" i="6" s="1"/>
  <c r="D252" i="2"/>
  <c r="D152" i="6" s="1"/>
  <c r="S250" i="2"/>
  <c r="S150" i="6" s="1"/>
  <c r="N250" i="2"/>
  <c r="N150" i="6" s="1"/>
  <c r="W249" i="2"/>
  <c r="W149" i="6" s="1"/>
  <c r="S249" i="2"/>
  <c r="S149" i="6" s="1"/>
  <c r="N249" i="2"/>
  <c r="N149" i="6" s="1"/>
  <c r="S248" i="2"/>
  <c r="S148" i="6" s="1"/>
  <c r="N248" i="2"/>
  <c r="N148" i="6" s="1"/>
  <c r="U247" i="2"/>
  <c r="V247" i="2" s="1"/>
  <c r="S247" i="2"/>
  <c r="S147" i="6" s="1"/>
  <c r="N247" i="2"/>
  <c r="N147" i="6" s="1"/>
  <c r="U246" i="2"/>
  <c r="U252" i="2" s="1"/>
  <c r="S246" i="2"/>
  <c r="S146" i="6" s="1"/>
  <c r="N246" i="2"/>
  <c r="P244" i="2"/>
  <c r="P144" i="6" s="1"/>
  <c r="W243" i="2"/>
  <c r="S243" i="2"/>
  <c r="S143" i="6" s="1"/>
  <c r="N243" i="2"/>
  <c r="N143" i="6" s="1"/>
  <c r="W242" i="2"/>
  <c r="W142" i="6" s="1"/>
  <c r="S242" i="2"/>
  <c r="S142" i="6" s="1"/>
  <c r="N242" i="2"/>
  <c r="N142" i="6" s="1"/>
  <c r="V241" i="2"/>
  <c r="Q241" i="2"/>
  <c r="P241" i="2"/>
  <c r="P141" i="6" s="1"/>
  <c r="O241" i="2"/>
  <c r="O141" i="6" s="1"/>
  <c r="M241" i="2"/>
  <c r="M141" i="6" s="1"/>
  <c r="L241" i="2"/>
  <c r="K241" i="2"/>
  <c r="K141" i="6" s="1"/>
  <c r="J241" i="2"/>
  <c r="J141" i="6" s="1"/>
  <c r="I241" i="2"/>
  <c r="D241" i="2"/>
  <c r="D141" i="6" s="1"/>
  <c r="U240" i="2"/>
  <c r="T240" i="2"/>
  <c r="T140" i="6" s="1"/>
  <c r="R240" i="2"/>
  <c r="R140" i="6" s="1"/>
  <c r="N240" i="2"/>
  <c r="N140" i="6" s="1"/>
  <c r="S239" i="2"/>
  <c r="S139" i="6" s="1"/>
  <c r="N239" i="2"/>
  <c r="S238" i="2"/>
  <c r="S138" i="6" s="1"/>
  <c r="N238" i="2"/>
  <c r="N138" i="6" s="1"/>
  <c r="V237" i="2"/>
  <c r="V137" i="6" s="1"/>
  <c r="S237" i="2"/>
  <c r="S137" i="6" s="1"/>
  <c r="N237" i="2"/>
  <c r="N137" i="6" s="1"/>
  <c r="S236" i="2"/>
  <c r="N236" i="2"/>
  <c r="N136" i="6" s="1"/>
  <c r="V232" i="2"/>
  <c r="V132" i="6" s="1"/>
  <c r="U232" i="2"/>
  <c r="U132" i="6" s="1"/>
  <c r="T232" i="2"/>
  <c r="T132" i="6" s="1"/>
  <c r="R232" i="2"/>
  <c r="Q232" i="2"/>
  <c r="Q132" i="6" s="1"/>
  <c r="P232" i="2"/>
  <c r="P132" i="6" s="1"/>
  <c r="O232" i="2"/>
  <c r="O132" i="6" s="1"/>
  <c r="N232" i="2"/>
  <c r="N132" i="6" s="1"/>
  <c r="W231" i="2"/>
  <c r="W131" i="6" s="1"/>
  <c r="S231" i="2"/>
  <c r="S131" i="6" s="1"/>
  <c r="N231" i="2"/>
  <c r="N131" i="6" s="1"/>
  <c r="S230" i="2"/>
  <c r="S130" i="6" s="1"/>
  <c r="N230" i="2"/>
  <c r="N130" i="6" s="1"/>
  <c r="W229" i="2"/>
  <c r="X229" i="2" s="1"/>
  <c r="X129" i="6" s="1"/>
  <c r="S229" i="2"/>
  <c r="S129" i="6" s="1"/>
  <c r="N229" i="2"/>
  <c r="N129" i="6" s="1"/>
  <c r="S228" i="2"/>
  <c r="S128" i="6" s="1"/>
  <c r="N228" i="2"/>
  <c r="N128" i="6" s="1"/>
  <c r="M227" i="2"/>
  <c r="L227" i="2"/>
  <c r="L127" i="6" s="1"/>
  <c r="K227" i="2"/>
  <c r="K127" i="6" s="1"/>
  <c r="J227" i="2"/>
  <c r="J127" i="6" s="1"/>
  <c r="I227" i="2"/>
  <c r="I127" i="6" s="1"/>
  <c r="D227" i="2"/>
  <c r="V226" i="2"/>
  <c r="V126" i="6" s="1"/>
  <c r="U226" i="2"/>
  <c r="U126" i="6" s="1"/>
  <c r="T226" i="2"/>
  <c r="T126" i="6" s="1"/>
  <c r="R226" i="2"/>
  <c r="R227" i="2" s="1"/>
  <c r="R127" i="6" s="1"/>
  <c r="Q226" i="2"/>
  <c r="Q126" i="6" s="1"/>
  <c r="P226" i="2"/>
  <c r="P227" i="2" s="1"/>
  <c r="O226" i="2"/>
  <c r="O126" i="6" s="1"/>
  <c r="N226" i="2"/>
  <c r="U225" i="2"/>
  <c r="U125" i="6" s="1"/>
  <c r="S225" i="2"/>
  <c r="S125" i="6" s="1"/>
  <c r="N225" i="2"/>
  <c r="S224" i="2"/>
  <c r="N224" i="2"/>
  <c r="N124" i="6" s="1"/>
  <c r="W223" i="2"/>
  <c r="S223" i="2"/>
  <c r="S123" i="6" s="1"/>
  <c r="N223" i="2"/>
  <c r="N123" i="6" s="1"/>
  <c r="Q222" i="2"/>
  <c r="AM220" i="2"/>
  <c r="AL220" i="2"/>
  <c r="AK220" i="2"/>
  <c r="AJ220" i="2"/>
  <c r="AI220" i="2"/>
  <c r="AH220" i="2"/>
  <c r="AG220" i="2"/>
  <c r="AF220" i="2"/>
  <c r="AE220" i="2"/>
  <c r="AD220" i="2"/>
  <c r="AC220" i="2"/>
  <c r="AB220" i="2"/>
  <c r="AA220" i="2"/>
  <c r="Z220" i="2"/>
  <c r="Y220" i="2"/>
  <c r="X220" i="2"/>
  <c r="W220" i="2"/>
  <c r="V220" i="2"/>
  <c r="U220" i="2"/>
  <c r="T220" i="2"/>
  <c r="S220" i="2"/>
  <c r="R220" i="2"/>
  <c r="Q220" i="2"/>
  <c r="P220" i="2"/>
  <c r="O220" i="2"/>
  <c r="N220" i="2"/>
  <c r="M220" i="2"/>
  <c r="L220" i="2"/>
  <c r="K220" i="2"/>
  <c r="J220" i="2"/>
  <c r="I220" i="2"/>
  <c r="H220" i="2"/>
  <c r="G220" i="2"/>
  <c r="F220" i="2"/>
  <c r="E220" i="2"/>
  <c r="D220" i="2"/>
  <c r="C220" i="2"/>
  <c r="M219" i="2"/>
  <c r="AM206" i="2"/>
  <c r="AH206" i="2"/>
  <c r="AC206" i="2"/>
  <c r="U206" i="2"/>
  <c r="P206" i="2"/>
  <c r="Q206" i="2" s="1"/>
  <c r="L206" i="2"/>
  <c r="AL204" i="2"/>
  <c r="AL115" i="6" s="1"/>
  <c r="AK204" i="2"/>
  <c r="AK115" i="6" s="1"/>
  <c r="AJ204" i="2"/>
  <c r="AJ115" i="6" s="1"/>
  <c r="AI204" i="2"/>
  <c r="AI115" i="6" s="1"/>
  <c r="AG204" i="2"/>
  <c r="AG115" i="6" s="1"/>
  <c r="AF204" i="2"/>
  <c r="AF115" i="6" s="1"/>
  <c r="AE204" i="2"/>
  <c r="AE115" i="6" s="1"/>
  <c r="AD204" i="2"/>
  <c r="AD115" i="6" s="1"/>
  <c r="AB204" i="2"/>
  <c r="AB115" i="6" s="1"/>
  <c r="AA204" i="2"/>
  <c r="AA115" i="6" s="1"/>
  <c r="Z204" i="2"/>
  <c r="Z115" i="6" s="1"/>
  <c r="Y204" i="2"/>
  <c r="Y115" i="6" s="1"/>
  <c r="W204" i="2"/>
  <c r="W115" i="6" s="1"/>
  <c r="O204" i="2"/>
  <c r="O115" i="6" s="1"/>
  <c r="K204" i="2"/>
  <c r="K115" i="6" s="1"/>
  <c r="J204" i="2"/>
  <c r="J115" i="6" s="1"/>
  <c r="I204" i="2"/>
  <c r="I115" i="6" s="1"/>
  <c r="D204" i="2"/>
  <c r="D115" i="6" s="1"/>
  <c r="C204" i="2"/>
  <c r="C115" i="6" s="1"/>
  <c r="AM203" i="2"/>
  <c r="AM114" i="6" s="1"/>
  <c r="AH203" i="2"/>
  <c r="AH114" i="6" s="1"/>
  <c r="AC203" i="2"/>
  <c r="AC114" i="6" s="1"/>
  <c r="T203" i="2"/>
  <c r="T114" i="6" s="1"/>
  <c r="S203" i="2"/>
  <c r="S114" i="6" s="1"/>
  <c r="L203" i="2"/>
  <c r="AM202" i="2"/>
  <c r="AM113" i="6" s="1"/>
  <c r="AH202" i="2"/>
  <c r="AH314" i="2" s="1"/>
  <c r="AC202" i="2"/>
  <c r="AC113" i="6" s="1"/>
  <c r="T202" i="2"/>
  <c r="P202" i="2"/>
  <c r="P113" i="6" s="1"/>
  <c r="L202" i="2"/>
  <c r="M202" i="2" s="1"/>
  <c r="M113" i="6" s="1"/>
  <c r="AM201" i="2"/>
  <c r="AH201" i="2"/>
  <c r="AC201" i="2"/>
  <c r="X201" i="2"/>
  <c r="S201" i="2"/>
  <c r="L201" i="2"/>
  <c r="M201" i="2" s="1"/>
  <c r="AM200" i="2"/>
  <c r="AM112" i="6" s="1"/>
  <c r="AH200" i="2"/>
  <c r="AH112" i="6" s="1"/>
  <c r="AC200" i="2"/>
  <c r="AC112" i="6" s="1"/>
  <c r="U200" i="2"/>
  <c r="U112" i="6" s="1"/>
  <c r="S200" i="2"/>
  <c r="S112" i="6" s="1"/>
  <c r="L200" i="2"/>
  <c r="AM199" i="2"/>
  <c r="AM111" i="6" s="1"/>
  <c r="AH199" i="2"/>
  <c r="AH111" i="6" s="1"/>
  <c r="AC199" i="2"/>
  <c r="AC111" i="6" s="1"/>
  <c r="U199" i="2"/>
  <c r="R199" i="2"/>
  <c r="L199" i="2"/>
  <c r="L111" i="6" s="1"/>
  <c r="AM198" i="2"/>
  <c r="AM110" i="6" s="1"/>
  <c r="AH198" i="2"/>
  <c r="AC198" i="2"/>
  <c r="AC110" i="6" s="1"/>
  <c r="U198" i="2"/>
  <c r="P198" i="2"/>
  <c r="Q198" i="2" s="1"/>
  <c r="M198" i="2"/>
  <c r="AM197" i="2"/>
  <c r="AM109" i="6" s="1"/>
  <c r="AH197" i="2"/>
  <c r="AH109" i="6" s="1"/>
  <c r="AC197" i="2"/>
  <c r="AC109" i="6" s="1"/>
  <c r="X197" i="2"/>
  <c r="X109" i="6" s="1"/>
  <c r="S197" i="2"/>
  <c r="L197" i="2"/>
  <c r="K194" i="2"/>
  <c r="K106" i="6" s="1"/>
  <c r="J194" i="2"/>
  <c r="J106" i="6" s="1"/>
  <c r="I194" i="2"/>
  <c r="I106" i="6" s="1"/>
  <c r="D194" i="2"/>
  <c r="D106" i="6" s="1"/>
  <c r="C194" i="2"/>
  <c r="C106" i="6" s="1"/>
  <c r="AM193" i="2"/>
  <c r="AM105" i="6" s="1"/>
  <c r="AH193" i="2"/>
  <c r="AH105" i="6" s="1"/>
  <c r="AC193" i="2"/>
  <c r="AC105" i="6" s="1"/>
  <c r="U193" i="2"/>
  <c r="U105" i="6" s="1"/>
  <c r="P193" i="2"/>
  <c r="P105" i="6" s="1"/>
  <c r="L193" i="2"/>
  <c r="T192" i="2"/>
  <c r="O192" i="2"/>
  <c r="O104" i="6" s="1"/>
  <c r="L192" i="2"/>
  <c r="L104" i="6" s="1"/>
  <c r="AM191" i="2"/>
  <c r="AM103" i="6" s="1"/>
  <c r="AH191" i="2"/>
  <c r="AH103" i="6" s="1"/>
  <c r="AC191" i="2"/>
  <c r="AC103" i="6" s="1"/>
  <c r="V191" i="2"/>
  <c r="V103" i="6" s="1"/>
  <c r="P191" i="2"/>
  <c r="P103" i="6" s="1"/>
  <c r="L191" i="2"/>
  <c r="L103" i="6" s="1"/>
  <c r="U190" i="2"/>
  <c r="P190" i="2"/>
  <c r="Q190" i="2" s="1"/>
  <c r="L190" i="2"/>
  <c r="O187" i="2"/>
  <c r="K187" i="2"/>
  <c r="J187" i="2"/>
  <c r="J212" i="2" s="1"/>
  <c r="I187" i="2"/>
  <c r="D187" i="2"/>
  <c r="C187" i="2"/>
  <c r="T186" i="2"/>
  <c r="T98" i="6" s="1"/>
  <c r="P186" i="2"/>
  <c r="L186" i="2"/>
  <c r="L98" i="6" s="1"/>
  <c r="U185" i="2"/>
  <c r="U97" i="6" s="1"/>
  <c r="P185" i="2"/>
  <c r="P97" i="6" s="1"/>
  <c r="L185" i="2"/>
  <c r="L97" i="6" s="1"/>
  <c r="U184" i="2"/>
  <c r="P184" i="2"/>
  <c r="P96" i="6" s="1"/>
  <c r="L184" i="2"/>
  <c r="L96" i="6" s="1"/>
  <c r="U183" i="2"/>
  <c r="P183" i="2"/>
  <c r="Q183" i="2" s="1"/>
  <c r="Q95" i="6" s="1"/>
  <c r="L183" i="2"/>
  <c r="L95" i="6" s="1"/>
  <c r="T182" i="2"/>
  <c r="T94" i="6" s="1"/>
  <c r="P182" i="2"/>
  <c r="P94" i="6" s="1"/>
  <c r="L182" i="2"/>
  <c r="L94" i="6" s="1"/>
  <c r="U181" i="2"/>
  <c r="U93" i="6" s="1"/>
  <c r="P181" i="2"/>
  <c r="P93" i="6" s="1"/>
  <c r="L181" i="2"/>
  <c r="L93" i="6" s="1"/>
  <c r="T180" i="2"/>
  <c r="P180" i="2"/>
  <c r="P92" i="6" s="1"/>
  <c r="L180" i="2"/>
  <c r="L92" i="6" s="1"/>
  <c r="U179" i="2"/>
  <c r="U91" i="6" s="1"/>
  <c r="P179" i="2"/>
  <c r="L179" i="2"/>
  <c r="L91" i="6" s="1"/>
  <c r="V178" i="2"/>
  <c r="Q178" i="2"/>
  <c r="R178" i="2" s="1"/>
  <c r="R90" i="6" s="1"/>
  <c r="P178" i="2"/>
  <c r="P90" i="6" s="1"/>
  <c r="L178" i="2"/>
  <c r="L90" i="6" s="1"/>
  <c r="U177" i="2"/>
  <c r="U89" i="6" s="1"/>
  <c r="P177" i="2"/>
  <c r="P89" i="6" s="1"/>
  <c r="L177" i="2"/>
  <c r="L89" i="6" s="1"/>
  <c r="AM175" i="2"/>
  <c r="AM87" i="6" s="1"/>
  <c r="AH175" i="2"/>
  <c r="AH87" i="6" s="1"/>
  <c r="AC175" i="2"/>
  <c r="AC87" i="6" s="1"/>
  <c r="U175" i="2"/>
  <c r="U87" i="6" s="1"/>
  <c r="P175" i="2"/>
  <c r="M175" i="2"/>
  <c r="N175" i="2" s="1"/>
  <c r="N87" i="6" s="1"/>
  <c r="AM174" i="2"/>
  <c r="AH174" i="2"/>
  <c r="AH86" i="6" s="1"/>
  <c r="AC174" i="2"/>
  <c r="AC86" i="6" s="1"/>
  <c r="U174" i="2"/>
  <c r="P174" i="2"/>
  <c r="P86" i="6" s="1"/>
  <c r="L174" i="2"/>
  <c r="L86" i="6" s="1"/>
  <c r="AM173" i="2"/>
  <c r="AM85" i="6" s="1"/>
  <c r="AH173" i="2"/>
  <c r="AH85" i="6" s="1"/>
  <c r="AC173" i="2"/>
  <c r="AC85" i="6" s="1"/>
  <c r="U173" i="2"/>
  <c r="U85" i="6" s="1"/>
  <c r="P173" i="2"/>
  <c r="P85" i="6" s="1"/>
  <c r="L173" i="2"/>
  <c r="L85" i="6" s="1"/>
  <c r="U172" i="2"/>
  <c r="U84" i="6" s="1"/>
  <c r="P172" i="2"/>
  <c r="P84" i="6" s="1"/>
  <c r="L172" i="2"/>
  <c r="L275" i="2" s="1"/>
  <c r="L276" i="2" s="1"/>
  <c r="AM171" i="2"/>
  <c r="AM83" i="6" s="1"/>
  <c r="AH171" i="2"/>
  <c r="AH83" i="6" s="1"/>
  <c r="AC171" i="2"/>
  <c r="AC83" i="6" s="1"/>
  <c r="X171" i="2"/>
  <c r="X83" i="6" s="1"/>
  <c r="R171" i="2"/>
  <c r="R83" i="6" s="1"/>
  <c r="M171" i="2"/>
  <c r="M83" i="6" s="1"/>
  <c r="AM170" i="2"/>
  <c r="AM82" i="6" s="1"/>
  <c r="AH170" i="2"/>
  <c r="AC170" i="2"/>
  <c r="X170" i="2"/>
  <c r="R170" i="2"/>
  <c r="S170" i="2" s="1"/>
  <c r="L170" i="2"/>
  <c r="L82" i="6" s="1"/>
  <c r="U169" i="2"/>
  <c r="U81" i="6" s="1"/>
  <c r="P169" i="2"/>
  <c r="P81" i="6" s="1"/>
  <c r="L169" i="2"/>
  <c r="L81" i="6" s="1"/>
  <c r="AJ168" i="2"/>
  <c r="AJ80" i="6" s="1"/>
  <c r="AE168" i="2"/>
  <c r="AE80" i="6" s="1"/>
  <c r="Z168" i="2"/>
  <c r="AA168" i="2" s="1"/>
  <c r="U168" i="2"/>
  <c r="U80" i="6" s="1"/>
  <c r="S168" i="2"/>
  <c r="S80" i="6" s="1"/>
  <c r="J168" i="2"/>
  <c r="J80" i="6" s="1"/>
  <c r="I168" i="2"/>
  <c r="I80" i="6" s="1"/>
  <c r="D168" i="2"/>
  <c r="D80" i="6" s="1"/>
  <c r="C168" i="2"/>
  <c r="T167" i="2"/>
  <c r="T79" i="6" s="1"/>
  <c r="O167" i="2"/>
  <c r="O79" i="6" s="1"/>
  <c r="U166" i="2"/>
  <c r="U78" i="6" s="1"/>
  <c r="P166" i="2"/>
  <c r="L166" i="2"/>
  <c r="L78" i="6" s="1"/>
  <c r="U164" i="2"/>
  <c r="U76" i="6" s="1"/>
  <c r="P164" i="2"/>
  <c r="P76" i="6" s="1"/>
  <c r="L164" i="2"/>
  <c r="AM162" i="2"/>
  <c r="AL162" i="2"/>
  <c r="AK162" i="2"/>
  <c r="AJ162" i="2"/>
  <c r="AI162" i="2"/>
  <c r="AH162" i="2"/>
  <c r="AG162" i="2"/>
  <c r="AF162" i="2"/>
  <c r="AE162" i="2"/>
  <c r="AD162" i="2"/>
  <c r="AC162" i="2"/>
  <c r="AB162" i="2"/>
  <c r="AA162" i="2"/>
  <c r="Z162" i="2"/>
  <c r="Y162" i="2"/>
  <c r="X162" i="2"/>
  <c r="W162" i="2"/>
  <c r="V162" i="2"/>
  <c r="U162" i="2"/>
  <c r="T162" i="2"/>
  <c r="S162" i="2"/>
  <c r="R162" i="2"/>
  <c r="Q162" i="2"/>
  <c r="P162" i="2"/>
  <c r="O162" i="2"/>
  <c r="N162" i="2"/>
  <c r="M162" i="2"/>
  <c r="L162" i="2"/>
  <c r="K162" i="2"/>
  <c r="J162" i="2"/>
  <c r="I162" i="2"/>
  <c r="H162" i="2"/>
  <c r="G162" i="2"/>
  <c r="F162" i="2"/>
  <c r="E162" i="2"/>
  <c r="D162" i="2"/>
  <c r="C162" i="2"/>
  <c r="AM156" i="2"/>
  <c r="K72" i="5" s="1"/>
  <c r="AH156" i="2"/>
  <c r="AC156" i="2"/>
  <c r="X156" i="2"/>
  <c r="S156" i="2"/>
  <c r="G72" i="5" s="1"/>
  <c r="N156" i="2"/>
  <c r="F72" i="5" s="1"/>
  <c r="I156" i="2"/>
  <c r="E72" i="5" s="1"/>
  <c r="D156" i="2"/>
  <c r="D315" i="2" s="1"/>
  <c r="W154" i="2"/>
  <c r="W169" i="2" s="1"/>
  <c r="S154" i="2"/>
  <c r="L154" i="2"/>
  <c r="L48" i="6" s="1"/>
  <c r="K154" i="2"/>
  <c r="K48" i="6" s="1"/>
  <c r="J154" i="2"/>
  <c r="J48" i="6" s="1"/>
  <c r="H154" i="2"/>
  <c r="H48" i="6" s="1"/>
  <c r="G154" i="2"/>
  <c r="F154" i="2"/>
  <c r="F48" i="6" s="1"/>
  <c r="E154" i="2"/>
  <c r="E48" i="6" s="1"/>
  <c r="D154" i="2"/>
  <c r="C154" i="2"/>
  <c r="C73" i="5" s="1"/>
  <c r="I153" i="2"/>
  <c r="I152" i="2"/>
  <c r="I151" i="2"/>
  <c r="V148" i="2"/>
  <c r="W148" i="2" s="1"/>
  <c r="Y148" i="2" s="1"/>
  <c r="O148" i="2"/>
  <c r="P148" i="2" s="1"/>
  <c r="L147" i="2"/>
  <c r="L72" i="6" s="1"/>
  <c r="J147" i="2"/>
  <c r="J72" i="6" s="1"/>
  <c r="F147" i="2"/>
  <c r="F72" i="6" s="1"/>
  <c r="U146" i="2"/>
  <c r="M146" i="2"/>
  <c r="J146" i="2"/>
  <c r="K146" i="2" s="1"/>
  <c r="F146" i="2"/>
  <c r="G146" i="2" s="1"/>
  <c r="H146" i="2" s="1"/>
  <c r="M145" i="2"/>
  <c r="O145" i="2" s="1"/>
  <c r="P145" i="2" s="1"/>
  <c r="Q145" i="2" s="1"/>
  <c r="R145" i="2" s="1"/>
  <c r="J145" i="2"/>
  <c r="K145" i="2" s="1"/>
  <c r="L145" i="2" s="1"/>
  <c r="E145" i="2"/>
  <c r="F145" i="2" s="1"/>
  <c r="G145" i="2" s="1"/>
  <c r="H145" i="2" s="1"/>
  <c r="C145" i="2"/>
  <c r="AM133" i="2"/>
  <c r="AM61" i="6" s="1"/>
  <c r="AH133" i="2"/>
  <c r="AC133" i="2"/>
  <c r="X133" i="2"/>
  <c r="P133" i="2"/>
  <c r="P61" i="6" s="1"/>
  <c r="N133" i="2"/>
  <c r="N61" i="6" s="1"/>
  <c r="I133" i="2"/>
  <c r="I61" i="6" s="1"/>
  <c r="AE131" i="2"/>
  <c r="AE59" i="6" s="1"/>
  <c r="Z131" i="2"/>
  <c r="Z59" i="6" s="1"/>
  <c r="S130" i="2"/>
  <c r="G84" i="5" s="1"/>
  <c r="N130" i="2"/>
  <c r="I130" i="2"/>
  <c r="AL125" i="2"/>
  <c r="AK125" i="2"/>
  <c r="AJ125" i="2"/>
  <c r="AI125" i="2"/>
  <c r="AG125" i="2"/>
  <c r="AF125" i="2"/>
  <c r="AE125" i="2"/>
  <c r="AD125" i="2"/>
  <c r="AB125" i="2"/>
  <c r="AA125" i="2"/>
  <c r="Z125" i="2"/>
  <c r="Y125" i="2"/>
  <c r="W125" i="2"/>
  <c r="X125" i="2" s="1"/>
  <c r="AL124" i="2"/>
  <c r="AK124" i="2"/>
  <c r="AJ124" i="2"/>
  <c r="AI124" i="2"/>
  <c r="AG124" i="2"/>
  <c r="AF124" i="2"/>
  <c r="AE124" i="2"/>
  <c r="AD124" i="2"/>
  <c r="AH124" i="2" s="1"/>
  <c r="AB124" i="2"/>
  <c r="AA124" i="2"/>
  <c r="Z124" i="2"/>
  <c r="Y124" i="2"/>
  <c r="W124" i="2"/>
  <c r="X124" i="2" s="1"/>
  <c r="O123" i="2"/>
  <c r="M123" i="2"/>
  <c r="L123" i="2"/>
  <c r="K123" i="2"/>
  <c r="J123" i="2"/>
  <c r="D123" i="2"/>
  <c r="S122" i="2"/>
  <c r="S56" i="6" s="1"/>
  <c r="N122" i="2"/>
  <c r="F81" i="5" s="1"/>
  <c r="I122" i="2"/>
  <c r="E81" i="5" s="1"/>
  <c r="R121" i="2"/>
  <c r="Q121" i="2"/>
  <c r="P121" i="2"/>
  <c r="O121" i="2"/>
  <c r="M121" i="2"/>
  <c r="L121" i="2"/>
  <c r="K121" i="2"/>
  <c r="J121" i="2"/>
  <c r="D121" i="2"/>
  <c r="W120" i="2"/>
  <c r="Y120" i="2" s="1"/>
  <c r="V120" i="2"/>
  <c r="V122" i="2" s="1"/>
  <c r="U120" i="2"/>
  <c r="U55" i="6" s="1"/>
  <c r="T120" i="2"/>
  <c r="T55" i="6" s="1"/>
  <c r="S120" i="2"/>
  <c r="G80" i="5" s="1"/>
  <c r="N120" i="2"/>
  <c r="F80" i="5" s="1"/>
  <c r="I120" i="2"/>
  <c r="W108" i="2"/>
  <c r="AB107" i="2"/>
  <c r="AB108" i="2" s="1"/>
  <c r="W106" i="2"/>
  <c r="V104" i="2"/>
  <c r="U104" i="2"/>
  <c r="T104" i="2"/>
  <c r="R104" i="2"/>
  <c r="Q104" i="2"/>
  <c r="P104" i="2"/>
  <c r="O104" i="2"/>
  <c r="M104" i="2"/>
  <c r="L104" i="2"/>
  <c r="K104" i="2"/>
  <c r="J104" i="2"/>
  <c r="D104" i="2"/>
  <c r="S103" i="2"/>
  <c r="G65" i="5" s="1"/>
  <c r="N103" i="2"/>
  <c r="F65" i="5" s="1"/>
  <c r="I103" i="2"/>
  <c r="E65" i="5" s="1"/>
  <c r="AM96" i="2"/>
  <c r="K53" i="5" s="1"/>
  <c r="AH96" i="2"/>
  <c r="AC96" i="2"/>
  <c r="X96" i="2"/>
  <c r="S96" i="2"/>
  <c r="G53" i="5" s="1"/>
  <c r="N96" i="2"/>
  <c r="I96" i="2"/>
  <c r="I41" i="6" s="1"/>
  <c r="V90" i="2"/>
  <c r="U90" i="2"/>
  <c r="T90" i="2"/>
  <c r="R90" i="2"/>
  <c r="Q90" i="2"/>
  <c r="P90" i="2"/>
  <c r="O90" i="2"/>
  <c r="M90" i="2"/>
  <c r="L90" i="2"/>
  <c r="K90" i="2"/>
  <c r="J90" i="2"/>
  <c r="D90" i="2"/>
  <c r="S89" i="2"/>
  <c r="N89" i="2"/>
  <c r="N40" i="6" s="1"/>
  <c r="I89" i="2"/>
  <c r="I40" i="6" s="1"/>
  <c r="U84" i="2"/>
  <c r="U85" i="2" s="1"/>
  <c r="T84" i="2"/>
  <c r="T86" i="2" s="1"/>
  <c r="T87" i="2" s="1"/>
  <c r="O84" i="2"/>
  <c r="L84" i="2"/>
  <c r="L86" i="2" s="1"/>
  <c r="L87" i="2" s="1"/>
  <c r="K84" i="2"/>
  <c r="K85" i="2" s="1"/>
  <c r="J84" i="2"/>
  <c r="J86" i="2" s="1"/>
  <c r="J87" i="2" s="1"/>
  <c r="I84" i="2"/>
  <c r="D84" i="2"/>
  <c r="D86" i="2" s="1"/>
  <c r="C84" i="2"/>
  <c r="AI83" i="2"/>
  <c r="AD83" i="2"/>
  <c r="Y83" i="2"/>
  <c r="AJ82" i="2"/>
  <c r="AE82" i="2"/>
  <c r="AE81" i="2" s="1"/>
  <c r="Z82" i="2"/>
  <c r="AA82" i="2" s="1"/>
  <c r="AI81" i="2"/>
  <c r="AD81" i="2"/>
  <c r="Y81" i="2"/>
  <c r="V80" i="2"/>
  <c r="U80" i="2"/>
  <c r="T80" i="2"/>
  <c r="R80" i="2"/>
  <c r="Q80" i="2"/>
  <c r="P80" i="2"/>
  <c r="O80" i="2"/>
  <c r="M80" i="2"/>
  <c r="L80" i="2"/>
  <c r="K80" i="2"/>
  <c r="J80" i="2"/>
  <c r="H80" i="2"/>
  <c r="G80" i="2"/>
  <c r="F80" i="2"/>
  <c r="E80" i="2"/>
  <c r="D80" i="2"/>
  <c r="C80" i="2"/>
  <c r="V79" i="2"/>
  <c r="U79" i="2"/>
  <c r="T79" i="2"/>
  <c r="R79" i="2"/>
  <c r="Q79" i="2"/>
  <c r="P79" i="2"/>
  <c r="O79" i="2"/>
  <c r="M79" i="2"/>
  <c r="L79" i="2"/>
  <c r="K79" i="2"/>
  <c r="J79" i="2"/>
  <c r="I79" i="2"/>
  <c r="D79" i="2"/>
  <c r="S78" i="2"/>
  <c r="N78" i="2"/>
  <c r="N39" i="6" s="1"/>
  <c r="I78" i="2"/>
  <c r="E47" i="5" s="1"/>
  <c r="W76" i="2"/>
  <c r="W74" i="2"/>
  <c r="T72" i="2"/>
  <c r="Q72" i="2"/>
  <c r="O72" i="2"/>
  <c r="M72" i="2"/>
  <c r="L72" i="2"/>
  <c r="K72" i="2"/>
  <c r="J72" i="2"/>
  <c r="D72" i="2"/>
  <c r="V71" i="2"/>
  <c r="V271" i="2" s="1"/>
  <c r="U71" i="2"/>
  <c r="U269" i="2" s="1"/>
  <c r="R71" i="2"/>
  <c r="R72" i="2" s="1"/>
  <c r="P71" i="2"/>
  <c r="O71" i="2"/>
  <c r="O38" i="6" s="1"/>
  <c r="N71" i="2"/>
  <c r="I71" i="2"/>
  <c r="I72" i="2" s="1"/>
  <c r="W69" i="2"/>
  <c r="AB68" i="2"/>
  <c r="AB67" i="2" s="1"/>
  <c r="W67" i="2"/>
  <c r="V65" i="2"/>
  <c r="U65" i="2"/>
  <c r="T65" i="2"/>
  <c r="R65" i="2"/>
  <c r="Q65" i="2"/>
  <c r="P65" i="2"/>
  <c r="O65" i="2"/>
  <c r="M65" i="2"/>
  <c r="L65" i="2"/>
  <c r="K65" i="2"/>
  <c r="J65" i="2"/>
  <c r="D65" i="2"/>
  <c r="S64" i="2"/>
  <c r="N64" i="2"/>
  <c r="I64" i="2"/>
  <c r="W62" i="2"/>
  <c r="W60" i="2"/>
  <c r="V58" i="2"/>
  <c r="U58" i="2"/>
  <c r="T58" i="2"/>
  <c r="R58" i="2"/>
  <c r="Q58" i="2"/>
  <c r="P58" i="2"/>
  <c r="O58" i="2"/>
  <c r="M58" i="2"/>
  <c r="L58" i="2"/>
  <c r="K58" i="2"/>
  <c r="J58" i="2"/>
  <c r="D58" i="2"/>
  <c r="S57" i="2"/>
  <c r="N57" i="2"/>
  <c r="I57" i="2"/>
  <c r="E38" i="5" s="1"/>
  <c r="V46" i="2"/>
  <c r="V30" i="6" s="1"/>
  <c r="U46" i="2"/>
  <c r="U30" i="6" s="1"/>
  <c r="T46" i="2"/>
  <c r="T30" i="6" s="1"/>
  <c r="R46" i="2"/>
  <c r="R30" i="6" s="1"/>
  <c r="Q46" i="2"/>
  <c r="Q30" i="6" s="1"/>
  <c r="P46" i="2"/>
  <c r="P30" i="6" s="1"/>
  <c r="O46" i="2"/>
  <c r="O30" i="6" s="1"/>
  <c r="M46" i="2"/>
  <c r="M30" i="6" s="1"/>
  <c r="L46" i="2"/>
  <c r="L30" i="6" s="1"/>
  <c r="K46" i="2"/>
  <c r="K30" i="6" s="1"/>
  <c r="J46" i="2"/>
  <c r="J30" i="6" s="1"/>
  <c r="H46" i="2"/>
  <c r="H30" i="6" s="1"/>
  <c r="G46" i="2"/>
  <c r="G30" i="6" s="1"/>
  <c r="F46" i="2"/>
  <c r="F30" i="6" s="1"/>
  <c r="E46" i="2"/>
  <c r="E30" i="6" s="1"/>
  <c r="D46" i="2"/>
  <c r="D30" i="6" s="1"/>
  <c r="C46" i="2"/>
  <c r="C30" i="6" s="1"/>
  <c r="W44" i="2"/>
  <c r="X44" i="2" s="1"/>
  <c r="S44" i="2"/>
  <c r="N44" i="2"/>
  <c r="N29" i="6" s="1"/>
  <c r="I44" i="2"/>
  <c r="I29" i="6" s="1"/>
  <c r="AI42" i="2"/>
  <c r="AD42" i="2"/>
  <c r="AB42" i="2"/>
  <c r="AA42" i="2"/>
  <c r="Z42" i="2"/>
  <c r="W42" i="2"/>
  <c r="AJ41" i="2"/>
  <c r="AJ40" i="2" s="1"/>
  <c r="AE41" i="2"/>
  <c r="AE40" i="2" s="1"/>
  <c r="AI40" i="2"/>
  <c r="AD40" i="2"/>
  <c r="AB40" i="2"/>
  <c r="AA40" i="2"/>
  <c r="Z40" i="2"/>
  <c r="Y40" i="2"/>
  <c r="W40" i="2"/>
  <c r="S38" i="2"/>
  <c r="N38" i="2"/>
  <c r="N28" i="6" s="1"/>
  <c r="I38" i="2"/>
  <c r="S32" i="2"/>
  <c r="N32" i="2"/>
  <c r="I32" i="2"/>
  <c r="S29" i="2"/>
  <c r="N29" i="2"/>
  <c r="I29" i="2"/>
  <c r="I26" i="6" s="1"/>
  <c r="Y23" i="2"/>
  <c r="Z22" i="2"/>
  <c r="AA22" i="2" s="1"/>
  <c r="Y21" i="2"/>
  <c r="V20" i="2"/>
  <c r="U20" i="2"/>
  <c r="U22" i="6" s="1"/>
  <c r="T20" i="2"/>
  <c r="T22" i="6" s="1"/>
  <c r="R20" i="2"/>
  <c r="R22" i="6" s="1"/>
  <c r="Q20" i="2"/>
  <c r="Q22" i="6" s="1"/>
  <c r="P20" i="2"/>
  <c r="P22" i="6" s="1"/>
  <c r="O20" i="2"/>
  <c r="O22" i="6" s="1"/>
  <c r="M20" i="2"/>
  <c r="M22" i="6" s="1"/>
  <c r="L20" i="2"/>
  <c r="L22" i="6" s="1"/>
  <c r="K20" i="2"/>
  <c r="K22" i="6" s="1"/>
  <c r="J20" i="2"/>
  <c r="J22" i="6" s="1"/>
  <c r="H20" i="2"/>
  <c r="H22" i="6" s="1"/>
  <c r="G20" i="2"/>
  <c r="G22" i="6" s="1"/>
  <c r="F20" i="2"/>
  <c r="F22" i="6" s="1"/>
  <c r="E20" i="2"/>
  <c r="E22" i="6" s="1"/>
  <c r="D20" i="2"/>
  <c r="C20" i="2"/>
  <c r="S19" i="2"/>
  <c r="N19" i="2"/>
  <c r="I19" i="2"/>
  <c r="V15" i="2"/>
  <c r="U15" i="2"/>
  <c r="U39" i="2" s="1"/>
  <c r="T15" i="2"/>
  <c r="T39" i="2" s="1"/>
  <c r="R15" i="2"/>
  <c r="R39" i="2" s="1"/>
  <c r="Q15" i="2"/>
  <c r="P15" i="2"/>
  <c r="P39" i="2" s="1"/>
  <c r="O15" i="2"/>
  <c r="O39" i="2" s="1"/>
  <c r="N15" i="2"/>
  <c r="M15" i="2"/>
  <c r="M39" i="2" s="1"/>
  <c r="L15" i="2"/>
  <c r="L39" i="2" s="1"/>
  <c r="K15" i="2"/>
  <c r="K39" i="2" s="1"/>
  <c r="J15" i="2"/>
  <c r="J39" i="2" s="1"/>
  <c r="H15" i="2"/>
  <c r="H39" i="2" s="1"/>
  <c r="G15" i="2"/>
  <c r="G39" i="2" s="1"/>
  <c r="F15" i="2"/>
  <c r="F39" i="2" s="1"/>
  <c r="E15" i="2"/>
  <c r="E39" i="2" s="1"/>
  <c r="D15" i="2"/>
  <c r="C15" i="2"/>
  <c r="V14" i="2"/>
  <c r="U14" i="2"/>
  <c r="U33" i="2" s="1"/>
  <c r="Z35" i="2" s="1"/>
  <c r="T14" i="2"/>
  <c r="T33" i="2" s="1"/>
  <c r="Y35" i="2" s="1"/>
  <c r="S14" i="2"/>
  <c r="R14" i="2"/>
  <c r="R33" i="2" s="1"/>
  <c r="Q14" i="2"/>
  <c r="P14" i="2"/>
  <c r="P33" i="2" s="1"/>
  <c r="O14" i="2"/>
  <c r="O33" i="2" s="1"/>
  <c r="M14" i="2"/>
  <c r="M33" i="2" s="1"/>
  <c r="L14" i="2"/>
  <c r="L33" i="2" s="1"/>
  <c r="K14" i="2"/>
  <c r="K33" i="2" s="1"/>
  <c r="J14" i="2"/>
  <c r="J33" i="2" s="1"/>
  <c r="H14" i="2"/>
  <c r="H33" i="2" s="1"/>
  <c r="G14" i="2"/>
  <c r="G33" i="2" s="1"/>
  <c r="F14" i="2"/>
  <c r="F33" i="2" s="1"/>
  <c r="E14" i="2"/>
  <c r="E33" i="2" s="1"/>
  <c r="D14" i="2"/>
  <c r="C14" i="2"/>
  <c r="AM13" i="2"/>
  <c r="AL13" i="2"/>
  <c r="AK13" i="2"/>
  <c r="AJ13" i="2"/>
  <c r="AI13" i="2"/>
  <c r="AH13" i="2"/>
  <c r="AG13" i="2"/>
  <c r="AF13" i="2"/>
  <c r="AE13" i="2"/>
  <c r="AD13" i="2"/>
  <c r="AC13" i="2"/>
  <c r="AB13" i="2"/>
  <c r="AA13" i="2"/>
  <c r="Z13" i="2"/>
  <c r="Y13" i="2"/>
  <c r="X13" i="2"/>
  <c r="W13" i="2"/>
  <c r="V13" i="2"/>
  <c r="U13" i="2"/>
  <c r="T13" i="2"/>
  <c r="R13" i="2"/>
  <c r="R48" i="2" s="1"/>
  <c r="Q13" i="2"/>
  <c r="Q30" i="2" s="1"/>
  <c r="P13" i="2"/>
  <c r="P30" i="2" s="1"/>
  <c r="O13" i="2"/>
  <c r="O48" i="2" s="1"/>
  <c r="M13" i="2"/>
  <c r="M48" i="2" s="1"/>
  <c r="L13" i="2"/>
  <c r="L48" i="2" s="1"/>
  <c r="K13" i="2"/>
  <c r="J13" i="2"/>
  <c r="J48" i="2" s="1"/>
  <c r="H13" i="2"/>
  <c r="H30" i="2" s="1"/>
  <c r="G13" i="2"/>
  <c r="G48" i="2" s="1"/>
  <c r="F13" i="2"/>
  <c r="F30" i="2" s="1"/>
  <c r="E13" i="2"/>
  <c r="E48" i="2" s="1"/>
  <c r="D13" i="2"/>
  <c r="C13" i="2"/>
  <c r="V12" i="2"/>
  <c r="U12" i="2"/>
  <c r="T12" i="2"/>
  <c r="R12" i="2"/>
  <c r="Q12" i="2"/>
  <c r="P12" i="2"/>
  <c r="O12" i="2"/>
  <c r="M12" i="2"/>
  <c r="M24" i="2" s="1"/>
  <c r="L12" i="2"/>
  <c r="L24" i="2" s="1"/>
  <c r="K12" i="2"/>
  <c r="K24" i="2" s="1"/>
  <c r="J12" i="2"/>
  <c r="J24" i="2" s="1"/>
  <c r="H12" i="2"/>
  <c r="H24" i="2" s="1"/>
  <c r="G12" i="2"/>
  <c r="F12" i="2"/>
  <c r="E12" i="2"/>
  <c r="E24" i="2" s="1"/>
  <c r="D12" i="2"/>
  <c r="D24" i="2" s="1"/>
  <c r="C12" i="2"/>
  <c r="C24" i="2" s="1"/>
  <c r="V10" i="2"/>
  <c r="U10" i="2"/>
  <c r="T10" i="2"/>
  <c r="R10" i="2"/>
  <c r="Q10" i="2"/>
  <c r="P10" i="2"/>
  <c r="O10" i="2"/>
  <c r="M10" i="2"/>
  <c r="L10" i="2"/>
  <c r="K10" i="2"/>
  <c r="J10" i="2"/>
  <c r="H10" i="2"/>
  <c r="G10" i="2"/>
  <c r="F10" i="2"/>
  <c r="E10" i="2"/>
  <c r="D10" i="2"/>
  <c r="C10" i="2"/>
  <c r="C26" i="1"/>
  <c r="L24" i="1"/>
  <c r="K24" i="1"/>
  <c r="J24" i="1"/>
  <c r="I24" i="1"/>
  <c r="I14" i="2" l="1"/>
  <c r="AF14" i="3"/>
  <c r="AF13" i="3" s="1"/>
  <c r="AE13" i="3"/>
  <c r="AJ15" i="3"/>
  <c r="AJ13" i="3"/>
  <c r="Q182" i="2"/>
  <c r="AC314" i="2"/>
  <c r="S90" i="2"/>
  <c r="Y229" i="2"/>
  <c r="Y129" i="6" s="1"/>
  <c r="Z83" i="2"/>
  <c r="V164" i="2"/>
  <c r="V76" i="6" s="1"/>
  <c r="Z81" i="2"/>
  <c r="P297" i="2"/>
  <c r="P300" i="2" s="1"/>
  <c r="D112" i="5"/>
  <c r="R52" i="3"/>
  <c r="R17" i="6" s="1"/>
  <c r="R81" i="3"/>
  <c r="R77" i="3"/>
  <c r="J49" i="3"/>
  <c r="J8" i="6" s="1"/>
  <c r="J77" i="3"/>
  <c r="J81" i="3"/>
  <c r="T77" i="3"/>
  <c r="T81" i="3"/>
  <c r="P81" i="3"/>
  <c r="P77" i="3"/>
  <c r="C49" i="3"/>
  <c r="C8" i="6" s="1"/>
  <c r="C77" i="3"/>
  <c r="C81" i="3"/>
  <c r="L81" i="3"/>
  <c r="L77" i="3"/>
  <c r="V52" i="3"/>
  <c r="V17" i="6" s="1"/>
  <c r="V81" i="3"/>
  <c r="V77" i="3"/>
  <c r="K52" i="3"/>
  <c r="K17" i="6" s="1"/>
  <c r="K81" i="3"/>
  <c r="K77" i="3"/>
  <c r="M77" i="3"/>
  <c r="M81" i="3"/>
  <c r="H52" i="3"/>
  <c r="H17" i="6" s="1"/>
  <c r="Q81" i="3"/>
  <c r="Q77" i="3"/>
  <c r="U52" i="3"/>
  <c r="U17" i="6" s="1"/>
  <c r="U81" i="3"/>
  <c r="U77" i="3"/>
  <c r="Z33" i="3"/>
  <c r="O49" i="3"/>
  <c r="O8" i="6" s="1"/>
  <c r="O77" i="3"/>
  <c r="O81" i="3"/>
  <c r="L25" i="1"/>
  <c r="D49" i="3"/>
  <c r="D81" i="3"/>
  <c r="D77" i="3"/>
  <c r="H50" i="3"/>
  <c r="H11" i="6" s="1"/>
  <c r="U51" i="3"/>
  <c r="U14" i="6" s="1"/>
  <c r="Q46" i="3"/>
  <c r="Q19" i="6" s="1"/>
  <c r="N13" i="2"/>
  <c r="C18" i="1"/>
  <c r="S12" i="2"/>
  <c r="S24" i="2" s="1"/>
  <c r="L46" i="3"/>
  <c r="L19" i="6" s="1"/>
  <c r="U49" i="3"/>
  <c r="K50" i="3"/>
  <c r="K11" i="6" s="1"/>
  <c r="S13" i="2"/>
  <c r="S48" i="2" s="1"/>
  <c r="P46" i="3"/>
  <c r="P19" i="6" s="1"/>
  <c r="L49" i="3"/>
  <c r="L8" i="6" s="1"/>
  <c r="K51" i="3"/>
  <c r="K14" i="6" s="1"/>
  <c r="J18" i="6"/>
  <c r="C22" i="1"/>
  <c r="C50" i="3"/>
  <c r="C11" i="6" s="1"/>
  <c r="F52" i="3"/>
  <c r="F17" i="6" s="1"/>
  <c r="S20" i="2"/>
  <c r="U50" i="3"/>
  <c r="U11" i="6" s="1"/>
  <c r="M46" i="3"/>
  <c r="M19" i="6" s="1"/>
  <c r="H51" i="3"/>
  <c r="H14" i="6" s="1"/>
  <c r="D26" i="1"/>
  <c r="J51" i="3"/>
  <c r="J14" i="6" s="1"/>
  <c r="C10" i="5"/>
  <c r="C13" i="5"/>
  <c r="C22" i="6"/>
  <c r="D33" i="2"/>
  <c r="Q48" i="2"/>
  <c r="D36" i="5"/>
  <c r="D13" i="5"/>
  <c r="D48" i="5"/>
  <c r="P48" i="2"/>
  <c r="D10" i="5"/>
  <c r="L18" i="6"/>
  <c r="H18" i="6"/>
  <c r="R18" i="6"/>
  <c r="T297" i="2"/>
  <c r="T300" i="2" s="1"/>
  <c r="C17" i="5"/>
  <c r="C26" i="5"/>
  <c r="D17" i="5"/>
  <c r="P192" i="2"/>
  <c r="P104" i="6" s="1"/>
  <c r="M166" i="2"/>
  <c r="M78" i="6" s="1"/>
  <c r="M50" i="3"/>
  <c r="M11" i="6" s="1"/>
  <c r="V18" i="6"/>
  <c r="M177" i="2"/>
  <c r="M89" i="6" s="1"/>
  <c r="F9" i="5"/>
  <c r="C14" i="1"/>
  <c r="N36" i="3"/>
  <c r="M49" i="3"/>
  <c r="M8" i="6" s="1"/>
  <c r="S29" i="3"/>
  <c r="O18" i="6"/>
  <c r="P49" i="3"/>
  <c r="I15" i="2"/>
  <c r="S166" i="2"/>
  <c r="S78" i="6" s="1"/>
  <c r="M172" i="2"/>
  <c r="V225" i="2"/>
  <c r="V125" i="6" s="1"/>
  <c r="I12" i="3"/>
  <c r="P51" i="3"/>
  <c r="P14" i="6" s="1"/>
  <c r="D14" i="1"/>
  <c r="S10" i="2"/>
  <c r="C16" i="2"/>
  <c r="I85" i="2"/>
  <c r="L85" i="2"/>
  <c r="T122" i="2"/>
  <c r="T56" i="6" s="1"/>
  <c r="N171" i="2"/>
  <c r="N83" i="6" s="1"/>
  <c r="M186" i="2"/>
  <c r="M98" i="6" s="1"/>
  <c r="G49" i="3"/>
  <c r="C48" i="5"/>
  <c r="D27" i="5"/>
  <c r="I6" i="6"/>
  <c r="P18" i="6"/>
  <c r="S12" i="6"/>
  <c r="AH125" i="2"/>
  <c r="T24" i="2"/>
  <c r="R46" i="3"/>
  <c r="R19" i="6" s="1"/>
  <c r="M179" i="2"/>
  <c r="M91" i="6" s="1"/>
  <c r="V185" i="2"/>
  <c r="V97" i="6" s="1"/>
  <c r="O50" i="3"/>
  <c r="O11" i="6" s="1"/>
  <c r="F16" i="2"/>
  <c r="F26" i="2" s="1"/>
  <c r="I80" i="2"/>
  <c r="P50" i="3"/>
  <c r="P11" i="6" s="1"/>
  <c r="P52" i="3"/>
  <c r="P17" i="6" s="1"/>
  <c r="S15" i="2"/>
  <c r="G30" i="2"/>
  <c r="C39" i="2"/>
  <c r="F48" i="2"/>
  <c r="K86" i="2"/>
  <c r="K87" i="2" s="1"/>
  <c r="AC124" i="2"/>
  <c r="N145" i="2"/>
  <c r="L167" i="2"/>
  <c r="L79" i="6" s="1"/>
  <c r="M206" i="2"/>
  <c r="N206" i="2" s="1"/>
  <c r="W232" i="2"/>
  <c r="W180" i="2" s="1"/>
  <c r="W92" i="6" s="1"/>
  <c r="D259" i="2"/>
  <c r="I8" i="3"/>
  <c r="I7" i="6" s="1"/>
  <c r="I17" i="3"/>
  <c r="S36" i="3"/>
  <c r="S40" i="3"/>
  <c r="K46" i="3"/>
  <c r="K19" i="6" s="1"/>
  <c r="U46" i="3"/>
  <c r="U19" i="6" s="1"/>
  <c r="E50" i="3"/>
  <c r="E11" i="6" s="1"/>
  <c r="C51" i="3"/>
  <c r="C14" i="6" s="1"/>
  <c r="C52" i="3"/>
  <c r="C17" i="6" s="1"/>
  <c r="D20" i="5"/>
  <c r="Q173" i="2"/>
  <c r="Q85" i="6" s="1"/>
  <c r="W19" i="3"/>
  <c r="W18" i="3" s="1"/>
  <c r="N58" i="2"/>
  <c r="S240" i="2"/>
  <c r="S140" i="6" s="1"/>
  <c r="I45" i="3"/>
  <c r="M51" i="3"/>
  <c r="M14" i="6" s="1"/>
  <c r="M52" i="3"/>
  <c r="M17" i="6" s="1"/>
  <c r="C74" i="6"/>
  <c r="I10" i="2"/>
  <c r="E49" i="3"/>
  <c r="Q18" i="6"/>
  <c r="O74" i="6"/>
  <c r="I12" i="2"/>
  <c r="R233" i="2"/>
  <c r="R133" i="6" s="1"/>
  <c r="T241" i="2"/>
  <c r="T141" i="6" s="1"/>
  <c r="D244" i="2"/>
  <c r="D144" i="6" s="1"/>
  <c r="I276" i="2"/>
  <c r="S24" i="3"/>
  <c r="S10" i="6" s="1"/>
  <c r="I32" i="3"/>
  <c r="I13" i="6" s="1"/>
  <c r="AA34" i="3"/>
  <c r="AA35" i="3" s="1"/>
  <c r="E51" i="3"/>
  <c r="E14" i="6" s="1"/>
  <c r="E6" i="5"/>
  <c r="E7" i="5" s="1"/>
  <c r="E12" i="5"/>
  <c r="G19" i="5"/>
  <c r="G20" i="5" s="1"/>
  <c r="U18" i="6"/>
  <c r="F18" i="6"/>
  <c r="G121" i="6"/>
  <c r="AK14" i="3"/>
  <c r="AE15" i="3"/>
  <c r="AK42" i="3"/>
  <c r="AK40" i="3" s="1"/>
  <c r="AK16" i="6" s="1"/>
  <c r="AF15" i="3"/>
  <c r="AG14" i="3"/>
  <c r="AG13" i="3" s="1"/>
  <c r="M74" i="6"/>
  <c r="M121" i="6"/>
  <c r="AB82" i="2"/>
  <c r="AB83" i="2" s="1"/>
  <c r="AA83" i="2"/>
  <c r="U16" i="2"/>
  <c r="AF168" i="2"/>
  <c r="AG168" i="2" s="1"/>
  <c r="AG80" i="6" s="1"/>
  <c r="Q172" i="2"/>
  <c r="Q84" i="6" s="1"/>
  <c r="V24" i="2"/>
  <c r="M181" i="2"/>
  <c r="M93" i="6" s="1"/>
  <c r="N199" i="2"/>
  <c r="N111" i="6" s="1"/>
  <c r="U203" i="2"/>
  <c r="U275" i="2"/>
  <c r="U276" i="2" s="1"/>
  <c r="AG74" i="6"/>
  <c r="I24" i="2"/>
  <c r="N46" i="2"/>
  <c r="N30" i="6" s="1"/>
  <c r="M30" i="2"/>
  <c r="AB69" i="2"/>
  <c r="T85" i="2"/>
  <c r="AM125" i="2"/>
  <c r="AF131" i="2"/>
  <c r="AF59" i="6" s="1"/>
  <c r="D167" i="2"/>
  <c r="D79" i="6" s="1"/>
  <c r="M183" i="2"/>
  <c r="M95" i="6" s="1"/>
  <c r="M192" i="2"/>
  <c r="O194" i="2"/>
  <c r="O106" i="6" s="1"/>
  <c r="P204" i="2"/>
  <c r="P115" i="6" s="1"/>
  <c r="V200" i="2"/>
  <c r="V112" i="6" s="1"/>
  <c r="AM204" i="2"/>
  <c r="AM115" i="6" s="1"/>
  <c r="X231" i="2"/>
  <c r="O242" i="2"/>
  <c r="O244" i="2" s="1"/>
  <c r="J244" i="2"/>
  <c r="J144" i="6" s="1"/>
  <c r="D258" i="2"/>
  <c r="P314" i="2"/>
  <c r="D26" i="5"/>
  <c r="E55" i="5"/>
  <c r="G81" i="5"/>
  <c r="V38" i="6"/>
  <c r="AL74" i="6"/>
  <c r="R16" i="2"/>
  <c r="R268" i="2" s="1"/>
  <c r="J30" i="2"/>
  <c r="Q177" i="2"/>
  <c r="Q89" i="6" s="1"/>
  <c r="Q193" i="2"/>
  <c r="Q105" i="6" s="1"/>
  <c r="M314" i="2"/>
  <c r="L30" i="2"/>
  <c r="W82" i="2"/>
  <c r="W83" i="2" s="1"/>
  <c r="N154" i="2"/>
  <c r="Q202" i="2"/>
  <c r="Q204" i="2" s="1"/>
  <c r="Q115" i="6" s="1"/>
  <c r="T271" i="2"/>
  <c r="D48" i="6"/>
  <c r="O30" i="2"/>
  <c r="AE83" i="2"/>
  <c r="I86" i="2"/>
  <c r="I87" i="2" s="1"/>
  <c r="AM124" i="2"/>
  <c r="AC125" i="2"/>
  <c r="I167" i="2"/>
  <c r="I79" i="6" s="1"/>
  <c r="M169" i="2"/>
  <c r="M180" i="2"/>
  <c r="N180" i="2" s="1"/>
  <c r="N92" i="6" s="1"/>
  <c r="Q181" i="2"/>
  <c r="Q93" i="6" s="1"/>
  <c r="X200" i="2"/>
  <c r="X112" i="6" s="1"/>
  <c r="M244" i="2"/>
  <c r="M144" i="6" s="1"/>
  <c r="S41" i="6"/>
  <c r="R82" i="6"/>
  <c r="AG68" i="2"/>
  <c r="T204" i="2"/>
  <c r="T115" i="6" s="1"/>
  <c r="O227" i="2"/>
  <c r="E16" i="2"/>
  <c r="E26" i="2" s="1"/>
  <c r="E52" i="2" s="1"/>
  <c r="E98" i="2" s="1"/>
  <c r="V39" i="2"/>
  <c r="H48" i="2"/>
  <c r="N65" i="2"/>
  <c r="S79" i="2"/>
  <c r="AF82" i="2"/>
  <c r="AF81" i="2" s="1"/>
  <c r="P84" i="2"/>
  <c r="P86" i="2" s="1"/>
  <c r="P87" i="2" s="1"/>
  <c r="I154" i="2"/>
  <c r="E73" i="5" s="1"/>
  <c r="V168" i="2"/>
  <c r="W168" i="2" s="1"/>
  <c r="Q169" i="2"/>
  <c r="Q81" i="6" s="1"/>
  <c r="Q180" i="2"/>
  <c r="Q92" i="6" s="1"/>
  <c r="X191" i="2"/>
  <c r="X103" i="6" s="1"/>
  <c r="I233" i="2"/>
  <c r="I133" i="6" s="1"/>
  <c r="X242" i="2"/>
  <c r="X257" i="2" s="1"/>
  <c r="M297" i="2"/>
  <c r="M300" i="2" s="1"/>
  <c r="I315" i="2"/>
  <c r="P102" i="6"/>
  <c r="F24" i="2"/>
  <c r="R30" i="2"/>
  <c r="M16" i="2"/>
  <c r="M268" i="2" s="1"/>
  <c r="E30" i="2"/>
  <c r="I48" i="2"/>
  <c r="U86" i="2"/>
  <c r="U87" i="2" s="1"/>
  <c r="N123" i="2"/>
  <c r="S133" i="2"/>
  <c r="S61" i="6" s="1"/>
  <c r="T187" i="2"/>
  <c r="T99" i="6" s="1"/>
  <c r="AH204" i="2"/>
  <c r="AH115" i="6" s="1"/>
  <c r="N202" i="2"/>
  <c r="N113" i="6" s="1"/>
  <c r="U227" i="2"/>
  <c r="U233" i="2" s="1"/>
  <c r="U133" i="6" s="1"/>
  <c r="L233" i="2"/>
  <c r="L133" i="6" s="1"/>
  <c r="J259" i="2"/>
  <c r="L297" i="2"/>
  <c r="L300" i="2" s="1"/>
  <c r="V297" i="2"/>
  <c r="O297" i="2"/>
  <c r="O300" i="2" s="1"/>
  <c r="N56" i="6"/>
  <c r="W32" i="3"/>
  <c r="AI12" i="3"/>
  <c r="AE12" i="3"/>
  <c r="AB39" i="2"/>
  <c r="AA40" i="3"/>
  <c r="AA39" i="3" s="1"/>
  <c r="AB40" i="3"/>
  <c r="AB16" i="6" s="1"/>
  <c r="M58" i="5"/>
  <c r="AD39" i="2"/>
  <c r="AJ80" i="2"/>
  <c r="Y32" i="3"/>
  <c r="Y30" i="3" s="1"/>
  <c r="O58" i="5"/>
  <c r="N58" i="5"/>
  <c r="Z39" i="2"/>
  <c r="W73" i="2"/>
  <c r="AB75" i="2" s="1"/>
  <c r="AE80" i="2"/>
  <c r="AB12" i="3"/>
  <c r="AF12" i="3"/>
  <c r="AJ32" i="3"/>
  <c r="AJ13" i="6" s="1"/>
  <c r="W40" i="3"/>
  <c r="AI40" i="3"/>
  <c r="AI16" i="6" s="1"/>
  <c r="C10" i="4"/>
  <c r="AA39" i="2"/>
  <c r="W59" i="2"/>
  <c r="AB61" i="2" s="1"/>
  <c r="AI80" i="2"/>
  <c r="AD12" i="3"/>
  <c r="AK32" i="3"/>
  <c r="AK13" i="6" s="1"/>
  <c r="Y40" i="3"/>
  <c r="Y16" i="6" s="1"/>
  <c r="AJ40" i="3"/>
  <c r="AJ16" i="6" s="1"/>
  <c r="AJ12" i="3"/>
  <c r="Z32" i="3"/>
  <c r="AD40" i="3"/>
  <c r="AD16" i="6" s="1"/>
  <c r="Y20" i="2"/>
  <c r="Y22" i="6" s="1"/>
  <c r="W66" i="2"/>
  <c r="Y80" i="2"/>
  <c r="W105" i="2"/>
  <c r="Y12" i="3"/>
  <c r="Y10" i="3" s="1"/>
  <c r="Y10" i="2" s="1"/>
  <c r="AD32" i="3"/>
  <c r="AD13" i="6" s="1"/>
  <c r="AE40" i="3"/>
  <c r="AE16" i="6" s="1"/>
  <c r="W12" i="3"/>
  <c r="W10" i="3" s="1"/>
  <c r="W39" i="2"/>
  <c r="AB66" i="2"/>
  <c r="Z80" i="2"/>
  <c r="Z12" i="3"/>
  <c r="Z10" i="3" s="1"/>
  <c r="Z10" i="2" s="1"/>
  <c r="AE32" i="3"/>
  <c r="AE13" i="6" s="1"/>
  <c r="AF40" i="3"/>
  <c r="AF16" i="6" s="1"/>
  <c r="AI39" i="2"/>
  <c r="Y39" i="2"/>
  <c r="AD80" i="2"/>
  <c r="AA12" i="3"/>
  <c r="AA10" i="3" s="1"/>
  <c r="AG32" i="3"/>
  <c r="AG13" i="6" s="1"/>
  <c r="AG40" i="3"/>
  <c r="AG16" i="6" s="1"/>
  <c r="Y36" i="2"/>
  <c r="AD35" i="2"/>
  <c r="Y34" i="2"/>
  <c r="Y33" i="2"/>
  <c r="Z148" i="2"/>
  <c r="AE35" i="2"/>
  <c r="Z34" i="2"/>
  <c r="Z33" i="2"/>
  <c r="Z36" i="2"/>
  <c r="S145" i="2"/>
  <c r="T145" i="2"/>
  <c r="U145" i="2" s="1"/>
  <c r="V145" i="2" s="1"/>
  <c r="W145" i="2" s="1"/>
  <c r="Q102" i="6"/>
  <c r="R190" i="2"/>
  <c r="S190" i="2" s="1"/>
  <c r="W123" i="6"/>
  <c r="X223" i="2"/>
  <c r="W192" i="2"/>
  <c r="W104" i="6" s="1"/>
  <c r="D22" i="6"/>
  <c r="AA21" i="2"/>
  <c r="AA20" i="2"/>
  <c r="AB22" i="2"/>
  <c r="AD22" i="2" s="1"/>
  <c r="N27" i="6"/>
  <c r="F32" i="5"/>
  <c r="N39" i="2"/>
  <c r="S37" i="6"/>
  <c r="G41" i="5"/>
  <c r="S65" i="2"/>
  <c r="C80" i="6"/>
  <c r="C167" i="2"/>
  <c r="C79" i="6" s="1"/>
  <c r="W81" i="6"/>
  <c r="W248" i="2"/>
  <c r="U96" i="6"/>
  <c r="V184" i="2"/>
  <c r="V96" i="6" s="1"/>
  <c r="C99" i="6"/>
  <c r="C212" i="2"/>
  <c r="C207" i="2"/>
  <c r="U152" i="6"/>
  <c r="U259" i="2"/>
  <c r="D16" i="2"/>
  <c r="L16" i="2"/>
  <c r="L49" i="2" s="1"/>
  <c r="N20" i="2"/>
  <c r="V22" i="6"/>
  <c r="W22" i="2"/>
  <c r="AH41" i="6"/>
  <c r="J53" i="5"/>
  <c r="U86" i="6"/>
  <c r="V174" i="2"/>
  <c r="V86" i="6" s="1"/>
  <c r="I55" i="6"/>
  <c r="E80" i="5"/>
  <c r="P78" i="6"/>
  <c r="Q166" i="2"/>
  <c r="P91" i="6"/>
  <c r="Q179" i="2"/>
  <c r="U102" i="6"/>
  <c r="V190" i="2"/>
  <c r="V206" i="2"/>
  <c r="X206" i="2" s="1"/>
  <c r="J276" i="2"/>
  <c r="W121" i="6"/>
  <c r="W74" i="6"/>
  <c r="AM121" i="6"/>
  <c r="AM74" i="6"/>
  <c r="G16" i="2"/>
  <c r="G26" i="2" s="1"/>
  <c r="G155" i="2" s="1"/>
  <c r="G24" i="2"/>
  <c r="O16" i="2"/>
  <c r="O268" i="2" s="1"/>
  <c r="O24" i="2"/>
  <c r="D48" i="2"/>
  <c r="J16" i="2"/>
  <c r="N33" i="2"/>
  <c r="E35" i="5"/>
  <c r="I28" i="6"/>
  <c r="S36" i="6"/>
  <c r="G38" i="5"/>
  <c r="S58" i="2"/>
  <c r="R38" i="6"/>
  <c r="R270" i="2"/>
  <c r="R269" i="2"/>
  <c r="O86" i="2"/>
  <c r="O87" i="2" s="1"/>
  <c r="O85" i="2"/>
  <c r="AC61" i="6"/>
  <c r="P167" i="2"/>
  <c r="M81" i="6"/>
  <c r="N169" i="2"/>
  <c r="S82" i="6"/>
  <c r="P98" i="6"/>
  <c r="Q186" i="2"/>
  <c r="V141" i="6"/>
  <c r="V244" i="2"/>
  <c r="V144" i="6" s="1"/>
  <c r="V147" i="6"/>
  <c r="W247" i="2"/>
  <c r="F141" i="5"/>
  <c r="Y55" i="6"/>
  <c r="Z120" i="2"/>
  <c r="Q94" i="6"/>
  <c r="R182" i="2"/>
  <c r="R94" i="6" s="1"/>
  <c r="I49" i="3"/>
  <c r="I46" i="3"/>
  <c r="I19" i="6" s="1"/>
  <c r="K48" i="2"/>
  <c r="K30" i="2"/>
  <c r="Q39" i="2"/>
  <c r="K16" i="2"/>
  <c r="U72" i="2"/>
  <c r="AB81" i="2"/>
  <c r="O99" i="6"/>
  <c r="O212" i="2"/>
  <c r="M193" i="2"/>
  <c r="M105" i="6" s="1"/>
  <c r="I121" i="6"/>
  <c r="I74" i="6"/>
  <c r="L105" i="6"/>
  <c r="Q16" i="2"/>
  <c r="Q268" i="2" s="1"/>
  <c r="E25" i="5"/>
  <c r="I21" i="6"/>
  <c r="I20" i="2"/>
  <c r="I46" i="2"/>
  <c r="I30" i="6" s="1"/>
  <c r="S26" i="6"/>
  <c r="G55" i="5"/>
  <c r="S46" i="2"/>
  <c r="S30" i="6" s="1"/>
  <c r="AE42" i="2"/>
  <c r="AE39" i="2"/>
  <c r="AJ83" i="2"/>
  <c r="AK82" i="2"/>
  <c r="AJ81" i="2"/>
  <c r="W48" i="6"/>
  <c r="W146" i="2"/>
  <c r="Y154" i="2"/>
  <c r="X154" i="2"/>
  <c r="P87" i="6"/>
  <c r="P187" i="2"/>
  <c r="Q175" i="2"/>
  <c r="U110" i="6"/>
  <c r="V198" i="2"/>
  <c r="X198" i="2" s="1"/>
  <c r="W143" i="6"/>
  <c r="X243" i="2"/>
  <c r="W186" i="2"/>
  <c r="W98" i="6" s="1"/>
  <c r="V56" i="6"/>
  <c r="W122" i="2"/>
  <c r="C48" i="2"/>
  <c r="C30" i="2"/>
  <c r="H16" i="2"/>
  <c r="P269" i="2"/>
  <c r="P271" i="2"/>
  <c r="P270" i="2"/>
  <c r="P38" i="6"/>
  <c r="S71" i="2"/>
  <c r="S270" i="2" s="1"/>
  <c r="P72" i="2"/>
  <c r="AA23" i="2"/>
  <c r="AB80" i="2"/>
  <c r="C85" i="2"/>
  <c r="C86" i="2"/>
  <c r="I121" i="2"/>
  <c r="Q148" i="2"/>
  <c r="P146" i="2"/>
  <c r="S146" i="2" s="1"/>
  <c r="V199" i="2"/>
  <c r="V111" i="6" s="1"/>
  <c r="U111" i="6"/>
  <c r="Q90" i="6"/>
  <c r="R24" i="2"/>
  <c r="P16" i="2"/>
  <c r="N21" i="6"/>
  <c r="F25" i="5"/>
  <c r="N24" i="2"/>
  <c r="Z23" i="2"/>
  <c r="Z21" i="2"/>
  <c r="Z20" i="2"/>
  <c r="Q24" i="2"/>
  <c r="D30" i="2"/>
  <c r="E32" i="5"/>
  <c r="I27" i="6"/>
  <c r="I33" i="2"/>
  <c r="V33" i="2"/>
  <c r="AF41" i="2"/>
  <c r="I48" i="6"/>
  <c r="G48" i="6"/>
  <c r="AA80" i="6"/>
  <c r="AB168" i="2"/>
  <c r="AH82" i="6"/>
  <c r="M104" i="6"/>
  <c r="N192" i="2"/>
  <c r="N104" i="6" s="1"/>
  <c r="J52" i="3"/>
  <c r="J17" i="6" s="1"/>
  <c r="J50" i="3"/>
  <c r="J46" i="3"/>
  <c r="J19" i="6" s="1"/>
  <c r="O46" i="3"/>
  <c r="O19" i="6" s="1"/>
  <c r="T50" i="3"/>
  <c r="T11" i="6" s="1"/>
  <c r="T51" i="3"/>
  <c r="T14" i="6" s="1"/>
  <c r="T52" i="3"/>
  <c r="T17" i="6" s="1"/>
  <c r="T46" i="3"/>
  <c r="T19" i="6" s="1"/>
  <c r="T49" i="3"/>
  <c r="Z74" i="6"/>
  <c r="Z121" i="6"/>
  <c r="X29" i="6"/>
  <c r="I36" i="6"/>
  <c r="I269" i="2"/>
  <c r="E41" i="5"/>
  <c r="F44" i="5"/>
  <c r="N38" i="6"/>
  <c r="X41" i="6"/>
  <c r="H53" i="5"/>
  <c r="F100" i="5"/>
  <c r="W55" i="6"/>
  <c r="Q275" i="2"/>
  <c r="Q276" i="2" s="1"/>
  <c r="U95" i="6"/>
  <c r="U279" i="2"/>
  <c r="T104" i="6"/>
  <c r="T194" i="2"/>
  <c r="T106" i="6" s="1"/>
  <c r="Q110" i="6"/>
  <c r="R198" i="2"/>
  <c r="L114" i="6"/>
  <c r="R132" i="6"/>
  <c r="S232" i="2"/>
  <c r="S132" i="6" s="1"/>
  <c r="I141" i="6"/>
  <c r="I244" i="2"/>
  <c r="Q141" i="6"/>
  <c r="Q244" i="2"/>
  <c r="Q144" i="6" s="1"/>
  <c r="Y242" i="2"/>
  <c r="N271" i="2"/>
  <c r="U297" i="2"/>
  <c r="Q49" i="3"/>
  <c r="Q52" i="3"/>
  <c r="Q17" i="6" s="1"/>
  <c r="Q50" i="3"/>
  <c r="Q11" i="6" s="1"/>
  <c r="Q51" i="3"/>
  <c r="Q14" i="6" s="1"/>
  <c r="G8" i="6"/>
  <c r="X82" i="6"/>
  <c r="M87" i="6"/>
  <c r="AC121" i="6"/>
  <c r="U147" i="6"/>
  <c r="D39" i="2"/>
  <c r="AJ39" i="2"/>
  <c r="AJ42" i="2"/>
  <c r="Y44" i="2"/>
  <c r="F38" i="5"/>
  <c r="F41" i="5"/>
  <c r="N37" i="6"/>
  <c r="S80" i="2"/>
  <c r="AA80" i="2"/>
  <c r="AA81" i="2"/>
  <c r="AG82" i="2"/>
  <c r="I90" i="2"/>
  <c r="I53" i="5"/>
  <c r="AC41" i="6"/>
  <c r="N104" i="2"/>
  <c r="X120" i="2"/>
  <c r="U122" i="2"/>
  <c r="U56" i="6" s="1"/>
  <c r="AA131" i="2"/>
  <c r="X61" i="6"/>
  <c r="L146" i="2"/>
  <c r="N146" i="2" s="1"/>
  <c r="G147" i="2"/>
  <c r="G73" i="5"/>
  <c r="S48" i="6"/>
  <c r="Q164" i="2"/>
  <c r="N166" i="2"/>
  <c r="N78" i="6" s="1"/>
  <c r="V169" i="2"/>
  <c r="AC82" i="6"/>
  <c r="U180" i="2"/>
  <c r="R181" i="2"/>
  <c r="V183" i="2"/>
  <c r="Q185" i="2"/>
  <c r="Q191" i="2"/>
  <c r="U192" i="2"/>
  <c r="U194" i="2" s="1"/>
  <c r="U106" i="6" s="1"/>
  <c r="V193" i="2"/>
  <c r="S109" i="6"/>
  <c r="S198" i="2"/>
  <c r="R111" i="6"/>
  <c r="S199" i="2"/>
  <c r="S111" i="6" s="1"/>
  <c r="M203" i="2"/>
  <c r="M114" i="6" s="1"/>
  <c r="AC204" i="2"/>
  <c r="AC115" i="6" s="1"/>
  <c r="R206" i="2"/>
  <c r="S206" i="2" s="1"/>
  <c r="J215" i="2"/>
  <c r="M127" i="6"/>
  <c r="M233" i="2"/>
  <c r="M133" i="6" s="1"/>
  <c r="O271" i="2"/>
  <c r="Q279" i="2"/>
  <c r="P282" i="2"/>
  <c r="O284" i="2"/>
  <c r="Q300" i="2"/>
  <c r="Q121" i="6"/>
  <c r="Q74" i="6"/>
  <c r="N6" i="6"/>
  <c r="N45" i="3"/>
  <c r="N8" i="3"/>
  <c r="N17" i="3"/>
  <c r="D22" i="5"/>
  <c r="C100" i="5"/>
  <c r="C112" i="5" s="1"/>
  <c r="D72" i="5"/>
  <c r="D18" i="6"/>
  <c r="S39" i="6"/>
  <c r="AM41" i="6"/>
  <c r="N55" i="6"/>
  <c r="K74" i="6"/>
  <c r="AK74" i="6"/>
  <c r="L76" i="6"/>
  <c r="AI121" i="6"/>
  <c r="D99" i="6"/>
  <c r="D212" i="2"/>
  <c r="D207" i="2"/>
  <c r="L102" i="6"/>
  <c r="L194" i="2"/>
  <c r="L106" i="6" s="1"/>
  <c r="U202" i="2"/>
  <c r="U204" i="2" s="1"/>
  <c r="U115" i="6" s="1"/>
  <c r="T314" i="2"/>
  <c r="P127" i="6"/>
  <c r="P233" i="2"/>
  <c r="P133" i="6" s="1"/>
  <c r="L141" i="6"/>
  <c r="L244" i="2"/>
  <c r="N146" i="6"/>
  <c r="N252" i="2"/>
  <c r="I271" i="2"/>
  <c r="T284" i="2"/>
  <c r="S121" i="6"/>
  <c r="S74" i="6"/>
  <c r="AA121" i="6"/>
  <c r="AA74" i="6"/>
  <c r="N12" i="3"/>
  <c r="F6" i="5"/>
  <c r="G7" i="5" s="1"/>
  <c r="F12" i="5"/>
  <c r="N32" i="3"/>
  <c r="I15" i="6"/>
  <c r="I52" i="3"/>
  <c r="I17" i="6" s="1"/>
  <c r="D115" i="5"/>
  <c r="D114" i="5"/>
  <c r="D3" i="5"/>
  <c r="C27" i="5"/>
  <c r="C22" i="5"/>
  <c r="G100" i="5"/>
  <c r="I72" i="5"/>
  <c r="E121" i="6"/>
  <c r="E74" i="6"/>
  <c r="AE121" i="6"/>
  <c r="AE74" i="6"/>
  <c r="I37" i="6"/>
  <c r="I56" i="6"/>
  <c r="AH110" i="6"/>
  <c r="T16" i="2"/>
  <c r="G25" i="5"/>
  <c r="G26" i="5" s="1"/>
  <c r="S21" i="6"/>
  <c r="U24" i="2"/>
  <c r="G32" i="5"/>
  <c r="S27" i="6"/>
  <c r="F35" i="5"/>
  <c r="N80" i="2"/>
  <c r="Q84" i="2"/>
  <c r="D85" i="2"/>
  <c r="E50" i="5"/>
  <c r="I104" i="2"/>
  <c r="AB105" i="2"/>
  <c r="AB106" i="2"/>
  <c r="AG107" i="2"/>
  <c r="S121" i="2"/>
  <c r="X122" i="2"/>
  <c r="K147" i="2"/>
  <c r="K72" i="6" s="1"/>
  <c r="H72" i="5"/>
  <c r="J167" i="2"/>
  <c r="M170" i="2"/>
  <c r="V172" i="2"/>
  <c r="M174" i="2"/>
  <c r="M86" i="6" s="1"/>
  <c r="V177" i="2"/>
  <c r="S178" i="2"/>
  <c r="S90" i="6" s="1"/>
  <c r="V181" i="2"/>
  <c r="V93" i="6" s="1"/>
  <c r="P95" i="6"/>
  <c r="P279" i="2"/>
  <c r="M184" i="2"/>
  <c r="M96" i="6" s="1"/>
  <c r="I99" i="6"/>
  <c r="I212" i="2"/>
  <c r="M190" i="2"/>
  <c r="N190" i="2" s="1"/>
  <c r="S124" i="6"/>
  <c r="S267" i="2"/>
  <c r="D127" i="6"/>
  <c r="D233" i="2"/>
  <c r="D133" i="6" s="1"/>
  <c r="X232" i="2"/>
  <c r="D142" i="5"/>
  <c r="D143" i="5" s="1"/>
  <c r="M258" i="2"/>
  <c r="M259" i="2"/>
  <c r="M275" i="2"/>
  <c r="M276" i="2" s="1"/>
  <c r="Q282" i="2"/>
  <c r="D121" i="6"/>
  <c r="D74" i="6"/>
  <c r="L121" i="6"/>
  <c r="L74" i="6"/>
  <c r="T121" i="6"/>
  <c r="T74" i="6"/>
  <c r="AB121" i="6"/>
  <c r="AB74" i="6"/>
  <c r="AJ121" i="6"/>
  <c r="AJ74" i="6"/>
  <c r="S12" i="3"/>
  <c r="F16" i="5"/>
  <c r="N15" i="6"/>
  <c r="D50" i="3"/>
  <c r="D11" i="6" s="1"/>
  <c r="D51" i="3"/>
  <c r="D14" i="6" s="1"/>
  <c r="D52" i="3"/>
  <c r="D17" i="6" s="1"/>
  <c r="D46" i="3"/>
  <c r="D19" i="6" s="1"/>
  <c r="L50" i="3"/>
  <c r="L11" i="6" s="1"/>
  <c r="L51" i="3"/>
  <c r="L14" i="6" s="1"/>
  <c r="L52" i="3"/>
  <c r="L17" i="6" s="1"/>
  <c r="V46" i="3"/>
  <c r="V19" i="6" s="1"/>
  <c r="R50" i="3"/>
  <c r="R11" i="6" s="1"/>
  <c r="C3" i="5"/>
  <c r="E4" i="5"/>
  <c r="F50" i="5"/>
  <c r="D73" i="5"/>
  <c r="L125" i="5"/>
  <c r="L124" i="5" s="1"/>
  <c r="AH74" i="6"/>
  <c r="AH121" i="6"/>
  <c r="G18" i="6"/>
  <c r="C48" i="6"/>
  <c r="U74" i="6"/>
  <c r="J121" i="6"/>
  <c r="U127" i="6"/>
  <c r="G35" i="5"/>
  <c r="S28" i="6"/>
  <c r="N315" i="2"/>
  <c r="N184" i="2"/>
  <c r="N96" i="6" s="1"/>
  <c r="J99" i="6"/>
  <c r="J207" i="2"/>
  <c r="P126" i="6"/>
  <c r="U140" i="6"/>
  <c r="U271" i="2"/>
  <c r="U241" i="2"/>
  <c r="J284" i="2"/>
  <c r="V16" i="6"/>
  <c r="C114" i="5"/>
  <c r="S58" i="6"/>
  <c r="AH61" i="6"/>
  <c r="V90" i="6"/>
  <c r="T92" i="6"/>
  <c r="V16" i="2"/>
  <c r="AK41" i="2"/>
  <c r="S315" i="2"/>
  <c r="I58" i="2"/>
  <c r="I65" i="2"/>
  <c r="V270" i="2"/>
  <c r="V269" i="2"/>
  <c r="G47" i="5"/>
  <c r="J85" i="2"/>
  <c r="S40" i="6"/>
  <c r="G50" i="5"/>
  <c r="N90" i="2"/>
  <c r="N41" i="6"/>
  <c r="F53" i="5"/>
  <c r="S104" i="2"/>
  <c r="E84" i="5"/>
  <c r="I58" i="6"/>
  <c r="AG131" i="2"/>
  <c r="AG59" i="6" s="1"/>
  <c r="J72" i="5"/>
  <c r="M164" i="2"/>
  <c r="M76" i="6" s="1"/>
  <c r="K168" i="2"/>
  <c r="N168" i="2" s="1"/>
  <c r="N80" i="6" s="1"/>
  <c r="AK168" i="2"/>
  <c r="N172" i="2"/>
  <c r="V173" i="2"/>
  <c r="U182" i="2"/>
  <c r="R183" i="2"/>
  <c r="M185" i="2"/>
  <c r="K99" i="6"/>
  <c r="K207" i="2"/>
  <c r="K212" i="2"/>
  <c r="M191" i="2"/>
  <c r="M103" i="6" s="1"/>
  <c r="M110" i="6"/>
  <c r="N198" i="2"/>
  <c r="N110" i="6" s="1"/>
  <c r="L204" i="2"/>
  <c r="L115" i="6" s="1"/>
  <c r="Q122" i="6"/>
  <c r="Q227" i="2"/>
  <c r="Z229" i="2"/>
  <c r="J233" i="2"/>
  <c r="S136" i="6"/>
  <c r="N139" i="6"/>
  <c r="N270" i="2"/>
  <c r="P258" i="2"/>
  <c r="P259" i="2"/>
  <c r="O269" i="2"/>
  <c r="I270" i="2"/>
  <c r="P275" i="2"/>
  <c r="K283" i="2"/>
  <c r="K277" i="2" s="1"/>
  <c r="R297" i="2"/>
  <c r="R300" i="2" s="1"/>
  <c r="V300" i="2" s="1"/>
  <c r="F121" i="6"/>
  <c r="F74" i="6"/>
  <c r="N121" i="6"/>
  <c r="N74" i="6"/>
  <c r="V121" i="6"/>
  <c r="V74" i="6"/>
  <c r="AD121" i="6"/>
  <c r="AD74" i="6"/>
  <c r="O51" i="3"/>
  <c r="O14" i="6" s="1"/>
  <c r="O52" i="3"/>
  <c r="O17" i="6" s="1"/>
  <c r="R51" i="3"/>
  <c r="R14" i="6" s="1"/>
  <c r="E53" i="5"/>
  <c r="D8" i="6"/>
  <c r="N12" i="6"/>
  <c r="S29" i="6"/>
  <c r="S55" i="6"/>
  <c r="Y74" i="6"/>
  <c r="T113" i="6"/>
  <c r="W129" i="6"/>
  <c r="Q33" i="2"/>
  <c r="U38" i="6"/>
  <c r="U270" i="2"/>
  <c r="F47" i="5"/>
  <c r="I123" i="2"/>
  <c r="N241" i="2"/>
  <c r="U146" i="6"/>
  <c r="V246" i="2"/>
  <c r="I9" i="6"/>
  <c r="E19" i="5"/>
  <c r="I50" i="3"/>
  <c r="I11" i="6" s="1"/>
  <c r="I24" i="3"/>
  <c r="I10" i="6" s="1"/>
  <c r="N40" i="3"/>
  <c r="P24" i="2"/>
  <c r="F55" i="5"/>
  <c r="N26" i="6"/>
  <c r="I30" i="2"/>
  <c r="C33" i="2"/>
  <c r="S33" i="2"/>
  <c r="W29" i="6"/>
  <c r="I38" i="6"/>
  <c r="E44" i="5"/>
  <c r="N72" i="2"/>
  <c r="V72" i="2"/>
  <c r="N79" i="2"/>
  <c r="E100" i="5"/>
  <c r="E112" i="5" s="1"/>
  <c r="V55" i="6"/>
  <c r="N121" i="2"/>
  <c r="N58" i="6"/>
  <c r="F84" i="5"/>
  <c r="V166" i="2"/>
  <c r="M167" i="2"/>
  <c r="M79" i="6" s="1"/>
  <c r="U167" i="2"/>
  <c r="S171" i="2"/>
  <c r="M173" i="2"/>
  <c r="Q174" i="2"/>
  <c r="V175" i="2"/>
  <c r="M178" i="2"/>
  <c r="V179" i="2"/>
  <c r="V91" i="6" s="1"/>
  <c r="M182" i="2"/>
  <c r="Q184" i="2"/>
  <c r="U186" i="2"/>
  <c r="L187" i="2"/>
  <c r="L109" i="6"/>
  <c r="M197" i="2"/>
  <c r="L112" i="6"/>
  <c r="N200" i="2"/>
  <c r="N112" i="6" s="1"/>
  <c r="N201" i="2"/>
  <c r="I207" i="2"/>
  <c r="R126" i="6"/>
  <c r="S226" i="2"/>
  <c r="X249" i="2"/>
  <c r="R258" i="2"/>
  <c r="R259" i="2"/>
  <c r="L279" i="2"/>
  <c r="AL35" i="3"/>
  <c r="AL32" i="3"/>
  <c r="AL13" i="6" s="1"/>
  <c r="G51" i="3"/>
  <c r="G14" i="6" s="1"/>
  <c r="G52" i="3"/>
  <c r="G17" i="6" s="1"/>
  <c r="R49" i="3"/>
  <c r="E16" i="5"/>
  <c r="R121" i="6"/>
  <c r="R74" i="6"/>
  <c r="T18" i="6"/>
  <c r="N36" i="6"/>
  <c r="I39" i="6"/>
  <c r="L84" i="6"/>
  <c r="P110" i="6"/>
  <c r="V227" i="2"/>
  <c r="S252" i="2"/>
  <c r="N257" i="2"/>
  <c r="V258" i="2"/>
  <c r="L314" i="2"/>
  <c r="S17" i="3"/>
  <c r="AF32" i="3"/>
  <c r="AF13" i="6" s="1"/>
  <c r="Z40" i="3"/>
  <c r="AJ41" i="3"/>
  <c r="K49" i="3"/>
  <c r="F50" i="3"/>
  <c r="F11" i="6" s="1"/>
  <c r="V50" i="3"/>
  <c r="V11" i="6" s="1"/>
  <c r="I51" i="3"/>
  <c r="I14" i="6" s="1"/>
  <c r="G9" i="5"/>
  <c r="G12" i="5"/>
  <c r="C20" i="5"/>
  <c r="E18" i="6"/>
  <c r="M18" i="6"/>
  <c r="X121" i="6"/>
  <c r="N125" i="6"/>
  <c r="K233" i="2"/>
  <c r="K133" i="6" s="1"/>
  <c r="F142" i="5"/>
  <c r="I258" i="2"/>
  <c r="Q258" i="2"/>
  <c r="I259" i="2"/>
  <c r="Q259" i="2"/>
  <c r="N267" i="2"/>
  <c r="V267" i="2"/>
  <c r="W267" i="2" s="1"/>
  <c r="N269" i="2"/>
  <c r="AM314" i="2"/>
  <c r="H74" i="6"/>
  <c r="H121" i="6"/>
  <c r="S8" i="3"/>
  <c r="S32" i="3"/>
  <c r="AA32" i="3"/>
  <c r="AI32" i="3"/>
  <c r="AI13" i="6" s="1"/>
  <c r="S45" i="3"/>
  <c r="F49" i="3"/>
  <c r="V49" i="3"/>
  <c r="L113" i="6"/>
  <c r="AF121" i="6"/>
  <c r="R241" i="2"/>
  <c r="K244" i="2"/>
  <c r="K144" i="6" s="1"/>
  <c r="P253" i="2"/>
  <c r="S257" i="2"/>
  <c r="K258" i="2"/>
  <c r="K259" i="2"/>
  <c r="R271" i="2"/>
  <c r="N24" i="3"/>
  <c r="V51" i="3"/>
  <c r="V14" i="6" s="1"/>
  <c r="S6" i="6"/>
  <c r="N9" i="6"/>
  <c r="P121" i="6"/>
  <c r="T227" i="2"/>
  <c r="Q253" i="2"/>
  <c r="L258" i="2"/>
  <c r="T258" i="2"/>
  <c r="L259" i="2"/>
  <c r="T259" i="2"/>
  <c r="V13" i="6"/>
  <c r="P58" i="5"/>
  <c r="L58" i="5"/>
  <c r="E9" i="5"/>
  <c r="G16" i="5"/>
  <c r="C18" i="6"/>
  <c r="K18" i="6"/>
  <c r="C105" i="5" l="1"/>
  <c r="AL14" i="3"/>
  <c r="AL13" i="3" s="1"/>
  <c r="AK13" i="3"/>
  <c r="P194" i="2"/>
  <c r="P106" i="6" s="1"/>
  <c r="W132" i="6"/>
  <c r="X142" i="6"/>
  <c r="Q192" i="2"/>
  <c r="N181" i="2"/>
  <c r="N93" i="6" s="1"/>
  <c r="N177" i="2"/>
  <c r="N89" i="6" s="1"/>
  <c r="P85" i="2"/>
  <c r="W225" i="2"/>
  <c r="H53" i="3"/>
  <c r="S30" i="2"/>
  <c r="U53" i="3"/>
  <c r="N30" i="2"/>
  <c r="S22" i="6"/>
  <c r="S49" i="3"/>
  <c r="D16" i="1" s="1"/>
  <c r="S81" i="3"/>
  <c r="S77" i="3"/>
  <c r="AA33" i="3"/>
  <c r="N49" i="3"/>
  <c r="N8" i="6" s="1"/>
  <c r="N81" i="3"/>
  <c r="N77" i="3"/>
  <c r="N16" i="2"/>
  <c r="I81" i="3"/>
  <c r="I77" i="3"/>
  <c r="N48" i="2"/>
  <c r="U8" i="6"/>
  <c r="E53" i="3"/>
  <c r="C53" i="3"/>
  <c r="D53" i="3"/>
  <c r="E8" i="6"/>
  <c r="G53" i="3"/>
  <c r="F50" i="2"/>
  <c r="E57" i="3"/>
  <c r="E58" i="3"/>
  <c r="F91" i="2"/>
  <c r="E20" i="5"/>
  <c r="C107" i="5"/>
  <c r="I18" i="6"/>
  <c r="E26" i="5"/>
  <c r="M49" i="2"/>
  <c r="V301" i="2"/>
  <c r="S18" i="6"/>
  <c r="E48" i="5"/>
  <c r="E13" i="5"/>
  <c r="F27" i="5"/>
  <c r="F105" i="2"/>
  <c r="I39" i="2"/>
  <c r="J253" i="2"/>
  <c r="J153" i="6" s="1"/>
  <c r="S16" i="6"/>
  <c r="D27" i="1"/>
  <c r="D253" i="2"/>
  <c r="U264" i="2"/>
  <c r="S269" i="2"/>
  <c r="M53" i="3"/>
  <c r="AF83" i="2"/>
  <c r="T244" i="2"/>
  <c r="T253" i="2" s="1"/>
  <c r="R202" i="2"/>
  <c r="R113" i="6" s="1"/>
  <c r="N179" i="2"/>
  <c r="N91" i="6" s="1"/>
  <c r="M279" i="2"/>
  <c r="N279" i="2" s="1"/>
  <c r="F24" i="6"/>
  <c r="M92" i="6"/>
  <c r="E53" i="2"/>
  <c r="E33" i="6" s="1"/>
  <c r="AB34" i="3"/>
  <c r="AB32" i="3" s="1"/>
  <c r="AB13" i="6" s="1"/>
  <c r="AG15" i="3"/>
  <c r="AF80" i="6"/>
  <c r="N50" i="3"/>
  <c r="N11" i="6" s="1"/>
  <c r="N174" i="2"/>
  <c r="N86" i="6" s="1"/>
  <c r="E73" i="2"/>
  <c r="W17" i="3"/>
  <c r="Q113" i="6"/>
  <c r="U26" i="2"/>
  <c r="U266" i="2" s="1"/>
  <c r="V80" i="6"/>
  <c r="F59" i="2"/>
  <c r="R17" i="2"/>
  <c r="AK12" i="3"/>
  <c r="S50" i="3"/>
  <c r="S11" i="6" s="1"/>
  <c r="U265" i="2"/>
  <c r="S241" i="2"/>
  <c r="R169" i="2"/>
  <c r="S169" i="2" s="1"/>
  <c r="S81" i="6" s="1"/>
  <c r="N48" i="6"/>
  <c r="F57" i="3"/>
  <c r="F58" i="3"/>
  <c r="S16" i="2"/>
  <c r="S264" i="2" s="1"/>
  <c r="F49" i="2"/>
  <c r="W20" i="3"/>
  <c r="W80" i="2"/>
  <c r="AG12" i="3"/>
  <c r="AF80" i="2"/>
  <c r="N186" i="2"/>
  <c r="N98" i="6" s="1"/>
  <c r="M26" i="2"/>
  <c r="M155" i="2" s="1"/>
  <c r="F73" i="5"/>
  <c r="E49" i="2"/>
  <c r="M17" i="2"/>
  <c r="E105" i="2"/>
  <c r="W178" i="2"/>
  <c r="W90" i="6" s="1"/>
  <c r="F56" i="3"/>
  <c r="R26" i="2"/>
  <c r="R173" i="2"/>
  <c r="C26" i="2"/>
  <c r="M84" i="6"/>
  <c r="M84" i="2"/>
  <c r="S39" i="2"/>
  <c r="P8" i="6"/>
  <c r="P53" i="3"/>
  <c r="N51" i="3"/>
  <c r="C24" i="1" s="1"/>
  <c r="N183" i="2"/>
  <c r="N95" i="6" s="1"/>
  <c r="F52" i="2"/>
  <c r="F32" i="6" s="1"/>
  <c r="F155" i="2"/>
  <c r="AK15" i="3"/>
  <c r="N191" i="2"/>
  <c r="N103" i="6" s="1"/>
  <c r="Q314" i="2"/>
  <c r="E54" i="2"/>
  <c r="E34" i="6" s="1"/>
  <c r="W81" i="2"/>
  <c r="E91" i="2"/>
  <c r="I16" i="2"/>
  <c r="I268" i="2" s="1"/>
  <c r="E32" i="6"/>
  <c r="U268" i="2"/>
  <c r="N314" i="2"/>
  <c r="R193" i="2"/>
  <c r="U187" i="2"/>
  <c r="U207" i="2" s="1"/>
  <c r="M264" i="2"/>
  <c r="E50" i="2"/>
  <c r="E66" i="2"/>
  <c r="F73" i="2"/>
  <c r="X174" i="2"/>
  <c r="X86" i="6" s="1"/>
  <c r="R264" i="2"/>
  <c r="AL42" i="3"/>
  <c r="AK43" i="3"/>
  <c r="AK41" i="3"/>
  <c r="Y14" i="2"/>
  <c r="Y32" i="2" s="1"/>
  <c r="Y27" i="6" s="1"/>
  <c r="AL68" i="2"/>
  <c r="AG69" i="2"/>
  <c r="Q194" i="2"/>
  <c r="Q106" i="6" s="1"/>
  <c r="R177" i="2"/>
  <c r="S177" i="2" s="1"/>
  <c r="O142" i="6"/>
  <c r="O257" i="2"/>
  <c r="R180" i="2"/>
  <c r="R92" i="6" s="1"/>
  <c r="R172" i="2"/>
  <c r="O207" i="2"/>
  <c r="E56" i="3"/>
  <c r="R265" i="2"/>
  <c r="X131" i="6"/>
  <c r="Y231" i="2"/>
  <c r="AG67" i="2"/>
  <c r="X199" i="2"/>
  <c r="X111" i="6" s="1"/>
  <c r="O233" i="2"/>
  <c r="O133" i="6" s="1"/>
  <c r="O127" i="6"/>
  <c r="E155" i="2"/>
  <c r="N147" i="2"/>
  <c r="N72" i="6" s="1"/>
  <c r="M265" i="2"/>
  <c r="E24" i="6"/>
  <c r="U114" i="6"/>
  <c r="V203" i="2"/>
  <c r="AH168" i="2"/>
  <c r="AH80" i="6" s="1"/>
  <c r="N193" i="2"/>
  <c r="N105" i="6" s="1"/>
  <c r="N275" i="2"/>
  <c r="N276" i="2" s="1"/>
  <c r="T212" i="2"/>
  <c r="T215" i="2" s="1"/>
  <c r="S182" i="2"/>
  <c r="S94" i="6" s="1"/>
  <c r="M253" i="2"/>
  <c r="M254" i="2" s="1"/>
  <c r="E59" i="2"/>
  <c r="R49" i="2"/>
  <c r="N164" i="2"/>
  <c r="N76" i="6" s="1"/>
  <c r="G49" i="2"/>
  <c r="AG66" i="2"/>
  <c r="W13" i="6"/>
  <c r="W30" i="3"/>
  <c r="Y39" i="3"/>
  <c r="Y15" i="6" s="1"/>
  <c r="AE10" i="3"/>
  <c r="AE275" i="2" s="1"/>
  <c r="AE277" i="2" s="1"/>
  <c r="Y275" i="2"/>
  <c r="Y277" i="2" s="1"/>
  <c r="Y13" i="6"/>
  <c r="Z11" i="3"/>
  <c r="AA16" i="6"/>
  <c r="Z275" i="2"/>
  <c r="Z277" i="2" s="1"/>
  <c r="Z283" i="2" s="1"/>
  <c r="AA78" i="2"/>
  <c r="AA39" i="6" s="1"/>
  <c r="Y12" i="6"/>
  <c r="Y36" i="3"/>
  <c r="AD30" i="3"/>
  <c r="Z78" i="2"/>
  <c r="Z79" i="2" s="1"/>
  <c r="AA11" i="3"/>
  <c r="Z296" i="2"/>
  <c r="Z297" i="2" s="1"/>
  <c r="Y78" i="2"/>
  <c r="Y79" i="2" s="1"/>
  <c r="W16" i="6"/>
  <c r="W39" i="3"/>
  <c r="Y19" i="2"/>
  <c r="Y21" i="6" s="1"/>
  <c r="Z13" i="6"/>
  <c r="Z30" i="3"/>
  <c r="Z29" i="3" s="1"/>
  <c r="AD10" i="3"/>
  <c r="Y296" i="2"/>
  <c r="Y297" i="2" s="1"/>
  <c r="AA296" i="2"/>
  <c r="AA297" i="2" s="1"/>
  <c r="AA301" i="2" s="1"/>
  <c r="AA237" i="2" s="1"/>
  <c r="AA137" i="6" s="1"/>
  <c r="AF10" i="3"/>
  <c r="AA10" i="2"/>
  <c r="AA275" i="2"/>
  <c r="AA277" i="2" s="1"/>
  <c r="AB80" i="6"/>
  <c r="AC168" i="2"/>
  <c r="AC80" i="6" s="1"/>
  <c r="D153" i="6"/>
  <c r="D155" i="6" s="1"/>
  <c r="D254" i="2"/>
  <c r="M94" i="6"/>
  <c r="N182" i="2"/>
  <c r="N94" i="6" s="1"/>
  <c r="M187" i="2"/>
  <c r="V85" i="6"/>
  <c r="X173" i="2"/>
  <c r="X85" i="6" s="1"/>
  <c r="AG108" i="2"/>
  <c r="AG105" i="2"/>
  <c r="AL107" i="2"/>
  <c r="AG106" i="2"/>
  <c r="Q86" i="2"/>
  <c r="Q87" i="2" s="1"/>
  <c r="Q85" i="2"/>
  <c r="AK80" i="2"/>
  <c r="AL82" i="2"/>
  <c r="AK81" i="2"/>
  <c r="AK83" i="2"/>
  <c r="AE36" i="2"/>
  <c r="AJ35" i="2"/>
  <c r="AE33" i="2"/>
  <c r="AE34" i="2"/>
  <c r="E43" i="6"/>
  <c r="E100" i="2"/>
  <c r="E45" i="6" s="1"/>
  <c r="E127" i="2"/>
  <c r="E110" i="2"/>
  <c r="F8" i="6"/>
  <c r="F53" i="3"/>
  <c r="D29" i="5"/>
  <c r="D57" i="5"/>
  <c r="D51" i="5"/>
  <c r="D105" i="5"/>
  <c r="D107" i="5"/>
  <c r="K215" i="2"/>
  <c r="Q153" i="6"/>
  <c r="W80" i="6"/>
  <c r="W230" i="2"/>
  <c r="X168" i="2"/>
  <c r="X80" i="6" s="1"/>
  <c r="E114" i="5"/>
  <c r="F4" i="5"/>
  <c r="E3" i="5"/>
  <c r="E115" i="5"/>
  <c r="F17" i="5"/>
  <c r="F22" i="5"/>
  <c r="X132" i="6"/>
  <c r="Y232" i="2"/>
  <c r="Y180" i="2" s="1"/>
  <c r="AA59" i="6"/>
  <c r="AB131" i="2"/>
  <c r="AB59" i="6" s="1"/>
  <c r="R85" i="6"/>
  <c r="S173" i="2"/>
  <c r="S85" i="6" s="1"/>
  <c r="I144" i="6"/>
  <c r="I253" i="2"/>
  <c r="U104" i="6"/>
  <c r="V192" i="2"/>
  <c r="V104" i="6" s="1"/>
  <c r="AA22" i="6"/>
  <c r="AA19" i="2"/>
  <c r="C215" i="2"/>
  <c r="W275" i="2"/>
  <c r="W277" i="2" s="1"/>
  <c r="W11" i="3"/>
  <c r="AB10" i="3"/>
  <c r="AB78" i="2" s="1"/>
  <c r="X10" i="3"/>
  <c r="W10" i="2"/>
  <c r="W296" i="2"/>
  <c r="W297" i="2" s="1"/>
  <c r="W301" i="2" s="1"/>
  <c r="W237" i="2" s="1"/>
  <c r="W224" i="2" s="1"/>
  <c r="Y11" i="3"/>
  <c r="U79" i="6"/>
  <c r="V265" i="2"/>
  <c r="V264" i="2"/>
  <c r="V17" i="2"/>
  <c r="V26" i="2"/>
  <c r="V268" i="2"/>
  <c r="W268" i="2" s="1"/>
  <c r="P265" i="2"/>
  <c r="P264" i="2"/>
  <c r="P26" i="2"/>
  <c r="P17" i="2"/>
  <c r="P49" i="2"/>
  <c r="U17" i="2"/>
  <c r="P268" i="2"/>
  <c r="R148" i="2"/>
  <c r="T148" i="2" s="1"/>
  <c r="H95" i="5" s="1"/>
  <c r="U300" i="2"/>
  <c r="AB300" i="2" s="1"/>
  <c r="H73" i="5"/>
  <c r="X48" i="6"/>
  <c r="M90" i="6"/>
  <c r="N178" i="2"/>
  <c r="N90" i="6" s="1"/>
  <c r="V146" i="6"/>
  <c r="W246" i="2"/>
  <c r="V252" i="2"/>
  <c r="M97" i="6"/>
  <c r="N185" i="2"/>
  <c r="N97" i="6" s="1"/>
  <c r="L144" i="6"/>
  <c r="L253" i="2"/>
  <c r="J26" i="2"/>
  <c r="J17" i="2"/>
  <c r="J268" i="2"/>
  <c r="J265" i="2"/>
  <c r="J264" i="2"/>
  <c r="J49" i="2"/>
  <c r="S152" i="6"/>
  <c r="D54" i="1"/>
  <c r="V87" i="6"/>
  <c r="X175" i="2"/>
  <c r="X87" i="6" s="1"/>
  <c r="J133" i="6"/>
  <c r="J155" i="6" s="1"/>
  <c r="J254" i="2"/>
  <c r="R95" i="6"/>
  <c r="R279" i="2"/>
  <c r="S183" i="2"/>
  <c r="S95" i="6" s="1"/>
  <c r="V89" i="6"/>
  <c r="F7" i="5"/>
  <c r="F20" i="5"/>
  <c r="F10" i="5"/>
  <c r="Q97" i="6"/>
  <c r="R185" i="2"/>
  <c r="R97" i="6" s="1"/>
  <c r="Z44" i="2"/>
  <c r="Y29" i="6"/>
  <c r="Q8" i="6"/>
  <c r="Q53" i="3"/>
  <c r="G44" i="5"/>
  <c r="S72" i="2"/>
  <c r="S38" i="6"/>
  <c r="S271" i="2"/>
  <c r="C49" i="2"/>
  <c r="W147" i="6"/>
  <c r="X247" i="2"/>
  <c r="V127" i="6"/>
  <c r="V233" i="2"/>
  <c r="V133" i="6" s="1"/>
  <c r="AL168" i="2"/>
  <c r="AL80" i="6" s="1"/>
  <c r="AK80" i="6"/>
  <c r="S110" i="6"/>
  <c r="G72" i="6"/>
  <c r="H147" i="2"/>
  <c r="H72" i="6" s="1"/>
  <c r="T8" i="6"/>
  <c r="T53" i="3"/>
  <c r="J11" i="6"/>
  <c r="J53" i="3"/>
  <c r="D49" i="2"/>
  <c r="F33" i="5"/>
  <c r="U98" i="6"/>
  <c r="V186" i="2"/>
  <c r="V98" i="6" s="1"/>
  <c r="V275" i="2"/>
  <c r="V84" i="6"/>
  <c r="V84" i="2"/>
  <c r="D215" i="2"/>
  <c r="D216" i="2" s="1"/>
  <c r="N18" i="6"/>
  <c r="K265" i="2"/>
  <c r="K264" i="2"/>
  <c r="K268" i="2"/>
  <c r="K26" i="2"/>
  <c r="K50" i="2" s="1"/>
  <c r="K17" i="2"/>
  <c r="Q91" i="6"/>
  <c r="R179" i="2"/>
  <c r="R91" i="6" s="1"/>
  <c r="N22" i="6"/>
  <c r="W148" i="6"/>
  <c r="X248" i="2"/>
  <c r="P153" i="6"/>
  <c r="P155" i="6" s="1"/>
  <c r="P254" i="2"/>
  <c r="S8" i="6"/>
  <c r="E17" i="5"/>
  <c r="S83" i="6"/>
  <c r="S180" i="2"/>
  <c r="S92" i="6" s="1"/>
  <c r="M82" i="6"/>
  <c r="N170" i="2"/>
  <c r="V105" i="6"/>
  <c r="X193" i="2"/>
  <c r="X105" i="6" s="1"/>
  <c r="R93" i="6"/>
  <c r="S181" i="2"/>
  <c r="S93" i="6" s="1"/>
  <c r="R110" i="6"/>
  <c r="X110" i="6"/>
  <c r="C117" i="6"/>
  <c r="C210" i="2"/>
  <c r="S46" i="3"/>
  <c r="S19" i="6" s="1"/>
  <c r="S51" i="3"/>
  <c r="S52" i="3"/>
  <c r="N259" i="2"/>
  <c r="L284" i="2"/>
  <c r="L283" i="2" s="1"/>
  <c r="L277" i="2" s="1"/>
  <c r="L278" i="2" s="1"/>
  <c r="I117" i="6"/>
  <c r="K117" i="6"/>
  <c r="K80" i="6"/>
  <c r="K167" i="2"/>
  <c r="K79" i="6" s="1"/>
  <c r="N13" i="6"/>
  <c r="C23" i="1"/>
  <c r="N152" i="6"/>
  <c r="C54" i="1"/>
  <c r="AG80" i="2"/>
  <c r="AG83" i="2"/>
  <c r="AG81" i="2"/>
  <c r="AA15" i="6"/>
  <c r="AF39" i="3"/>
  <c r="AA15" i="2"/>
  <c r="AA38" i="2" s="1"/>
  <c r="AA28" i="6" s="1"/>
  <c r="N203" i="2"/>
  <c r="N114" i="6" s="1"/>
  <c r="U284" i="2"/>
  <c r="U283" i="2" s="1"/>
  <c r="U277" i="2" s="1"/>
  <c r="AF39" i="2"/>
  <c r="AF42" i="2"/>
  <c r="AG41" i="2"/>
  <c r="AF40" i="2"/>
  <c r="Z22" i="6"/>
  <c r="Z19" i="2"/>
  <c r="H26" i="2"/>
  <c r="H49" i="2"/>
  <c r="Q26" i="2"/>
  <c r="Q265" i="2"/>
  <c r="Q264" i="2"/>
  <c r="Q17" i="2"/>
  <c r="Q49" i="2"/>
  <c r="I8" i="6"/>
  <c r="I53" i="3"/>
  <c r="G56" i="3"/>
  <c r="G105" i="2"/>
  <c r="G58" i="3"/>
  <c r="G73" i="2"/>
  <c r="G24" i="6"/>
  <c r="G91" i="2"/>
  <c r="G52" i="2"/>
  <c r="G57" i="3"/>
  <c r="G59" i="2"/>
  <c r="G66" i="2"/>
  <c r="G50" i="2"/>
  <c r="T207" i="2"/>
  <c r="S259" i="2"/>
  <c r="K253" i="2"/>
  <c r="R53" i="3"/>
  <c r="R8" i="6"/>
  <c r="L99" i="6"/>
  <c r="L212" i="2"/>
  <c r="L207" i="2"/>
  <c r="S141" i="6"/>
  <c r="S244" i="2"/>
  <c r="O53" i="3"/>
  <c r="J283" i="2"/>
  <c r="J117" i="6"/>
  <c r="P284" i="2"/>
  <c r="G33" i="5"/>
  <c r="F13" i="5"/>
  <c r="U113" i="6"/>
  <c r="V202" i="2"/>
  <c r="U314" i="2"/>
  <c r="M153" i="6"/>
  <c r="M155" i="6" s="1"/>
  <c r="V95" i="6"/>
  <c r="V279" i="2"/>
  <c r="R275" i="2"/>
  <c r="R276" i="2" s="1"/>
  <c r="R84" i="2"/>
  <c r="S172" i="2"/>
  <c r="R84" i="6"/>
  <c r="H80" i="5"/>
  <c r="X55" i="6"/>
  <c r="O117" i="6"/>
  <c r="AA35" i="2"/>
  <c r="W35" i="2"/>
  <c r="V110" i="6"/>
  <c r="K49" i="2"/>
  <c r="AD34" i="2"/>
  <c r="AI35" i="2"/>
  <c r="AD36" i="2"/>
  <c r="AD33" i="2"/>
  <c r="G17" i="5"/>
  <c r="T127" i="6"/>
  <c r="T233" i="2"/>
  <c r="T133" i="6" s="1"/>
  <c r="AA13" i="6"/>
  <c r="AA30" i="3"/>
  <c r="F143" i="5"/>
  <c r="G13" i="5"/>
  <c r="K8" i="6"/>
  <c r="K53" i="3"/>
  <c r="M204" i="2"/>
  <c r="M115" i="6" s="1"/>
  <c r="N197" i="2"/>
  <c r="M109" i="6"/>
  <c r="Q86" i="6"/>
  <c r="R174" i="2"/>
  <c r="R86" i="6" s="1"/>
  <c r="V78" i="6"/>
  <c r="V167" i="2"/>
  <c r="V79" i="6" s="1"/>
  <c r="F48" i="5"/>
  <c r="Z300" i="2"/>
  <c r="Y300" i="2"/>
  <c r="O144" i="6"/>
  <c r="O253" i="2"/>
  <c r="AA229" i="2"/>
  <c r="Z129" i="6"/>
  <c r="U94" i="6"/>
  <c r="V182" i="2"/>
  <c r="U141" i="6"/>
  <c r="U244" i="2"/>
  <c r="M194" i="2"/>
  <c r="M106" i="6" s="1"/>
  <c r="M102" i="6"/>
  <c r="X56" i="6"/>
  <c r="H81" i="5"/>
  <c r="L53" i="3"/>
  <c r="N7" i="6"/>
  <c r="C15" i="1"/>
  <c r="Q103" i="6"/>
  <c r="R191" i="2"/>
  <c r="U92" i="6"/>
  <c r="V180" i="2"/>
  <c r="V81" i="6"/>
  <c r="X169" i="2"/>
  <c r="E33" i="5"/>
  <c r="F26" i="5"/>
  <c r="Y122" i="2"/>
  <c r="W56" i="6"/>
  <c r="Y48" i="6"/>
  <c r="Z154" i="2"/>
  <c r="Y169" i="2"/>
  <c r="I22" i="6"/>
  <c r="Z55" i="6"/>
  <c r="AA120" i="2"/>
  <c r="N81" i="6"/>
  <c r="E36" i="5"/>
  <c r="V102" i="6"/>
  <c r="L17" i="2"/>
  <c r="L265" i="2"/>
  <c r="L264" i="2"/>
  <c r="L268" i="2"/>
  <c r="L26" i="2"/>
  <c r="X123" i="6"/>
  <c r="Y223" i="2"/>
  <c r="Y145" i="2"/>
  <c r="Z145" i="2" s="1"/>
  <c r="AA145" i="2" s="1"/>
  <c r="AB145" i="2" s="1"/>
  <c r="X145" i="2"/>
  <c r="E27" i="5"/>
  <c r="E10" i="5"/>
  <c r="E22" i="5"/>
  <c r="N10" i="6"/>
  <c r="C19" i="1"/>
  <c r="R141" i="6"/>
  <c r="R244" i="2"/>
  <c r="D23" i="1"/>
  <c r="S13" i="6"/>
  <c r="Y267" i="2"/>
  <c r="G27" i="5"/>
  <c r="G10" i="5"/>
  <c r="G22" i="5"/>
  <c r="X149" i="6"/>
  <c r="Y249" i="2"/>
  <c r="Q96" i="6"/>
  <c r="R184" i="2"/>
  <c r="N141" i="6"/>
  <c r="N244" i="2"/>
  <c r="N253" i="2" s="1"/>
  <c r="K280" i="2"/>
  <c r="K278" i="2"/>
  <c r="Q127" i="6"/>
  <c r="Q233" i="2"/>
  <c r="Q133" i="6" s="1"/>
  <c r="Q104" i="6"/>
  <c r="R192" i="2"/>
  <c r="N84" i="2"/>
  <c r="N84" i="6"/>
  <c r="Q187" i="2"/>
  <c r="F36" i="5"/>
  <c r="T265" i="2"/>
  <c r="T264" i="2"/>
  <c r="T268" i="2"/>
  <c r="T17" i="2"/>
  <c r="T26" i="2"/>
  <c r="N46" i="3"/>
  <c r="N19" i="6" s="1"/>
  <c r="N52" i="3"/>
  <c r="Q284" i="2"/>
  <c r="Q283" i="2" s="1"/>
  <c r="Q277" i="2" s="1"/>
  <c r="Q278" i="2" s="1"/>
  <c r="S102" i="6"/>
  <c r="G102" i="5"/>
  <c r="D47" i="1"/>
  <c r="M284" i="2"/>
  <c r="M283" i="2" s="1"/>
  <c r="M277" i="2" s="1"/>
  <c r="M278" i="2" s="1"/>
  <c r="Y243" i="2"/>
  <c r="X143" i="6"/>
  <c r="Q87" i="6"/>
  <c r="R175" i="2"/>
  <c r="Y146" i="2"/>
  <c r="X146" i="2"/>
  <c r="W23" i="2"/>
  <c r="W21" i="2"/>
  <c r="W20" i="2"/>
  <c r="D268" i="2"/>
  <c r="D265" i="2"/>
  <c r="D264" i="2"/>
  <c r="D26" i="2"/>
  <c r="D17" i="2"/>
  <c r="AA148" i="2"/>
  <c r="V53" i="3"/>
  <c r="V8" i="6"/>
  <c r="S7" i="6"/>
  <c r="D15" i="1"/>
  <c r="Z16" i="6"/>
  <c r="Z39" i="3"/>
  <c r="S126" i="6"/>
  <c r="M85" i="6"/>
  <c r="N173" i="2"/>
  <c r="N85" i="6" s="1"/>
  <c r="N16" i="6"/>
  <c r="C27" i="1"/>
  <c r="N102" i="6"/>
  <c r="F102" i="5"/>
  <c r="C47" i="1"/>
  <c r="P276" i="2"/>
  <c r="R81" i="6"/>
  <c r="G48" i="5"/>
  <c r="AL41" i="2"/>
  <c r="AK40" i="2"/>
  <c r="AK42" i="2"/>
  <c r="AK39" i="2"/>
  <c r="G36" i="5"/>
  <c r="I215" i="2"/>
  <c r="J79" i="6"/>
  <c r="C29" i="5"/>
  <c r="C57" i="5"/>
  <c r="C51" i="5"/>
  <c r="D117" i="6"/>
  <c r="Q76" i="6"/>
  <c r="R164" i="2"/>
  <c r="R76" i="6" s="1"/>
  <c r="Y257" i="2"/>
  <c r="Y142" i="6"/>
  <c r="Z242" i="2"/>
  <c r="P212" i="2"/>
  <c r="P207" i="2"/>
  <c r="P99" i="6"/>
  <c r="Q98" i="6"/>
  <c r="R186" i="2"/>
  <c r="P79" i="6"/>
  <c r="O265" i="2"/>
  <c r="O264" i="2"/>
  <c r="O17" i="2"/>
  <c r="O26" i="2"/>
  <c r="O49" i="2"/>
  <c r="R166" i="2"/>
  <c r="Q78" i="6"/>
  <c r="Q167" i="2"/>
  <c r="Q79" i="6" s="1"/>
  <c r="AB23" i="2"/>
  <c r="AB21" i="2"/>
  <c r="AB20" i="2"/>
  <c r="R102" i="6"/>
  <c r="AL12" i="3" l="1"/>
  <c r="E51" i="5"/>
  <c r="C16" i="1"/>
  <c r="AL15" i="3"/>
  <c r="S275" i="2"/>
  <c r="S276" i="2" s="1"/>
  <c r="R204" i="2"/>
  <c r="R115" i="6" s="1"/>
  <c r="U212" i="2"/>
  <c r="X178" i="2"/>
  <c r="X90" i="6" s="1"/>
  <c r="U99" i="6"/>
  <c r="X225" i="2"/>
  <c r="W125" i="6"/>
  <c r="S265" i="2"/>
  <c r="C20" i="1"/>
  <c r="N53" i="3"/>
  <c r="C30" i="1"/>
  <c r="C48" i="1" s="1"/>
  <c r="N268" i="2"/>
  <c r="N264" i="2"/>
  <c r="N266" i="2"/>
  <c r="N49" i="2"/>
  <c r="N26" i="2"/>
  <c r="N265" i="2"/>
  <c r="N14" i="6"/>
  <c r="AB33" i="3"/>
  <c r="AB35" i="3"/>
  <c r="E59" i="3"/>
  <c r="M73" i="2"/>
  <c r="R24" i="6"/>
  <c r="M66" i="2"/>
  <c r="R58" i="3"/>
  <c r="R57" i="3"/>
  <c r="U52" i="2"/>
  <c r="U32" i="6" s="1"/>
  <c r="M59" i="2"/>
  <c r="S49" i="2"/>
  <c r="S26" i="2"/>
  <c r="M57" i="3"/>
  <c r="F59" i="3"/>
  <c r="S17" i="2"/>
  <c r="M56" i="3"/>
  <c r="S268" i="2"/>
  <c r="R105" i="2"/>
  <c r="C56" i="3"/>
  <c r="R91" i="2"/>
  <c r="M52" i="2"/>
  <c r="M32" i="6" s="1"/>
  <c r="M50" i="2"/>
  <c r="D30" i="1"/>
  <c r="D48" i="1" s="1"/>
  <c r="M24" i="6"/>
  <c r="U66" i="2"/>
  <c r="Z68" i="2" s="1"/>
  <c r="Z67" i="2" s="1"/>
  <c r="M91" i="2"/>
  <c r="M58" i="3"/>
  <c r="I264" i="2"/>
  <c r="M105" i="2"/>
  <c r="U59" i="2"/>
  <c r="Z61" i="2" s="1"/>
  <c r="Z60" i="2" s="1"/>
  <c r="I17" i="2"/>
  <c r="M266" i="2"/>
  <c r="M27" i="2"/>
  <c r="M25" i="6" s="1"/>
  <c r="R155" i="2"/>
  <c r="R59" i="2"/>
  <c r="F53" i="2"/>
  <c r="F33" i="6" s="1"/>
  <c r="R27" i="2"/>
  <c r="R25" i="6" s="1"/>
  <c r="R52" i="2"/>
  <c r="R32" i="6" s="1"/>
  <c r="C105" i="2"/>
  <c r="F54" i="2"/>
  <c r="F34" i="6" s="1"/>
  <c r="U58" i="3"/>
  <c r="R266" i="2"/>
  <c r="R66" i="2"/>
  <c r="R56" i="3"/>
  <c r="C66" i="2"/>
  <c r="I49" i="2"/>
  <c r="W7" i="3"/>
  <c r="W78" i="2"/>
  <c r="V187" i="2"/>
  <c r="V99" i="6" s="1"/>
  <c r="I216" i="2"/>
  <c r="C91" i="2"/>
  <c r="C57" i="3"/>
  <c r="T144" i="6"/>
  <c r="U105" i="2"/>
  <c r="Z107" i="2" s="1"/>
  <c r="Z106" i="2" s="1"/>
  <c r="R105" i="6"/>
  <c r="S193" i="2"/>
  <c r="S105" i="6" s="1"/>
  <c r="X186" i="2"/>
  <c r="X98" i="6" s="1"/>
  <c r="C50" i="2"/>
  <c r="C155" i="2"/>
  <c r="C24" i="6"/>
  <c r="X192" i="2"/>
  <c r="X104" i="6" s="1"/>
  <c r="N17" i="2"/>
  <c r="U155" i="2"/>
  <c r="M85" i="2"/>
  <c r="M86" i="2"/>
  <c r="M87" i="2" s="1"/>
  <c r="S202" i="2"/>
  <c r="S204" i="2" s="1"/>
  <c r="S115" i="6" s="1"/>
  <c r="R194" i="2"/>
  <c r="R106" i="6" s="1"/>
  <c r="D74" i="5"/>
  <c r="C59" i="2"/>
  <c r="F98" i="2"/>
  <c r="F100" i="2" s="1"/>
  <c r="F45" i="6" s="1"/>
  <c r="R314" i="2"/>
  <c r="I265" i="2"/>
  <c r="Q155" i="6"/>
  <c r="U73" i="2"/>
  <c r="Z75" i="2" s="1"/>
  <c r="Z76" i="2" s="1"/>
  <c r="U57" i="3"/>
  <c r="N194" i="2"/>
  <c r="N106" i="6" s="1"/>
  <c r="Y192" i="2"/>
  <c r="V194" i="2"/>
  <c r="V106" i="6" s="1"/>
  <c r="S53" i="3"/>
  <c r="C52" i="2"/>
  <c r="C53" i="2" s="1"/>
  <c r="C33" i="6" s="1"/>
  <c r="C266" i="2"/>
  <c r="I26" i="2"/>
  <c r="U24" i="6"/>
  <c r="U56" i="3"/>
  <c r="R73" i="2"/>
  <c r="R50" i="2"/>
  <c r="C73" i="2"/>
  <c r="C58" i="3"/>
  <c r="U91" i="2"/>
  <c r="AB62" i="2"/>
  <c r="AG61" i="2"/>
  <c r="AB60" i="2"/>
  <c r="AB74" i="2"/>
  <c r="AB76" i="2"/>
  <c r="AG75" i="2"/>
  <c r="AL41" i="3"/>
  <c r="AL43" i="3"/>
  <c r="AL40" i="3"/>
  <c r="AL16" i="6" s="1"/>
  <c r="Y29" i="3"/>
  <c r="W29" i="3"/>
  <c r="AI30" i="3"/>
  <c r="AA29" i="3"/>
  <c r="L129" i="5"/>
  <c r="R89" i="6"/>
  <c r="U301" i="2"/>
  <c r="Q280" i="2"/>
  <c r="Y131" i="6"/>
  <c r="Z231" i="2"/>
  <c r="O259" i="2"/>
  <c r="O258" i="2"/>
  <c r="N167" i="2"/>
  <c r="N79" i="6" s="1"/>
  <c r="S179" i="2"/>
  <c r="S91" i="6" s="1"/>
  <c r="AM168" i="2"/>
  <c r="AM80" i="6" s="1"/>
  <c r="Z301" i="2"/>
  <c r="Z237" i="2" s="1"/>
  <c r="Z137" i="6" s="1"/>
  <c r="V114" i="6"/>
  <c r="X203" i="2"/>
  <c r="X114" i="6" s="1"/>
  <c r="V204" i="2"/>
  <c r="V115" i="6" s="1"/>
  <c r="F104" i="5"/>
  <c r="F105" i="5" s="1"/>
  <c r="S174" i="2"/>
  <c r="S86" i="6" s="1"/>
  <c r="S185" i="2"/>
  <c r="S97" i="6" s="1"/>
  <c r="G59" i="3"/>
  <c r="AL66" i="2"/>
  <c r="AL69" i="2"/>
  <c r="AL67" i="2"/>
  <c r="Y31" i="3"/>
  <c r="AB30" i="3"/>
  <c r="AD29" i="3" s="1"/>
  <c r="W14" i="2"/>
  <c r="X30" i="3"/>
  <c r="X29" i="3" s="1"/>
  <c r="W12" i="6"/>
  <c r="W36" i="3"/>
  <c r="W31" i="3"/>
  <c r="AE78" i="2"/>
  <c r="AE39" i="6" s="1"/>
  <c r="Y15" i="2"/>
  <c r="Y38" i="2" s="1"/>
  <c r="Y28" i="6" s="1"/>
  <c r="AE10" i="2"/>
  <c r="AD39" i="3"/>
  <c r="AD15" i="2" s="1"/>
  <c r="AD38" i="2" s="1"/>
  <c r="AE296" i="2"/>
  <c r="AE297" i="2" s="1"/>
  <c r="AE301" i="2" s="1"/>
  <c r="AE237" i="2" s="1"/>
  <c r="AE137" i="6" s="1"/>
  <c r="AJ10" i="3"/>
  <c r="AJ275" i="2" s="1"/>
  <c r="AE11" i="3"/>
  <c r="AA79" i="2"/>
  <c r="Z279" i="2"/>
  <c r="Z284" i="2" s="1"/>
  <c r="Z183" i="2" s="1"/>
  <c r="Z95" i="6" s="1"/>
  <c r="Z172" i="2"/>
  <c r="Z84" i="2" s="1"/>
  <c r="AD14" i="2"/>
  <c r="AD32" i="2" s="1"/>
  <c r="AD27" i="6" s="1"/>
  <c r="AD12" i="6"/>
  <c r="Z39" i="6"/>
  <c r="Y301" i="2"/>
  <c r="Y237" i="2" s="1"/>
  <c r="Y137" i="6" s="1"/>
  <c r="AC78" i="2"/>
  <c r="AN78" i="2" s="1"/>
  <c r="Y39" i="6"/>
  <c r="AF296" i="2"/>
  <c r="AF297" i="2" s="1"/>
  <c r="AF10" i="2"/>
  <c r="AF275" i="2"/>
  <c r="AF277" i="2" s="1"/>
  <c r="AF11" i="3"/>
  <c r="AK10" i="3"/>
  <c r="AF78" i="2"/>
  <c r="W15" i="2"/>
  <c r="W38" i="2" s="1"/>
  <c r="AB39" i="3"/>
  <c r="X39" i="3"/>
  <c r="W15" i="6"/>
  <c r="AI10" i="3"/>
  <c r="AD275" i="2"/>
  <c r="AD277" i="2" s="1"/>
  <c r="AD279" i="2" s="1"/>
  <c r="AD296" i="2"/>
  <c r="AD297" i="2" s="1"/>
  <c r="AD301" i="2" s="1"/>
  <c r="AD237" i="2" s="1"/>
  <c r="AD137" i="6" s="1"/>
  <c r="AD10" i="2"/>
  <c r="AD78" i="2"/>
  <c r="AA283" i="2"/>
  <c r="AA172" i="2"/>
  <c r="AA279" i="2"/>
  <c r="AA284" i="2" s="1"/>
  <c r="AA183" i="2" s="1"/>
  <c r="AA95" i="6" s="1"/>
  <c r="Z14" i="2"/>
  <c r="Z32" i="2" s="1"/>
  <c r="Z27" i="6" s="1"/>
  <c r="Z12" i="6"/>
  <c r="AE30" i="3"/>
  <c r="AE29" i="3" s="1"/>
  <c r="Z31" i="3"/>
  <c r="Z36" i="3"/>
  <c r="AD36" i="3"/>
  <c r="N153" i="6"/>
  <c r="Y104" i="6"/>
  <c r="R104" i="6"/>
  <c r="S192" i="2"/>
  <c r="S104" i="6" s="1"/>
  <c r="AA34" i="2"/>
  <c r="AA33" i="2"/>
  <c r="AA36" i="2"/>
  <c r="AF35" i="2"/>
  <c r="AF15" i="6"/>
  <c r="AK39" i="3"/>
  <c r="AF15" i="2"/>
  <c r="AF38" i="2" s="1"/>
  <c r="AF28" i="6" s="1"/>
  <c r="R78" i="6"/>
  <c r="R167" i="2"/>
  <c r="N187" i="2"/>
  <c r="Z29" i="6"/>
  <c r="AA44" i="2"/>
  <c r="V58" i="3"/>
  <c r="V66" i="2"/>
  <c r="AA68" i="2" s="1"/>
  <c r="V155" i="2"/>
  <c r="V105" i="2"/>
  <c r="V91" i="2"/>
  <c r="V27" i="2"/>
  <c r="V56" i="3"/>
  <c r="V59" i="2"/>
  <c r="AA61" i="2" s="1"/>
  <c r="V57" i="3"/>
  <c r="V24" i="6"/>
  <c r="V52" i="2"/>
  <c r="V73" i="2"/>
  <c r="AA75" i="2" s="1"/>
  <c r="F115" i="5"/>
  <c r="F3" i="5"/>
  <c r="F114" i="5"/>
  <c r="G4" i="5"/>
  <c r="Z142" i="6"/>
  <c r="Z257" i="2"/>
  <c r="AA242" i="2"/>
  <c r="Y149" i="6"/>
  <c r="Z249" i="2"/>
  <c r="W124" i="6"/>
  <c r="X224" i="2"/>
  <c r="W177" i="2"/>
  <c r="U144" i="6"/>
  <c r="U253" i="2"/>
  <c r="AA129" i="6"/>
  <c r="AB229" i="2"/>
  <c r="AI36" i="2"/>
  <c r="AI33" i="2"/>
  <c r="AI34" i="2"/>
  <c r="C119" i="6"/>
  <c r="D209" i="2"/>
  <c r="D210" i="2" s="1"/>
  <c r="S89" i="6"/>
  <c r="AB22" i="6"/>
  <c r="AB19" i="2"/>
  <c r="AC19" i="2" s="1"/>
  <c r="O24" i="6"/>
  <c r="O56" i="3"/>
  <c r="O266" i="2"/>
  <c r="O57" i="3"/>
  <c r="O155" i="2"/>
  <c r="O105" i="2"/>
  <c r="O91" i="2"/>
  <c r="O73" i="2"/>
  <c r="O27" i="2"/>
  <c r="O25" i="6" s="1"/>
  <c r="O52" i="2"/>
  <c r="O58" i="3"/>
  <c r="O59" i="2"/>
  <c r="O66" i="2"/>
  <c r="O50" i="2"/>
  <c r="AL40" i="2"/>
  <c r="AL39" i="2"/>
  <c r="AL42" i="2"/>
  <c r="Z146" i="2"/>
  <c r="M280" i="2"/>
  <c r="Z267" i="2"/>
  <c r="V92" i="6"/>
  <c r="X180" i="2"/>
  <c r="X92" i="6" s="1"/>
  <c r="O153" i="6"/>
  <c r="O155" i="6" s="1"/>
  <c r="O254" i="2"/>
  <c r="C45" i="5"/>
  <c r="C103" i="5"/>
  <c r="C42" i="5"/>
  <c r="C66" i="5"/>
  <c r="C101" i="5" s="1"/>
  <c r="C74" i="5"/>
  <c r="C39" i="5"/>
  <c r="C14" i="5"/>
  <c r="Y81" i="6"/>
  <c r="V284" i="2"/>
  <c r="K153" i="6"/>
  <c r="K155" i="6" s="1"/>
  <c r="K254" i="2"/>
  <c r="Z48" i="6"/>
  <c r="Z169" i="2"/>
  <c r="AA154" i="2"/>
  <c r="U215" i="2"/>
  <c r="Y92" i="6"/>
  <c r="R98" i="6"/>
  <c r="S186" i="2"/>
  <c r="S98" i="6" s="1"/>
  <c r="S164" i="2"/>
  <c r="S76" i="6" s="1"/>
  <c r="Z15" i="2"/>
  <c r="Z38" i="2" s="1"/>
  <c r="Z28" i="6" s="1"/>
  <c r="Z15" i="6"/>
  <c r="AE39" i="3"/>
  <c r="W22" i="6"/>
  <c r="W19" i="2"/>
  <c r="R87" i="6"/>
  <c r="S175" i="2"/>
  <c r="S87" i="6" s="1"/>
  <c r="G57" i="5"/>
  <c r="G23" i="5"/>
  <c r="G29" i="5"/>
  <c r="G51" i="5"/>
  <c r="R144" i="6"/>
  <c r="R253" i="2"/>
  <c r="V266" i="2"/>
  <c r="W266" i="2" s="1"/>
  <c r="Y56" i="6"/>
  <c r="Z122" i="2"/>
  <c r="S84" i="6"/>
  <c r="S84" i="2"/>
  <c r="L215" i="2"/>
  <c r="H24" i="6"/>
  <c r="H56" i="3"/>
  <c r="H57" i="3"/>
  <c r="H58" i="3"/>
  <c r="H91" i="2"/>
  <c r="H73" i="2"/>
  <c r="H52" i="2"/>
  <c r="H66" i="2"/>
  <c r="H105" i="2"/>
  <c r="H59" i="2"/>
  <c r="H155" i="2"/>
  <c r="H50" i="2"/>
  <c r="Y283" i="2"/>
  <c r="Y172" i="2"/>
  <c r="Y279" i="2"/>
  <c r="F29" i="5"/>
  <c r="F23" i="5"/>
  <c r="F57" i="5"/>
  <c r="F51" i="5"/>
  <c r="R96" i="6"/>
  <c r="S184" i="2"/>
  <c r="S96" i="6" s="1"/>
  <c r="Z223" i="2"/>
  <c r="Y123" i="6"/>
  <c r="X81" i="6"/>
  <c r="P117" i="6"/>
  <c r="R103" i="6"/>
  <c r="S191" i="2"/>
  <c r="L24" i="6"/>
  <c r="L66" i="2"/>
  <c r="L59" i="2"/>
  <c r="L57" i="3"/>
  <c r="L105" i="2"/>
  <c r="L56" i="3"/>
  <c r="L52" i="2"/>
  <c r="L58" i="3"/>
  <c r="L91" i="2"/>
  <c r="L73" i="2"/>
  <c r="L27" i="2"/>
  <c r="L25" i="6" s="1"/>
  <c r="L266" i="2"/>
  <c r="L155" i="2"/>
  <c r="L50" i="2"/>
  <c r="V113" i="6"/>
  <c r="V314" i="2"/>
  <c r="X202" i="2"/>
  <c r="P283" i="2"/>
  <c r="P277" i="2" s="1"/>
  <c r="N284" i="2"/>
  <c r="T117" i="6"/>
  <c r="X148" i="6"/>
  <c r="Y248" i="2"/>
  <c r="Y247" i="2"/>
  <c r="X147" i="6"/>
  <c r="W72" i="6"/>
  <c r="Y147" i="2"/>
  <c r="X147" i="2"/>
  <c r="AA31" i="3"/>
  <c r="AA12" i="6"/>
  <c r="AA14" i="2"/>
  <c r="AA36" i="3"/>
  <c r="AF30" i="3"/>
  <c r="N17" i="6"/>
  <c r="C28" i="1"/>
  <c r="U278" i="2"/>
  <c r="U280" i="2"/>
  <c r="AE22" i="2"/>
  <c r="AD21" i="2"/>
  <c r="AD20" i="2"/>
  <c r="AD23" i="2"/>
  <c r="AB148" i="2"/>
  <c r="AD148" i="2" s="1"/>
  <c r="AE148" i="2" s="1"/>
  <c r="AF148" i="2" s="1"/>
  <c r="AG148" i="2" s="1"/>
  <c r="AI148" i="2" s="1"/>
  <c r="AJ148" i="2" s="1"/>
  <c r="AK148" i="2" s="1"/>
  <c r="AL148" i="2" s="1"/>
  <c r="I95" i="5"/>
  <c r="N144" i="6"/>
  <c r="C53" i="1"/>
  <c r="E57" i="5"/>
  <c r="E29" i="5"/>
  <c r="E23" i="5"/>
  <c r="E107" i="5"/>
  <c r="E105" i="5"/>
  <c r="C82" i="5"/>
  <c r="C68" i="5"/>
  <c r="C63" i="5"/>
  <c r="C62" i="5"/>
  <c r="R187" i="2"/>
  <c r="J95" i="5"/>
  <c r="D24" i="6"/>
  <c r="D56" i="3"/>
  <c r="D66" i="2"/>
  <c r="D59" i="2"/>
  <c r="D27" i="2"/>
  <c r="D25" i="6" s="1"/>
  <c r="D58" i="3"/>
  <c r="D105" i="2"/>
  <c r="D57" i="3"/>
  <c r="D266" i="2"/>
  <c r="D52" i="2"/>
  <c r="D91" i="2"/>
  <c r="D73" i="2"/>
  <c r="D155" i="2"/>
  <c r="D50" i="2"/>
  <c r="Y143" i="6"/>
  <c r="Z243" i="2"/>
  <c r="Y186" i="2"/>
  <c r="T24" i="6"/>
  <c r="T266" i="2"/>
  <c r="T56" i="3"/>
  <c r="T59" i="2"/>
  <c r="Y61" i="2" s="1"/>
  <c r="T66" i="2"/>
  <c r="Y68" i="2" s="1"/>
  <c r="T58" i="3"/>
  <c r="T155" i="2"/>
  <c r="T105" i="2"/>
  <c r="Y107" i="2" s="1"/>
  <c r="T57" i="3"/>
  <c r="T52" i="2"/>
  <c r="T73" i="2"/>
  <c r="Y75" i="2" s="1"/>
  <c r="T91" i="2"/>
  <c r="T27" i="2"/>
  <c r="T25" i="6" s="1"/>
  <c r="Q99" i="6"/>
  <c r="Q212" i="2"/>
  <c r="Q207" i="2"/>
  <c r="N86" i="2"/>
  <c r="N87" i="2" s="1"/>
  <c r="N85" i="2"/>
  <c r="V94" i="6"/>
  <c r="N109" i="6"/>
  <c r="N204" i="2"/>
  <c r="N115" i="6" s="1"/>
  <c r="AB35" i="2"/>
  <c r="W36" i="2"/>
  <c r="W34" i="2"/>
  <c r="W33" i="2"/>
  <c r="W146" i="6"/>
  <c r="X246" i="2"/>
  <c r="Q254" i="2"/>
  <c r="AC145" i="2"/>
  <c r="AD145" i="2"/>
  <c r="AE145" i="2" s="1"/>
  <c r="AF145" i="2" s="1"/>
  <c r="AG145" i="2" s="1"/>
  <c r="AB39" i="6"/>
  <c r="R86" i="2"/>
  <c r="R87" i="2" s="1"/>
  <c r="R85" i="2"/>
  <c r="S144" i="6"/>
  <c r="D53" i="1"/>
  <c r="L117" i="6"/>
  <c r="L280" i="2"/>
  <c r="S253" i="2"/>
  <c r="L153" i="6"/>
  <c r="L155" i="6" s="1"/>
  <c r="L254" i="2"/>
  <c r="W137" i="6"/>
  <c r="X237" i="2"/>
  <c r="X137" i="6" s="1"/>
  <c r="W182" i="2"/>
  <c r="W94" i="6" s="1"/>
  <c r="Y132" i="6"/>
  <c r="Z232" i="2"/>
  <c r="Z180" i="2" s="1"/>
  <c r="Z92" i="6" s="1"/>
  <c r="AL80" i="2"/>
  <c r="AL83" i="2"/>
  <c r="AL81" i="2"/>
  <c r="Z21" i="6"/>
  <c r="V86" i="2"/>
  <c r="V87" i="2" s="1"/>
  <c r="V85" i="2"/>
  <c r="R284" i="2"/>
  <c r="R283" i="2" s="1"/>
  <c r="R277" i="2" s="1"/>
  <c r="R278" i="2" s="1"/>
  <c r="R280" i="2"/>
  <c r="S279" i="2"/>
  <c r="V152" i="6"/>
  <c r="V253" i="2"/>
  <c r="V259" i="2"/>
  <c r="P24" i="6"/>
  <c r="P56" i="3"/>
  <c r="P57" i="3"/>
  <c r="P58" i="3"/>
  <c r="P52" i="2"/>
  <c r="P91" i="2"/>
  <c r="P27" i="2"/>
  <c r="P25" i="6" s="1"/>
  <c r="P266" i="2"/>
  <c r="P66" i="2"/>
  <c r="P155" i="2"/>
  <c r="P105" i="2"/>
  <c r="P59" i="2"/>
  <c r="P50" i="2"/>
  <c r="P73" i="2"/>
  <c r="U27" i="2"/>
  <c r="U25" i="6" s="1"/>
  <c r="I153" i="6"/>
  <c r="I155" i="6" s="1"/>
  <c r="I254" i="2"/>
  <c r="D63" i="5"/>
  <c r="D68" i="5"/>
  <c r="D62" i="5"/>
  <c r="D82" i="5"/>
  <c r="M99" i="6"/>
  <c r="M207" i="2"/>
  <c r="M212" i="2"/>
  <c r="Q91" i="2"/>
  <c r="Q73" i="2"/>
  <c r="Q27" i="2"/>
  <c r="Q25" i="6" s="1"/>
  <c r="Q56" i="3"/>
  <c r="Q52" i="2"/>
  <c r="Q155" i="2"/>
  <c r="Q105" i="2"/>
  <c r="Q24" i="6"/>
  <c r="Q57" i="3"/>
  <c r="Q58" i="3"/>
  <c r="Q59" i="2"/>
  <c r="Q66" i="2"/>
  <c r="Q50" i="2"/>
  <c r="Q266" i="2"/>
  <c r="S17" i="6"/>
  <c r="D28" i="1"/>
  <c r="K57" i="3"/>
  <c r="K24" i="6"/>
  <c r="K58" i="3"/>
  <c r="K59" i="2"/>
  <c r="K105" i="2"/>
  <c r="K66" i="2"/>
  <c r="K266" i="2"/>
  <c r="K155" i="2"/>
  <c r="K91" i="2"/>
  <c r="K73" i="2"/>
  <c r="K27" i="2"/>
  <c r="K25" i="6" s="1"/>
  <c r="K52" i="2"/>
  <c r="K56" i="3"/>
  <c r="AE172" i="2"/>
  <c r="AE283" i="2"/>
  <c r="AE279" i="2"/>
  <c r="AE284" i="2" s="1"/>
  <c r="AE183" i="2" s="1"/>
  <c r="AE95" i="6" s="1"/>
  <c r="V276" i="2"/>
  <c r="X275" i="2"/>
  <c r="X276" i="2" s="1"/>
  <c r="AF300" i="2"/>
  <c r="AG300" i="2"/>
  <c r="AI300" i="2" s="1"/>
  <c r="AA55" i="6"/>
  <c r="AB120" i="2"/>
  <c r="AC120" i="2" s="1"/>
  <c r="N283" i="2"/>
  <c r="J277" i="2"/>
  <c r="G54" i="2"/>
  <c r="G34" i="6" s="1"/>
  <c r="G32" i="6"/>
  <c r="G98" i="2"/>
  <c r="G53" i="2"/>
  <c r="G33" i="6" s="1"/>
  <c r="AG42" i="2"/>
  <c r="AG40" i="2"/>
  <c r="AG39" i="2"/>
  <c r="S14" i="6"/>
  <c r="D24" i="1"/>
  <c r="F106" i="5"/>
  <c r="F107" i="5" s="1"/>
  <c r="N82" i="6"/>
  <c r="U117" i="6"/>
  <c r="AJ34" i="2"/>
  <c r="AJ36" i="2"/>
  <c r="AJ33" i="2"/>
  <c r="AL108" i="2"/>
  <c r="AL105" i="2"/>
  <c r="AL106" i="2"/>
  <c r="J24" i="6"/>
  <c r="J57" i="3"/>
  <c r="J266" i="2"/>
  <c r="J56" i="3"/>
  <c r="J58" i="3"/>
  <c r="J52" i="2"/>
  <c r="J59" i="2"/>
  <c r="J91" i="2"/>
  <c r="J73" i="2"/>
  <c r="J155" i="2"/>
  <c r="J105" i="2"/>
  <c r="J66" i="2"/>
  <c r="J27" i="2"/>
  <c r="J25" i="6" s="1"/>
  <c r="J50" i="2"/>
  <c r="G95" i="5"/>
  <c r="X12" i="3"/>
  <c r="X10" i="2"/>
  <c r="H6" i="5"/>
  <c r="E47" i="6"/>
  <c r="E112" i="2"/>
  <c r="E113" i="2"/>
  <c r="E115" i="2"/>
  <c r="Y268" i="2"/>
  <c r="AG10" i="3"/>
  <c r="AG78" i="2" s="1"/>
  <c r="AB296" i="2"/>
  <c r="AB297" i="2" s="1"/>
  <c r="AB301" i="2" s="1"/>
  <c r="AB237" i="2" s="1"/>
  <c r="AB275" i="2"/>
  <c r="AB10" i="2"/>
  <c r="AB11" i="3"/>
  <c r="AC10" i="3"/>
  <c r="AD11" i="3"/>
  <c r="W130" i="6"/>
  <c r="X230" i="2"/>
  <c r="E57" i="6"/>
  <c r="E135" i="2"/>
  <c r="E128" i="2"/>
  <c r="E131" i="2"/>
  <c r="E59" i="6" s="1"/>
  <c r="E138" i="2"/>
  <c r="W172" i="2"/>
  <c r="W283" i="2"/>
  <c r="W279" i="2"/>
  <c r="W284" i="2" s="1"/>
  <c r="W183" i="2" s="1"/>
  <c r="AA21" i="6"/>
  <c r="T153" i="6"/>
  <c r="T155" i="6" s="1"/>
  <c r="T254" i="2"/>
  <c r="D45" i="5"/>
  <c r="D39" i="5"/>
  <c r="D66" i="5"/>
  <c r="D101" i="5" s="1"/>
  <c r="D14" i="5"/>
  <c r="D42" i="5"/>
  <c r="D103" i="5"/>
  <c r="S59" i="2" l="1"/>
  <c r="S58" i="3"/>
  <c r="G45" i="5"/>
  <c r="C122" i="5"/>
  <c r="V212" i="2"/>
  <c r="V215" i="2" s="1"/>
  <c r="Y225" i="2"/>
  <c r="X125" i="6"/>
  <c r="S314" i="2"/>
  <c r="S113" i="6"/>
  <c r="N66" i="2"/>
  <c r="N91" i="2"/>
  <c r="N52" i="2"/>
  <c r="N98" i="2" s="1"/>
  <c r="N100" i="2" s="1"/>
  <c r="N73" i="2"/>
  <c r="U98" i="2"/>
  <c r="U43" i="6" s="1"/>
  <c r="N57" i="3"/>
  <c r="N105" i="2"/>
  <c r="N50" i="2"/>
  <c r="N27" i="2"/>
  <c r="N25" i="6" s="1"/>
  <c r="N56" i="3"/>
  <c r="Z62" i="2"/>
  <c r="N155" i="2"/>
  <c r="N58" i="3"/>
  <c r="N59" i="2"/>
  <c r="N24" i="6"/>
  <c r="S24" i="6"/>
  <c r="Z74" i="2"/>
  <c r="I52" i="2"/>
  <c r="I32" i="6" s="1"/>
  <c r="M54" i="2"/>
  <c r="M34" i="6" s="1"/>
  <c r="S57" i="3"/>
  <c r="Z73" i="2"/>
  <c r="Z66" i="2"/>
  <c r="S52" i="2"/>
  <c r="S98" i="2" s="1"/>
  <c r="AE75" i="2"/>
  <c r="AE73" i="2" s="1"/>
  <c r="M59" i="3"/>
  <c r="S91" i="2"/>
  <c r="S105" i="2"/>
  <c r="R59" i="3"/>
  <c r="S73" i="2"/>
  <c r="U53" i="2"/>
  <c r="U33" i="6" s="1"/>
  <c r="C54" i="2"/>
  <c r="C34" i="6" s="1"/>
  <c r="U59" i="3"/>
  <c r="U54" i="2"/>
  <c r="U34" i="6" s="1"/>
  <c r="S266" i="2"/>
  <c r="Z59" i="2"/>
  <c r="C32" i="6"/>
  <c r="AE61" i="2"/>
  <c r="AJ61" i="2" s="1"/>
  <c r="D31" i="1"/>
  <c r="F43" i="6"/>
  <c r="S56" i="3"/>
  <c r="S66" i="2"/>
  <c r="M53" i="2"/>
  <c r="M33" i="6" s="1"/>
  <c r="S50" i="2"/>
  <c r="R54" i="2"/>
  <c r="R34" i="6" s="1"/>
  <c r="M98" i="2"/>
  <c r="M43" i="6" s="1"/>
  <c r="S27" i="2"/>
  <c r="S25" i="6" s="1"/>
  <c r="R53" i="2"/>
  <c r="R33" i="6" s="1"/>
  <c r="R98" i="2"/>
  <c r="R43" i="6" s="1"/>
  <c r="S155" i="2"/>
  <c r="I266" i="2"/>
  <c r="Z69" i="2"/>
  <c r="Z108" i="2"/>
  <c r="AE68" i="2"/>
  <c r="AE67" i="2" s="1"/>
  <c r="G103" i="5"/>
  <c r="C31" i="1"/>
  <c r="I59" i="2"/>
  <c r="C98" i="2"/>
  <c r="C127" i="2" s="1"/>
  <c r="I50" i="2"/>
  <c r="O59" i="3"/>
  <c r="V59" i="3"/>
  <c r="C59" i="3"/>
  <c r="I105" i="2"/>
  <c r="W12" i="2"/>
  <c r="W16" i="2" s="1"/>
  <c r="W8" i="3"/>
  <c r="W7" i="6" s="1"/>
  <c r="AB79" i="2"/>
  <c r="W6" i="6"/>
  <c r="W18" i="6" s="1"/>
  <c r="X7" i="3"/>
  <c r="X78" i="2"/>
  <c r="AC79" i="2" s="1"/>
  <c r="W79" i="2"/>
  <c r="W39" i="6"/>
  <c r="W45" i="3"/>
  <c r="AE107" i="2"/>
  <c r="AE105" i="2" s="1"/>
  <c r="I56" i="3"/>
  <c r="I24" i="6"/>
  <c r="K59" i="3"/>
  <c r="F127" i="2"/>
  <c r="F138" i="2" s="1"/>
  <c r="Z105" i="2"/>
  <c r="I73" i="2"/>
  <c r="I27" i="2"/>
  <c r="I25" i="6" s="1"/>
  <c r="F110" i="2"/>
  <c r="F113" i="2" s="1"/>
  <c r="I155" i="2"/>
  <c r="I91" i="2"/>
  <c r="K95" i="5"/>
  <c r="L95" i="5" s="1"/>
  <c r="M95" i="5" s="1"/>
  <c r="N95" i="5" s="1"/>
  <c r="O95" i="5" s="1"/>
  <c r="P95" i="5" s="1"/>
  <c r="I66" i="2"/>
  <c r="V207" i="2"/>
  <c r="V117" i="6" s="1"/>
  <c r="F112" i="5"/>
  <c r="I58" i="3"/>
  <c r="I57" i="3"/>
  <c r="AB59" i="2"/>
  <c r="AB73" i="2"/>
  <c r="AF29" i="3"/>
  <c r="AL61" i="2"/>
  <c r="AG62" i="2"/>
  <c r="AG60" i="2"/>
  <c r="AG76" i="2"/>
  <c r="AL75" i="2"/>
  <c r="AG74" i="2"/>
  <c r="H12" i="5"/>
  <c r="X28" i="3"/>
  <c r="AI12" i="6"/>
  <c r="AI14" i="2"/>
  <c r="AI32" i="2" s="1"/>
  <c r="AI36" i="3"/>
  <c r="AC30" i="3"/>
  <c r="AB29" i="3"/>
  <c r="Z131" i="6"/>
  <c r="AA231" i="2"/>
  <c r="S187" i="2"/>
  <c r="S99" i="6" s="1"/>
  <c r="Z192" i="2"/>
  <c r="Z104" i="6" s="1"/>
  <c r="AA182" i="2"/>
  <c r="AA94" i="6" s="1"/>
  <c r="G104" i="5"/>
  <c r="G105" i="5" s="1"/>
  <c r="AD31" i="3"/>
  <c r="X14" i="2"/>
  <c r="AB14" i="2"/>
  <c r="AB31" i="3"/>
  <c r="AG30" i="3"/>
  <c r="AG29" i="3" s="1"/>
  <c r="AB36" i="3"/>
  <c r="AB12" i="6"/>
  <c r="X32" i="3"/>
  <c r="E23" i="1" s="1"/>
  <c r="X12" i="6"/>
  <c r="X36" i="3"/>
  <c r="E22" i="1"/>
  <c r="Y46" i="2"/>
  <c r="Y30" i="6" s="1"/>
  <c r="AE79" i="2"/>
  <c r="AD15" i="6"/>
  <c r="AJ296" i="2"/>
  <c r="AJ297" i="2" s="1"/>
  <c r="AI39" i="3"/>
  <c r="AI15" i="6" s="1"/>
  <c r="AJ78" i="2"/>
  <c r="AJ39" i="6" s="1"/>
  <c r="AJ10" i="2"/>
  <c r="Z84" i="6"/>
  <c r="I47" i="5"/>
  <c r="AC39" i="6"/>
  <c r="Y224" i="2"/>
  <c r="Y177" i="2" s="1"/>
  <c r="Z182" i="2"/>
  <c r="Z94" i="6" s="1"/>
  <c r="AF301" i="2"/>
  <c r="AF237" i="2" s="1"/>
  <c r="AF137" i="6" s="1"/>
  <c r="AA32" i="2"/>
  <c r="AA46" i="2" s="1"/>
  <c r="AA30" i="6" s="1"/>
  <c r="AJ11" i="3"/>
  <c r="AD283" i="2"/>
  <c r="X38" i="2"/>
  <c r="W28" i="6"/>
  <c r="AK10" i="2"/>
  <c r="AK275" i="2"/>
  <c r="AK277" i="2" s="1"/>
  <c r="AK296" i="2"/>
  <c r="AK297" i="2" s="1"/>
  <c r="AD172" i="2"/>
  <c r="AD84" i="6" s="1"/>
  <c r="AI275" i="2"/>
  <c r="AI277" i="2" s="1"/>
  <c r="AI296" i="2"/>
  <c r="AI297" i="2" s="1"/>
  <c r="AI301" i="2" s="1"/>
  <c r="AI237" i="2" s="1"/>
  <c r="AI10" i="2"/>
  <c r="AI78" i="2"/>
  <c r="AK78" i="2"/>
  <c r="AE36" i="3"/>
  <c r="AE31" i="3"/>
  <c r="AE14" i="2"/>
  <c r="AE32" i="2" s="1"/>
  <c r="AE27" i="6" s="1"/>
  <c r="AJ30" i="3"/>
  <c r="AJ29" i="3" s="1"/>
  <c r="AE12" i="6"/>
  <c r="AE182" i="2"/>
  <c r="AE94" i="6" s="1"/>
  <c r="Z46" i="2"/>
  <c r="Z30" i="6" s="1"/>
  <c r="X40" i="3"/>
  <c r="X15" i="6"/>
  <c r="H16" i="5"/>
  <c r="E26" i="1"/>
  <c r="X15" i="2"/>
  <c r="AF283" i="2"/>
  <c r="AF279" i="2"/>
  <c r="AF284" i="2" s="1"/>
  <c r="AF183" i="2" s="1"/>
  <c r="AF95" i="6" s="1"/>
  <c r="AF172" i="2"/>
  <c r="AF39" i="6"/>
  <c r="AF79" i="2"/>
  <c r="AK11" i="3"/>
  <c r="X182" i="2"/>
  <c r="X94" i="6" s="1"/>
  <c r="AA84" i="6"/>
  <c r="AA84" i="2"/>
  <c r="AD39" i="6"/>
  <c r="AD79" i="2"/>
  <c r="AG39" i="3"/>
  <c r="AB15" i="6"/>
  <c r="AB15" i="2"/>
  <c r="AB38" i="2" s="1"/>
  <c r="AB28" i="6" s="1"/>
  <c r="AC39" i="3"/>
  <c r="AG39" i="6"/>
  <c r="AG79" i="2"/>
  <c r="AH78" i="2"/>
  <c r="R207" i="2"/>
  <c r="R99" i="6"/>
  <c r="R212" i="2"/>
  <c r="H94" i="5"/>
  <c r="X72" i="6"/>
  <c r="F30" i="5"/>
  <c r="F66" i="5"/>
  <c r="F101" i="5" s="1"/>
  <c r="F39" i="5"/>
  <c r="F14" i="5"/>
  <c r="F74" i="5"/>
  <c r="F42" i="5"/>
  <c r="F45" i="5"/>
  <c r="AB129" i="6"/>
  <c r="AC229" i="2"/>
  <c r="X267" i="2"/>
  <c r="X124" i="6"/>
  <c r="AA142" i="6"/>
  <c r="AA257" i="2"/>
  <c r="AB242" i="2"/>
  <c r="E66" i="6"/>
  <c r="E139" i="2"/>
  <c r="E67" i="6" s="1"/>
  <c r="E141" i="2"/>
  <c r="J59" i="3"/>
  <c r="AE84" i="6"/>
  <c r="AE84" i="2"/>
  <c r="P32" i="6"/>
  <c r="P98" i="2"/>
  <c r="P54" i="2"/>
  <c r="P34" i="6" s="1"/>
  <c r="P53" i="2"/>
  <c r="P33" i="6" s="1"/>
  <c r="Y69" i="2"/>
  <c r="Y66" i="2"/>
  <c r="Y67" i="2"/>
  <c r="AD68" i="2"/>
  <c r="D53" i="2"/>
  <c r="D33" i="6" s="1"/>
  <c r="D98" i="2"/>
  <c r="D54" i="2"/>
  <c r="D34" i="6" s="1"/>
  <c r="D32" i="6"/>
  <c r="D59" i="3"/>
  <c r="Y72" i="6"/>
  <c r="Z147" i="2"/>
  <c r="H59" i="3"/>
  <c r="G106" i="5"/>
  <c r="G107" i="5" s="1"/>
  <c r="Z56" i="6"/>
  <c r="AA122" i="2"/>
  <c r="AB154" i="2"/>
  <c r="AC154" i="2" s="1"/>
  <c r="AA169" i="2"/>
  <c r="AA48" i="6"/>
  <c r="AD284" i="2"/>
  <c r="O54" i="2"/>
  <c r="O34" i="6" s="1"/>
  <c r="O32" i="6"/>
  <c r="O98" i="2"/>
  <c r="O53" i="2"/>
  <c r="O33" i="6" s="1"/>
  <c r="AK15" i="6"/>
  <c r="AK15" i="2"/>
  <c r="AK38" i="2" s="1"/>
  <c r="AK28" i="6" s="1"/>
  <c r="AB277" i="2"/>
  <c r="AC275" i="2"/>
  <c r="AC276" i="2" s="1"/>
  <c r="Z81" i="6"/>
  <c r="U254" i="2"/>
  <c r="U153" i="6"/>
  <c r="U155" i="6" s="1"/>
  <c r="AF36" i="2"/>
  <c r="AK35" i="2"/>
  <c r="AF33" i="2"/>
  <c r="AF34" i="2"/>
  <c r="N277" i="2"/>
  <c r="J278" i="2"/>
  <c r="J280" i="2"/>
  <c r="I80" i="5"/>
  <c r="AC55" i="6"/>
  <c r="D86" i="5"/>
  <c r="D85" i="5"/>
  <c r="D108" i="5" s="1"/>
  <c r="P59" i="3"/>
  <c r="I25" i="5"/>
  <c r="AC21" i="6"/>
  <c r="AC20" i="2"/>
  <c r="Z132" i="6"/>
  <c r="AA232" i="2"/>
  <c r="AA180" i="2" s="1"/>
  <c r="C86" i="5"/>
  <c r="C85" i="5"/>
  <c r="C108" i="5" s="1"/>
  <c r="AD22" i="6"/>
  <c r="AD19" i="2"/>
  <c r="AJ277" i="2"/>
  <c r="Y182" i="2"/>
  <c r="S284" i="2"/>
  <c r="S103" i="6"/>
  <c r="S194" i="2"/>
  <c r="S106" i="6" s="1"/>
  <c r="H32" i="6"/>
  <c r="H98" i="2"/>
  <c r="H54" i="2"/>
  <c r="H34" i="6" s="1"/>
  <c r="H53" i="2"/>
  <c r="H33" i="6" s="1"/>
  <c r="F103" i="5"/>
  <c r="Z224" i="2"/>
  <c r="AA267" i="2"/>
  <c r="W93" i="2"/>
  <c r="H20" i="5"/>
  <c r="H7" i="5"/>
  <c r="Y98" i="6"/>
  <c r="S153" i="6"/>
  <c r="T59" i="3"/>
  <c r="AA243" i="2"/>
  <c r="Z143" i="6"/>
  <c r="Z186" i="2"/>
  <c r="Z98" i="6" s="1"/>
  <c r="V25" i="6"/>
  <c r="Z85" i="2"/>
  <c r="Z86" i="2"/>
  <c r="Z87" i="2" s="1"/>
  <c r="W285" i="2"/>
  <c r="AC12" i="3"/>
  <c r="I6" i="5"/>
  <c r="AC10" i="2"/>
  <c r="Z268" i="2"/>
  <c r="N285" i="2"/>
  <c r="O282" i="2" s="1"/>
  <c r="AD120" i="2"/>
  <c r="AB55" i="6"/>
  <c r="Y246" i="2"/>
  <c r="X146" i="6"/>
  <c r="Q117" i="6"/>
  <c r="P278" i="2"/>
  <c r="P280" i="2"/>
  <c r="AC80" i="2"/>
  <c r="W32" i="2"/>
  <c r="W46" i="2" s="1"/>
  <c r="W30" i="6" s="1"/>
  <c r="G30" i="5"/>
  <c r="G66" i="5"/>
  <c r="G101" i="5" s="1"/>
  <c r="G39" i="5"/>
  <c r="G42" i="5"/>
  <c r="G74" i="5"/>
  <c r="G14" i="5"/>
  <c r="X19" i="2"/>
  <c r="W21" i="6"/>
  <c r="X279" i="2"/>
  <c r="D119" i="6"/>
  <c r="D217" i="2"/>
  <c r="I209" i="2"/>
  <c r="I210" i="2" s="1"/>
  <c r="G114" i="5"/>
  <c r="G115" i="5"/>
  <c r="G3" i="5"/>
  <c r="H4" i="5"/>
  <c r="AA107" i="2"/>
  <c r="G43" i="6"/>
  <c r="G100" i="2"/>
  <c r="G45" i="6" s="1"/>
  <c r="G110" i="2"/>
  <c r="G127" i="2"/>
  <c r="Y62" i="2"/>
  <c r="Y60" i="2"/>
  <c r="AD61" i="2"/>
  <c r="Y59" i="2"/>
  <c r="R153" i="6"/>
  <c r="R155" i="6" s="1"/>
  <c r="R254" i="2"/>
  <c r="R79" i="6"/>
  <c r="S167" i="2"/>
  <c r="S79" i="6" s="1"/>
  <c r="AG11" i="3"/>
  <c r="AG275" i="2"/>
  <c r="AG296" i="2"/>
  <c r="AG297" i="2" s="1"/>
  <c r="AG301" i="2" s="1"/>
  <c r="AG237" i="2" s="1"/>
  <c r="AL10" i="3"/>
  <c r="AG10" i="2"/>
  <c r="AI11" i="3"/>
  <c r="AH10" i="3"/>
  <c r="K32" i="6"/>
  <c r="K53" i="2"/>
  <c r="K33" i="6" s="1"/>
  <c r="K98" i="2"/>
  <c r="K54" i="2"/>
  <c r="K34" i="6" s="1"/>
  <c r="C76" i="5"/>
  <c r="C70" i="5"/>
  <c r="C69" i="5"/>
  <c r="W84" i="6"/>
  <c r="W84" i="2"/>
  <c r="X172" i="2"/>
  <c r="E50" i="6"/>
  <c r="E117" i="2"/>
  <c r="E52" i="6" s="1"/>
  <c r="E118" i="2"/>
  <c r="E53" i="6" s="1"/>
  <c r="Q32" i="6"/>
  <c r="Q53" i="2"/>
  <c r="Q33" i="6" s="1"/>
  <c r="Q54" i="2"/>
  <c r="Q34" i="6" s="1"/>
  <c r="Q98" i="2"/>
  <c r="M215" i="2"/>
  <c r="D69" i="5"/>
  <c r="D70" i="5"/>
  <c r="D76" i="5"/>
  <c r="AI145" i="2"/>
  <c r="AJ145" i="2" s="1"/>
  <c r="AK145" i="2" s="1"/>
  <c r="AL145" i="2" s="1"/>
  <c r="AM145" i="2" s="1"/>
  <c r="AH145" i="2"/>
  <c r="Q215" i="2"/>
  <c r="Q216" i="2" s="1"/>
  <c r="AD107" i="2"/>
  <c r="Y106" i="2"/>
  <c r="Y105" i="2"/>
  <c r="Y108" i="2"/>
  <c r="E30" i="5"/>
  <c r="E66" i="5"/>
  <c r="E101" i="5" s="1"/>
  <c r="E14" i="5"/>
  <c r="E103" i="5"/>
  <c r="E39" i="5"/>
  <c r="E74" i="5"/>
  <c r="E42" i="5"/>
  <c r="E45" i="5"/>
  <c r="AF22" i="2"/>
  <c r="AE23" i="2"/>
  <c r="AE20" i="2"/>
  <c r="AE21" i="2"/>
  <c r="Z248" i="2"/>
  <c r="Y148" i="6"/>
  <c r="X113" i="6"/>
  <c r="X314" i="2"/>
  <c r="X204" i="2"/>
  <c r="X115" i="6" s="1"/>
  <c r="L53" i="2"/>
  <c r="L33" i="6" s="1"/>
  <c r="L32" i="6"/>
  <c r="L98" i="2"/>
  <c r="L54" i="2"/>
  <c r="L34" i="6" s="1"/>
  <c r="F63" i="5"/>
  <c r="F68" i="5"/>
  <c r="F82" i="5"/>
  <c r="F62" i="5"/>
  <c r="Y284" i="2"/>
  <c r="AB21" i="6"/>
  <c r="V32" i="6"/>
  <c r="V98" i="2"/>
  <c r="V54" i="2"/>
  <c r="V53" i="2"/>
  <c r="AB137" i="6"/>
  <c r="AB182" i="2"/>
  <c r="AB94" i="6" s="1"/>
  <c r="AC237" i="2"/>
  <c r="AD75" i="2"/>
  <c r="Y74" i="2"/>
  <c r="Y73" i="2"/>
  <c r="Y76" i="2"/>
  <c r="AD28" i="6"/>
  <c r="S85" i="2"/>
  <c r="S86" i="2"/>
  <c r="S87" i="2" s="1"/>
  <c r="Z149" i="6"/>
  <c r="AA249" i="2"/>
  <c r="AB44" i="2"/>
  <c r="AC44" i="2" s="1"/>
  <c r="AA29" i="6"/>
  <c r="AG35" i="2"/>
  <c r="AB34" i="2"/>
  <c r="AB36" i="2"/>
  <c r="AB33" i="2"/>
  <c r="T53" i="2"/>
  <c r="T33" i="6" s="1"/>
  <c r="T98" i="2"/>
  <c r="T54" i="2"/>
  <c r="T34" i="6" s="1"/>
  <c r="T32" i="6"/>
  <c r="W95" i="6"/>
  <c r="X183" i="2"/>
  <c r="X95" i="6" s="1"/>
  <c r="E63" i="6"/>
  <c r="E136" i="2"/>
  <c r="E64" i="6" s="1"/>
  <c r="X130" i="6"/>
  <c r="Y230" i="2"/>
  <c r="J32" i="6"/>
  <c r="J53" i="2"/>
  <c r="J33" i="6" s="1"/>
  <c r="J98" i="2"/>
  <c r="J54" i="2"/>
  <c r="J34" i="6" s="1"/>
  <c r="AJ300" i="2"/>
  <c r="AK300" i="2" s="1"/>
  <c r="Q59" i="3"/>
  <c r="M117" i="6"/>
  <c r="V153" i="6"/>
  <c r="V155" i="6" s="1"/>
  <c r="V254" i="2"/>
  <c r="E82" i="5"/>
  <c r="E62" i="5"/>
  <c r="E63" i="5"/>
  <c r="E68" i="5"/>
  <c r="AF12" i="6"/>
  <c r="AF36" i="3"/>
  <c r="AF31" i="3"/>
  <c r="AK30" i="3"/>
  <c r="AF14" i="2"/>
  <c r="Y147" i="6"/>
  <c r="Z247" i="2"/>
  <c r="L59" i="3"/>
  <c r="Z123" i="6"/>
  <c r="AA223" i="2"/>
  <c r="AA192" i="2" s="1"/>
  <c r="AA104" i="6" s="1"/>
  <c r="Y84" i="6"/>
  <c r="Y84" i="2"/>
  <c r="G82" i="5"/>
  <c r="G63" i="5"/>
  <c r="G62" i="5"/>
  <c r="G68" i="5"/>
  <c r="AE15" i="6"/>
  <c r="AJ39" i="3"/>
  <c r="AE15" i="2"/>
  <c r="AE38" i="2" s="1"/>
  <c r="AE28" i="6" s="1"/>
  <c r="V283" i="2"/>
  <c r="V277" i="2" s="1"/>
  <c r="X284" i="2"/>
  <c r="AA146" i="2"/>
  <c r="W89" i="6"/>
  <c r="X177" i="2"/>
  <c r="N99" i="6"/>
  <c r="N212" i="2"/>
  <c r="N207" i="2"/>
  <c r="U127" i="2" l="1"/>
  <c r="U100" i="2"/>
  <c r="U110" i="2"/>
  <c r="U113" i="2" s="1"/>
  <c r="N110" i="2"/>
  <c r="N43" i="6"/>
  <c r="S212" i="2"/>
  <c r="N59" i="3"/>
  <c r="Y178" i="2"/>
  <c r="Y90" i="6" s="1"/>
  <c r="Z225" i="2"/>
  <c r="Y125" i="6"/>
  <c r="Z178" i="2"/>
  <c r="Z90" i="6" s="1"/>
  <c r="S207" i="2"/>
  <c r="S117" i="6" s="1"/>
  <c r="U99" i="2"/>
  <c r="U44" i="6" s="1"/>
  <c r="G112" i="5"/>
  <c r="W49" i="3"/>
  <c r="W8" i="6" s="1"/>
  <c r="W75" i="3"/>
  <c r="C41" i="1"/>
  <c r="N53" i="2"/>
  <c r="N33" i="6" s="1"/>
  <c r="S59" i="3"/>
  <c r="N32" i="6"/>
  <c r="N127" i="2"/>
  <c r="N135" i="2" s="1"/>
  <c r="N213" i="2" s="1"/>
  <c r="N54" i="2"/>
  <c r="N34" i="6" s="1"/>
  <c r="I53" i="2"/>
  <c r="I33" i="6" s="1"/>
  <c r="I98" i="2"/>
  <c r="I100" i="2" s="1"/>
  <c r="N101" i="2" s="1"/>
  <c r="I54" i="2"/>
  <c r="I34" i="6" s="1"/>
  <c r="S53" i="2"/>
  <c r="S33" i="6" s="1"/>
  <c r="S32" i="6"/>
  <c r="M100" i="2"/>
  <c r="M45" i="6" s="1"/>
  <c r="M110" i="2"/>
  <c r="M113" i="2" s="1"/>
  <c r="AJ68" i="2"/>
  <c r="AJ69" i="2" s="1"/>
  <c r="M127" i="2"/>
  <c r="M57" i="6" s="1"/>
  <c r="M99" i="2"/>
  <c r="M44" i="6" s="1"/>
  <c r="AE108" i="2"/>
  <c r="AE76" i="2"/>
  <c r="AE74" i="2"/>
  <c r="AJ75" i="2"/>
  <c r="AJ76" i="2" s="1"/>
  <c r="AE59" i="2"/>
  <c r="S54" i="2"/>
  <c r="S34" i="6" s="1"/>
  <c r="AE62" i="2"/>
  <c r="R100" i="2"/>
  <c r="R99" i="2"/>
  <c r="R44" i="6" s="1"/>
  <c r="R110" i="2"/>
  <c r="R112" i="2" s="1"/>
  <c r="R127" i="2"/>
  <c r="R128" i="2" s="1"/>
  <c r="AE106" i="2"/>
  <c r="AE60" i="2"/>
  <c r="AJ107" i="2"/>
  <c r="AJ105" i="2" s="1"/>
  <c r="F135" i="2"/>
  <c r="F63" i="6" s="1"/>
  <c r="C43" i="6"/>
  <c r="F57" i="6"/>
  <c r="I59" i="3"/>
  <c r="F128" i="2"/>
  <c r="AE66" i="2"/>
  <c r="AE69" i="2"/>
  <c r="F131" i="2"/>
  <c r="F59" i="6" s="1"/>
  <c r="F115" i="2"/>
  <c r="F50" i="6" s="1"/>
  <c r="C100" i="2"/>
  <c r="C45" i="6" s="1"/>
  <c r="F112" i="2"/>
  <c r="C110" i="2"/>
  <c r="F47" i="6"/>
  <c r="W24" i="2"/>
  <c r="E14" i="1"/>
  <c r="X80" i="2"/>
  <c r="X39" i="6"/>
  <c r="X8" i="3"/>
  <c r="E15" i="1" s="1"/>
  <c r="X6" i="6"/>
  <c r="X18" i="6" s="1"/>
  <c r="H9" i="5"/>
  <c r="H10" i="5" s="1"/>
  <c r="X45" i="3"/>
  <c r="X52" i="3" s="1"/>
  <c r="X17" i="3"/>
  <c r="X12" i="2"/>
  <c r="X16" i="2" s="1"/>
  <c r="H47" i="5"/>
  <c r="X79" i="2"/>
  <c r="W51" i="3"/>
  <c r="W14" i="6" s="1"/>
  <c r="W46" i="3"/>
  <c r="W19" i="6" s="1"/>
  <c r="W52" i="3"/>
  <c r="W17" i="6" s="1"/>
  <c r="W50" i="3"/>
  <c r="W11" i="6" s="1"/>
  <c r="AG73" i="2"/>
  <c r="AG59" i="2"/>
  <c r="AL60" i="2"/>
  <c r="AL62" i="2"/>
  <c r="AL74" i="2"/>
  <c r="AL76" i="2"/>
  <c r="H13" i="5"/>
  <c r="AC29" i="3"/>
  <c r="AC28" i="3" s="1"/>
  <c r="AK29" i="3"/>
  <c r="AI29" i="3"/>
  <c r="AC14" i="2"/>
  <c r="AC32" i="3"/>
  <c r="F23" i="1" s="1"/>
  <c r="AC36" i="3"/>
  <c r="F22" i="1"/>
  <c r="AC12" i="6"/>
  <c r="I12" i="5"/>
  <c r="AI31" i="3"/>
  <c r="AA131" i="6"/>
  <c r="AB231" i="2"/>
  <c r="AB32" i="2"/>
  <c r="AB46" i="2" s="1"/>
  <c r="AB30" i="6" s="1"/>
  <c r="V216" i="2"/>
  <c r="AG31" i="3"/>
  <c r="AL30" i="3"/>
  <c r="AH30" i="3"/>
  <c r="X13" i="6"/>
  <c r="AG36" i="3"/>
  <c r="AG12" i="6"/>
  <c r="AG14" i="2"/>
  <c r="AJ79" i="2"/>
  <c r="AI15" i="2"/>
  <c r="AI38" i="2" s="1"/>
  <c r="AI28" i="6" s="1"/>
  <c r="I48" i="5"/>
  <c r="AA27" i="6"/>
  <c r="Y124" i="6"/>
  <c r="AF182" i="2"/>
  <c r="AF94" i="6" s="1"/>
  <c r="AC38" i="2"/>
  <c r="AG15" i="2"/>
  <c r="AG38" i="2" s="1"/>
  <c r="AG15" i="6"/>
  <c r="AL39" i="3"/>
  <c r="AH39" i="3"/>
  <c r="AD84" i="2"/>
  <c r="AD85" i="2" s="1"/>
  <c r="H17" i="5"/>
  <c r="AF84" i="2"/>
  <c r="AF84" i="6"/>
  <c r="E27" i="1"/>
  <c r="X16" i="6"/>
  <c r="AK283" i="2"/>
  <c r="AK172" i="2"/>
  <c r="AK279" i="2"/>
  <c r="AK284" i="2" s="1"/>
  <c r="AK183" i="2" s="1"/>
  <c r="AK95" i="6" s="1"/>
  <c r="AJ12" i="6"/>
  <c r="AJ14" i="2"/>
  <c r="AJ32" i="2" s="1"/>
  <c r="AJ27" i="6" s="1"/>
  <c r="AJ36" i="3"/>
  <c r="AJ31" i="3"/>
  <c r="AK39" i="6"/>
  <c r="AK79" i="2"/>
  <c r="AI39" i="6"/>
  <c r="AI79" i="2"/>
  <c r="AA85" i="2"/>
  <c r="AA86" i="2"/>
  <c r="AA87" i="2" s="1"/>
  <c r="AF32" i="2"/>
  <c r="AF27" i="6" s="1"/>
  <c r="I16" i="5"/>
  <c r="AC40" i="3"/>
  <c r="AC15" i="2"/>
  <c r="F26" i="1"/>
  <c r="AC15" i="6"/>
  <c r="AI279" i="2"/>
  <c r="AI284" i="2" s="1"/>
  <c r="AI183" i="2" s="1"/>
  <c r="AI283" i="2"/>
  <c r="AI172" i="2"/>
  <c r="X28" i="6"/>
  <c r="H35" i="5"/>
  <c r="X39" i="2"/>
  <c r="AA92" i="6"/>
  <c r="N117" i="6"/>
  <c r="AI137" i="6"/>
  <c r="AC137" i="6"/>
  <c r="AD182" i="2"/>
  <c r="AE22" i="6"/>
  <c r="AE19" i="2"/>
  <c r="D78" i="5"/>
  <c r="D77" i="5"/>
  <c r="AI61" i="2"/>
  <c r="AD60" i="2"/>
  <c r="AD62" i="2"/>
  <c r="AD59" i="2"/>
  <c r="G112" i="2"/>
  <c r="G113" i="2"/>
  <c r="G115" i="2"/>
  <c r="G47" i="6"/>
  <c r="Z124" i="6"/>
  <c r="Y94" i="6"/>
  <c r="AC182" i="2"/>
  <c r="AC94" i="6" s="1"/>
  <c r="D109" i="5"/>
  <c r="D88" i="5"/>
  <c r="D91" i="5" s="1"/>
  <c r="C57" i="6"/>
  <c r="C138" i="2"/>
  <c r="C135" i="2"/>
  <c r="C97" i="5" s="1"/>
  <c r="C131" i="2"/>
  <c r="C59" i="6" s="1"/>
  <c r="W17" i="2"/>
  <c r="W26" i="2"/>
  <c r="W264" i="2"/>
  <c r="W226" i="2"/>
  <c r="R215" i="2"/>
  <c r="R216" i="2" s="1"/>
  <c r="N215" i="2"/>
  <c r="N216" i="2" s="1"/>
  <c r="V278" i="2"/>
  <c r="V280" i="2"/>
  <c r="G70" i="5"/>
  <c r="G76" i="5"/>
  <c r="G69" i="5"/>
  <c r="E76" i="5"/>
  <c r="E69" i="5"/>
  <c r="E70" i="5"/>
  <c r="AL300" i="2"/>
  <c r="AK301" i="2"/>
  <c r="AK237" i="2" s="1"/>
  <c r="AI107" i="2"/>
  <c r="AD106" i="2"/>
  <c r="AD108" i="2"/>
  <c r="AD105" i="2"/>
  <c r="X21" i="6"/>
  <c r="H25" i="5"/>
  <c r="H26" i="5" s="1"/>
  <c r="X20" i="2"/>
  <c r="Y282" i="2"/>
  <c r="W238" i="2"/>
  <c r="N278" i="2"/>
  <c r="N280" i="2"/>
  <c r="F139" i="2"/>
  <c r="F67" i="6" s="1"/>
  <c r="F141" i="2"/>
  <c r="F66" i="6"/>
  <c r="O43" i="6"/>
  <c r="O100" i="2"/>
  <c r="O99" i="2"/>
  <c r="O44" i="6" s="1"/>
  <c r="O110" i="2"/>
  <c r="O127" i="2"/>
  <c r="AL296" i="2"/>
  <c r="AL297" i="2" s="1"/>
  <c r="AL275" i="2"/>
  <c r="AL11" i="3"/>
  <c r="AL10" i="2"/>
  <c r="AM10" i="3"/>
  <c r="I119" i="6"/>
  <c r="J209" i="2"/>
  <c r="I217" i="2"/>
  <c r="Z246" i="2"/>
  <c r="Y146" i="6"/>
  <c r="G86" i="5"/>
  <c r="G85" i="5"/>
  <c r="G108" i="5" s="1"/>
  <c r="E86" i="5"/>
  <c r="E85" i="5"/>
  <c r="E108" i="5" s="1"/>
  <c r="J43" i="6"/>
  <c r="J127" i="2"/>
  <c r="J110" i="2"/>
  <c r="J99" i="2"/>
  <c r="J44" i="6" s="1"/>
  <c r="J100" i="2"/>
  <c r="AG33" i="2"/>
  <c r="AG36" i="2"/>
  <c r="AL35" i="2"/>
  <c r="AG34" i="2"/>
  <c r="AB29" i="6"/>
  <c r="AD44" i="2"/>
  <c r="K43" i="6"/>
  <c r="K127" i="2"/>
  <c r="K110" i="2"/>
  <c r="K99" i="2"/>
  <c r="K44" i="6" s="1"/>
  <c r="K100" i="2"/>
  <c r="AG277" i="2"/>
  <c r="AH275" i="2"/>
  <c r="AH276" i="2" s="1"/>
  <c r="AD55" i="6"/>
  <c r="AE120" i="2"/>
  <c r="U47" i="6"/>
  <c r="U112" i="2"/>
  <c r="U115" i="2"/>
  <c r="I26" i="5"/>
  <c r="N57" i="6"/>
  <c r="AI27" i="6"/>
  <c r="AB48" i="6"/>
  <c r="AB169" i="2"/>
  <c r="AD154" i="2"/>
  <c r="AJ283" i="2"/>
  <c r="AJ279" i="2"/>
  <c r="AJ172" i="2"/>
  <c r="AC22" i="6"/>
  <c r="Y183" i="2"/>
  <c r="X84" i="6"/>
  <c r="X84" i="2"/>
  <c r="H106" i="5"/>
  <c r="X89" i="6"/>
  <c r="V33" i="6"/>
  <c r="W85" i="2"/>
  <c r="W86" i="2"/>
  <c r="W87" i="2" s="1"/>
  <c r="AF75" i="2"/>
  <c r="AA74" i="2"/>
  <c r="AA73" i="2"/>
  <c r="AA76" i="2"/>
  <c r="S282" i="2"/>
  <c r="O283" i="2"/>
  <c r="I7" i="5"/>
  <c r="I20" i="5"/>
  <c r="U57" i="6"/>
  <c r="U135" i="2"/>
  <c r="U128" i="2"/>
  <c r="U131" i="2"/>
  <c r="U59" i="6" s="1"/>
  <c r="U138" i="2"/>
  <c r="W91" i="2"/>
  <c r="W92" i="2"/>
  <c r="Y93" i="2"/>
  <c r="W94" i="2"/>
  <c r="C42" i="1"/>
  <c r="N45" i="6"/>
  <c r="AK34" i="2"/>
  <c r="AK36" i="2"/>
  <c r="AK33" i="2"/>
  <c r="AB283" i="2"/>
  <c r="AC283" i="2" s="1"/>
  <c r="AB279" i="2"/>
  <c r="AB172" i="2"/>
  <c r="AC277" i="2"/>
  <c r="AC278" i="2" s="1"/>
  <c r="AA56" i="6"/>
  <c r="AB122" i="2"/>
  <c r="AC122" i="2"/>
  <c r="AE85" i="2"/>
  <c r="AE86" i="2"/>
  <c r="AE87" i="2" s="1"/>
  <c r="AH39" i="6"/>
  <c r="J47" i="5"/>
  <c r="AH80" i="2"/>
  <c r="AH79" i="2"/>
  <c r="Z148" i="6"/>
  <c r="AA248" i="2"/>
  <c r="AA62" i="2"/>
  <c r="AF61" i="2"/>
  <c r="AA60" i="2"/>
  <c r="AA59" i="2"/>
  <c r="Z72" i="6"/>
  <c r="AA147" i="2"/>
  <c r="Y89" i="6"/>
  <c r="R117" i="6"/>
  <c r="AA69" i="2"/>
  <c r="AF68" i="2"/>
  <c r="AA67" i="2"/>
  <c r="AA66" i="2"/>
  <c r="AA123" i="6"/>
  <c r="AB223" i="2"/>
  <c r="AB192" i="2" s="1"/>
  <c r="L43" i="6"/>
  <c r="L127" i="2"/>
  <c r="L110" i="2"/>
  <c r="L99" i="2"/>
  <c r="L44" i="6" s="1"/>
  <c r="L100" i="2"/>
  <c r="E69" i="6"/>
  <c r="E142" i="2"/>
  <c r="E70" i="6" s="1"/>
  <c r="AC29" i="6"/>
  <c r="AJ15" i="6"/>
  <c r="AJ15" i="2"/>
  <c r="AJ38" i="2" s="1"/>
  <c r="AJ28" i="6" s="1"/>
  <c r="Z147" i="6"/>
  <c r="AA247" i="2"/>
  <c r="Y130" i="6"/>
  <c r="Z230" i="2"/>
  <c r="AA149" i="6"/>
  <c r="AB249" i="2"/>
  <c r="V34" i="6"/>
  <c r="F86" i="5"/>
  <c r="F85" i="5"/>
  <c r="F108" i="5" s="1"/>
  <c r="Q43" i="6"/>
  <c r="Q100" i="2"/>
  <c r="Q127" i="2"/>
  <c r="Q110" i="2"/>
  <c r="Q99" i="2"/>
  <c r="Q44" i="6" s="1"/>
  <c r="Z177" i="2"/>
  <c r="AL78" i="2"/>
  <c r="C88" i="5"/>
  <c r="C91" i="5" s="1"/>
  <c r="C109" i="5"/>
  <c r="AD183" i="2"/>
  <c r="D43" i="6"/>
  <c r="D127" i="2"/>
  <c r="D110" i="2"/>
  <c r="D102" i="2"/>
  <c r="D99" i="2"/>
  <c r="D44" i="6" s="1"/>
  <c r="D100" i="2"/>
  <c r="AD229" i="2"/>
  <c r="AC129" i="6"/>
  <c r="AC48" i="6"/>
  <c r="I73" i="5"/>
  <c r="AK36" i="3"/>
  <c r="AK31" i="3"/>
  <c r="AK12" i="6"/>
  <c r="AK14" i="2"/>
  <c r="AF23" i="2"/>
  <c r="AF20" i="2"/>
  <c r="AF21" i="2"/>
  <c r="AG22" i="2"/>
  <c r="AI22" i="2" s="1"/>
  <c r="AA268" i="2"/>
  <c r="AA132" i="6"/>
  <c r="AB232" i="2"/>
  <c r="AB180" i="2"/>
  <c r="AB92" i="6" s="1"/>
  <c r="AD69" i="2"/>
  <c r="AD66" i="2"/>
  <c r="AI68" i="2"/>
  <c r="AD67" i="2"/>
  <c r="AJ62" i="2"/>
  <c r="AJ59" i="2"/>
  <c r="AJ60" i="2"/>
  <c r="AG137" i="6"/>
  <c r="AH237" i="2"/>
  <c r="AH137" i="6" s="1"/>
  <c r="AG182" i="2"/>
  <c r="AG94" i="6" s="1"/>
  <c r="AF107" i="2"/>
  <c r="AA106" i="2"/>
  <c r="AA108" i="2"/>
  <c r="AA105" i="2"/>
  <c r="AD21" i="6"/>
  <c r="AD46" i="2"/>
  <c r="AD30" i="6" s="1"/>
  <c r="N47" i="6"/>
  <c r="N112" i="2"/>
  <c r="C34" i="1" s="1"/>
  <c r="N113" i="2"/>
  <c r="C35" i="1" s="1"/>
  <c r="N115" i="2"/>
  <c r="C33" i="1"/>
  <c r="AA81" i="6"/>
  <c r="P43" i="6"/>
  <c r="P100" i="2"/>
  <c r="U101" i="2" s="1"/>
  <c r="P110" i="2"/>
  <c r="P127" i="2"/>
  <c r="P99" i="2"/>
  <c r="P44" i="6" s="1"/>
  <c r="AB146" i="2"/>
  <c r="AD146" i="2" s="1"/>
  <c r="Y85" i="2"/>
  <c r="Y86" i="2"/>
  <c r="Y87" i="2" s="1"/>
  <c r="T43" i="6"/>
  <c r="T127" i="2"/>
  <c r="T110" i="2"/>
  <c r="T99" i="2"/>
  <c r="T44" i="6" s="1"/>
  <c r="T100" i="2"/>
  <c r="AD76" i="2"/>
  <c r="AD73" i="2"/>
  <c r="AD74" i="2"/>
  <c r="AI75" i="2"/>
  <c r="V99" i="2"/>
  <c r="V100" i="2"/>
  <c r="V127" i="2"/>
  <c r="V110" i="2"/>
  <c r="V43" i="6"/>
  <c r="F70" i="5"/>
  <c r="F69" i="5"/>
  <c r="F76" i="5"/>
  <c r="S43" i="6"/>
  <c r="S127" i="2"/>
  <c r="S110" i="2"/>
  <c r="S99" i="2"/>
  <c r="S44" i="6" s="1"/>
  <c r="S100" i="2"/>
  <c r="D41" i="1"/>
  <c r="C77" i="5"/>
  <c r="C78" i="5"/>
  <c r="AH12" i="3"/>
  <c r="AN10" i="3"/>
  <c r="AH10" i="2"/>
  <c r="AN10" i="2" s="1"/>
  <c r="J6" i="5"/>
  <c r="G57" i="6"/>
  <c r="G131" i="2"/>
  <c r="G59" i="6" s="1"/>
  <c r="G128" i="2"/>
  <c r="G138" i="2"/>
  <c r="G135" i="2"/>
  <c r="H115" i="5"/>
  <c r="I4" i="5"/>
  <c r="H114" i="5"/>
  <c r="H3" i="5"/>
  <c r="X32" i="2"/>
  <c r="W27" i="6"/>
  <c r="AJ301" i="2"/>
  <c r="AJ237" i="2" s="1"/>
  <c r="AA143" i="6"/>
  <c r="AB243" i="2"/>
  <c r="AA186" i="2"/>
  <c r="AA98" i="6" s="1"/>
  <c r="U45" i="6"/>
  <c r="AA224" i="2"/>
  <c r="AB267" i="2"/>
  <c r="H43" i="6"/>
  <c r="H110" i="2"/>
  <c r="H100" i="2"/>
  <c r="H45" i="6" s="1"/>
  <c r="H127" i="2"/>
  <c r="AB142" i="6"/>
  <c r="AB257" i="2"/>
  <c r="AC242" i="2"/>
  <c r="R113" i="2" l="1"/>
  <c r="N128" i="2"/>
  <c r="AA225" i="2"/>
  <c r="Z125" i="6"/>
  <c r="M138" i="2"/>
  <c r="M141" i="2" s="1"/>
  <c r="W76" i="3"/>
  <c r="X75" i="3"/>
  <c r="W79" i="3"/>
  <c r="X79" i="3" s="1"/>
  <c r="N131" i="2"/>
  <c r="N59" i="6" s="1"/>
  <c r="AJ67" i="2"/>
  <c r="AJ66" i="2"/>
  <c r="M115" i="2"/>
  <c r="M117" i="2" s="1"/>
  <c r="M112" i="2"/>
  <c r="I99" i="2"/>
  <c r="I44" i="6" s="1"/>
  <c r="M47" i="6"/>
  <c r="I110" i="2"/>
  <c r="N111" i="2" s="1"/>
  <c r="M111" i="2"/>
  <c r="N99" i="2"/>
  <c r="N44" i="6" s="1"/>
  <c r="N138" i="2"/>
  <c r="N139" i="2" s="1"/>
  <c r="I43" i="6"/>
  <c r="I127" i="2"/>
  <c r="I57" i="6" s="1"/>
  <c r="R131" i="2"/>
  <c r="R59" i="6" s="1"/>
  <c r="R101" i="2"/>
  <c r="M135" i="2"/>
  <c r="M136" i="2" s="1"/>
  <c r="M64" i="6" s="1"/>
  <c r="R138" i="2"/>
  <c r="R262" i="2" s="1"/>
  <c r="F136" i="2"/>
  <c r="F64" i="6" s="1"/>
  <c r="R115" i="2"/>
  <c r="AJ74" i="2"/>
  <c r="M128" i="2"/>
  <c r="R135" i="2"/>
  <c r="R213" i="2" s="1"/>
  <c r="R111" i="2"/>
  <c r="M131" i="2"/>
  <c r="M59" i="6" s="1"/>
  <c r="AJ73" i="2"/>
  <c r="R45" i="6"/>
  <c r="R57" i="6"/>
  <c r="AJ106" i="2"/>
  <c r="R47" i="6"/>
  <c r="AJ108" i="2"/>
  <c r="C112" i="2"/>
  <c r="C47" i="6"/>
  <c r="F117" i="2"/>
  <c r="F52" i="6" s="1"/>
  <c r="F118" i="2"/>
  <c r="F53" i="6" s="1"/>
  <c r="C113" i="2"/>
  <c r="C115" i="2"/>
  <c r="C118" i="2" s="1"/>
  <c r="C53" i="6" s="1"/>
  <c r="X7" i="6"/>
  <c r="X50" i="3"/>
  <c r="X11" i="6" s="1"/>
  <c r="Y19" i="3"/>
  <c r="Y20" i="3" s="1"/>
  <c r="X49" i="3"/>
  <c r="X8" i="6" s="1"/>
  <c r="H22" i="5"/>
  <c r="X24" i="2"/>
  <c r="H48" i="5"/>
  <c r="X51" i="3"/>
  <c r="X46" i="3"/>
  <c r="X19" i="6" s="1"/>
  <c r="W53" i="3"/>
  <c r="AL73" i="2"/>
  <c r="AL59" i="2"/>
  <c r="AH14" i="2"/>
  <c r="AN14" i="2" s="1"/>
  <c r="AH29" i="3"/>
  <c r="AH28" i="3" s="1"/>
  <c r="AC13" i="6"/>
  <c r="AL14" i="2"/>
  <c r="AL29" i="3"/>
  <c r="I13" i="5"/>
  <c r="AB27" i="6"/>
  <c r="AM30" i="3"/>
  <c r="AL12" i="6"/>
  <c r="AL31" i="3"/>
  <c r="AL36" i="3"/>
  <c r="AC32" i="2"/>
  <c r="AL301" i="2"/>
  <c r="AL237" i="2" s="1"/>
  <c r="AL182" i="2" s="1"/>
  <c r="AL94" i="6" s="1"/>
  <c r="AC231" i="2"/>
  <c r="AB131" i="6"/>
  <c r="AN30" i="3"/>
  <c r="AH36" i="3"/>
  <c r="J12" i="5"/>
  <c r="AH12" i="6"/>
  <c r="AH32" i="3"/>
  <c r="AG32" i="2"/>
  <c r="AG27" i="6" s="1"/>
  <c r="AC28" i="6"/>
  <c r="I35" i="5"/>
  <c r="AI84" i="6"/>
  <c r="AI84" i="2"/>
  <c r="AC16" i="6"/>
  <c r="F27" i="1"/>
  <c r="AH40" i="3"/>
  <c r="AH15" i="2"/>
  <c r="AN15" i="2" s="1"/>
  <c r="J16" i="5"/>
  <c r="AH15" i="6"/>
  <c r="AN39" i="3"/>
  <c r="I17" i="5"/>
  <c r="AL15" i="6"/>
  <c r="AL15" i="2"/>
  <c r="AL38" i="2" s="1"/>
  <c r="AL28" i="6" s="1"/>
  <c r="AM39" i="3"/>
  <c r="AK84" i="6"/>
  <c r="AK84" i="2"/>
  <c r="AD86" i="2"/>
  <c r="AD87" i="2" s="1"/>
  <c r="AG28" i="6"/>
  <c r="AH38" i="2"/>
  <c r="AK32" i="2"/>
  <c r="AK27" i="6" s="1"/>
  <c r="H27" i="5"/>
  <c r="AF85" i="2"/>
  <c r="AF86" i="2"/>
  <c r="AF87" i="2" s="1"/>
  <c r="AC39" i="2"/>
  <c r="H36" i="5"/>
  <c r="AB104" i="6"/>
  <c r="AC192" i="2"/>
  <c r="AC104" i="6" s="1"/>
  <c r="AD95" i="6"/>
  <c r="AB149" i="6"/>
  <c r="AC249" i="2"/>
  <c r="L57" i="6"/>
  <c r="L135" i="2"/>
  <c r="L131" i="2"/>
  <c r="L59" i="6" s="1"/>
  <c r="L138" i="2"/>
  <c r="L128" i="2"/>
  <c r="AB284" i="2"/>
  <c r="AC279" i="2"/>
  <c r="AC280" i="2" s="1"/>
  <c r="Y92" i="2"/>
  <c r="Y91" i="2"/>
  <c r="Z93" i="2"/>
  <c r="Y94" i="2"/>
  <c r="AD93" i="2"/>
  <c r="Y95" i="6"/>
  <c r="AB81" i="6"/>
  <c r="U117" i="2"/>
  <c r="U50" i="6"/>
  <c r="U118" i="2"/>
  <c r="U261" i="2"/>
  <c r="U260" i="2"/>
  <c r="K115" i="2"/>
  <c r="K111" i="2"/>
  <c r="K47" i="6"/>
  <c r="K112" i="2"/>
  <c r="K113" i="2"/>
  <c r="O45" i="6"/>
  <c r="O101" i="2"/>
  <c r="W126" i="6"/>
  <c r="X226" i="2"/>
  <c r="W179" i="2"/>
  <c r="AA124" i="6"/>
  <c r="G63" i="6"/>
  <c r="G136" i="2"/>
  <c r="G64" i="6" s="1"/>
  <c r="S45" i="6"/>
  <c r="D42" i="1"/>
  <c r="S101" i="2"/>
  <c r="AI74" i="2"/>
  <c r="AI73" i="2"/>
  <c r="AI76" i="2"/>
  <c r="D45" i="6"/>
  <c r="D101" i="2"/>
  <c r="AL79" i="2"/>
  <c r="AL39" i="6"/>
  <c r="AM78" i="2"/>
  <c r="AJ84" i="6"/>
  <c r="AJ84" i="2"/>
  <c r="K57" i="6"/>
  <c r="K138" i="2"/>
  <c r="K135" i="2"/>
  <c r="K128" i="2"/>
  <c r="K131" i="2"/>
  <c r="K59" i="6" s="1"/>
  <c r="AL33" i="2"/>
  <c r="AL36" i="2"/>
  <c r="AL34" i="2"/>
  <c r="N209" i="2"/>
  <c r="N210" i="2" s="1"/>
  <c r="J210" i="2"/>
  <c r="G78" i="5"/>
  <c r="G77" i="5"/>
  <c r="AI59" i="2"/>
  <c r="AI62" i="2"/>
  <c r="AI60" i="2"/>
  <c r="AD267" i="2"/>
  <c r="AB224" i="2"/>
  <c r="AG23" i="2"/>
  <c r="AG20" i="2"/>
  <c r="AG21" i="2"/>
  <c r="G66" i="6"/>
  <c r="G141" i="2"/>
  <c r="G139" i="2"/>
  <c r="G67" i="6" s="1"/>
  <c r="T47" i="6"/>
  <c r="T111" i="2"/>
  <c r="T112" i="2"/>
  <c r="T115" i="2"/>
  <c r="T113" i="2"/>
  <c r="AI66" i="2"/>
  <c r="AI69" i="2"/>
  <c r="AI67" i="2"/>
  <c r="W24" i="6"/>
  <c r="W89" i="2"/>
  <c r="W71" i="2"/>
  <c r="W27" i="2"/>
  <c r="W58" i="3"/>
  <c r="W52" i="2"/>
  <c r="W103" i="2"/>
  <c r="W57" i="2"/>
  <c r="W64" i="2"/>
  <c r="W155" i="2"/>
  <c r="W57" i="3"/>
  <c r="W190" i="2"/>
  <c r="W56" i="3"/>
  <c r="T57" i="6"/>
  <c r="T135" i="2"/>
  <c r="T131" i="2"/>
  <c r="T59" i="6" s="1"/>
  <c r="T138" i="2"/>
  <c r="T128" i="2"/>
  <c r="I81" i="5"/>
  <c r="AC56" i="6"/>
  <c r="M66" i="6"/>
  <c r="M262" i="2"/>
  <c r="M139" i="2"/>
  <c r="M67" i="6" s="1"/>
  <c r="E77" i="5"/>
  <c r="E78" i="5"/>
  <c r="S57" i="6"/>
  <c r="S138" i="2"/>
  <c r="S135" i="2"/>
  <c r="G97" i="5" s="1"/>
  <c r="S128" i="2"/>
  <c r="S131" i="2"/>
  <c r="S59" i="6" s="1"/>
  <c r="V47" i="6"/>
  <c r="V112" i="2"/>
  <c r="V113" i="2"/>
  <c r="V111" i="2"/>
  <c r="V115" i="2"/>
  <c r="N50" i="6"/>
  <c r="N117" i="2"/>
  <c r="C37" i="1"/>
  <c r="N118" i="2"/>
  <c r="N261" i="2"/>
  <c r="D47" i="6"/>
  <c r="D111" i="2"/>
  <c r="D112" i="2"/>
  <c r="D115" i="2"/>
  <c r="D113" i="2"/>
  <c r="Q47" i="6"/>
  <c r="Q113" i="2"/>
  <c r="Q115" i="2"/>
  <c r="Q111" i="2"/>
  <c r="Q112" i="2"/>
  <c r="J48" i="5"/>
  <c r="AB56" i="6"/>
  <c r="AD122" i="2"/>
  <c r="X17" i="6"/>
  <c r="E28" i="1"/>
  <c r="S283" i="2"/>
  <c r="S285" i="2" s="1"/>
  <c r="T282" i="2" s="1"/>
  <c r="O277" i="2"/>
  <c r="AE55" i="6"/>
  <c r="AF120" i="2"/>
  <c r="M101" i="2"/>
  <c r="J45" i="6"/>
  <c r="J101" i="2"/>
  <c r="G88" i="5"/>
  <c r="G109" i="5"/>
  <c r="K6" i="5"/>
  <c r="AM10" i="2"/>
  <c r="AM12" i="3"/>
  <c r="W138" i="6"/>
  <c r="X238" i="2"/>
  <c r="X138" i="6" s="1"/>
  <c r="AD94" i="6"/>
  <c r="AH182" i="2"/>
  <c r="AH94" i="6" s="1"/>
  <c r="AC180" i="2"/>
  <c r="AC92" i="6" s="1"/>
  <c r="AJ137" i="6"/>
  <c r="AJ182" i="2"/>
  <c r="AJ94" i="6" s="1"/>
  <c r="F78" i="5"/>
  <c r="F77" i="5"/>
  <c r="AF19" i="2"/>
  <c r="AF22" i="6"/>
  <c r="Z130" i="6"/>
  <c r="AA230" i="2"/>
  <c r="E88" i="5"/>
  <c r="E91" i="5" s="1"/>
  <c r="E109" i="5"/>
  <c r="E110" i="5" s="1"/>
  <c r="H57" i="6"/>
  <c r="H131" i="2"/>
  <c r="H59" i="6" s="1"/>
  <c r="H128" i="2"/>
  <c r="H138" i="2"/>
  <c r="H135" i="2"/>
  <c r="AK75" i="2"/>
  <c r="AF74" i="2"/>
  <c r="AF76" i="2"/>
  <c r="AF73" i="2"/>
  <c r="F69" i="6"/>
  <c r="F142" i="2"/>
  <c r="F70" i="6" s="1"/>
  <c r="G50" i="6"/>
  <c r="G118" i="2"/>
  <c r="G53" i="6" s="1"/>
  <c r="G117" i="2"/>
  <c r="G52" i="6" s="1"/>
  <c r="H47" i="6"/>
  <c r="H113" i="2"/>
  <c r="H115" i="2"/>
  <c r="H112" i="2"/>
  <c r="V131" i="2"/>
  <c r="V128" i="2"/>
  <c r="V57" i="6"/>
  <c r="V135" i="2"/>
  <c r="V138" i="2"/>
  <c r="P57" i="6"/>
  <c r="P131" i="2"/>
  <c r="P59" i="6" s="1"/>
  <c r="P128" i="2"/>
  <c r="P138" i="2"/>
  <c r="P135" i="2"/>
  <c r="D135" i="2"/>
  <c r="D57" i="6"/>
  <c r="D131" i="2"/>
  <c r="D59" i="6" s="1"/>
  <c r="D138" i="2"/>
  <c r="Q128" i="2"/>
  <c r="Q138" i="2"/>
  <c r="Q135" i="2"/>
  <c r="Q57" i="6"/>
  <c r="Q131" i="2"/>
  <c r="Q59" i="6" s="1"/>
  <c r="F97" i="5"/>
  <c r="F109" i="5"/>
  <c r="F88" i="5"/>
  <c r="F91" i="5" s="1"/>
  <c r="AI95" i="6"/>
  <c r="L45" i="6"/>
  <c r="L101" i="2"/>
  <c r="AA148" i="6"/>
  <c r="AB248" i="2"/>
  <c r="AG283" i="2"/>
  <c r="AH283" i="2" s="1"/>
  <c r="AG172" i="2"/>
  <c r="AG279" i="2"/>
  <c r="AH277" i="2"/>
  <c r="AH278" i="2" s="1"/>
  <c r="AE44" i="2"/>
  <c r="AD29" i="6"/>
  <c r="O57" i="6"/>
  <c r="O128" i="2"/>
  <c r="O131" i="2"/>
  <c r="O59" i="6" s="1"/>
  <c r="O138" i="2"/>
  <c r="O135" i="2"/>
  <c r="I45" i="6"/>
  <c r="I101" i="2"/>
  <c r="Y285" i="2"/>
  <c r="AC282" i="2"/>
  <c r="AE21" i="6"/>
  <c r="X27" i="6"/>
  <c r="X33" i="2"/>
  <c r="H32" i="5"/>
  <c r="AK107" i="2"/>
  <c r="AF106" i="2"/>
  <c r="AF108" i="2"/>
  <c r="AF105" i="2"/>
  <c r="AJ284" i="2"/>
  <c r="I47" i="6"/>
  <c r="S115" i="2"/>
  <c r="S47" i="6"/>
  <c r="S111" i="2"/>
  <c r="S112" i="2"/>
  <c r="D34" i="1" s="1"/>
  <c r="S113" i="2"/>
  <c r="D35" i="1" s="1"/>
  <c r="D33" i="1"/>
  <c r="AK61" i="2"/>
  <c r="AF60" i="2"/>
  <c r="AF59" i="2"/>
  <c r="AF62" i="2"/>
  <c r="I131" i="2"/>
  <c r="I59" i="6" s="1"/>
  <c r="X46" i="2"/>
  <c r="X30" i="6" s="1"/>
  <c r="AB143" i="6"/>
  <c r="AC243" i="2"/>
  <c r="AB186" i="2"/>
  <c r="V101" i="2"/>
  <c r="V45" i="6"/>
  <c r="P47" i="6"/>
  <c r="P113" i="2"/>
  <c r="P115" i="2"/>
  <c r="U116" i="2" s="1"/>
  <c r="U51" i="6" s="1"/>
  <c r="P111" i="2"/>
  <c r="P112" i="2"/>
  <c r="AC232" i="2"/>
  <c r="AB132" i="6"/>
  <c r="Q45" i="6"/>
  <c r="Q101" i="2"/>
  <c r="AA147" i="6"/>
  <c r="AB247" i="2"/>
  <c r="AB147" i="2"/>
  <c r="AA72" i="6"/>
  <c r="U63" i="6"/>
  <c r="U136" i="2"/>
  <c r="U64" i="6" s="1"/>
  <c r="U213" i="2"/>
  <c r="X85" i="2"/>
  <c r="X86" i="2"/>
  <c r="X87" i="2" s="1"/>
  <c r="AD48" i="6"/>
  <c r="AD169" i="2"/>
  <c r="AE154" i="2"/>
  <c r="AE146" i="2" s="1"/>
  <c r="K45" i="6"/>
  <c r="K101" i="2"/>
  <c r="J47" i="6"/>
  <c r="J115" i="2"/>
  <c r="J111" i="2"/>
  <c r="J113" i="2"/>
  <c r="J112" i="2"/>
  <c r="Z146" i="6"/>
  <c r="AA246" i="2"/>
  <c r="O112" i="2"/>
  <c r="O113" i="2"/>
  <c r="O47" i="6"/>
  <c r="O115" i="2"/>
  <c r="O111" i="2"/>
  <c r="AI105" i="2"/>
  <c r="AI106" i="2"/>
  <c r="AI108" i="2"/>
  <c r="C63" i="6"/>
  <c r="C136" i="2"/>
  <c r="C64" i="6" s="1"/>
  <c r="C213" i="2"/>
  <c r="AI182" i="2"/>
  <c r="AC169" i="2"/>
  <c r="T45" i="6"/>
  <c r="T101" i="2"/>
  <c r="Z89" i="6"/>
  <c r="AB123" i="6"/>
  <c r="AC223" i="2"/>
  <c r="X22" i="6"/>
  <c r="AC142" i="6"/>
  <c r="AD242" i="2"/>
  <c r="AC257" i="2"/>
  <c r="U66" i="6"/>
  <c r="U262" i="2"/>
  <c r="U263" i="2"/>
  <c r="U139" i="2"/>
  <c r="U67" i="6" s="1"/>
  <c r="U141" i="2"/>
  <c r="I3" i="5"/>
  <c r="I114" i="5" s="1"/>
  <c r="J4" i="5"/>
  <c r="J3" i="5" s="1"/>
  <c r="J7" i="5"/>
  <c r="J20" i="5"/>
  <c r="V44" i="6"/>
  <c r="AC146" i="2"/>
  <c r="P45" i="6"/>
  <c r="P101" i="2"/>
  <c r="AB268" i="2"/>
  <c r="AD129" i="6"/>
  <c r="AE229" i="2"/>
  <c r="R263" i="2"/>
  <c r="L47" i="6"/>
  <c r="L111" i="2"/>
  <c r="L112" i="2"/>
  <c r="L115" i="2"/>
  <c r="L113" i="2"/>
  <c r="AF69" i="2"/>
  <c r="AF66" i="2"/>
  <c r="AK68" i="2"/>
  <c r="AF67" i="2"/>
  <c r="AB84" i="2"/>
  <c r="AB84" i="6"/>
  <c r="AC172" i="2"/>
  <c r="N63" i="6"/>
  <c r="N136" i="2"/>
  <c r="N64" i="6" s="1"/>
  <c r="U111" i="2"/>
  <c r="J57" i="6"/>
  <c r="J138" i="2"/>
  <c r="J135" i="2"/>
  <c r="J131" i="2"/>
  <c r="J59" i="6" s="1"/>
  <c r="J128" i="2"/>
  <c r="AL277" i="2"/>
  <c r="AM275" i="2"/>
  <c r="AM276" i="2" s="1"/>
  <c r="X26" i="2"/>
  <c r="E30" i="1"/>
  <c r="X17" i="2"/>
  <c r="X264" i="2"/>
  <c r="AK137" i="6"/>
  <c r="AK182" i="2"/>
  <c r="AK94" i="6" s="1"/>
  <c r="C66" i="6"/>
  <c r="C139" i="2"/>
  <c r="C141" i="2"/>
  <c r="AA177" i="2"/>
  <c r="M263" i="2" l="1"/>
  <c r="R141" i="2"/>
  <c r="N263" i="2"/>
  <c r="I138" i="2"/>
  <c r="I66" i="6" s="1"/>
  <c r="I128" i="2"/>
  <c r="I135" i="2"/>
  <c r="I213" i="2" s="1"/>
  <c r="M260" i="2"/>
  <c r="M118" i="2"/>
  <c r="M53" i="6" s="1"/>
  <c r="AA178" i="2"/>
  <c r="AB225" i="2"/>
  <c r="AA125" i="6"/>
  <c r="C169" i="5"/>
  <c r="H29" i="5"/>
  <c r="H14" i="5" s="1"/>
  <c r="X81" i="3"/>
  <c r="X80" i="3"/>
  <c r="X77" i="3"/>
  <c r="X76" i="3"/>
  <c r="W80" i="3"/>
  <c r="W81" i="3"/>
  <c r="M63" i="6"/>
  <c r="I112" i="2"/>
  <c r="I111" i="2"/>
  <c r="M261" i="2"/>
  <c r="C117" i="2"/>
  <c r="C52" i="6" s="1"/>
  <c r="R116" i="2"/>
  <c r="R51" i="6" s="1"/>
  <c r="M213" i="2"/>
  <c r="M50" i="6"/>
  <c r="I115" i="2"/>
  <c r="N116" i="2" s="1"/>
  <c r="N51" i="6" s="1"/>
  <c r="I113" i="2"/>
  <c r="N66" i="6"/>
  <c r="N141" i="2"/>
  <c r="N69" i="6" s="1"/>
  <c r="R139" i="2"/>
  <c r="R67" i="6" s="1"/>
  <c r="R66" i="6"/>
  <c r="R260" i="2"/>
  <c r="R261" i="2"/>
  <c r="R118" i="2"/>
  <c r="R53" i="6" s="1"/>
  <c r="R50" i="6"/>
  <c r="C50" i="6"/>
  <c r="R136" i="2"/>
  <c r="R64" i="6" s="1"/>
  <c r="R63" i="6"/>
  <c r="R117" i="2"/>
  <c r="R52" i="6" s="1"/>
  <c r="H107" i="5"/>
  <c r="E16" i="1"/>
  <c r="Z19" i="3"/>
  <c r="AA19" i="3" s="1"/>
  <c r="Y18" i="3"/>
  <c r="Y17" i="3" s="1"/>
  <c r="Y7" i="3" s="1"/>
  <c r="Y12" i="2" s="1"/>
  <c r="X53" i="3"/>
  <c r="E24" i="1"/>
  <c r="X14" i="6"/>
  <c r="H23" i="5"/>
  <c r="AM12" i="6"/>
  <c r="AM29" i="3"/>
  <c r="AM28" i="3" s="1"/>
  <c r="AL32" i="2"/>
  <c r="AL27" i="6" s="1"/>
  <c r="AM237" i="2"/>
  <c r="AM137" i="6" s="1"/>
  <c r="AM32" i="3"/>
  <c r="AM13" i="6" s="1"/>
  <c r="K12" i="5"/>
  <c r="AL137" i="6"/>
  <c r="AM14" i="2"/>
  <c r="AM36" i="3"/>
  <c r="I32" i="5"/>
  <c r="AC46" i="2"/>
  <c r="AC30" i="6" s="1"/>
  <c r="AC33" i="2"/>
  <c r="AC27" i="6"/>
  <c r="AC131" i="6"/>
  <c r="AD231" i="2"/>
  <c r="J13" i="5"/>
  <c r="AH13" i="6"/>
  <c r="AH32" i="2"/>
  <c r="J32" i="5" s="1"/>
  <c r="W59" i="3"/>
  <c r="I36" i="5"/>
  <c r="AH16" i="6"/>
  <c r="AN38" i="2"/>
  <c r="J35" i="5"/>
  <c r="AH39" i="2"/>
  <c r="AH28" i="6"/>
  <c r="AM38" i="2"/>
  <c r="AM28" i="6" s="1"/>
  <c r="K16" i="5"/>
  <c r="AM40" i="3"/>
  <c r="AM16" i="6" s="1"/>
  <c r="AM15" i="6"/>
  <c r="AM15" i="2"/>
  <c r="AK85" i="2"/>
  <c r="AK86" i="2"/>
  <c r="AK87" i="2" s="1"/>
  <c r="AI85" i="2"/>
  <c r="AI86" i="2"/>
  <c r="AI87" i="2" s="1"/>
  <c r="J17" i="5"/>
  <c r="L50" i="6"/>
  <c r="L117" i="2"/>
  <c r="L116" i="2"/>
  <c r="L51" i="6" s="1"/>
  <c r="L118" i="2"/>
  <c r="L53" i="6" s="1"/>
  <c r="L261" i="2"/>
  <c r="L260" i="2"/>
  <c r="J50" i="6"/>
  <c r="J117" i="2"/>
  <c r="J116" i="2"/>
  <c r="J51" i="6" s="1"/>
  <c r="J261" i="2"/>
  <c r="J118" i="2"/>
  <c r="J53" i="6" s="1"/>
  <c r="J260" i="2"/>
  <c r="D139" i="2"/>
  <c r="D66" i="6"/>
  <c r="D141" i="2"/>
  <c r="J262" i="2"/>
  <c r="J66" i="6"/>
  <c r="J139" i="2"/>
  <c r="J67" i="6" s="1"/>
  <c r="J141" i="2"/>
  <c r="J263" i="2"/>
  <c r="AB85" i="2"/>
  <c r="AB86" i="2"/>
  <c r="AB87" i="2" s="1"/>
  <c r="AB147" i="6"/>
  <c r="AC247" i="2"/>
  <c r="AB98" i="6"/>
  <c r="AC186" i="2"/>
  <c r="AC98" i="6" s="1"/>
  <c r="S50" i="6"/>
  <c r="S116" i="2"/>
  <c r="S51" i="6" s="1"/>
  <c r="D37" i="1"/>
  <c r="S117" i="2"/>
  <c r="S118" i="2"/>
  <c r="S261" i="2"/>
  <c r="Q66" i="6"/>
  <c r="Q141" i="2"/>
  <c r="Q262" i="2"/>
  <c r="Q263" i="2"/>
  <c r="Q139" i="2"/>
  <c r="Q67" i="6" s="1"/>
  <c r="P66" i="6"/>
  <c r="P263" i="2"/>
  <c r="P141" i="2"/>
  <c r="P262" i="2"/>
  <c r="V59" i="6"/>
  <c r="W131" i="2"/>
  <c r="H63" i="6"/>
  <c r="H136" i="2"/>
  <c r="H64" i="6" s="1"/>
  <c r="AA130" i="6"/>
  <c r="AB230" i="2"/>
  <c r="M52" i="6"/>
  <c r="T66" i="6"/>
  <c r="T263" i="2"/>
  <c r="T139" i="2"/>
  <c r="T67" i="6" s="1"/>
  <c r="T141" i="2"/>
  <c r="W37" i="6"/>
  <c r="W65" i="2"/>
  <c r="X64" i="2"/>
  <c r="T50" i="6"/>
  <c r="T117" i="2"/>
  <c r="T116" i="2"/>
  <c r="T51" i="6" s="1"/>
  <c r="T118" i="2"/>
  <c r="T261" i="2"/>
  <c r="T260" i="2"/>
  <c r="U52" i="6"/>
  <c r="AD268" i="2"/>
  <c r="AD223" i="2"/>
  <c r="AC123" i="6"/>
  <c r="AE48" i="6"/>
  <c r="AF154" i="2"/>
  <c r="AE169" i="2"/>
  <c r="AC143" i="6"/>
  <c r="AD243" i="2"/>
  <c r="AK59" i="2"/>
  <c r="AK62" i="2"/>
  <c r="AK60" i="2"/>
  <c r="Y238" i="2"/>
  <c r="Y138" i="6" s="1"/>
  <c r="Z282" i="2"/>
  <c r="Z285" i="2" s="1"/>
  <c r="H66" i="6"/>
  <c r="H141" i="2"/>
  <c r="H139" i="2"/>
  <c r="H67" i="6" s="1"/>
  <c r="K7" i="5"/>
  <c r="L7" i="5" s="1"/>
  <c r="M7" i="5" s="1"/>
  <c r="N7" i="5" s="1"/>
  <c r="O7" i="5" s="1"/>
  <c r="K20" i="5"/>
  <c r="AF55" i="6"/>
  <c r="AG120" i="2"/>
  <c r="AD56" i="6"/>
  <c r="AE122" i="2"/>
  <c r="W36" i="6"/>
  <c r="W236" i="2"/>
  <c r="W240" i="2"/>
  <c r="W58" i="2"/>
  <c r="X57" i="2"/>
  <c r="W239" i="2"/>
  <c r="AG22" i="6"/>
  <c r="AG19" i="2"/>
  <c r="AH19" i="2" s="1"/>
  <c r="AJ85" i="2"/>
  <c r="AJ86" i="2"/>
  <c r="AJ87" i="2" s="1"/>
  <c r="K116" i="2"/>
  <c r="K51" i="6" s="1"/>
  <c r="K117" i="2"/>
  <c r="K118" i="2"/>
  <c r="K53" i="6" s="1"/>
  <c r="K50" i="6"/>
  <c r="K261" i="2"/>
  <c r="K260" i="2"/>
  <c r="AA93" i="2"/>
  <c r="Z92" i="2"/>
  <c r="Z91" i="2"/>
  <c r="Z94" i="2"/>
  <c r="L63" i="6"/>
  <c r="L136" i="2"/>
  <c r="L64" i="6" s="1"/>
  <c r="L213" i="2"/>
  <c r="X126" i="6"/>
  <c r="X268" i="2"/>
  <c r="E31" i="1"/>
  <c r="AE29" i="6"/>
  <c r="AF44" i="2"/>
  <c r="AF46" i="2" s="1"/>
  <c r="AF30" i="6" s="1"/>
  <c r="F110" i="5"/>
  <c r="C49" i="1"/>
  <c r="C50" i="1" s="1"/>
  <c r="H50" i="6"/>
  <c r="H118" i="2"/>
  <c r="H53" i="6" s="1"/>
  <c r="H117" i="2"/>
  <c r="H52" i="6" s="1"/>
  <c r="G110" i="5"/>
  <c r="D49" i="1"/>
  <c r="M69" i="6"/>
  <c r="M142" i="2"/>
  <c r="AC224" i="2"/>
  <c r="AB124" i="6"/>
  <c r="W91" i="6"/>
  <c r="X179" i="2"/>
  <c r="AD249" i="2"/>
  <c r="AC149" i="6"/>
  <c r="C69" i="6"/>
  <c r="C142" i="2"/>
  <c r="AI94" i="6"/>
  <c r="AM182" i="2"/>
  <c r="AM94" i="6" s="1"/>
  <c r="AA146" i="6"/>
  <c r="AB246" i="2"/>
  <c r="AE46" i="2"/>
  <c r="AE30" i="6" s="1"/>
  <c r="O63" i="6"/>
  <c r="O213" i="2"/>
  <c r="AB148" i="6"/>
  <c r="AC248" i="2"/>
  <c r="V263" i="2"/>
  <c r="V139" i="2"/>
  <c r="V141" i="2"/>
  <c r="V66" i="6"/>
  <c r="V262" i="2"/>
  <c r="V50" i="6"/>
  <c r="V117" i="2"/>
  <c r="V118" i="2"/>
  <c r="V116" i="2"/>
  <c r="V261" i="2"/>
  <c r="V260" i="2"/>
  <c r="S63" i="6"/>
  <c r="S213" i="2"/>
  <c r="AE267" i="2"/>
  <c r="AD224" i="2"/>
  <c r="C67" i="6"/>
  <c r="U69" i="6"/>
  <c r="U142" i="2"/>
  <c r="O116" i="2"/>
  <c r="O51" i="6" s="1"/>
  <c r="O118" i="2"/>
  <c r="O53" i="6" s="1"/>
  <c r="O117" i="2"/>
  <c r="O50" i="6"/>
  <c r="O261" i="2"/>
  <c r="O260" i="2"/>
  <c r="AB72" i="6"/>
  <c r="AD147" i="2"/>
  <c r="AC147" i="2"/>
  <c r="I116" i="2"/>
  <c r="I51" i="6" s="1"/>
  <c r="O66" i="6"/>
  <c r="O141" i="2"/>
  <c r="O263" i="2"/>
  <c r="D63" i="6"/>
  <c r="D136" i="2"/>
  <c r="D64" i="6" s="1"/>
  <c r="D213" i="2"/>
  <c r="D97" i="5"/>
  <c r="V63" i="6"/>
  <c r="V136" i="2"/>
  <c r="V213" i="2"/>
  <c r="G91" i="5"/>
  <c r="O278" i="2"/>
  <c r="S277" i="2"/>
  <c r="O280" i="2"/>
  <c r="N53" i="6"/>
  <c r="C39" i="1"/>
  <c r="S263" i="2"/>
  <c r="S66" i="6"/>
  <c r="S141" i="2"/>
  <c r="W102" i="6"/>
  <c r="W194" i="2"/>
  <c r="W106" i="6" s="1"/>
  <c r="X190" i="2"/>
  <c r="W25" i="6"/>
  <c r="G69" i="6"/>
  <c r="G142" i="2"/>
  <c r="G70" i="6" s="1"/>
  <c r="K63" i="6"/>
  <c r="K136" i="2"/>
  <c r="K64" i="6" s="1"/>
  <c r="K213" i="2"/>
  <c r="AB183" i="2"/>
  <c r="AC284" i="2"/>
  <c r="AC285" i="2" s="1"/>
  <c r="D50" i="6"/>
  <c r="D117" i="2"/>
  <c r="D52" i="6" s="1"/>
  <c r="D116" i="2"/>
  <c r="D51" i="6" s="1"/>
  <c r="D261" i="2"/>
  <c r="D118" i="2"/>
  <c r="D53" i="6" s="1"/>
  <c r="D260" i="2"/>
  <c r="M116" i="2"/>
  <c r="M51" i="6" s="1"/>
  <c r="W38" i="6"/>
  <c r="W72" i="2"/>
  <c r="X71" i="2"/>
  <c r="K209" i="2"/>
  <c r="K210" i="2" s="1"/>
  <c r="J217" i="2"/>
  <c r="J119" i="6"/>
  <c r="K66" i="6"/>
  <c r="K263" i="2"/>
  <c r="K139" i="2"/>
  <c r="K67" i="6" s="1"/>
  <c r="K262" i="2"/>
  <c r="K141" i="2"/>
  <c r="AB177" i="2"/>
  <c r="U53" i="6"/>
  <c r="AD81" i="6"/>
  <c r="P50" i="6"/>
  <c r="P118" i="2"/>
  <c r="P53" i="6" s="1"/>
  <c r="P116" i="2"/>
  <c r="P51" i="6" s="1"/>
  <c r="P117" i="2"/>
  <c r="P261" i="2"/>
  <c r="P260" i="2"/>
  <c r="AJ183" i="2"/>
  <c r="Q50" i="6"/>
  <c r="Q118" i="2"/>
  <c r="Q116" i="2"/>
  <c r="Q51" i="6" s="1"/>
  <c r="Q117" i="2"/>
  <c r="Q261" i="2"/>
  <c r="Q260" i="2"/>
  <c r="T136" i="2"/>
  <c r="T64" i="6" s="1"/>
  <c r="T63" i="6"/>
  <c r="T213" i="2"/>
  <c r="X103" i="2"/>
  <c r="W166" i="2"/>
  <c r="W104" i="2"/>
  <c r="AA89" i="6"/>
  <c r="J5" i="5"/>
  <c r="K4" i="5"/>
  <c r="AC81" i="6"/>
  <c r="X282" i="2"/>
  <c r="T283" i="2"/>
  <c r="AF21" i="6"/>
  <c r="W32" i="6"/>
  <c r="W54" i="2"/>
  <c r="W98" i="2"/>
  <c r="W53" i="2"/>
  <c r="AF146" i="2"/>
  <c r="X24" i="6"/>
  <c r="X27" i="2"/>
  <c r="X52" i="2"/>
  <c r="I14" i="1"/>
  <c r="X58" i="3"/>
  <c r="X155" i="2"/>
  <c r="X57" i="3"/>
  <c r="X56" i="3"/>
  <c r="AL279" i="2"/>
  <c r="AL283" i="2"/>
  <c r="AM283" i="2" s="1"/>
  <c r="AL172" i="2"/>
  <c r="AM277" i="2"/>
  <c r="AM278" i="2" s="1"/>
  <c r="AC84" i="6"/>
  <c r="AC84" i="2"/>
  <c r="I106" i="5"/>
  <c r="AK69" i="2"/>
  <c r="AK66" i="2"/>
  <c r="AK67" i="2"/>
  <c r="R69" i="6"/>
  <c r="R142" i="2"/>
  <c r="AE242" i="2"/>
  <c r="AD142" i="6"/>
  <c r="AD257" i="2"/>
  <c r="AK105" i="2"/>
  <c r="AK108" i="2"/>
  <c r="AK106" i="2"/>
  <c r="AG284" i="2"/>
  <c r="AH279" i="2"/>
  <c r="AH280" i="2" s="1"/>
  <c r="J63" i="6"/>
  <c r="J136" i="2"/>
  <c r="J64" i="6" s="1"/>
  <c r="J213" i="2"/>
  <c r="AE129" i="6"/>
  <c r="AF229" i="2"/>
  <c r="N67" i="6"/>
  <c r="AC132" i="6"/>
  <c r="AD232" i="2"/>
  <c r="I139" i="2"/>
  <c r="I262" i="2"/>
  <c r="H33" i="5"/>
  <c r="AG84" i="6"/>
  <c r="AG84" i="2"/>
  <c r="AH172" i="2"/>
  <c r="Q63" i="6"/>
  <c r="Q136" i="2"/>
  <c r="Q64" i="6" s="1"/>
  <c r="Q213" i="2"/>
  <c r="P63" i="6"/>
  <c r="P213" i="2"/>
  <c r="AK74" i="2"/>
  <c r="AK76" i="2"/>
  <c r="AK73" i="2"/>
  <c r="N52" i="6"/>
  <c r="C38" i="1"/>
  <c r="W40" i="6"/>
  <c r="W90" i="2"/>
  <c r="X89" i="2"/>
  <c r="W315" i="2"/>
  <c r="AI20" i="2"/>
  <c r="AI23" i="2"/>
  <c r="AI21" i="2"/>
  <c r="AJ22" i="2"/>
  <c r="N119" i="6"/>
  <c r="N222" i="2"/>
  <c r="N217" i="2" s="1"/>
  <c r="O209" i="2"/>
  <c r="K47" i="5"/>
  <c r="AM80" i="2"/>
  <c r="AM79" i="2"/>
  <c r="AM39" i="6"/>
  <c r="AD94" i="2"/>
  <c r="AD92" i="2"/>
  <c r="AI93" i="2"/>
  <c r="AD91" i="2"/>
  <c r="AE93" i="2"/>
  <c r="L66" i="6"/>
  <c r="L262" i="2"/>
  <c r="L139" i="2"/>
  <c r="L67" i="6" s="1"/>
  <c r="L263" i="2"/>
  <c r="L141" i="2"/>
  <c r="I263" i="2" l="1"/>
  <c r="I141" i="2"/>
  <c r="I50" i="6"/>
  <c r="I136" i="2"/>
  <c r="I64" i="6" s="1"/>
  <c r="E97" i="5"/>
  <c r="I63" i="6"/>
  <c r="I118" i="2"/>
  <c r="I53" i="6" s="1"/>
  <c r="I260" i="2"/>
  <c r="AB178" i="2"/>
  <c r="AB90" i="6" s="1"/>
  <c r="AB125" i="6"/>
  <c r="AC225" i="2"/>
  <c r="I261" i="2"/>
  <c r="AA90" i="6"/>
  <c r="AC178" i="2"/>
  <c r="AC90" i="6" s="1"/>
  <c r="I117" i="2"/>
  <c r="I52" i="6" s="1"/>
  <c r="H74" i="5"/>
  <c r="H30" i="5"/>
  <c r="C44" i="1"/>
  <c r="N142" i="2"/>
  <c r="N70" i="6" s="1"/>
  <c r="Z18" i="3"/>
  <c r="Z20" i="3"/>
  <c r="AD192" i="2"/>
  <c r="AD104" i="6" s="1"/>
  <c r="Y8" i="3"/>
  <c r="Y7" i="6" s="1"/>
  <c r="Y6" i="6"/>
  <c r="Y18" i="6" s="1"/>
  <c r="Y45" i="3"/>
  <c r="Y50" i="3" s="1"/>
  <c r="Y11" i="6" s="1"/>
  <c r="AM32" i="2"/>
  <c r="K32" i="5" s="1"/>
  <c r="K13" i="5"/>
  <c r="I33" i="5"/>
  <c r="AH33" i="2"/>
  <c r="AD131" i="6"/>
  <c r="AE231" i="2"/>
  <c r="AN32" i="2"/>
  <c r="AH27" i="6"/>
  <c r="AM39" i="2"/>
  <c r="K35" i="5"/>
  <c r="J36" i="5"/>
  <c r="K17" i="5"/>
  <c r="L17" i="5" s="1"/>
  <c r="M17" i="5" s="1"/>
  <c r="N17" i="5" s="1"/>
  <c r="O17" i="5" s="1"/>
  <c r="P17" i="5" s="1"/>
  <c r="L142" i="2"/>
  <c r="L69" i="6"/>
  <c r="AI22" i="6"/>
  <c r="AI19" i="2"/>
  <c r="AD132" i="6"/>
  <c r="AE232" i="2"/>
  <c r="AE180" i="2" s="1"/>
  <c r="AE92" i="6" s="1"/>
  <c r="AL84" i="6"/>
  <c r="AL84" i="2"/>
  <c r="AM172" i="2"/>
  <c r="AH21" i="6"/>
  <c r="AH20" i="2"/>
  <c r="AN19" i="2"/>
  <c r="J25" i="5"/>
  <c r="J26" i="5" s="1"/>
  <c r="AB95" i="6"/>
  <c r="AC183" i="2"/>
  <c r="AC95" i="6" s="1"/>
  <c r="S69" i="6"/>
  <c r="D44" i="1"/>
  <c r="V53" i="6"/>
  <c r="AD177" i="2"/>
  <c r="AC267" i="2"/>
  <c r="AC124" i="6"/>
  <c r="L6" i="5"/>
  <c r="H41" i="5"/>
  <c r="X65" i="2"/>
  <c r="X66" i="2"/>
  <c r="X37" i="6"/>
  <c r="S209" i="2"/>
  <c r="S210" i="2" s="1"/>
  <c r="O210" i="2"/>
  <c r="W33" i="6"/>
  <c r="W78" i="6"/>
  <c r="W167" i="2"/>
  <c r="AB89" i="6"/>
  <c r="K119" i="6"/>
  <c r="K217" i="2"/>
  <c r="L209" i="2"/>
  <c r="L210" i="2" s="1"/>
  <c r="S278" i="2"/>
  <c r="S280" i="2"/>
  <c r="AC72" i="6"/>
  <c r="I94" i="5"/>
  <c r="O52" i="6"/>
  <c r="U70" i="6"/>
  <c r="V52" i="6"/>
  <c r="AC148" i="6"/>
  <c r="AD248" i="2"/>
  <c r="M70" i="6"/>
  <c r="W139" i="6"/>
  <c r="X239" i="2"/>
  <c r="W184" i="2"/>
  <c r="D67" i="6"/>
  <c r="L52" i="6"/>
  <c r="AJ95" i="6"/>
  <c r="AG183" i="2"/>
  <c r="AH284" i="2"/>
  <c r="AE142" i="6"/>
  <c r="AE257" i="2"/>
  <c r="AF242" i="2"/>
  <c r="X25" i="6"/>
  <c r="I15" i="1"/>
  <c r="Q53" i="6"/>
  <c r="X102" i="6"/>
  <c r="X194" i="2"/>
  <c r="X106" i="6" s="1"/>
  <c r="E47" i="1"/>
  <c r="E48" i="1" s="1"/>
  <c r="X266" i="2"/>
  <c r="H102" i="5"/>
  <c r="H103" i="5" s="1"/>
  <c r="AD124" i="6"/>
  <c r="X91" i="6"/>
  <c r="W140" i="6"/>
  <c r="X240" i="2"/>
  <c r="W185" i="2"/>
  <c r="AE81" i="6"/>
  <c r="T52" i="6"/>
  <c r="T142" i="2"/>
  <c r="T69" i="6"/>
  <c r="P69" i="6"/>
  <c r="P142" i="2"/>
  <c r="X40" i="6"/>
  <c r="H50" i="5"/>
  <c r="X91" i="2"/>
  <c r="X90" i="2"/>
  <c r="X315" i="2"/>
  <c r="W43" i="6"/>
  <c r="W100" i="2"/>
  <c r="W99" i="2"/>
  <c r="W127" i="2"/>
  <c r="W110" i="2"/>
  <c r="H65" i="5"/>
  <c r="X104" i="2"/>
  <c r="X166" i="2"/>
  <c r="X78" i="6" s="1"/>
  <c r="X105" i="2"/>
  <c r="K69" i="6"/>
  <c r="K142" i="2"/>
  <c r="AF29" i="6"/>
  <c r="AG44" i="2"/>
  <c r="AG46" i="2" s="1"/>
  <c r="AG30" i="6" s="1"/>
  <c r="AD123" i="6"/>
  <c r="AE223" i="2"/>
  <c r="AE192" i="2" s="1"/>
  <c r="AE104" i="6" s="1"/>
  <c r="Q69" i="6"/>
  <c r="Q142" i="2"/>
  <c r="AC147" i="6"/>
  <c r="AD247" i="2"/>
  <c r="N122" i="6"/>
  <c r="N227" i="2"/>
  <c r="N258" i="2"/>
  <c r="N260" i="2" s="1"/>
  <c r="X59" i="3"/>
  <c r="W34" i="6"/>
  <c r="Y16" i="2"/>
  <c r="Y24" i="2"/>
  <c r="AE268" i="2"/>
  <c r="AB130" i="6"/>
  <c r="AC230" i="2"/>
  <c r="AE94" i="2"/>
  <c r="AE91" i="2"/>
  <c r="AE92" i="2"/>
  <c r="AF93" i="2"/>
  <c r="AJ23" i="2"/>
  <c r="AJ21" i="2"/>
  <c r="AJ20" i="2"/>
  <c r="AK22" i="2"/>
  <c r="AH84" i="6"/>
  <c r="AH84" i="2"/>
  <c r="J106" i="5"/>
  <c r="I142" i="2"/>
  <c r="I69" i="6"/>
  <c r="R70" i="6"/>
  <c r="R143" i="2"/>
  <c r="L4" i="5"/>
  <c r="K3" i="5"/>
  <c r="K114" i="5" s="1"/>
  <c r="K5" i="5"/>
  <c r="AF267" i="2"/>
  <c r="AE224" i="2"/>
  <c r="AE177" i="2" s="1"/>
  <c r="AE89" i="6" s="1"/>
  <c r="V69" i="6"/>
  <c r="V142" i="2"/>
  <c r="AB93" i="2"/>
  <c r="AA94" i="2"/>
  <c r="AA92" i="2"/>
  <c r="AA91" i="2"/>
  <c r="W136" i="6"/>
  <c r="X236" i="2"/>
  <c r="W181" i="2"/>
  <c r="W241" i="2"/>
  <c r="W265" i="2"/>
  <c r="AG55" i="6"/>
  <c r="AI120" i="2"/>
  <c r="AH120" i="2"/>
  <c r="Z238" i="2"/>
  <c r="Z138" i="6" s="1"/>
  <c r="AA282" i="2"/>
  <c r="AA285" i="2" s="1"/>
  <c r="AG154" i="2"/>
  <c r="AH154" i="2" s="1"/>
  <c r="AF48" i="6"/>
  <c r="AF169" i="2"/>
  <c r="Q52" i="6"/>
  <c r="H44" i="5"/>
  <c r="X73" i="2"/>
  <c r="X38" i="6"/>
  <c r="X72" i="2"/>
  <c r="K52" i="6"/>
  <c r="AE56" i="6"/>
  <c r="AF122" i="2"/>
  <c r="T53" i="6"/>
  <c r="I67" i="6"/>
  <c r="X32" i="6"/>
  <c r="X98" i="2"/>
  <c r="X54" i="2"/>
  <c r="X53" i="2"/>
  <c r="X283" i="2"/>
  <c r="X285" i="2" s="1"/>
  <c r="T277" i="2"/>
  <c r="O69" i="6"/>
  <c r="O147" i="2"/>
  <c r="O142" i="2" s="1"/>
  <c r="K48" i="5"/>
  <c r="L48" i="5" s="1"/>
  <c r="AG85" i="2"/>
  <c r="AG86" i="2"/>
  <c r="AG87" i="2" s="1"/>
  <c r="AF129" i="6"/>
  <c r="AG229" i="2"/>
  <c r="P52" i="6"/>
  <c r="V51" i="6"/>
  <c r="J33" i="5"/>
  <c r="V67" i="6"/>
  <c r="S53" i="6"/>
  <c r="D39" i="1"/>
  <c r="AL284" i="2"/>
  <c r="AM279" i="2"/>
  <c r="AM280" i="2" s="1"/>
  <c r="V64" i="6"/>
  <c r="AD149" i="6"/>
  <c r="AE249" i="2"/>
  <c r="H38" i="5"/>
  <c r="X36" i="6"/>
  <c r="X58" i="2"/>
  <c r="X59" i="2"/>
  <c r="AD143" i="6"/>
  <c r="AE243" i="2"/>
  <c r="AD186" i="2"/>
  <c r="AC85" i="2"/>
  <c r="AC86" i="2"/>
  <c r="AC87" i="2" s="1"/>
  <c r="AB19" i="3"/>
  <c r="AD19" i="3" s="1"/>
  <c r="AA18" i="3"/>
  <c r="AA20" i="3"/>
  <c r="AD72" i="6"/>
  <c r="AE147" i="2"/>
  <c r="AB146" i="6"/>
  <c r="AC246" i="2"/>
  <c r="H142" i="2"/>
  <c r="H70" i="6" s="1"/>
  <c r="H69" i="6"/>
  <c r="AI92" i="2"/>
  <c r="AJ93" i="2"/>
  <c r="AI94" i="2"/>
  <c r="AI91" i="2"/>
  <c r="AD180" i="2"/>
  <c r="C70" i="6"/>
  <c r="AG21" i="6"/>
  <c r="W59" i="6"/>
  <c r="S52" i="6"/>
  <c r="D38" i="1"/>
  <c r="J69" i="6"/>
  <c r="J142" i="2"/>
  <c r="D142" i="2"/>
  <c r="D69" i="6"/>
  <c r="J52" i="6"/>
  <c r="AC177" i="2"/>
  <c r="AC125" i="6" l="1"/>
  <c r="AD225" i="2"/>
  <c r="C45" i="1"/>
  <c r="AH44" i="2"/>
  <c r="AH46" i="2" s="1"/>
  <c r="AH30" i="6" s="1"/>
  <c r="L13" i="5"/>
  <c r="L12" i="5" s="1"/>
  <c r="Z17" i="3"/>
  <c r="Z7" i="3" s="1"/>
  <c r="Z45" i="3" s="1"/>
  <c r="Z49" i="3" s="1"/>
  <c r="Z8" i="6" s="1"/>
  <c r="Y49" i="3"/>
  <c r="Y8" i="6" s="1"/>
  <c r="Y52" i="3"/>
  <c r="Y17" i="6" s="1"/>
  <c r="Y51" i="3"/>
  <c r="Y14" i="6" s="1"/>
  <c r="Y46" i="3"/>
  <c r="Y19" i="6" s="1"/>
  <c r="AA17" i="3"/>
  <c r="AA7" i="3" s="1"/>
  <c r="AA6" i="6" s="1"/>
  <c r="AA18" i="6" s="1"/>
  <c r="AM33" i="2"/>
  <c r="AM27" i="6"/>
  <c r="AE131" i="6"/>
  <c r="AF231" i="2"/>
  <c r="K36" i="5"/>
  <c r="L36" i="5" s="1"/>
  <c r="M36" i="5" s="1"/>
  <c r="O70" i="6"/>
  <c r="J80" i="5"/>
  <c r="AH55" i="6"/>
  <c r="D70" i="6"/>
  <c r="T278" i="2"/>
  <c r="X277" i="2"/>
  <c r="T280" i="2"/>
  <c r="AA238" i="2"/>
  <c r="AA138" i="6" s="1"/>
  <c r="AB282" i="2"/>
  <c r="AB285" i="2" s="1"/>
  <c r="X136" i="6"/>
  <c r="X241" i="2"/>
  <c r="X265" i="2"/>
  <c r="X269" i="2"/>
  <c r="AJ22" i="6"/>
  <c r="AJ19" i="2"/>
  <c r="W47" i="6"/>
  <c r="W112" i="2"/>
  <c r="W113" i="2"/>
  <c r="W115" i="2"/>
  <c r="W111" i="2"/>
  <c r="P70" i="6"/>
  <c r="W97" i="6"/>
  <c r="X185" i="2"/>
  <c r="X97" i="6" s="1"/>
  <c r="AF142" i="6"/>
  <c r="AG242" i="2"/>
  <c r="AF257" i="2"/>
  <c r="AD89" i="6"/>
  <c r="S72" i="6"/>
  <c r="G94" i="5"/>
  <c r="S215" i="2"/>
  <c r="S216" i="2" s="1"/>
  <c r="S136" i="2"/>
  <c r="S64" i="6" s="1"/>
  <c r="S139" i="2"/>
  <c r="AM84" i="6"/>
  <c r="AM84" i="2"/>
  <c r="K106" i="5"/>
  <c r="J70" i="6"/>
  <c r="M48" i="5"/>
  <c r="L47" i="5"/>
  <c r="AE124" i="6"/>
  <c r="AF268" i="2"/>
  <c r="Q70" i="6"/>
  <c r="K70" i="6"/>
  <c r="W57" i="6"/>
  <c r="W128" i="2"/>
  <c r="W130" i="2"/>
  <c r="W138" i="2" s="1"/>
  <c r="H51" i="5"/>
  <c r="X271" i="2"/>
  <c r="X140" i="6"/>
  <c r="U143" i="2"/>
  <c r="H42" i="5"/>
  <c r="S142" i="2"/>
  <c r="AL85" i="2"/>
  <c r="AL86" i="2"/>
  <c r="AL87" i="2" s="1"/>
  <c r="L70" i="6"/>
  <c r="AG267" i="2"/>
  <c r="AF224" i="2"/>
  <c r="AF177" i="2" s="1"/>
  <c r="AH22" i="6"/>
  <c r="AH48" i="6"/>
  <c r="J73" i="5"/>
  <c r="AC89" i="6"/>
  <c r="AD98" i="6"/>
  <c r="X43" i="6"/>
  <c r="X100" i="2"/>
  <c r="E41" i="1"/>
  <c r="X127" i="2"/>
  <c r="X110" i="2"/>
  <c r="X99" i="2"/>
  <c r="H45" i="5"/>
  <c r="AE123" i="6"/>
  <c r="AF223" i="2"/>
  <c r="AG95" i="6"/>
  <c r="AH183" i="2"/>
  <c r="AH95" i="6" s="1"/>
  <c r="S119" i="6"/>
  <c r="S222" i="2"/>
  <c r="S217" i="2" s="1"/>
  <c r="T209" i="2"/>
  <c r="M6" i="5"/>
  <c r="X33" i="6"/>
  <c r="W44" i="6"/>
  <c r="AE248" i="2"/>
  <c r="AD148" i="6"/>
  <c r="AD92" i="6"/>
  <c r="H39" i="5"/>
  <c r="H57" i="5"/>
  <c r="X34" i="6"/>
  <c r="AF56" i="6"/>
  <c r="AG122" i="2"/>
  <c r="AH122" i="2" s="1"/>
  <c r="AF94" i="2"/>
  <c r="AF92" i="2"/>
  <c r="AF91" i="2"/>
  <c r="AG93" i="2"/>
  <c r="T70" i="6"/>
  <c r="T143" i="2"/>
  <c r="O119" i="6"/>
  <c r="P209" i="2"/>
  <c r="P210" i="2" s="1"/>
  <c r="O217" i="2"/>
  <c r="AC146" i="6"/>
  <c r="AD246" i="2"/>
  <c r="AE143" i="6"/>
  <c r="AF243" i="2"/>
  <c r="AE186" i="2"/>
  <c r="AE98" i="6" s="1"/>
  <c r="AG129" i="6"/>
  <c r="AH229" i="2"/>
  <c r="AF81" i="6"/>
  <c r="AB94" i="2"/>
  <c r="AB92" i="2"/>
  <c r="AB91" i="2"/>
  <c r="L3" i="5"/>
  <c r="L114" i="5" s="1"/>
  <c r="L5" i="5"/>
  <c r="M4" i="5"/>
  <c r="R71" i="6"/>
  <c r="AH85" i="2"/>
  <c r="AH86" i="2"/>
  <c r="AH87" i="2" s="1"/>
  <c r="D50" i="1"/>
  <c r="N127" i="6"/>
  <c r="N233" i="2"/>
  <c r="W96" i="6"/>
  <c r="X184" i="2"/>
  <c r="X96" i="6" s="1"/>
  <c r="L16" i="5"/>
  <c r="L19" i="5"/>
  <c r="AI55" i="6"/>
  <c r="AJ120" i="2"/>
  <c r="I70" i="6"/>
  <c r="W45" i="6"/>
  <c r="W101" i="2"/>
  <c r="AE132" i="6"/>
  <c r="AF232" i="2"/>
  <c r="AF180" i="2" s="1"/>
  <c r="AF92" i="6" s="1"/>
  <c r="AK93" i="2"/>
  <c r="AJ92" i="2"/>
  <c r="AJ91" i="2"/>
  <c r="AJ94" i="2"/>
  <c r="AB20" i="3"/>
  <c r="AB18" i="3"/>
  <c r="O72" i="6"/>
  <c r="O215" i="2"/>
  <c r="O136" i="2"/>
  <c r="O64" i="6" s="1"/>
  <c r="O139" i="2"/>
  <c r="O67" i="6" s="1"/>
  <c r="W141" i="6"/>
  <c r="W244" i="2"/>
  <c r="W144" i="6" s="1"/>
  <c r="V70" i="6"/>
  <c r="V143" i="2"/>
  <c r="AG29" i="6"/>
  <c r="AI44" i="2"/>
  <c r="H100" i="5"/>
  <c r="H66" i="5"/>
  <c r="H101" i="5" s="1"/>
  <c r="K33" i="5"/>
  <c r="L33" i="5" s="1"/>
  <c r="X139" i="6"/>
  <c r="X270" i="2"/>
  <c r="AI21" i="6"/>
  <c r="L119" i="6"/>
  <c r="M209" i="2"/>
  <c r="M210" i="2" s="1"/>
  <c r="L217" i="2"/>
  <c r="AE72" i="6"/>
  <c r="AF147" i="2"/>
  <c r="AE149" i="6"/>
  <c r="AF249" i="2"/>
  <c r="AL183" i="2"/>
  <c r="AM284" i="2"/>
  <c r="AG48" i="6"/>
  <c r="AI154" i="2"/>
  <c r="AG169" i="2"/>
  <c r="AH169" i="2" s="1"/>
  <c r="W93" i="6"/>
  <c r="X181" i="2"/>
  <c r="AK21" i="2"/>
  <c r="AL22" i="2"/>
  <c r="AK20" i="2"/>
  <c r="AK23" i="2"/>
  <c r="AC130" i="6"/>
  <c r="AD230" i="2"/>
  <c r="Y26" i="2"/>
  <c r="Y17" i="2"/>
  <c r="Y264" i="2"/>
  <c r="Y226" i="2"/>
  <c r="AD147" i="6"/>
  <c r="AE247" i="2"/>
  <c r="P72" i="6"/>
  <c r="P215" i="2"/>
  <c r="P139" i="2"/>
  <c r="P67" i="6" s="1"/>
  <c r="P136" i="2"/>
  <c r="P64" i="6" s="1"/>
  <c r="W79" i="6"/>
  <c r="X167" i="2"/>
  <c r="X79" i="6" s="1"/>
  <c r="W228" i="2"/>
  <c r="AG146" i="2"/>
  <c r="AH29" i="6" l="1"/>
  <c r="AD178" i="2"/>
  <c r="AD90" i="6" s="1"/>
  <c r="AD125" i="6"/>
  <c r="AE225" i="2"/>
  <c r="AF192" i="2"/>
  <c r="AF104" i="6" s="1"/>
  <c r="M13" i="5"/>
  <c r="M12" i="5" s="1"/>
  <c r="Z52" i="3"/>
  <c r="Z17" i="6" s="1"/>
  <c r="Z8" i="3"/>
  <c r="Z7" i="6" s="1"/>
  <c r="Z12" i="2"/>
  <c r="Z16" i="2" s="1"/>
  <c r="Z26" i="2" s="1"/>
  <c r="Z51" i="3"/>
  <c r="Z14" i="6" s="1"/>
  <c r="Z6" i="6"/>
  <c r="Z18" i="6" s="1"/>
  <c r="Z50" i="3"/>
  <c r="Z11" i="6" s="1"/>
  <c r="Z46" i="3"/>
  <c r="Z19" i="6" s="1"/>
  <c r="Y53" i="3"/>
  <c r="AA8" i="3"/>
  <c r="AA7" i="6" s="1"/>
  <c r="AA12" i="2"/>
  <c r="AA16" i="2" s="1"/>
  <c r="AA45" i="3"/>
  <c r="AA49" i="3" s="1"/>
  <c r="AA8" i="6" s="1"/>
  <c r="AB17" i="3"/>
  <c r="AB7" i="3" s="1"/>
  <c r="AB12" i="2" s="1"/>
  <c r="N36" i="5"/>
  <c r="O36" i="5" s="1"/>
  <c r="P36" i="5" s="1"/>
  <c r="AG231" i="2"/>
  <c r="AF131" i="6"/>
  <c r="W66" i="6"/>
  <c r="W141" i="2"/>
  <c r="W139" i="2"/>
  <c r="AH56" i="6"/>
  <c r="J81" i="5"/>
  <c r="AF89" i="6"/>
  <c r="O216" i="2"/>
  <c r="T216" i="2"/>
  <c r="N4" i="5"/>
  <c r="M5" i="5"/>
  <c r="M3" i="5"/>
  <c r="M114" i="5" s="1"/>
  <c r="AH81" i="6"/>
  <c r="P119" i="6"/>
  <c r="P217" i="2"/>
  <c r="Q209" i="2"/>
  <c r="Q210" i="2" s="1"/>
  <c r="X47" i="6"/>
  <c r="X111" i="2"/>
  <c r="X113" i="2"/>
  <c r="E35" i="1" s="1"/>
  <c r="X115" i="2"/>
  <c r="E33" i="1"/>
  <c r="X112" i="2"/>
  <c r="E34" i="1" s="1"/>
  <c r="U71" i="6"/>
  <c r="W118" i="2"/>
  <c r="W50" i="6"/>
  <c r="W116" i="2"/>
  <c r="W117" i="2"/>
  <c r="W261" i="2"/>
  <c r="Y27" i="2"/>
  <c r="Y25" i="6" s="1"/>
  <c r="Y190" i="2"/>
  <c r="Y52" i="2"/>
  <c r="Y64" i="2"/>
  <c r="Y57" i="2"/>
  <c r="Y103" i="2"/>
  <c r="Y24" i="6"/>
  <c r="Y89" i="2"/>
  <c r="Y71" i="2"/>
  <c r="Y57" i="3"/>
  <c r="Y155" i="2"/>
  <c r="Y58" i="3"/>
  <c r="Y56" i="3"/>
  <c r="X93" i="6"/>
  <c r="H104" i="5"/>
  <c r="H105" i="5" s="1"/>
  <c r="AF132" i="6"/>
  <c r="AG232" i="2"/>
  <c r="AG180" i="2" s="1"/>
  <c r="AG92" i="6" s="1"/>
  <c r="N133" i="6"/>
  <c r="N155" i="6" s="1"/>
  <c r="C52" i="1"/>
  <c r="N254" i="2"/>
  <c r="N262" i="2"/>
  <c r="O262" i="2"/>
  <c r="AG223" i="2"/>
  <c r="AF123" i="6"/>
  <c r="X57" i="6"/>
  <c r="X128" i="2"/>
  <c r="G89" i="5"/>
  <c r="G92" i="5"/>
  <c r="AG142" i="6"/>
  <c r="AG257" i="2"/>
  <c r="AH242" i="2"/>
  <c r="X141" i="6"/>
  <c r="X244" i="2"/>
  <c r="AI146" i="2"/>
  <c r="AH146" i="2"/>
  <c r="M119" i="6"/>
  <c r="M217" i="2"/>
  <c r="AF247" i="2"/>
  <c r="AE147" i="6"/>
  <c r="AG81" i="6"/>
  <c r="M33" i="5"/>
  <c r="L32" i="5"/>
  <c r="AI29" i="6"/>
  <c r="AJ44" i="2"/>
  <c r="AK120" i="2"/>
  <c r="AJ55" i="6"/>
  <c r="N6" i="5"/>
  <c r="W135" i="2"/>
  <c r="AM85" i="2"/>
  <c r="AM86" i="2"/>
  <c r="AM87" i="2" s="1"/>
  <c r="P216" i="2"/>
  <c r="U216" i="2"/>
  <c r="AL95" i="6"/>
  <c r="AM183" i="2"/>
  <c r="AM95" i="6" s="1"/>
  <c r="AI267" i="2"/>
  <c r="AG224" i="2"/>
  <c r="AG177" i="2" s="1"/>
  <c r="AG89" i="6" s="1"/>
  <c r="AK22" i="6"/>
  <c r="AK19" i="2"/>
  <c r="AJ154" i="2"/>
  <c r="AI169" i="2"/>
  <c r="AI48" i="6"/>
  <c r="AF72" i="6"/>
  <c r="AG147" i="2"/>
  <c r="AH147" i="2" s="1"/>
  <c r="AI46" i="2"/>
  <c r="AI30" i="6" s="1"/>
  <c r="AI229" i="2"/>
  <c r="AH129" i="6"/>
  <c r="AD146" i="6"/>
  <c r="AE246" i="2"/>
  <c r="AG91" i="2"/>
  <c r="AG92" i="2"/>
  <c r="AG94" i="2"/>
  <c r="M19" i="5"/>
  <c r="M16" i="5"/>
  <c r="AJ21" i="6"/>
  <c r="AG243" i="2"/>
  <c r="AF143" i="6"/>
  <c r="AF186" i="2"/>
  <c r="AF98" i="6" s="1"/>
  <c r="D45" i="1"/>
  <c r="S143" i="2"/>
  <c r="S70" i="6"/>
  <c r="W128" i="6"/>
  <c r="X228" i="2"/>
  <c r="AF149" i="6"/>
  <c r="AG249" i="2"/>
  <c r="X45" i="6"/>
  <c r="X101" i="2"/>
  <c r="E42" i="1"/>
  <c r="AB238" i="2"/>
  <c r="AD282" i="2"/>
  <c r="Y126" i="6"/>
  <c r="Y179" i="2"/>
  <c r="AL23" i="2"/>
  <c r="AL21" i="2"/>
  <c r="AL20" i="2"/>
  <c r="AL93" i="2"/>
  <c r="AK91" i="2"/>
  <c r="AK94" i="2"/>
  <c r="AK92" i="2"/>
  <c r="H68" i="5"/>
  <c r="H62" i="5"/>
  <c r="H63" i="5"/>
  <c r="H82" i="5"/>
  <c r="AE148" i="6"/>
  <c r="AF248" i="2"/>
  <c r="X209" i="2"/>
  <c r="T210" i="2"/>
  <c r="AG268" i="2"/>
  <c r="S67" i="6"/>
  <c r="X278" i="2"/>
  <c r="X280" i="2"/>
  <c r="AD130" i="6"/>
  <c r="AE230" i="2"/>
  <c r="L35" i="5"/>
  <c r="T71" i="6"/>
  <c r="AI122" i="2"/>
  <c r="AG56" i="6"/>
  <c r="AF124" i="6"/>
  <c r="W58" i="6"/>
  <c r="X130" i="2"/>
  <c r="X135" i="2" s="1"/>
  <c r="N48" i="5"/>
  <c r="M47" i="5"/>
  <c r="V71" i="6"/>
  <c r="AE19" i="3"/>
  <c r="AD18" i="3"/>
  <c r="AD20" i="3"/>
  <c r="S122" i="6"/>
  <c r="S227" i="2"/>
  <c r="S258" i="2"/>
  <c r="S260" i="2" s="1"/>
  <c r="X44" i="6"/>
  <c r="AE125" i="6" l="1"/>
  <c r="AF225" i="2"/>
  <c r="AE178" i="2"/>
  <c r="AE90" i="6" s="1"/>
  <c r="AF178" i="2"/>
  <c r="N13" i="5"/>
  <c r="N12" i="5" s="1"/>
  <c r="Z264" i="2"/>
  <c r="Z226" i="2"/>
  <c r="Z179" i="2" s="1"/>
  <c r="Z17" i="2"/>
  <c r="Z24" i="2"/>
  <c r="Z53" i="3"/>
  <c r="AA51" i="3"/>
  <c r="AA14" i="6" s="1"/>
  <c r="AA24" i="2"/>
  <c r="AA46" i="3"/>
  <c r="AA19" i="6" s="1"/>
  <c r="AA50" i="3"/>
  <c r="AA11" i="6" s="1"/>
  <c r="AC7" i="3"/>
  <c r="AB45" i="3"/>
  <c r="AB51" i="3" s="1"/>
  <c r="AB14" i="6" s="1"/>
  <c r="AA52" i="3"/>
  <c r="AA17" i="6" s="1"/>
  <c r="AB8" i="3"/>
  <c r="AB7" i="6" s="1"/>
  <c r="AB6" i="6"/>
  <c r="AB18" i="6" s="1"/>
  <c r="AD17" i="3"/>
  <c r="AD7" i="3" s="1"/>
  <c r="AD45" i="3" s="1"/>
  <c r="AD49" i="3" s="1"/>
  <c r="AH231" i="2"/>
  <c r="AG131" i="6"/>
  <c r="H112" i="5"/>
  <c r="X138" i="2"/>
  <c r="X136" i="2"/>
  <c r="X63" i="6"/>
  <c r="J94" i="5"/>
  <c r="AH72" i="6"/>
  <c r="AI81" i="6"/>
  <c r="AK55" i="6"/>
  <c r="AL120" i="2"/>
  <c r="AL55" i="6" s="1"/>
  <c r="X144" i="6"/>
  <c r="E53" i="1"/>
  <c r="AG123" i="6"/>
  <c r="AH223" i="2"/>
  <c r="Y37" i="6"/>
  <c r="Y65" i="2"/>
  <c r="Q119" i="6"/>
  <c r="R209" i="2"/>
  <c r="R210" i="2" s="1"/>
  <c r="Q217" i="2"/>
  <c r="N3" i="5"/>
  <c r="N114" i="5" s="1"/>
  <c r="N5" i="5"/>
  <c r="O4" i="5"/>
  <c r="AF148" i="6"/>
  <c r="AG248" i="2"/>
  <c r="AD285" i="2"/>
  <c r="AH282" i="2"/>
  <c r="AH285" i="2" s="1"/>
  <c r="AH180" i="2"/>
  <c r="AH92" i="6" s="1"/>
  <c r="AJ169" i="2"/>
  <c r="AJ48" i="6"/>
  <c r="AK154" i="2"/>
  <c r="AA26" i="2"/>
  <c r="AA17" i="2"/>
  <c r="AA264" i="2"/>
  <c r="AA226" i="2"/>
  <c r="AG132" i="6"/>
  <c r="AH232" i="2"/>
  <c r="Y53" i="2"/>
  <c r="Y33" i="6" s="1"/>
  <c r="Y32" i="6"/>
  <c r="Y54" i="2"/>
  <c r="Y34" i="6" s="1"/>
  <c r="Y98" i="2"/>
  <c r="AK21" i="6"/>
  <c r="AF147" i="6"/>
  <c r="AG247" i="2"/>
  <c r="AE146" i="6"/>
  <c r="AF246" i="2"/>
  <c r="Y40" i="6"/>
  <c r="Y90" i="2"/>
  <c r="Y315" i="2"/>
  <c r="W69" i="6"/>
  <c r="W142" i="2"/>
  <c r="AI268" i="2"/>
  <c r="AB138" i="6"/>
  <c r="AC238" i="2"/>
  <c r="AC138" i="6" s="1"/>
  <c r="M35" i="5"/>
  <c r="AH142" i="6"/>
  <c r="AH257" i="2"/>
  <c r="AI242" i="2"/>
  <c r="AE130" i="6"/>
  <c r="AF230" i="2"/>
  <c r="AL22" i="6"/>
  <c r="AL19" i="2"/>
  <c r="AM19" i="2" s="1"/>
  <c r="Y38" i="6"/>
  <c r="Y72" i="2"/>
  <c r="AH177" i="2"/>
  <c r="AG124" i="6"/>
  <c r="AH224" i="2"/>
  <c r="AF90" i="6"/>
  <c r="AG143" i="6"/>
  <c r="AG186" i="2"/>
  <c r="AG98" i="6" s="1"/>
  <c r="AH243" i="2"/>
  <c r="AG72" i="6"/>
  <c r="AI147" i="2"/>
  <c r="N19" i="5"/>
  <c r="N16" i="5"/>
  <c r="AJ29" i="6"/>
  <c r="AK44" i="2"/>
  <c r="W53" i="6"/>
  <c r="W67" i="6"/>
  <c r="AG149" i="6"/>
  <c r="AH249" i="2"/>
  <c r="AI56" i="6"/>
  <c r="AJ122" i="2"/>
  <c r="H70" i="5"/>
  <c r="H76" i="5"/>
  <c r="H69" i="5"/>
  <c r="Y91" i="6"/>
  <c r="X128" i="6"/>
  <c r="AI224" i="2"/>
  <c r="AJ267" i="2"/>
  <c r="Y104" i="2"/>
  <c r="Y166" i="2"/>
  <c r="W52" i="6"/>
  <c r="X50" i="6"/>
  <c r="X118" i="2"/>
  <c r="X2" i="2" s="1"/>
  <c r="X116" i="2"/>
  <c r="I17" i="1"/>
  <c r="X117" i="2"/>
  <c r="E37" i="1"/>
  <c r="X261" i="2"/>
  <c r="S127" i="6"/>
  <c r="S233" i="2"/>
  <c r="AL94" i="2"/>
  <c r="AL91" i="2"/>
  <c r="AL92" i="2"/>
  <c r="Y102" i="6"/>
  <c r="Y194" i="2"/>
  <c r="Y106" i="6" s="1"/>
  <c r="S71" i="6"/>
  <c r="O6" i="5"/>
  <c r="AJ46" i="2"/>
  <c r="AJ30" i="6" s="1"/>
  <c r="AE20" i="3"/>
  <c r="AE18" i="3"/>
  <c r="AF19" i="3"/>
  <c r="O48" i="5"/>
  <c r="N47" i="5"/>
  <c r="Z24" i="6"/>
  <c r="Z190" i="2"/>
  <c r="Z52" i="2"/>
  <c r="Z64" i="2"/>
  <c r="Z57" i="2"/>
  <c r="Z103" i="2"/>
  <c r="Z71" i="2"/>
  <c r="Z27" i="2"/>
  <c r="Z25" i="6" s="1"/>
  <c r="Z89" i="2"/>
  <c r="Z57" i="3"/>
  <c r="Z58" i="3"/>
  <c r="Z155" i="2"/>
  <c r="Z56" i="3"/>
  <c r="X58" i="6"/>
  <c r="X131" i="2"/>
  <c r="H84" i="5"/>
  <c r="H85" i="5" s="1"/>
  <c r="H108" i="5" s="1"/>
  <c r="T119" i="6"/>
  <c r="U209" i="2"/>
  <c r="U210" i="2" s="1"/>
  <c r="T217" i="2"/>
  <c r="AI129" i="6"/>
  <c r="AJ229" i="2"/>
  <c r="W63" i="6"/>
  <c r="W164" i="2"/>
  <c r="W136" i="2"/>
  <c r="N33" i="5"/>
  <c r="M32" i="5"/>
  <c r="AJ146" i="2"/>
  <c r="AG192" i="2"/>
  <c r="Y59" i="3"/>
  <c r="Y36" i="6"/>
  <c r="Y239" i="2"/>
  <c r="Y240" i="2"/>
  <c r="Y58" i="2"/>
  <c r="Y236" i="2"/>
  <c r="W51" i="6"/>
  <c r="AB16" i="2"/>
  <c r="AB24" i="2"/>
  <c r="AM120" i="2" l="1"/>
  <c r="AF125" i="6"/>
  <c r="AG225" i="2"/>
  <c r="O13" i="5"/>
  <c r="P13" i="5" s="1"/>
  <c r="Z126" i="6"/>
  <c r="AA179" i="2"/>
  <c r="AA91" i="6" s="1"/>
  <c r="AB50" i="3"/>
  <c r="AB11" i="6" s="1"/>
  <c r="AB49" i="3"/>
  <c r="AB8" i="6" s="1"/>
  <c r="AE17" i="3"/>
  <c r="AE7" i="3" s="1"/>
  <c r="AE6" i="6" s="1"/>
  <c r="AE18" i="6" s="1"/>
  <c r="AB46" i="3"/>
  <c r="AB19" i="6" s="1"/>
  <c r="F14" i="1"/>
  <c r="AC12" i="2"/>
  <c r="AC16" i="2" s="1"/>
  <c r="I9" i="5"/>
  <c r="AB52" i="3"/>
  <c r="AB17" i="6" s="1"/>
  <c r="AC45" i="3"/>
  <c r="AC49" i="3" s="1"/>
  <c r="AC8" i="6" s="1"/>
  <c r="AC8" i="3"/>
  <c r="F15" i="1" s="1"/>
  <c r="AD12" i="2"/>
  <c r="AD16" i="2" s="1"/>
  <c r="AC6" i="6"/>
  <c r="AC18" i="6" s="1"/>
  <c r="AN7" i="3"/>
  <c r="AC17" i="3"/>
  <c r="AA53" i="3"/>
  <c r="AD6" i="6"/>
  <c r="AD18" i="6" s="1"/>
  <c r="AD8" i="3"/>
  <c r="AD7" i="6" s="1"/>
  <c r="AH131" i="6"/>
  <c r="AI231" i="2"/>
  <c r="X141" i="2"/>
  <c r="X69" i="6" s="1"/>
  <c r="X139" i="2"/>
  <c r="X66" i="6"/>
  <c r="AD8" i="6"/>
  <c r="AM21" i="6"/>
  <c r="K25" i="5"/>
  <c r="K26" i="5" s="1"/>
  <c r="L26" i="5" s="1"/>
  <c r="AM20" i="2"/>
  <c r="AM22" i="6" s="1"/>
  <c r="Y100" i="2"/>
  <c r="Y127" i="2"/>
  <c r="Y110" i="2"/>
  <c r="Y43" i="6"/>
  <c r="Y99" i="2"/>
  <c r="Y44" i="6" s="1"/>
  <c r="AE282" i="2"/>
  <c r="AE285" i="2" s="1"/>
  <c r="AD238" i="2"/>
  <c r="AD138" i="6" s="1"/>
  <c r="AM55" i="6"/>
  <c r="K80" i="5"/>
  <c r="Y140" i="6"/>
  <c r="Y185" i="2"/>
  <c r="AK146" i="2"/>
  <c r="AJ129" i="6"/>
  <c r="AK229" i="2"/>
  <c r="Z40" i="6"/>
  <c r="Z90" i="2"/>
  <c r="Z315" i="2"/>
  <c r="Z102" i="6"/>
  <c r="Z194" i="2"/>
  <c r="Z106" i="6" s="1"/>
  <c r="AG147" i="6"/>
  <c r="AH247" i="2"/>
  <c r="AA24" i="6"/>
  <c r="AA64" i="2"/>
  <c r="AA57" i="2"/>
  <c r="AA89" i="2"/>
  <c r="AA103" i="2"/>
  <c r="AA27" i="2"/>
  <c r="AA25" i="6" s="1"/>
  <c r="AA190" i="2"/>
  <c r="AA52" i="2"/>
  <c r="AA71" i="2"/>
  <c r="AA58" i="3"/>
  <c r="AA57" i="3"/>
  <c r="AA155" i="2"/>
  <c r="AA56" i="3"/>
  <c r="AG148" i="6"/>
  <c r="AH248" i="2"/>
  <c r="AH89" i="6"/>
  <c r="X59" i="6"/>
  <c r="R217" i="2"/>
  <c r="R119" i="6"/>
  <c r="Z38" i="6"/>
  <c r="Z72" i="2"/>
  <c r="O47" i="5"/>
  <c r="P48" i="5"/>
  <c r="AH132" i="6"/>
  <c r="AI232" i="2"/>
  <c r="AI180" i="2"/>
  <c r="AH186" i="2"/>
  <c r="AH98" i="6" s="1"/>
  <c r="H77" i="5"/>
  <c r="H78" i="5"/>
  <c r="AH143" i="6"/>
  <c r="AI243" i="2"/>
  <c r="Y139" i="6"/>
  <c r="Y184" i="2"/>
  <c r="AH267" i="2"/>
  <c r="AH124" i="6"/>
  <c r="AI177" i="2"/>
  <c r="AD46" i="3"/>
  <c r="AD19" i="6" s="1"/>
  <c r="AD50" i="3"/>
  <c r="AD11" i="6" s="1"/>
  <c r="AD51" i="3"/>
  <c r="AD14" i="6" s="1"/>
  <c r="AD52" i="3"/>
  <c r="AD17" i="6" s="1"/>
  <c r="AG104" i="6"/>
  <c r="AH192" i="2"/>
  <c r="AH104" i="6" s="1"/>
  <c r="W64" i="6"/>
  <c r="Z59" i="3"/>
  <c r="Z104" i="2"/>
  <c r="Z166" i="2"/>
  <c r="AF20" i="3"/>
  <c r="AF18" i="3"/>
  <c r="AG19" i="3"/>
  <c r="O16" i="5"/>
  <c r="P6" i="5"/>
  <c r="O19" i="5"/>
  <c r="X51" i="6"/>
  <c r="AH149" i="6"/>
  <c r="AI249" i="2"/>
  <c r="AK29" i="6"/>
  <c r="AL44" i="2"/>
  <c r="AM44" i="2" s="1"/>
  <c r="AJ147" i="2"/>
  <c r="AI72" i="6"/>
  <c r="AJ268" i="2"/>
  <c r="AK46" i="2"/>
  <c r="AK30" i="6" s="1"/>
  <c r="AJ81" i="6"/>
  <c r="U119" i="6"/>
  <c r="U217" i="2"/>
  <c r="V209" i="2"/>
  <c r="V210" i="2" s="1"/>
  <c r="AF130" i="6"/>
  <c r="AG230" i="2"/>
  <c r="Y78" i="6"/>
  <c r="Y167" i="2"/>
  <c r="AH123" i="6"/>
  <c r="AI223" i="2"/>
  <c r="H86" i="5"/>
  <c r="X64" i="6"/>
  <c r="Y136" i="6"/>
  <c r="Y181" i="2"/>
  <c r="Y241" i="2"/>
  <c r="Y265" i="2"/>
  <c r="W76" i="6"/>
  <c r="W250" i="2"/>
  <c r="X164" i="2"/>
  <c r="W187" i="2"/>
  <c r="Z91" i="6"/>
  <c r="Z240" i="2"/>
  <c r="Z236" i="2"/>
  <c r="Z58" i="2"/>
  <c r="Z239" i="2"/>
  <c r="Z36" i="6"/>
  <c r="X53" i="6"/>
  <c r="I18" i="1"/>
  <c r="E39" i="1"/>
  <c r="AK267" i="2"/>
  <c r="AJ224" i="2"/>
  <c r="AJ177" i="2" s="1"/>
  <c r="AJ89" i="6" s="1"/>
  <c r="AL21" i="6"/>
  <c r="AL46" i="2"/>
  <c r="AL30" i="6" s="1"/>
  <c r="AI142" i="6"/>
  <c r="AI257" i="2"/>
  <c r="AJ242" i="2"/>
  <c r="AF146" i="6"/>
  <c r="AG246" i="2"/>
  <c r="AA126" i="6"/>
  <c r="O3" i="5"/>
  <c r="O114" i="5" s="1"/>
  <c r="P4" i="5"/>
  <c r="O5" i="5"/>
  <c r="Z32" i="6"/>
  <c r="Z53" i="2"/>
  <c r="Z33" i="6" s="1"/>
  <c r="Z98" i="2"/>
  <c r="Z54" i="2"/>
  <c r="Z34" i="6" s="1"/>
  <c r="AB17" i="2"/>
  <c r="AB26" i="2"/>
  <c r="AB264" i="2"/>
  <c r="AB226" i="2"/>
  <c r="AB179" i="2" s="1"/>
  <c r="AJ56" i="6"/>
  <c r="AK122" i="2"/>
  <c r="AK48" i="6"/>
  <c r="AL154" i="2"/>
  <c r="AK169" i="2"/>
  <c r="X52" i="6"/>
  <c r="E38" i="1"/>
  <c r="O33" i="5"/>
  <c r="N32" i="5"/>
  <c r="Z37" i="6"/>
  <c r="Z65" i="2"/>
  <c r="S133" i="6"/>
  <c r="S155" i="6" s="1"/>
  <c r="D52" i="1"/>
  <c r="S254" i="2"/>
  <c r="T262" i="2"/>
  <c r="S262" i="2"/>
  <c r="AI124" i="6"/>
  <c r="N35" i="5"/>
  <c r="W70" i="6"/>
  <c r="W143" i="2"/>
  <c r="AG178" i="2" l="1"/>
  <c r="AG125" i="6"/>
  <c r="AH225" i="2"/>
  <c r="O12" i="5"/>
  <c r="O32" i="5" s="1"/>
  <c r="AI192" i="2"/>
  <c r="I27" i="5"/>
  <c r="AC50" i="3"/>
  <c r="AC11" i="6" s="1"/>
  <c r="AC51" i="3"/>
  <c r="F24" i="1" s="1"/>
  <c r="AE12" i="2"/>
  <c r="AE16" i="2" s="1"/>
  <c r="AE45" i="3"/>
  <c r="AE50" i="3" s="1"/>
  <c r="AE11" i="6" s="1"/>
  <c r="AE8" i="3"/>
  <c r="AE7" i="6" s="1"/>
  <c r="AC24" i="2"/>
  <c r="F16" i="1"/>
  <c r="I10" i="5"/>
  <c r="AC52" i="3"/>
  <c r="AC17" i="6" s="1"/>
  <c r="AB53" i="3"/>
  <c r="I22" i="5"/>
  <c r="AC46" i="3"/>
  <c r="AC19" i="6" s="1"/>
  <c r="AC7" i="6"/>
  <c r="AD24" i="2"/>
  <c r="AF17" i="3"/>
  <c r="AF7" i="3" s="1"/>
  <c r="AF12" i="2" s="1"/>
  <c r="AI131" i="6"/>
  <c r="AJ231" i="2"/>
  <c r="X142" i="2"/>
  <c r="X143" i="2" s="1"/>
  <c r="E44" i="1"/>
  <c r="X67" i="6"/>
  <c r="P47" i="5"/>
  <c r="AM29" i="6"/>
  <c r="Z43" i="6"/>
  <c r="Z99" i="2"/>
  <c r="Z44" i="6" s="1"/>
  <c r="Z127" i="2"/>
  <c r="Z110" i="2"/>
  <c r="Z100" i="2"/>
  <c r="AB91" i="6"/>
  <c r="AJ72" i="6"/>
  <c r="AK147" i="2"/>
  <c r="O35" i="5"/>
  <c r="AA38" i="6"/>
  <c r="AA72" i="2"/>
  <c r="AK129" i="6"/>
  <c r="AL229" i="2"/>
  <c r="AE238" i="2"/>
  <c r="AE138" i="6" s="1"/>
  <c r="AF282" i="2"/>
  <c r="AF285" i="2" s="1"/>
  <c r="L25" i="5"/>
  <c r="M26" i="5"/>
  <c r="AB126" i="6"/>
  <c r="AC226" i="2"/>
  <c r="W99" i="6"/>
  <c r="W212" i="2"/>
  <c r="W207" i="2"/>
  <c r="AL29" i="6"/>
  <c r="AD17" i="2"/>
  <c r="AD26" i="2"/>
  <c r="AD226" i="2"/>
  <c r="AD264" i="2"/>
  <c r="AA32" i="6"/>
  <c r="AA53" i="2"/>
  <c r="AA33" i="6" s="1"/>
  <c r="AA98" i="2"/>
  <c r="AA54" i="2"/>
  <c r="AA34" i="6" s="1"/>
  <c r="X76" i="6"/>
  <c r="X187" i="2"/>
  <c r="AI92" i="6"/>
  <c r="AA102" i="6"/>
  <c r="AA194" i="2"/>
  <c r="AA106" i="6" s="1"/>
  <c r="AK81" i="6"/>
  <c r="AB24" i="6"/>
  <c r="AB103" i="2"/>
  <c r="AB89" i="2"/>
  <c r="AB71" i="2"/>
  <c r="AC71" i="2" s="1"/>
  <c r="AB190" i="2"/>
  <c r="AB52" i="2"/>
  <c r="AB64" i="2"/>
  <c r="AB57" i="2"/>
  <c r="AC57" i="2" s="1"/>
  <c r="AB27" i="2"/>
  <c r="AB25" i="6" s="1"/>
  <c r="AB58" i="3"/>
  <c r="AB57" i="3"/>
  <c r="AB155" i="2"/>
  <c r="AB56" i="3"/>
  <c r="X250" i="2"/>
  <c r="W150" i="6"/>
  <c r="W252" i="2"/>
  <c r="Y79" i="6"/>
  <c r="Y228" i="2"/>
  <c r="AI132" i="6"/>
  <c r="AJ232" i="2"/>
  <c r="Y97" i="6"/>
  <c r="Y47" i="6"/>
  <c r="Y113" i="2"/>
  <c r="Y115" i="2"/>
  <c r="Y111" i="2"/>
  <c r="Y112" i="2"/>
  <c r="AL48" i="6"/>
  <c r="AL169" i="2"/>
  <c r="P5" i="5"/>
  <c r="P3" i="5"/>
  <c r="P114" i="5" s="1"/>
  <c r="AJ124" i="6"/>
  <c r="H109" i="5"/>
  <c r="H88" i="5"/>
  <c r="H97" i="5"/>
  <c r="AI149" i="6"/>
  <c r="AJ249" i="2"/>
  <c r="AI89" i="6"/>
  <c r="AA59" i="3"/>
  <c r="AA104" i="2"/>
  <c r="AA166" i="2"/>
  <c r="Y128" i="2"/>
  <c r="Y130" i="2"/>
  <c r="Y138" i="2" s="1"/>
  <c r="Y57" i="6"/>
  <c r="AM154" i="2"/>
  <c r="AJ142" i="6"/>
  <c r="AJ257" i="2"/>
  <c r="AK242" i="2"/>
  <c r="AL267" i="2"/>
  <c r="AL224" i="2" s="1"/>
  <c r="AK224" i="2"/>
  <c r="AK177" i="2" s="1"/>
  <c r="Z136" i="6"/>
  <c r="Z241" i="2"/>
  <c r="Z181" i="2"/>
  <c r="Z265" i="2"/>
  <c r="AG130" i="6"/>
  <c r="AH230" i="2"/>
  <c r="P19" i="5"/>
  <c r="P16" i="5"/>
  <c r="P12" i="5"/>
  <c r="Y96" i="6"/>
  <c r="AA40" i="6"/>
  <c r="AA90" i="2"/>
  <c r="AA315" i="2"/>
  <c r="L80" i="5"/>
  <c r="Y45" i="6"/>
  <c r="Y101" i="2"/>
  <c r="P33" i="5"/>
  <c r="Z140" i="6"/>
  <c r="Z185" i="2"/>
  <c r="Z97" i="6" s="1"/>
  <c r="Y141" i="6"/>
  <c r="Y244" i="2"/>
  <c r="Y144" i="6" s="1"/>
  <c r="AI104" i="6"/>
  <c r="Z78" i="6"/>
  <c r="Z167" i="2"/>
  <c r="Z79" i="6" s="1"/>
  <c r="AA36" i="6"/>
  <c r="AA240" i="2"/>
  <c r="AA236" i="2"/>
  <c r="AA239" i="2"/>
  <c r="AA58" i="2"/>
  <c r="AD53" i="3"/>
  <c r="AG146" i="6"/>
  <c r="AH246" i="2"/>
  <c r="V119" i="6"/>
  <c r="W209" i="2"/>
  <c r="V217" i="2"/>
  <c r="AG18" i="3"/>
  <c r="AI19" i="3"/>
  <c r="AG20" i="3"/>
  <c r="AH148" i="6"/>
  <c r="AI248" i="2"/>
  <c r="AH147" i="6"/>
  <c r="AI247" i="2"/>
  <c r="AL146" i="2"/>
  <c r="AM146" i="2" s="1"/>
  <c r="AC179" i="2"/>
  <c r="W71" i="6"/>
  <c r="Z139" i="6"/>
  <c r="Z184" i="2"/>
  <c r="Z96" i="6" s="1"/>
  <c r="AK268" i="2"/>
  <c r="AC17" i="2"/>
  <c r="F30" i="1"/>
  <c r="AC26" i="2"/>
  <c r="AO16" i="2"/>
  <c r="AC264" i="2"/>
  <c r="AK56" i="6"/>
  <c r="AL122" i="2"/>
  <c r="AL56" i="6" s="1"/>
  <c r="Y93" i="6"/>
  <c r="AI123" i="6"/>
  <c r="AJ223" i="2"/>
  <c r="AJ243" i="2"/>
  <c r="AI143" i="6"/>
  <c r="AI186" i="2"/>
  <c r="AA37" i="6"/>
  <c r="AA65" i="2"/>
  <c r="AM46" i="2"/>
  <c r="AM30" i="6" s="1"/>
  <c r="AH125" i="6" l="1"/>
  <c r="AI225" i="2"/>
  <c r="AG90" i="6"/>
  <c r="AH178" i="2"/>
  <c r="AH90" i="6" s="1"/>
  <c r="I29" i="5"/>
  <c r="AJ192" i="2"/>
  <c r="AJ104" i="6" s="1"/>
  <c r="AC14" i="6"/>
  <c r="AE49" i="3"/>
  <c r="AE8" i="6" s="1"/>
  <c r="AE24" i="2"/>
  <c r="AE52" i="3"/>
  <c r="AE17" i="6" s="1"/>
  <c r="AE51" i="3"/>
  <c r="AE14" i="6" s="1"/>
  <c r="AE46" i="3"/>
  <c r="AE19" i="6" s="1"/>
  <c r="AC53" i="3"/>
  <c r="F28" i="1"/>
  <c r="I107" i="5"/>
  <c r="I23" i="5"/>
  <c r="AF45" i="3"/>
  <c r="AF51" i="3" s="1"/>
  <c r="AF14" i="6" s="1"/>
  <c r="AF8" i="3"/>
  <c r="AF7" i="6" s="1"/>
  <c r="AF6" i="6"/>
  <c r="AF18" i="6" s="1"/>
  <c r="AG17" i="3"/>
  <c r="AG7" i="3" s="1"/>
  <c r="AG12" i="2" s="1"/>
  <c r="AK231" i="2"/>
  <c r="AJ131" i="6"/>
  <c r="X70" i="6"/>
  <c r="E45" i="1"/>
  <c r="Y66" i="6"/>
  <c r="Y141" i="2"/>
  <c r="Y139" i="2"/>
  <c r="Y67" i="6" s="1"/>
  <c r="AK89" i="6"/>
  <c r="AA139" i="6"/>
  <c r="AA184" i="2"/>
  <c r="AA96" i="6" s="1"/>
  <c r="AA78" i="6"/>
  <c r="AA167" i="2"/>
  <c r="AF24" i="2"/>
  <c r="AF16" i="2"/>
  <c r="AK232" i="2"/>
  <c r="AJ132" i="6"/>
  <c r="AB59" i="3"/>
  <c r="AB102" i="6"/>
  <c r="AB194" i="2"/>
  <c r="AB106" i="6" s="1"/>
  <c r="AD89" i="2"/>
  <c r="AD71" i="2"/>
  <c r="AD24" i="6"/>
  <c r="AD27" i="2"/>
  <c r="AD25" i="6" s="1"/>
  <c r="AD190" i="2"/>
  <c r="AD103" i="2"/>
  <c r="AD57" i="2"/>
  <c r="AD52" i="2"/>
  <c r="AD64" i="2"/>
  <c r="AD57" i="3"/>
  <c r="AD58" i="3"/>
  <c r="AD155" i="2"/>
  <c r="AD56" i="3"/>
  <c r="W215" i="2"/>
  <c r="W216" i="2" s="1"/>
  <c r="W213" i="2"/>
  <c r="M25" i="5"/>
  <c r="N26" i="5"/>
  <c r="AI98" i="6"/>
  <c r="AC24" i="6"/>
  <c r="AO26" i="2"/>
  <c r="AC52" i="2"/>
  <c r="AC27" i="2"/>
  <c r="AC58" i="3"/>
  <c r="AC57" i="3"/>
  <c r="AC155" i="2"/>
  <c r="AC56" i="3"/>
  <c r="AL268" i="2"/>
  <c r="AH146" i="6"/>
  <c r="AI246" i="2"/>
  <c r="AA136" i="6"/>
  <c r="AA241" i="2"/>
  <c r="AA265" i="2"/>
  <c r="AA181" i="2"/>
  <c r="X71" i="6"/>
  <c r="M80" i="5"/>
  <c r="M108" i="5" s="1"/>
  <c r="L108" i="5"/>
  <c r="AH130" i="6"/>
  <c r="AI230" i="2"/>
  <c r="AM48" i="6"/>
  <c r="K73" i="5"/>
  <c r="H89" i="5"/>
  <c r="H91" i="5"/>
  <c r="H92" i="5" s="1"/>
  <c r="Y118" i="2"/>
  <c r="Y53" i="6" s="1"/>
  <c r="Y50" i="6"/>
  <c r="Y116" i="2"/>
  <c r="Y51" i="6" s="1"/>
  <c r="Y117" i="2"/>
  <c r="Y261" i="2"/>
  <c r="AB38" i="6"/>
  <c r="AB72" i="2"/>
  <c r="AC190" i="2"/>
  <c r="AK72" i="6"/>
  <c r="AL147" i="2"/>
  <c r="AC91" i="6"/>
  <c r="AG282" i="2"/>
  <c r="AG285" i="2" s="1"/>
  <c r="AF238" i="2"/>
  <c r="AF138" i="6" s="1"/>
  <c r="AC38" i="6"/>
  <c r="I44" i="5"/>
  <c r="AC72" i="2"/>
  <c r="AN71" i="2"/>
  <c r="AC73" i="2"/>
  <c r="P35" i="5"/>
  <c r="Z93" i="6"/>
  <c r="AL124" i="6"/>
  <c r="AM224" i="2"/>
  <c r="Y135" i="2"/>
  <c r="AE17" i="2"/>
  <c r="AE26" i="2"/>
  <c r="AE264" i="2"/>
  <c r="AE226" i="2"/>
  <c r="AE179" i="2" s="1"/>
  <c r="AL81" i="6"/>
  <c r="AL129" i="6"/>
  <c r="AM229" i="2"/>
  <c r="AM129" i="6" s="1"/>
  <c r="AI148" i="6"/>
  <c r="AJ248" i="2"/>
  <c r="AA140" i="6"/>
  <c r="AA185" i="2"/>
  <c r="AA97" i="6" s="1"/>
  <c r="Y128" i="6"/>
  <c r="Z228" i="2"/>
  <c r="F31" i="1"/>
  <c r="AA127" i="2"/>
  <c r="AA110" i="2"/>
  <c r="AA99" i="2"/>
  <c r="AA44" i="6" s="1"/>
  <c r="AA100" i="2"/>
  <c r="AA43" i="6"/>
  <c r="Z141" i="6"/>
  <c r="Z244" i="2"/>
  <c r="Z144" i="6" s="1"/>
  <c r="AK142" i="6"/>
  <c r="AL242" i="2"/>
  <c r="AK257" i="2"/>
  <c r="W152" i="6"/>
  <c r="W253" i="2"/>
  <c r="W259" i="2"/>
  <c r="W263" i="2"/>
  <c r="AB36" i="6"/>
  <c r="AB236" i="2"/>
  <c r="AB58" i="2"/>
  <c r="AB240" i="2"/>
  <c r="AB239" i="2"/>
  <c r="Z45" i="6"/>
  <c r="Z101" i="2"/>
  <c r="AB40" i="6"/>
  <c r="AB90" i="2"/>
  <c r="AB315" i="2"/>
  <c r="AC89" i="2"/>
  <c r="AC126" i="6"/>
  <c r="AD179" i="2"/>
  <c r="AC268" i="2"/>
  <c r="AI18" i="3"/>
  <c r="AI20" i="3"/>
  <c r="AJ19" i="3"/>
  <c r="AK124" i="6"/>
  <c r="AL177" i="2"/>
  <c r="AL89" i="6" s="1"/>
  <c r="AI147" i="6"/>
  <c r="AJ247" i="2"/>
  <c r="AC59" i="2"/>
  <c r="I38" i="5"/>
  <c r="AN57" i="2"/>
  <c r="AC36" i="6"/>
  <c r="AC58" i="2"/>
  <c r="P32" i="5"/>
  <c r="AJ149" i="6"/>
  <c r="AK249" i="2"/>
  <c r="AB37" i="6"/>
  <c r="AB65" i="2"/>
  <c r="AC64" i="2"/>
  <c r="AM169" i="2"/>
  <c r="X212" i="2"/>
  <c r="X99" i="6"/>
  <c r="X207" i="2"/>
  <c r="Z47" i="6"/>
  <c r="Z115" i="2"/>
  <c r="Z111" i="2"/>
  <c r="Z113" i="2"/>
  <c r="Z112" i="2"/>
  <c r="H110" i="5"/>
  <c r="E49" i="1"/>
  <c r="E50" i="1" s="1"/>
  <c r="AJ143" i="6"/>
  <c r="AJ186" i="2"/>
  <c r="AJ98" i="6" s="1"/>
  <c r="AK243" i="2"/>
  <c r="Y58" i="6"/>
  <c r="AB104" i="2"/>
  <c r="AB166" i="2"/>
  <c r="AJ123" i="6"/>
  <c r="AK223" i="2"/>
  <c r="AC103" i="2"/>
  <c r="AJ180" i="2"/>
  <c r="X150" i="6"/>
  <c r="X252" i="2"/>
  <c r="X263" i="2" s="1"/>
  <c r="AB53" i="2"/>
  <c r="AB33" i="6" s="1"/>
  <c r="AB98" i="2"/>
  <c r="AB54" i="2"/>
  <c r="AB34" i="6" s="1"/>
  <c r="AB32" i="6"/>
  <c r="AD126" i="6"/>
  <c r="W117" i="6"/>
  <c r="W210" i="2"/>
  <c r="Z130" i="2"/>
  <c r="Z58" i="6" s="1"/>
  <c r="Z57" i="6"/>
  <c r="Z128" i="2"/>
  <c r="AM122" i="2"/>
  <c r="AI178" i="2" l="1"/>
  <c r="AI90" i="6" s="1"/>
  <c r="AI125" i="6"/>
  <c r="AJ225" i="2"/>
  <c r="AK192" i="2"/>
  <c r="AK104" i="6" s="1"/>
  <c r="I74" i="5"/>
  <c r="I14" i="5"/>
  <c r="I30" i="5"/>
  <c r="AF46" i="3"/>
  <c r="AF19" i="6" s="1"/>
  <c r="AF50" i="3"/>
  <c r="AF11" i="6" s="1"/>
  <c r="AE53" i="3"/>
  <c r="AF52" i="3"/>
  <c r="AF17" i="6" s="1"/>
  <c r="AI17" i="3"/>
  <c r="AI7" i="3" s="1"/>
  <c r="AI12" i="2" s="1"/>
  <c r="AF49" i="3"/>
  <c r="AG45" i="3"/>
  <c r="AG49" i="3" s="1"/>
  <c r="AG8" i="6" s="1"/>
  <c r="AH7" i="3"/>
  <c r="AG6" i="6"/>
  <c r="AG18" i="6" s="1"/>
  <c r="AG8" i="3"/>
  <c r="AG7" i="6" s="1"/>
  <c r="AK131" i="6"/>
  <c r="AL231" i="2"/>
  <c r="Z138" i="2"/>
  <c r="Z141" i="2" s="1"/>
  <c r="Z50" i="6"/>
  <c r="Z116" i="2"/>
  <c r="Z51" i="6" s="1"/>
  <c r="Z117" i="2"/>
  <c r="Z118" i="2"/>
  <c r="Z53" i="6" s="1"/>
  <c r="Z261" i="2"/>
  <c r="AA115" i="2"/>
  <c r="AA112" i="2"/>
  <c r="AA111" i="2"/>
  <c r="AA113" i="2"/>
  <c r="AA47" i="6"/>
  <c r="Z128" i="6"/>
  <c r="AA228" i="2"/>
  <c r="Y63" i="6"/>
  <c r="Y164" i="2"/>
  <c r="Y136" i="2"/>
  <c r="Y64" i="6" s="1"/>
  <c r="AA141" i="6"/>
  <c r="AA244" i="2"/>
  <c r="AA144" i="6" s="1"/>
  <c r="AD38" i="6"/>
  <c r="AD72" i="2"/>
  <c r="AL232" i="2"/>
  <c r="AL180" i="2" s="1"/>
  <c r="AK132" i="6"/>
  <c r="W119" i="6"/>
  <c r="W222" i="2"/>
  <c r="W217" i="2" s="1"/>
  <c r="X152" i="6"/>
  <c r="X253" i="2"/>
  <c r="E54" i="1"/>
  <c r="X259" i="2"/>
  <c r="AB78" i="6"/>
  <c r="AB167" i="2"/>
  <c r="AB79" i="6" s="1"/>
  <c r="AM242" i="2"/>
  <c r="AL257" i="2"/>
  <c r="AL142" i="6"/>
  <c r="AA57" i="6"/>
  <c r="AA130" i="2"/>
  <c r="AA58" i="6" s="1"/>
  <c r="AA128" i="2"/>
  <c r="AM124" i="6"/>
  <c r="AM267" i="2"/>
  <c r="O26" i="5"/>
  <c r="N25" i="5"/>
  <c r="AD37" i="6"/>
  <c r="AD65" i="2"/>
  <c r="AD40" i="6"/>
  <c r="AD90" i="2"/>
  <c r="AD315" i="2"/>
  <c r="AF26" i="2"/>
  <c r="AF17" i="2"/>
  <c r="AF264" i="2"/>
  <c r="AF226" i="2"/>
  <c r="AC236" i="2"/>
  <c r="AB241" i="2"/>
  <c r="AB265" i="2"/>
  <c r="AB181" i="2"/>
  <c r="AC181" i="2" s="1"/>
  <c r="AB136" i="6"/>
  <c r="AJ147" i="6"/>
  <c r="AK247" i="2"/>
  <c r="AD32" i="6"/>
  <c r="AD98" i="2"/>
  <c r="AD54" i="2"/>
  <c r="AD34" i="6" s="1"/>
  <c r="AD53" i="2"/>
  <c r="AD33" i="6" s="1"/>
  <c r="AJ246" i="2"/>
  <c r="AI146" i="6"/>
  <c r="AA79" i="6"/>
  <c r="X117" i="6"/>
  <c r="X210" i="2"/>
  <c r="I39" i="5"/>
  <c r="AD91" i="6"/>
  <c r="AJ148" i="6"/>
  <c r="AK248" i="2"/>
  <c r="AE126" i="6"/>
  <c r="AG238" i="2"/>
  <c r="AI282" i="2"/>
  <c r="AL72" i="6"/>
  <c r="AM147" i="2"/>
  <c r="AI130" i="6"/>
  <c r="AJ230" i="2"/>
  <c r="AD166" i="2"/>
  <c r="AD104" i="2"/>
  <c r="Y52" i="6"/>
  <c r="AE91" i="6"/>
  <c r="AJ92" i="6"/>
  <c r="AC239" i="2"/>
  <c r="AB139" i="6"/>
  <c r="AB184" i="2"/>
  <c r="W153" i="6"/>
  <c r="AG16" i="2"/>
  <c r="AG24" i="2"/>
  <c r="I45" i="5"/>
  <c r="AD59" i="3"/>
  <c r="AD102" i="6"/>
  <c r="AD194" i="2"/>
  <c r="AD106" i="6" s="1"/>
  <c r="Y142" i="2"/>
  <c r="Y69" i="6"/>
  <c r="I41" i="5"/>
  <c r="AC66" i="2"/>
  <c r="AN64" i="2"/>
  <c r="AC65" i="2"/>
  <c r="AC37" i="6"/>
  <c r="K81" i="5"/>
  <c r="L81" i="5" s="1"/>
  <c r="M81" i="5" s="1"/>
  <c r="N81" i="5" s="1"/>
  <c r="O81" i="5" s="1"/>
  <c r="P81" i="5" s="1"/>
  <c r="AM56" i="6"/>
  <c r="AL249" i="2"/>
  <c r="AK149" i="6"/>
  <c r="I65" i="5"/>
  <c r="AC166" i="2"/>
  <c r="AC78" i="6" s="1"/>
  <c r="AC105" i="2"/>
  <c r="AC104" i="2"/>
  <c r="AK143" i="6"/>
  <c r="AL243" i="2"/>
  <c r="AK186" i="2"/>
  <c r="AK98" i="6" s="1"/>
  <c r="AB140" i="6"/>
  <c r="AC240" i="2"/>
  <c r="AB185" i="2"/>
  <c r="AB97" i="6" s="1"/>
  <c r="AA45" i="6"/>
  <c r="AA101" i="2"/>
  <c r="AE24" i="6"/>
  <c r="AE89" i="2"/>
  <c r="AE71" i="2"/>
  <c r="AE27" i="2"/>
  <c r="AE25" i="6" s="1"/>
  <c r="AE190" i="2"/>
  <c r="AE52" i="2"/>
  <c r="AE57" i="2"/>
  <c r="AE64" i="2"/>
  <c r="AE103" i="2"/>
  <c r="AE57" i="3"/>
  <c r="AE58" i="3"/>
  <c r="AE155" i="2"/>
  <c r="AE56" i="3"/>
  <c r="AC102" i="6"/>
  <c r="F47" i="1"/>
  <c r="F48" i="1" s="1"/>
  <c r="I102" i="5"/>
  <c r="I103" i="5" s="1"/>
  <c r="AC194" i="2"/>
  <c r="AC106" i="6" s="1"/>
  <c r="AC266" i="2"/>
  <c r="AA93" i="6"/>
  <c r="AC25" i="6"/>
  <c r="AK180" i="2"/>
  <c r="AK92" i="6" s="1"/>
  <c r="AD36" i="6"/>
  <c r="AD239" i="2"/>
  <c r="AD240" i="2"/>
  <c r="AD236" i="2"/>
  <c r="AD58" i="2"/>
  <c r="X213" i="2"/>
  <c r="X215" i="2"/>
  <c r="X216" i="2" s="1"/>
  <c r="AC40" i="6"/>
  <c r="I50" i="5"/>
  <c r="AC90" i="2"/>
  <c r="AC91" i="2"/>
  <c r="AC315" i="2"/>
  <c r="Z135" i="2"/>
  <c r="AB43" i="6"/>
  <c r="AB127" i="2"/>
  <c r="AB110" i="2"/>
  <c r="AB99" i="2"/>
  <c r="AB44" i="6" s="1"/>
  <c r="AB100" i="2"/>
  <c r="AK123" i="6"/>
  <c r="AL223" i="2"/>
  <c r="AL192" i="2" s="1"/>
  <c r="AL104" i="6" s="1"/>
  <c r="AM81" i="6"/>
  <c r="AK19" i="3"/>
  <c r="AJ18" i="3"/>
  <c r="AJ20" i="3"/>
  <c r="N80" i="5"/>
  <c r="AC59" i="3"/>
  <c r="AC98" i="2"/>
  <c r="AC54" i="2"/>
  <c r="AC32" i="6"/>
  <c r="AC53" i="2"/>
  <c r="AM177" i="2"/>
  <c r="AJ178" i="2" l="1"/>
  <c r="AJ90" i="6" s="1"/>
  <c r="AK225" i="2"/>
  <c r="AK178" i="2"/>
  <c r="AK90" i="6" s="1"/>
  <c r="AJ125" i="6"/>
  <c r="AF53" i="3"/>
  <c r="AI6" i="6"/>
  <c r="AI18" i="6" s="1"/>
  <c r="AI45" i="3"/>
  <c r="AI49" i="3" s="1"/>
  <c r="AI8" i="6" s="1"/>
  <c r="AI8" i="3"/>
  <c r="AI7" i="6" s="1"/>
  <c r="AH45" i="3"/>
  <c r="AH50" i="3" s="1"/>
  <c r="AH11" i="6" s="1"/>
  <c r="AF8" i="6"/>
  <c r="AG51" i="3"/>
  <c r="AG14" i="6" s="1"/>
  <c r="AG52" i="3"/>
  <c r="AG17" i="6" s="1"/>
  <c r="AG46" i="3"/>
  <c r="AG19" i="6" s="1"/>
  <c r="AG50" i="3"/>
  <c r="AG11" i="6" s="1"/>
  <c r="J9" i="5"/>
  <c r="AH17" i="3"/>
  <c r="AH6" i="6"/>
  <c r="AH18" i="6" s="1"/>
  <c r="AH12" i="2"/>
  <c r="AH24" i="2" s="1"/>
  <c r="AH8" i="3"/>
  <c r="AH7" i="6" s="1"/>
  <c r="AJ17" i="3"/>
  <c r="AJ7" i="3" s="1"/>
  <c r="AJ12" i="2" s="1"/>
  <c r="AM231" i="2"/>
  <c r="AM131" i="6" s="1"/>
  <c r="AL131" i="6"/>
  <c r="Z139" i="2"/>
  <c r="Z67" i="6" s="1"/>
  <c r="Z66" i="6"/>
  <c r="AE59" i="3"/>
  <c r="AL92" i="6"/>
  <c r="AM180" i="2"/>
  <c r="AM92" i="6" s="1"/>
  <c r="N108" i="5"/>
  <c r="O80" i="5"/>
  <c r="AF126" i="6"/>
  <c r="AM142" i="6"/>
  <c r="AM257" i="2"/>
  <c r="X153" i="6"/>
  <c r="AA128" i="6"/>
  <c r="AB228" i="2"/>
  <c r="AC33" i="6"/>
  <c r="AB47" i="6"/>
  <c r="AB111" i="2"/>
  <c r="AB112" i="2"/>
  <c r="AB115" i="2"/>
  <c r="AB113" i="2"/>
  <c r="AL149" i="6"/>
  <c r="AM249" i="2"/>
  <c r="AM149" i="6" s="1"/>
  <c r="Y70" i="6"/>
  <c r="Y143" i="2"/>
  <c r="AG26" i="2"/>
  <c r="AG17" i="2"/>
  <c r="AG226" i="2"/>
  <c r="AG179" i="2" s="1"/>
  <c r="AG264" i="2"/>
  <c r="AM282" i="2"/>
  <c r="AM285" i="2" s="1"/>
  <c r="AI285" i="2"/>
  <c r="AJ146" i="6"/>
  <c r="AK246" i="2"/>
  <c r="AK147" i="6"/>
  <c r="AL247" i="2"/>
  <c r="AL19" i="3"/>
  <c r="AK18" i="3"/>
  <c r="AK20" i="3"/>
  <c r="AF179" i="2"/>
  <c r="AF24" i="6"/>
  <c r="AF52" i="2"/>
  <c r="AF27" i="2"/>
  <c r="AF25" i="6" s="1"/>
  <c r="AF190" i="2"/>
  <c r="AF103" i="2"/>
  <c r="AF64" i="2"/>
  <c r="AF57" i="2"/>
  <c r="AF89" i="2"/>
  <c r="AF71" i="2"/>
  <c r="AF58" i="3"/>
  <c r="AF57" i="3"/>
  <c r="AF155" i="2"/>
  <c r="AF56" i="3"/>
  <c r="W122" i="6"/>
  <c r="W227" i="2"/>
  <c r="W258" i="2"/>
  <c r="W260" i="2" s="1"/>
  <c r="Z63" i="6"/>
  <c r="Z164" i="2"/>
  <c r="Z136" i="2"/>
  <c r="Z64" i="6" s="1"/>
  <c r="AE166" i="2"/>
  <c r="AE104" i="2"/>
  <c r="AC140" i="6"/>
  <c r="AC271" i="2"/>
  <c r="I100" i="5"/>
  <c r="I66" i="5"/>
  <c r="I101" i="5" s="1"/>
  <c r="I42" i="5"/>
  <c r="AB96" i="6"/>
  <c r="AC184" i="2"/>
  <c r="AC96" i="6" s="1"/>
  <c r="AJ130" i="6"/>
  <c r="AK230" i="2"/>
  <c r="AD99" i="2"/>
  <c r="AD44" i="6" s="1"/>
  <c r="AD100" i="2"/>
  <c r="AD43" i="6"/>
  <c r="AD127" i="2"/>
  <c r="AD110" i="2"/>
  <c r="AB93" i="6"/>
  <c r="O25" i="5"/>
  <c r="P26" i="5"/>
  <c r="AA138" i="2"/>
  <c r="Z52" i="6"/>
  <c r="AD185" i="2"/>
  <c r="AD140" i="6"/>
  <c r="AE38" i="6"/>
  <c r="AE72" i="2"/>
  <c r="AC34" i="6"/>
  <c r="AA135" i="2"/>
  <c r="AC185" i="2"/>
  <c r="AC97" i="6" s="1"/>
  <c r="AL123" i="6"/>
  <c r="AM223" i="2"/>
  <c r="AM123" i="6" s="1"/>
  <c r="AE37" i="6"/>
  <c r="AE65" i="2"/>
  <c r="AD78" i="6"/>
  <c r="AD167" i="2"/>
  <c r="AK148" i="6"/>
  <c r="AL248" i="2"/>
  <c r="I57" i="5"/>
  <c r="AC167" i="2"/>
  <c r="AC79" i="6" s="1"/>
  <c r="AM192" i="2"/>
  <c r="AM104" i="6" s="1"/>
  <c r="Y76" i="6"/>
  <c r="Y187" i="2"/>
  <c r="Y250" i="2"/>
  <c r="I51" i="5"/>
  <c r="AD139" i="6"/>
  <c r="AD184" i="2"/>
  <c r="AG138" i="6"/>
  <c r="AH238" i="2"/>
  <c r="AH138" i="6" s="1"/>
  <c r="X222" i="2"/>
  <c r="X217" i="2" s="1"/>
  <c r="Y209" i="2"/>
  <c r="AC209" i="2" s="1"/>
  <c r="X119" i="6"/>
  <c r="AE40" i="6"/>
  <c r="AE90" i="2"/>
  <c r="AE315" i="2"/>
  <c r="AC43" i="6"/>
  <c r="F41" i="1"/>
  <c r="AC99" i="2"/>
  <c r="AC100" i="2"/>
  <c r="AC127" i="2"/>
  <c r="AC110" i="2"/>
  <c r="AE36" i="6"/>
  <c r="AE239" i="2"/>
  <c r="AE58" i="2"/>
  <c r="AE236" i="2"/>
  <c r="AE240" i="2"/>
  <c r="AC139" i="6"/>
  <c r="AC270" i="2"/>
  <c r="AM72" i="6"/>
  <c r="K94" i="5"/>
  <c r="AB141" i="6"/>
  <c r="AB244" i="2"/>
  <c r="AB144" i="6" s="1"/>
  <c r="AA50" i="6"/>
  <c r="AA116" i="2"/>
  <c r="AA51" i="6" s="1"/>
  <c r="AA117" i="2"/>
  <c r="AA118" i="2"/>
  <c r="AA53" i="6" s="1"/>
  <c r="AA261" i="2"/>
  <c r="AE102" i="6"/>
  <c r="AE194" i="2"/>
  <c r="AE106" i="6" s="1"/>
  <c r="AB57" i="6"/>
  <c r="AB130" i="2"/>
  <c r="AB58" i="6" s="1"/>
  <c r="AB128" i="2"/>
  <c r="AM89" i="6"/>
  <c r="AB45" i="6"/>
  <c r="AB101" i="2"/>
  <c r="AD136" i="6"/>
  <c r="AD265" i="2"/>
  <c r="AD241" i="2"/>
  <c r="AD181" i="2"/>
  <c r="AI24" i="2"/>
  <c r="AI16" i="2"/>
  <c r="Z69" i="6"/>
  <c r="Z142" i="2"/>
  <c r="AC93" i="6"/>
  <c r="AE32" i="6"/>
  <c r="AE54" i="2"/>
  <c r="AE34" i="6" s="1"/>
  <c r="AE98" i="2"/>
  <c r="AE53" i="2"/>
  <c r="AE33" i="6" s="1"/>
  <c r="AL143" i="6"/>
  <c r="AL186" i="2"/>
  <c r="AM243" i="2"/>
  <c r="AM143" i="6" s="1"/>
  <c r="AC136" i="6"/>
  <c r="AC269" i="2"/>
  <c r="AC265" i="2"/>
  <c r="AC241" i="2"/>
  <c r="AL132" i="6"/>
  <c r="AM232" i="2"/>
  <c r="AM132" i="6" s="1"/>
  <c r="AK125" i="6" l="1"/>
  <c r="AL225" i="2"/>
  <c r="P25" i="5"/>
  <c r="AI46" i="3"/>
  <c r="AI19" i="6" s="1"/>
  <c r="AI52" i="3"/>
  <c r="AI17" i="6" s="1"/>
  <c r="AI51" i="3"/>
  <c r="AI14" i="6" s="1"/>
  <c r="AI50" i="3"/>
  <c r="AI11" i="6" s="1"/>
  <c r="AH16" i="2"/>
  <c r="AH49" i="3"/>
  <c r="AH8" i="6" s="1"/>
  <c r="AH52" i="3"/>
  <c r="AH17" i="6" s="1"/>
  <c r="AH46" i="3"/>
  <c r="AH19" i="6" s="1"/>
  <c r="J27" i="5"/>
  <c r="AH51" i="3"/>
  <c r="AH14" i="6" s="1"/>
  <c r="J10" i="5"/>
  <c r="J22" i="5"/>
  <c r="AJ45" i="3"/>
  <c r="AJ46" i="3" s="1"/>
  <c r="AJ19" i="6" s="1"/>
  <c r="AJ6" i="6"/>
  <c r="AJ18" i="6" s="1"/>
  <c r="AJ8" i="3"/>
  <c r="AJ7" i="6" s="1"/>
  <c r="AG53" i="3"/>
  <c r="AN12" i="2"/>
  <c r="AK17" i="3"/>
  <c r="AK7" i="3" s="1"/>
  <c r="AK12" i="2" s="1"/>
  <c r="I104" i="5"/>
  <c r="I105" i="5" s="1"/>
  <c r="AG91" i="6"/>
  <c r="AC57" i="6"/>
  <c r="AC128" i="2"/>
  <c r="AD96" i="6"/>
  <c r="AD79" i="6"/>
  <c r="AF38" i="6"/>
  <c r="AF72" i="2"/>
  <c r="AL147" i="6"/>
  <c r="AM247" i="2"/>
  <c r="AM147" i="6" s="1"/>
  <c r="AD141" i="6"/>
  <c r="AD244" i="2"/>
  <c r="AD144" i="6" s="1"/>
  <c r="AJ16" i="2"/>
  <c r="AJ24" i="2"/>
  <c r="AB138" i="2"/>
  <c r="AA52" i="6"/>
  <c r="AC45" i="6"/>
  <c r="AC101" i="2"/>
  <c r="F42" i="1"/>
  <c r="AD97" i="6"/>
  <c r="AD47" i="6"/>
  <c r="AD112" i="2"/>
  <c r="AD113" i="2"/>
  <c r="AD111" i="2"/>
  <c r="AD115" i="2"/>
  <c r="AE78" i="6"/>
  <c r="AE167" i="2"/>
  <c r="AE79" i="6" s="1"/>
  <c r="AF40" i="6"/>
  <c r="AF90" i="2"/>
  <c r="AF315" i="2"/>
  <c r="AF91" i="6"/>
  <c r="AH179" i="2"/>
  <c r="AD93" i="6"/>
  <c r="AA139" i="2"/>
  <c r="AA67" i="6" s="1"/>
  <c r="AA66" i="6"/>
  <c r="AA141" i="2"/>
  <c r="AD45" i="6"/>
  <c r="AD101" i="2"/>
  <c r="AF59" i="3"/>
  <c r="AF104" i="2"/>
  <c r="AF166" i="2"/>
  <c r="AG27" i="2"/>
  <c r="AG25" i="6" s="1"/>
  <c r="AG24" i="6"/>
  <c r="AG57" i="2"/>
  <c r="AG190" i="2"/>
  <c r="AH190" i="2" s="1"/>
  <c r="AG52" i="2"/>
  <c r="AG64" i="2"/>
  <c r="AG103" i="2"/>
  <c r="AG89" i="2"/>
  <c r="AH89" i="2" s="1"/>
  <c r="AG71" i="2"/>
  <c r="AG58" i="3"/>
  <c r="AG57" i="3"/>
  <c r="AG155" i="2"/>
  <c r="AG56" i="3"/>
  <c r="O108" i="5"/>
  <c r="P80" i="5"/>
  <c r="P108" i="5" s="1"/>
  <c r="AE140" i="6"/>
  <c r="AE185" i="2"/>
  <c r="AE97" i="6" s="1"/>
  <c r="AD57" i="6"/>
  <c r="AD128" i="2"/>
  <c r="AD130" i="2"/>
  <c r="AD138" i="2" s="1"/>
  <c r="W127" i="6"/>
  <c r="W233" i="2"/>
  <c r="AE136" i="6"/>
  <c r="AE241" i="2"/>
  <c r="AE181" i="2"/>
  <c r="AE265" i="2"/>
  <c r="Z70" i="6"/>
  <c r="Z143" i="2"/>
  <c r="AE184" i="2"/>
  <c r="AE96" i="6" s="1"/>
  <c r="AE139" i="6"/>
  <c r="X122" i="6"/>
  <c r="X227" i="2"/>
  <c r="X258" i="2"/>
  <c r="X260" i="2" s="1"/>
  <c r="Y150" i="6"/>
  <c r="Z250" i="2"/>
  <c r="Y252" i="2"/>
  <c r="I62" i="5"/>
  <c r="I82" i="5"/>
  <c r="I63" i="5"/>
  <c r="I68" i="5"/>
  <c r="AF102" i="6"/>
  <c r="AF194" i="2"/>
  <c r="AF106" i="6" s="1"/>
  <c r="AL20" i="3"/>
  <c r="AL18" i="3"/>
  <c r="Y71" i="6"/>
  <c r="AB50" i="6"/>
  <c r="AB117" i="2"/>
  <c r="AB116" i="2"/>
  <c r="AB51" i="6" s="1"/>
  <c r="AB118" i="2"/>
  <c r="AB53" i="6" s="1"/>
  <c r="AB261" i="2"/>
  <c r="AB128" i="6"/>
  <c r="AC228" i="2"/>
  <c r="AC141" i="6"/>
  <c r="AC244" i="2"/>
  <c r="AC44" i="6"/>
  <c r="AF36" i="6"/>
  <c r="AF239" i="2"/>
  <c r="AF240" i="2"/>
  <c r="AF236" i="2"/>
  <c r="AF58" i="2"/>
  <c r="AG126" i="6"/>
  <c r="AH226" i="2"/>
  <c r="AK146" i="6"/>
  <c r="AL246" i="2"/>
  <c r="AI26" i="2"/>
  <c r="AI17" i="2"/>
  <c r="AI264" i="2"/>
  <c r="AI226" i="2"/>
  <c r="Y99" i="6"/>
  <c r="Y212" i="2"/>
  <c r="Y207" i="2"/>
  <c r="AM248" i="2"/>
  <c r="AM148" i="6" s="1"/>
  <c r="AL148" i="6"/>
  <c r="AC130" i="2"/>
  <c r="AC135" i="2" s="1"/>
  <c r="AA63" i="6"/>
  <c r="AA164" i="2"/>
  <c r="AA136" i="2"/>
  <c r="AA64" i="6" s="1"/>
  <c r="AL98" i="6"/>
  <c r="AM186" i="2"/>
  <c r="AM98" i="6" s="1"/>
  <c r="AB135" i="2"/>
  <c r="AF65" i="2"/>
  <c r="AF37" i="6"/>
  <c r="AE43" i="6"/>
  <c r="AE100" i="2"/>
  <c r="AE99" i="2"/>
  <c r="AE44" i="6" s="1"/>
  <c r="AE127" i="2"/>
  <c r="AE110" i="2"/>
  <c r="AC112" i="2"/>
  <c r="F34" i="1" s="1"/>
  <c r="F33" i="1"/>
  <c r="AC113" i="2"/>
  <c r="F35" i="1" s="1"/>
  <c r="AC47" i="6"/>
  <c r="AC115" i="2"/>
  <c r="AC111" i="2"/>
  <c r="AK130" i="6"/>
  <c r="AL230" i="2"/>
  <c r="Z76" i="6"/>
  <c r="Z187" i="2"/>
  <c r="AF32" i="6"/>
  <c r="AF98" i="2"/>
  <c r="AF54" i="2"/>
  <c r="AF34" i="6" s="1"/>
  <c r="AF53" i="2"/>
  <c r="AF33" i="6" s="1"/>
  <c r="AI238" i="2"/>
  <c r="AI138" i="6" s="1"/>
  <c r="AJ282" i="2"/>
  <c r="AJ285" i="2" s="1"/>
  <c r="AL178" i="2" l="1"/>
  <c r="AM225" i="2"/>
  <c r="AM125" i="6" s="1"/>
  <c r="AL125" i="6"/>
  <c r="J29" i="5"/>
  <c r="AH17" i="2"/>
  <c r="AI53" i="3"/>
  <c r="AN16" i="2"/>
  <c r="AH26" i="2"/>
  <c r="AH264" i="2"/>
  <c r="AH53" i="3"/>
  <c r="J107" i="5"/>
  <c r="J23" i="5"/>
  <c r="AJ49" i="3"/>
  <c r="AJ8" i="6" s="1"/>
  <c r="AJ50" i="3"/>
  <c r="AJ11" i="6" s="1"/>
  <c r="AJ52" i="3"/>
  <c r="AJ17" i="6" s="1"/>
  <c r="AJ51" i="3"/>
  <c r="AJ14" i="6" s="1"/>
  <c r="AK6" i="6"/>
  <c r="AK18" i="6" s="1"/>
  <c r="AK8" i="3"/>
  <c r="AK7" i="6" s="1"/>
  <c r="AK45" i="3"/>
  <c r="AK50" i="3" s="1"/>
  <c r="AK11" i="6" s="1"/>
  <c r="AL17" i="3"/>
  <c r="AL7" i="3" s="1"/>
  <c r="AM7" i="3" s="1"/>
  <c r="AM6" i="6" s="1"/>
  <c r="AM18" i="6" s="1"/>
  <c r="I112" i="5"/>
  <c r="AC136" i="2"/>
  <c r="AC63" i="6"/>
  <c r="AD139" i="2"/>
  <c r="AD67" i="6" s="1"/>
  <c r="AD141" i="2"/>
  <c r="AD66" i="6"/>
  <c r="AK16" i="2"/>
  <c r="AK24" i="2"/>
  <c r="Y117" i="6"/>
  <c r="Y210" i="2"/>
  <c r="AI64" i="2"/>
  <c r="AI57" i="2"/>
  <c r="AI24" i="6"/>
  <c r="AI103" i="2"/>
  <c r="AI89" i="2"/>
  <c r="AI27" i="2"/>
  <c r="AI25" i="6" s="1"/>
  <c r="AI190" i="2"/>
  <c r="AI52" i="2"/>
  <c r="AI71" i="2"/>
  <c r="AI57" i="3"/>
  <c r="AI58" i="3"/>
  <c r="AI155" i="2"/>
  <c r="AI56" i="3"/>
  <c r="AF136" i="6"/>
  <c r="AF241" i="2"/>
  <c r="AF265" i="2"/>
  <c r="AF181" i="2"/>
  <c r="AH40" i="6"/>
  <c r="J50" i="5"/>
  <c r="AH90" i="2"/>
  <c r="AH315" i="2"/>
  <c r="Y253" i="2"/>
  <c r="Y152" i="6"/>
  <c r="Y259" i="2"/>
  <c r="Y263" i="2"/>
  <c r="Z71" i="6"/>
  <c r="AG36" i="6"/>
  <c r="AG239" i="2"/>
  <c r="AG58" i="2"/>
  <c r="AG236" i="2"/>
  <c r="AG240" i="2"/>
  <c r="AA69" i="6"/>
  <c r="AA142" i="2"/>
  <c r="AF43" i="6"/>
  <c r="AF110" i="2"/>
  <c r="AF100" i="2"/>
  <c r="AF127" i="2"/>
  <c r="AF99" i="2"/>
  <c r="AF44" i="6" s="1"/>
  <c r="Y215" i="2"/>
  <c r="Y216" i="2" s="1"/>
  <c r="Y213" i="2"/>
  <c r="AF140" i="6"/>
  <c r="AF185" i="2"/>
  <c r="AF97" i="6" s="1"/>
  <c r="Z150" i="6"/>
  <c r="AA250" i="2"/>
  <c r="Z252" i="2"/>
  <c r="AH91" i="6"/>
  <c r="AJ17" i="2"/>
  <c r="AJ26" i="2"/>
  <c r="AJ226" i="2"/>
  <c r="AJ179" i="2" s="1"/>
  <c r="AJ264" i="2"/>
  <c r="AD58" i="6"/>
  <c r="Z99" i="6"/>
  <c r="Z207" i="2"/>
  <c r="Z212" i="2"/>
  <c r="AG90" i="2"/>
  <c r="AG40" i="6"/>
  <c r="AG315" i="2"/>
  <c r="X127" i="6"/>
  <c r="X233" i="2"/>
  <c r="AG38" i="6"/>
  <c r="AG72" i="2"/>
  <c r="AF78" i="6"/>
  <c r="AF167" i="2"/>
  <c r="AE47" i="6"/>
  <c r="AE112" i="2"/>
  <c r="AE113" i="2"/>
  <c r="AE115" i="2"/>
  <c r="AE111" i="2"/>
  <c r="AG104" i="2"/>
  <c r="AG166" i="2"/>
  <c r="AH103" i="2"/>
  <c r="AJ238" i="2"/>
  <c r="AJ138" i="6" s="1"/>
  <c r="AK282" i="2"/>
  <c r="AK285" i="2" s="1"/>
  <c r="AE57" i="6"/>
  <c r="AE128" i="2"/>
  <c r="AE130" i="2"/>
  <c r="AE58" i="6" s="1"/>
  <c r="I84" i="5"/>
  <c r="I85" i="5" s="1"/>
  <c r="I108" i="5" s="1"/>
  <c r="AC131" i="2"/>
  <c r="AC58" i="6"/>
  <c r="AI126" i="6"/>
  <c r="AE141" i="6"/>
  <c r="AE244" i="2"/>
  <c r="AE144" i="6" s="1"/>
  <c r="AG37" i="6"/>
  <c r="AG65" i="2"/>
  <c r="AA76" i="6"/>
  <c r="AA187" i="2"/>
  <c r="AF139" i="6"/>
  <c r="AF184" i="2"/>
  <c r="AB164" i="2"/>
  <c r="AC164" i="2" s="1"/>
  <c r="AB136" i="2"/>
  <c r="AB64" i="6" s="1"/>
  <c r="AB63" i="6"/>
  <c r="AH71" i="2"/>
  <c r="AH126" i="6"/>
  <c r="AH268" i="2"/>
  <c r="AI179" i="2"/>
  <c r="I76" i="5"/>
  <c r="I70" i="5"/>
  <c r="I69" i="5"/>
  <c r="AH57" i="2"/>
  <c r="AC144" i="6"/>
  <c r="F53" i="1"/>
  <c r="AG59" i="3"/>
  <c r="AG32" i="6"/>
  <c r="AG53" i="2"/>
  <c r="AG33" i="6" s="1"/>
  <c r="AG54" i="2"/>
  <c r="AG34" i="6" s="1"/>
  <c r="AG98" i="2"/>
  <c r="AL130" i="6"/>
  <c r="AM230" i="2"/>
  <c r="AM130" i="6" s="1"/>
  <c r="AH102" i="6"/>
  <c r="J102" i="5"/>
  <c r="AH194" i="2"/>
  <c r="AH106" i="6" s="1"/>
  <c r="AL146" i="6"/>
  <c r="AM246" i="2"/>
  <c r="AC128" i="6"/>
  <c r="AD228" i="2"/>
  <c r="AD50" i="6"/>
  <c r="AD117" i="2"/>
  <c r="AD52" i="6" s="1"/>
  <c r="AD118" i="2"/>
  <c r="AD53" i="6" s="1"/>
  <c r="AD116" i="2"/>
  <c r="AD51" i="6" s="1"/>
  <c r="AD261" i="2"/>
  <c r="AC118" i="2"/>
  <c r="AC2" i="2" s="1"/>
  <c r="AC50" i="6"/>
  <c r="AC117" i="2"/>
  <c r="AC116" i="2"/>
  <c r="F37" i="1"/>
  <c r="AC261" i="2"/>
  <c r="AD135" i="2"/>
  <c r="AE93" i="6"/>
  <c r="AE45" i="6"/>
  <c r="AE101" i="2"/>
  <c r="AB52" i="6"/>
  <c r="W133" i="6"/>
  <c r="W155" i="6" s="1"/>
  <c r="W262" i="2"/>
  <c r="W254" i="2"/>
  <c r="AG102" i="6"/>
  <c r="AG194" i="2"/>
  <c r="AG106" i="6" s="1"/>
  <c r="AB66" i="6"/>
  <c r="AB139" i="2"/>
  <c r="AB67" i="6" s="1"/>
  <c r="AB141" i="2"/>
  <c r="AC138" i="2"/>
  <c r="AH64" i="2"/>
  <c r="AL90" i="6" l="1"/>
  <c r="AM178" i="2"/>
  <c r="AM90" i="6" s="1"/>
  <c r="J103" i="5"/>
  <c r="J14" i="5"/>
  <c r="J30" i="5"/>
  <c r="J74" i="5"/>
  <c r="AH91" i="2"/>
  <c r="AH24" i="6"/>
  <c r="AH57" i="3"/>
  <c r="AH58" i="3"/>
  <c r="AH27" i="2"/>
  <c r="AH25" i="6" s="1"/>
  <c r="AH56" i="3"/>
  <c r="AH52" i="2"/>
  <c r="AN52" i="2" s="1"/>
  <c r="AN26" i="2"/>
  <c r="AH266" i="2"/>
  <c r="AH155" i="2"/>
  <c r="AJ53" i="3"/>
  <c r="AK51" i="3"/>
  <c r="AK14" i="6" s="1"/>
  <c r="AK52" i="3"/>
  <c r="AK17" i="6" s="1"/>
  <c r="AK49" i="3"/>
  <c r="AK8" i="6" s="1"/>
  <c r="AK46" i="3"/>
  <c r="AK19" i="6" s="1"/>
  <c r="AL12" i="2"/>
  <c r="AL24" i="2" s="1"/>
  <c r="AL45" i="3"/>
  <c r="AL49" i="3" s="1"/>
  <c r="AL8" i="6" s="1"/>
  <c r="AM17" i="3"/>
  <c r="AL8" i="3"/>
  <c r="AL7" i="6" s="1"/>
  <c r="AM8" i="3"/>
  <c r="AM7" i="6" s="1"/>
  <c r="AL6" i="6"/>
  <c r="AL18" i="6" s="1"/>
  <c r="AM45" i="3"/>
  <c r="AM49" i="3" s="1"/>
  <c r="AM8" i="6" s="1"/>
  <c r="AM12" i="2"/>
  <c r="K9" i="5"/>
  <c r="I86" i="5"/>
  <c r="I109" i="5" s="1"/>
  <c r="AE135" i="2"/>
  <c r="AE164" i="2" s="1"/>
  <c r="AJ91" i="6"/>
  <c r="I78" i="5"/>
  <c r="I77" i="5"/>
  <c r="AF96" i="6"/>
  <c r="AG167" i="2"/>
  <c r="AG79" i="6" s="1"/>
  <c r="AG78" i="6"/>
  <c r="Z152" i="6"/>
  <c r="Z253" i="2"/>
  <c r="Z259" i="2"/>
  <c r="AF57" i="6"/>
  <c r="AF128" i="2"/>
  <c r="AF130" i="2"/>
  <c r="AF58" i="6" s="1"/>
  <c r="AI36" i="6"/>
  <c r="AI240" i="2"/>
  <c r="AI236" i="2"/>
  <c r="AI239" i="2"/>
  <c r="AI152" i="2"/>
  <c r="AI58" i="2"/>
  <c r="AI91" i="6"/>
  <c r="AA150" i="6"/>
  <c r="AB250" i="2"/>
  <c r="AA252" i="2"/>
  <c r="AF45" i="6"/>
  <c r="AF101" i="2"/>
  <c r="AG139" i="6"/>
  <c r="AH239" i="2"/>
  <c r="AG184" i="2"/>
  <c r="AG96" i="6" s="1"/>
  <c r="Y153" i="6"/>
  <c r="AF93" i="6"/>
  <c r="AI38" i="6"/>
  <c r="AI72" i="2"/>
  <c r="AI37" i="6"/>
  <c r="AI65" i="2"/>
  <c r="AG43" i="6"/>
  <c r="AG100" i="2"/>
  <c r="AG127" i="2"/>
  <c r="AG110" i="2"/>
  <c r="AG99" i="2"/>
  <c r="AG44" i="6" s="1"/>
  <c r="AJ126" i="6"/>
  <c r="AI32" i="6"/>
  <c r="AI53" i="2"/>
  <c r="AI33" i="6" s="1"/>
  <c r="AI98" i="2"/>
  <c r="AI54" i="2"/>
  <c r="AI34" i="6" s="1"/>
  <c r="AH37" i="6"/>
  <c r="J41" i="5"/>
  <c r="AH65" i="2"/>
  <c r="AH66" i="2"/>
  <c r="J44" i="5"/>
  <c r="AH38" i="6"/>
  <c r="AH73" i="2"/>
  <c r="AH72" i="2"/>
  <c r="Z213" i="2"/>
  <c r="Z215" i="2"/>
  <c r="Z216" i="2" s="1"/>
  <c r="AA70" i="6"/>
  <c r="AA143" i="2"/>
  <c r="AC64" i="6"/>
  <c r="AE50" i="6"/>
  <c r="AE118" i="2"/>
  <c r="AE53" i="6" s="1"/>
  <c r="AE116" i="2"/>
  <c r="AE51" i="6" s="1"/>
  <c r="AE117" i="2"/>
  <c r="AE52" i="6" s="1"/>
  <c r="AE261" i="2"/>
  <c r="AJ24" i="6"/>
  <c r="AJ103" i="2"/>
  <c r="AJ89" i="2"/>
  <c r="AJ71" i="2"/>
  <c r="AJ190" i="2"/>
  <c r="AJ52" i="2"/>
  <c r="AJ64" i="2"/>
  <c r="AJ57" i="2"/>
  <c r="AJ27" i="2"/>
  <c r="AJ25" i="6" s="1"/>
  <c r="AJ57" i="3"/>
  <c r="AJ58" i="3"/>
  <c r="AJ155" i="2"/>
  <c r="AJ56" i="3"/>
  <c r="AD63" i="6"/>
  <c r="AD136" i="2"/>
  <c r="AD64" i="6" s="1"/>
  <c r="AD164" i="2"/>
  <c r="AD128" i="6"/>
  <c r="AE228" i="2"/>
  <c r="AC66" i="6"/>
  <c r="AC139" i="2"/>
  <c r="AC141" i="2"/>
  <c r="J38" i="5"/>
  <c r="AH58" i="2"/>
  <c r="AH59" i="2"/>
  <c r="AH36" i="6"/>
  <c r="Z117" i="6"/>
  <c r="AI59" i="3"/>
  <c r="AI40" i="6"/>
  <c r="AI90" i="2"/>
  <c r="AI315" i="2"/>
  <c r="AK17" i="2"/>
  <c r="AK26" i="2"/>
  <c r="AK226" i="2"/>
  <c r="AK264" i="2"/>
  <c r="AC76" i="6"/>
  <c r="AC187" i="2"/>
  <c r="AL282" i="2"/>
  <c r="AL285" i="2" s="1"/>
  <c r="AL238" i="2" s="1"/>
  <c r="AK238" i="2"/>
  <c r="AK138" i="6" s="1"/>
  <c r="AF113" i="2"/>
  <c r="AF111" i="2"/>
  <c r="AF115" i="2"/>
  <c r="AF112" i="2"/>
  <c r="AF47" i="6"/>
  <c r="AI102" i="6"/>
  <c r="AI194" i="2"/>
  <c r="AI106" i="6" s="1"/>
  <c r="AB69" i="6"/>
  <c r="AB142" i="2"/>
  <c r="AG140" i="6"/>
  <c r="AH240" i="2"/>
  <c r="AG185" i="2"/>
  <c r="Z263" i="2"/>
  <c r="AI104" i="2"/>
  <c r="AI166" i="2"/>
  <c r="F38" i="1"/>
  <c r="AC52" i="6"/>
  <c r="AC53" i="6"/>
  <c r="F39" i="1"/>
  <c r="AC59" i="6"/>
  <c r="Y119" i="6"/>
  <c r="Y222" i="2"/>
  <c r="Y217" i="2" s="1"/>
  <c r="Z209" i="2"/>
  <c r="Z210" i="2" s="1"/>
  <c r="AA99" i="6"/>
  <c r="AA207" i="2"/>
  <c r="AA212" i="2"/>
  <c r="AF141" i="6"/>
  <c r="AF244" i="2"/>
  <c r="AF144" i="6" s="1"/>
  <c r="AC51" i="6"/>
  <c r="AM146" i="6"/>
  <c r="AB76" i="6"/>
  <c r="AB187" i="2"/>
  <c r="AE138" i="2"/>
  <c r="AH104" i="2"/>
  <c r="AH166" i="2"/>
  <c r="AH78" i="6" s="1"/>
  <c r="J65" i="5"/>
  <c r="AH105" i="2"/>
  <c r="AF79" i="6"/>
  <c r="X133" i="6"/>
  <c r="X155" i="6" s="1"/>
  <c r="E52" i="1"/>
  <c r="X262" i="2"/>
  <c r="X254" i="2"/>
  <c r="AG136" i="6"/>
  <c r="AH236" i="2"/>
  <c r="AG181" i="2"/>
  <c r="AG265" i="2"/>
  <c r="AG241" i="2"/>
  <c r="J51" i="5"/>
  <c r="AD69" i="6"/>
  <c r="AD142" i="2"/>
  <c r="K10" i="5" l="1"/>
  <c r="L10" i="5" s="1"/>
  <c r="M10" i="5" s="1"/>
  <c r="N10" i="5" s="1"/>
  <c r="O10" i="5" s="1"/>
  <c r="P10" i="5" s="1"/>
  <c r="AM24" i="2"/>
  <c r="AM4" i="2"/>
  <c r="AH32" i="6"/>
  <c r="AH59" i="3"/>
  <c r="AH54" i="2"/>
  <c r="AH34" i="6" s="1"/>
  <c r="AH53" i="2"/>
  <c r="AH98" i="2"/>
  <c r="AH100" i="2" s="1"/>
  <c r="AL51" i="3"/>
  <c r="AL14" i="6" s="1"/>
  <c r="AL52" i="3"/>
  <c r="AL17" i="6" s="1"/>
  <c r="AL50" i="3"/>
  <c r="AL11" i="6" s="1"/>
  <c r="AL46" i="3"/>
  <c r="AL19" i="6" s="1"/>
  <c r="AK53" i="3"/>
  <c r="AL16" i="2"/>
  <c r="AL26" i="2" s="1"/>
  <c r="AM16" i="2"/>
  <c r="AM264" i="2" s="1"/>
  <c r="AM52" i="3"/>
  <c r="AM17" i="6" s="1"/>
  <c r="AM50" i="3"/>
  <c r="AM11" i="6" s="1"/>
  <c r="AM46" i="3"/>
  <c r="AM19" i="6" s="1"/>
  <c r="K27" i="5"/>
  <c r="AM51" i="3"/>
  <c r="AM14" i="6" s="1"/>
  <c r="K22" i="5"/>
  <c r="AH167" i="2"/>
  <c r="AH79" i="6" s="1"/>
  <c r="AE63" i="6"/>
  <c r="I88" i="5"/>
  <c r="I91" i="5" s="1"/>
  <c r="I92" i="5" s="1"/>
  <c r="AE136" i="2"/>
  <c r="AE64" i="6" s="1"/>
  <c r="AJ59" i="3"/>
  <c r="AH184" i="2"/>
  <c r="AH96" i="6" s="1"/>
  <c r="AF135" i="2"/>
  <c r="AF63" i="6" s="1"/>
  <c r="Z119" i="6"/>
  <c r="AA209" i="2"/>
  <c r="AA210" i="2" s="1"/>
  <c r="Z222" i="2"/>
  <c r="Z217" i="2" s="1"/>
  <c r="AD70" i="6"/>
  <c r="AD143" i="2"/>
  <c r="AD71" i="6" s="1"/>
  <c r="J45" i="5"/>
  <c r="AA152" i="6"/>
  <c r="AA253" i="2"/>
  <c r="AA259" i="2"/>
  <c r="AI136" i="6"/>
  <c r="AI241" i="2"/>
  <c r="AI265" i="2"/>
  <c r="AI181" i="2"/>
  <c r="AA263" i="2"/>
  <c r="AE76" i="6"/>
  <c r="AE187" i="2"/>
  <c r="AC67" i="6"/>
  <c r="AJ32" i="6"/>
  <c r="AJ53" i="2"/>
  <c r="AJ33" i="6" s="1"/>
  <c r="AJ98" i="2"/>
  <c r="AJ54" i="2"/>
  <c r="AJ34" i="6" s="1"/>
  <c r="AC250" i="2"/>
  <c r="AB150" i="6"/>
  <c r="AB252" i="2"/>
  <c r="AI140" i="6"/>
  <c r="AI185" i="2"/>
  <c r="AC99" i="6"/>
  <c r="AC207" i="2"/>
  <c r="AC212" i="2"/>
  <c r="J100" i="5"/>
  <c r="J66" i="5"/>
  <c r="J101" i="5" s="1"/>
  <c r="AG97" i="6"/>
  <c r="AH185" i="2"/>
  <c r="AH97" i="6" s="1"/>
  <c r="AH140" i="6"/>
  <c r="AH271" i="2"/>
  <c r="AB70" i="6"/>
  <c r="AB143" i="2"/>
  <c r="AK126" i="6"/>
  <c r="AJ40" i="6"/>
  <c r="AJ90" i="2"/>
  <c r="AJ315" i="2"/>
  <c r="J42" i="5"/>
  <c r="AG45" i="6"/>
  <c r="AG101" i="2"/>
  <c r="AH139" i="6"/>
  <c r="AH270" i="2"/>
  <c r="AC69" i="6"/>
  <c r="F44" i="1"/>
  <c r="AC142" i="2"/>
  <c r="AJ102" i="6"/>
  <c r="AJ194" i="2"/>
  <c r="AJ106" i="6" s="1"/>
  <c r="AI127" i="2"/>
  <c r="AI110" i="2"/>
  <c r="AI43" i="6"/>
  <c r="AI99" i="2"/>
  <c r="AI44" i="6" s="1"/>
  <c r="AI100" i="2"/>
  <c r="Z153" i="6"/>
  <c r="AF50" i="6"/>
  <c r="AF118" i="2"/>
  <c r="AF53" i="6" s="1"/>
  <c r="AF116" i="2"/>
  <c r="AF51" i="6" s="1"/>
  <c r="AF117" i="2"/>
  <c r="AF52" i="6" s="1"/>
  <c r="AF261" i="2"/>
  <c r="Y122" i="6"/>
  <c r="Y227" i="2"/>
  <c r="Y258" i="2"/>
  <c r="Y260" i="2" s="1"/>
  <c r="AG141" i="6"/>
  <c r="AG244" i="2"/>
  <c r="AG144" i="6" s="1"/>
  <c r="AK24" i="6"/>
  <c r="AK89" i="2"/>
  <c r="AK71" i="2"/>
  <c r="AK64" i="2"/>
  <c r="AK57" i="2"/>
  <c r="AK103" i="2"/>
  <c r="AK190" i="2"/>
  <c r="AK27" i="2"/>
  <c r="AK25" i="6" s="1"/>
  <c r="AK52" i="2"/>
  <c r="AK58" i="3"/>
  <c r="AK57" i="3"/>
  <c r="AK155" i="2"/>
  <c r="AK56" i="3"/>
  <c r="AE128" i="6"/>
  <c r="AF228" i="2"/>
  <c r="AJ104" i="2"/>
  <c r="AJ166" i="2"/>
  <c r="AK179" i="2"/>
  <c r="AF138" i="2"/>
  <c r="AB212" i="2"/>
  <c r="AB99" i="6"/>
  <c r="AB207" i="2"/>
  <c r="AJ37" i="6"/>
  <c r="AJ65" i="2"/>
  <c r="AG47" i="6"/>
  <c r="AG113" i="2"/>
  <c r="AG115" i="2"/>
  <c r="AG111" i="2"/>
  <c r="AG112" i="2"/>
  <c r="AJ72" i="2"/>
  <c r="AJ38" i="6"/>
  <c r="J39" i="5"/>
  <c r="J57" i="5"/>
  <c r="AA71" i="6"/>
  <c r="AH136" i="6"/>
  <c r="AH269" i="2"/>
  <c r="AH241" i="2"/>
  <c r="AH265" i="2"/>
  <c r="AA117" i="6"/>
  <c r="AI78" i="6"/>
  <c r="AI167" i="2"/>
  <c r="I110" i="5"/>
  <c r="F49" i="1"/>
  <c r="F50" i="1" s="1"/>
  <c r="I115" i="5"/>
  <c r="AG57" i="6"/>
  <c r="AG128" i="2"/>
  <c r="AG130" i="2"/>
  <c r="AG135" i="2" s="1"/>
  <c r="AG93" i="6"/>
  <c r="AE66" i="6"/>
  <c r="AE141" i="2"/>
  <c r="AE139" i="2"/>
  <c r="AE67" i="6" s="1"/>
  <c r="AA213" i="2"/>
  <c r="AA215" i="2"/>
  <c r="AA216" i="2" s="1"/>
  <c r="AL138" i="6"/>
  <c r="AM238" i="2"/>
  <c r="AM138" i="6" s="1"/>
  <c r="AD76" i="6"/>
  <c r="AD187" i="2"/>
  <c r="AJ36" i="6"/>
  <c r="AJ236" i="2"/>
  <c r="AJ239" i="2"/>
  <c r="AJ240" i="2"/>
  <c r="AJ58" i="2"/>
  <c r="AJ152" i="2"/>
  <c r="AH181" i="2"/>
  <c r="AI139" i="6"/>
  <c r="AI184" i="2"/>
  <c r="K107" i="5" l="1"/>
  <c r="L107" i="5" s="1"/>
  <c r="M107" i="5" s="1"/>
  <c r="N107" i="5" s="1"/>
  <c r="O107" i="5" s="1"/>
  <c r="P107" i="5" s="1"/>
  <c r="L9" i="5"/>
  <c r="AH110" i="2"/>
  <c r="AH113" i="2" s="1"/>
  <c r="AH33" i="6"/>
  <c r="AL53" i="3"/>
  <c r="AH99" i="2"/>
  <c r="AH127" i="2"/>
  <c r="AH57" i="6" s="1"/>
  <c r="AH43" i="6"/>
  <c r="AL226" i="2"/>
  <c r="AL179" i="2" s="1"/>
  <c r="AM179" i="2" s="1"/>
  <c r="AM17" i="2"/>
  <c r="AL264" i="2"/>
  <c r="AM26" i="2"/>
  <c r="AL17" i="2"/>
  <c r="AM53" i="3"/>
  <c r="K23" i="5"/>
  <c r="K29" i="5"/>
  <c r="C167" i="5" s="1"/>
  <c r="I89" i="5"/>
  <c r="AF136" i="2"/>
  <c r="AF64" i="6" s="1"/>
  <c r="AF164" i="2"/>
  <c r="AF76" i="6" s="1"/>
  <c r="AG138" i="2"/>
  <c r="AG66" i="6" s="1"/>
  <c r="AA119" i="6"/>
  <c r="AA222" i="2"/>
  <c r="AB209" i="2"/>
  <c r="AB210" i="2" s="1"/>
  <c r="AC117" i="6"/>
  <c r="AC210" i="2"/>
  <c r="AJ43" i="6"/>
  <c r="AJ127" i="2"/>
  <c r="AJ110" i="2"/>
  <c r="AJ99" i="2"/>
  <c r="AJ44" i="6" s="1"/>
  <c r="AJ100" i="2"/>
  <c r="AJ140" i="6"/>
  <c r="AJ185" i="2"/>
  <c r="AJ97" i="6" s="1"/>
  <c r="AG58" i="6"/>
  <c r="AH130" i="2"/>
  <c r="AK91" i="6"/>
  <c r="AK38" i="6"/>
  <c r="AK72" i="2"/>
  <c r="AI93" i="6"/>
  <c r="Z122" i="6"/>
  <c r="Z227" i="2"/>
  <c r="Z258" i="2"/>
  <c r="Z260" i="2" s="1"/>
  <c r="AG63" i="6"/>
  <c r="AG164" i="2"/>
  <c r="AG136" i="2"/>
  <c r="AG64" i="6" s="1"/>
  <c r="AI97" i="6"/>
  <c r="AB152" i="6"/>
  <c r="AB253" i="2"/>
  <c r="AB259" i="2"/>
  <c r="AE69" i="6"/>
  <c r="AE142" i="2"/>
  <c r="AF141" i="2"/>
  <c r="AF66" i="6"/>
  <c r="AF139" i="2"/>
  <c r="AF67" i="6" s="1"/>
  <c r="AI45" i="6"/>
  <c r="AI101" i="2"/>
  <c r="AI96" i="6"/>
  <c r="AD99" i="6"/>
  <c r="AD212" i="2"/>
  <c r="AD207" i="2"/>
  <c r="AB117" i="6"/>
  <c r="AF128" i="6"/>
  <c r="AG228" i="2"/>
  <c r="AK102" i="6"/>
  <c r="AK194" i="2"/>
  <c r="AK106" i="6" s="1"/>
  <c r="AB263" i="2"/>
  <c r="AG50" i="6"/>
  <c r="AG118" i="2"/>
  <c r="AG53" i="6" s="1"/>
  <c r="AG116" i="2"/>
  <c r="AG51" i="6" s="1"/>
  <c r="AG117" i="2"/>
  <c r="AG52" i="6" s="1"/>
  <c r="AG261" i="2"/>
  <c r="M9" i="5"/>
  <c r="AJ78" i="6"/>
  <c r="AJ167" i="2"/>
  <c r="AJ79" i="6" s="1"/>
  <c r="AL24" i="6"/>
  <c r="AL89" i="2"/>
  <c r="AM89" i="2" s="1"/>
  <c r="AL71" i="2"/>
  <c r="AM71" i="2" s="1"/>
  <c r="AL27" i="2"/>
  <c r="AL25" i="6" s="1"/>
  <c r="AL190" i="2"/>
  <c r="AL103" i="2"/>
  <c r="AM103" i="2" s="1"/>
  <c r="AL52" i="2"/>
  <c r="AL64" i="2"/>
  <c r="AL57" i="2"/>
  <c r="AM57" i="2" s="1"/>
  <c r="AL58" i="3"/>
  <c r="AL57" i="3"/>
  <c r="AL155" i="2"/>
  <c r="AL56" i="3"/>
  <c r="AH45" i="6"/>
  <c r="AH101" i="2"/>
  <c r="AK166" i="2"/>
  <c r="AK104" i="2"/>
  <c r="Y127" i="6"/>
  <c r="Y233" i="2"/>
  <c r="AI47" i="6"/>
  <c r="AI115" i="2"/>
  <c r="AI111" i="2"/>
  <c r="AI112" i="2"/>
  <c r="AI113" i="2"/>
  <c r="AC70" i="6"/>
  <c r="AC143" i="2"/>
  <c r="F45" i="1"/>
  <c r="AC150" i="6"/>
  <c r="AD250" i="2"/>
  <c r="AC252" i="2"/>
  <c r="AC263" i="2" s="1"/>
  <c r="AE99" i="6"/>
  <c r="AE212" i="2"/>
  <c r="AE207" i="2"/>
  <c r="AK37" i="6"/>
  <c r="AK65" i="2"/>
  <c r="AJ139" i="6"/>
  <c r="AJ184" i="2"/>
  <c r="AJ96" i="6" s="1"/>
  <c r="AI79" i="6"/>
  <c r="AK40" i="6"/>
  <c r="AK90" i="2"/>
  <c r="AK315" i="2"/>
  <c r="AJ136" i="6"/>
  <c r="AJ265" i="2"/>
  <c r="AJ241" i="2"/>
  <c r="AJ181" i="2"/>
  <c r="AK54" i="2"/>
  <c r="AK34" i="6" s="1"/>
  <c r="AK98" i="2"/>
  <c r="AK32" i="6"/>
  <c r="AK53" i="2"/>
  <c r="AK33" i="6" s="1"/>
  <c r="AI141" i="6"/>
  <c r="AI244" i="2"/>
  <c r="AI144" i="6" s="1"/>
  <c r="J68" i="5"/>
  <c r="J62" i="5"/>
  <c r="J63" i="5"/>
  <c r="J82" i="5"/>
  <c r="AH93" i="6"/>
  <c r="J104" i="5"/>
  <c r="J105" i="5" s="1"/>
  <c r="AH141" i="6"/>
  <c r="AH244" i="2"/>
  <c r="AH144" i="6" s="1"/>
  <c r="AB215" i="2"/>
  <c r="AB216" i="2" s="1"/>
  <c r="AB213" i="2"/>
  <c r="AK59" i="3"/>
  <c r="AK240" i="2"/>
  <c r="AK236" i="2"/>
  <c r="AK239" i="2"/>
  <c r="AK36" i="6"/>
  <c r="AK152" i="2"/>
  <c r="AK58" i="2"/>
  <c r="AI57" i="6"/>
  <c r="AI128" i="2"/>
  <c r="AB71" i="6"/>
  <c r="AC213" i="2"/>
  <c r="AC215" i="2"/>
  <c r="AC216" i="2" s="1"/>
  <c r="AA153" i="6"/>
  <c r="L27" i="5" l="1"/>
  <c r="L22" i="5"/>
  <c r="AL91" i="6"/>
  <c r="AH111" i="2"/>
  <c r="AH47" i="6"/>
  <c r="AH112" i="2"/>
  <c r="AH115" i="2"/>
  <c r="AH128" i="2"/>
  <c r="AH138" i="2"/>
  <c r="AH66" i="6" s="1"/>
  <c r="AH44" i="6"/>
  <c r="AM226" i="2"/>
  <c r="AM126" i="6" s="1"/>
  <c r="AL126" i="6"/>
  <c r="AM57" i="3"/>
  <c r="AM56" i="3"/>
  <c r="AM58" i="3"/>
  <c r="AM155" i="2"/>
  <c r="AM52" i="2"/>
  <c r="AM54" i="2" s="1"/>
  <c r="AM34" i="6" s="1"/>
  <c r="AM27" i="2"/>
  <c r="AM25" i="6" s="1"/>
  <c r="AM24" i="6"/>
  <c r="K30" i="5"/>
  <c r="K14" i="5"/>
  <c r="K74" i="5"/>
  <c r="L74" i="5" s="1"/>
  <c r="M74" i="5" s="1"/>
  <c r="C15" i="4"/>
  <c r="AH164" i="2"/>
  <c r="AH76" i="6" s="1"/>
  <c r="AA217" i="2"/>
  <c r="AG139" i="2"/>
  <c r="AG67" i="6" s="1"/>
  <c r="AF187" i="2"/>
  <c r="AF99" i="6" s="1"/>
  <c r="AG141" i="2"/>
  <c r="AG69" i="6" s="1"/>
  <c r="AL59" i="3"/>
  <c r="AM38" i="6"/>
  <c r="K44" i="5"/>
  <c r="AM73" i="2"/>
  <c r="AM72" i="2"/>
  <c r="AM105" i="2"/>
  <c r="K65" i="5"/>
  <c r="AM166" i="2"/>
  <c r="AM78" i="6" s="1"/>
  <c r="AM104" i="2"/>
  <c r="AK43" i="6"/>
  <c r="AK99" i="2"/>
  <c r="AK44" i="6" s="1"/>
  <c r="AK100" i="2"/>
  <c r="AK127" i="2"/>
  <c r="AK110" i="2"/>
  <c r="AE117" i="6"/>
  <c r="AC71" i="6"/>
  <c r="AL37" i="6"/>
  <c r="AL65" i="2"/>
  <c r="AD215" i="2"/>
  <c r="AD216" i="2" s="1"/>
  <c r="AD213" i="2"/>
  <c r="AM36" i="6"/>
  <c r="K38" i="5"/>
  <c r="AM58" i="2"/>
  <c r="AM59" i="2"/>
  <c r="AK139" i="6"/>
  <c r="AK184" i="2"/>
  <c r="AK96" i="6" s="1"/>
  <c r="AE215" i="2"/>
  <c r="AE216" i="2" s="1"/>
  <c r="AE213" i="2"/>
  <c r="Y133" i="6"/>
  <c r="Y155" i="6" s="1"/>
  <c r="Y262" i="2"/>
  <c r="Y254" i="2"/>
  <c r="AL32" i="6"/>
  <c r="AL98" i="2"/>
  <c r="AL54" i="2"/>
  <c r="AL34" i="6" s="1"/>
  <c r="AL53" i="2"/>
  <c r="AL33" i="6" s="1"/>
  <c r="AJ47" i="6"/>
  <c r="AJ111" i="2"/>
  <c r="AJ112" i="2"/>
  <c r="AJ115" i="2"/>
  <c r="AJ113" i="2"/>
  <c r="AK136" i="6"/>
  <c r="AK265" i="2"/>
  <c r="AK241" i="2"/>
  <c r="AK181" i="2"/>
  <c r="AK140" i="6"/>
  <c r="AK185" i="2"/>
  <c r="AK97" i="6" s="1"/>
  <c r="AL194" i="2"/>
  <c r="AL106" i="6" s="1"/>
  <c r="AL102" i="6"/>
  <c r="AM190" i="2"/>
  <c r="AB153" i="6"/>
  <c r="AG76" i="6"/>
  <c r="AG187" i="2"/>
  <c r="AH58" i="6"/>
  <c r="AH131" i="2"/>
  <c r="J84" i="5"/>
  <c r="J85" i="5" s="1"/>
  <c r="J108" i="5" s="1"/>
  <c r="AM64" i="2"/>
  <c r="AH135" i="2"/>
  <c r="AD150" i="6"/>
  <c r="AE250" i="2"/>
  <c r="AD252" i="2"/>
  <c r="AD263" i="2" s="1"/>
  <c r="M22" i="5"/>
  <c r="M27" i="5"/>
  <c r="AC119" i="6"/>
  <c r="AD209" i="2"/>
  <c r="AH209" i="2" s="1"/>
  <c r="AC222" i="2"/>
  <c r="AC217" i="2" s="1"/>
  <c r="AA122" i="6"/>
  <c r="AA227" i="2"/>
  <c r="AA258" i="2"/>
  <c r="AA260" i="2" s="1"/>
  <c r="AJ93" i="6"/>
  <c r="AJ141" i="6"/>
  <c r="AJ244" i="2"/>
  <c r="AJ144" i="6" s="1"/>
  <c r="AC152" i="6"/>
  <c r="F54" i="1"/>
  <c r="AC253" i="2"/>
  <c r="AC259" i="2"/>
  <c r="N9" i="5"/>
  <c r="AB119" i="6"/>
  <c r="AB222" i="2"/>
  <c r="AB217" i="2" s="1"/>
  <c r="AE70" i="6"/>
  <c r="AE143" i="2"/>
  <c r="AE71" i="6" s="1"/>
  <c r="J112" i="5"/>
  <c r="AL90" i="2"/>
  <c r="AL40" i="6"/>
  <c r="AL315" i="2"/>
  <c r="Z127" i="6"/>
  <c r="Z233" i="2"/>
  <c r="Z262" i="2" s="1"/>
  <c r="AL166" i="2"/>
  <c r="AL104" i="2"/>
  <c r="AF69" i="6"/>
  <c r="AF142" i="2"/>
  <c r="AJ57" i="6"/>
  <c r="AJ128" i="2"/>
  <c r="J69" i="5"/>
  <c r="J76" i="5"/>
  <c r="J70" i="5"/>
  <c r="AG128" i="6"/>
  <c r="AH228" i="2"/>
  <c r="AK78" i="6"/>
  <c r="AK167" i="2"/>
  <c r="AK79" i="6" s="1"/>
  <c r="AL38" i="6"/>
  <c r="AL72" i="2"/>
  <c r="K50" i="5"/>
  <c r="AM40" i="6"/>
  <c r="AM90" i="2"/>
  <c r="AM91" i="2"/>
  <c r="AM315" i="2"/>
  <c r="AI50" i="6"/>
  <c r="AI116" i="2"/>
  <c r="AI51" i="6" s="1"/>
  <c r="AI117" i="2"/>
  <c r="AI52" i="6" s="1"/>
  <c r="AI118" i="2"/>
  <c r="AI53" i="6" s="1"/>
  <c r="AI261" i="2"/>
  <c r="AL239" i="2"/>
  <c r="AL240" i="2"/>
  <c r="AL236" i="2"/>
  <c r="AL36" i="6"/>
  <c r="AL152" i="2"/>
  <c r="AL58" i="2"/>
  <c r="AD117" i="6"/>
  <c r="AM91" i="6"/>
  <c r="AJ45" i="6"/>
  <c r="AJ101" i="2"/>
  <c r="C9" i="4" l="1"/>
  <c r="C14" i="4" s="1"/>
  <c r="C16" i="4" s="1"/>
  <c r="C6" i="4" s="1"/>
  <c r="M106" i="5"/>
  <c r="L29" i="5"/>
  <c r="L23" i="5"/>
  <c r="L106" i="5"/>
  <c r="AM32" i="6"/>
  <c r="AH50" i="6"/>
  <c r="AH261" i="2"/>
  <c r="AH116" i="2"/>
  <c r="AH51" i="6" s="1"/>
  <c r="AH117" i="2"/>
  <c r="AH118" i="2"/>
  <c r="AH2" i="2" s="1"/>
  <c r="AH139" i="2"/>
  <c r="AH67" i="6" s="1"/>
  <c r="AH141" i="2"/>
  <c r="AM268" i="2"/>
  <c r="AM53" i="2"/>
  <c r="AM33" i="6" s="1"/>
  <c r="AM59" i="3"/>
  <c r="AH187" i="2"/>
  <c r="AH99" i="6" s="1"/>
  <c r="AF207" i="2"/>
  <c r="AF117" i="6" s="1"/>
  <c r="AF212" i="2"/>
  <c r="AF213" i="2" s="1"/>
  <c r="AG142" i="2"/>
  <c r="AG70" i="6" s="1"/>
  <c r="N74" i="5"/>
  <c r="K51" i="5"/>
  <c r="L51" i="5" s="1"/>
  <c r="N27" i="5"/>
  <c r="N22" i="5"/>
  <c r="AD253" i="2"/>
  <c r="AD152" i="6"/>
  <c r="AD259" i="2"/>
  <c r="AK141" i="6"/>
  <c r="AK244" i="2"/>
  <c r="AK144" i="6" s="1"/>
  <c r="AL99" i="2"/>
  <c r="AL44" i="6" s="1"/>
  <c r="AL43" i="6"/>
  <c r="AL100" i="2"/>
  <c r="AL127" i="2"/>
  <c r="AL110" i="2"/>
  <c r="AC153" i="6"/>
  <c r="AH63" i="6"/>
  <c r="AH136" i="2"/>
  <c r="AH59" i="6"/>
  <c r="AI131" i="2"/>
  <c r="AK45" i="6"/>
  <c r="AK101" i="2"/>
  <c r="P9" i="5"/>
  <c r="O9" i="5"/>
  <c r="AK113" i="2"/>
  <c r="AK112" i="2"/>
  <c r="AK47" i="6"/>
  <c r="AK115" i="2"/>
  <c r="AK111" i="2"/>
  <c r="AD210" i="2"/>
  <c r="AL136" i="6"/>
  <c r="AL265" i="2"/>
  <c r="AM236" i="2"/>
  <c r="AL181" i="2"/>
  <c r="AL241" i="2"/>
  <c r="AA127" i="6"/>
  <c r="AA233" i="2"/>
  <c r="AA262" i="2" s="1"/>
  <c r="K41" i="5"/>
  <c r="AM37" i="6"/>
  <c r="AM65" i="2"/>
  <c r="AM66" i="2"/>
  <c r="AJ50" i="6"/>
  <c r="AJ117" i="2"/>
  <c r="AJ52" i="6" s="1"/>
  <c r="AJ116" i="2"/>
  <c r="AJ51" i="6" s="1"/>
  <c r="AJ118" i="2"/>
  <c r="AJ53" i="6" s="1"/>
  <c r="AJ261" i="2"/>
  <c r="K39" i="5"/>
  <c r="L39" i="5" s="1"/>
  <c r="M39" i="5" s="1"/>
  <c r="N39" i="5" s="1"/>
  <c r="O39" i="5" s="1"/>
  <c r="P39" i="5" s="1"/>
  <c r="AH128" i="6"/>
  <c r="AI228" i="2"/>
  <c r="AM102" i="6"/>
  <c r="K102" i="5"/>
  <c r="K103" i="5" s="1"/>
  <c r="L103" i="5" s="1"/>
  <c r="AM194" i="2"/>
  <c r="AM106" i="6" s="1"/>
  <c r="AM266" i="2"/>
  <c r="K100" i="5"/>
  <c r="K66" i="5"/>
  <c r="Z133" i="6"/>
  <c r="Z155" i="6" s="1"/>
  <c r="Z254" i="2"/>
  <c r="AG99" i="6"/>
  <c r="AG212" i="2"/>
  <c r="AG207" i="2"/>
  <c r="K45" i="5"/>
  <c r="L45" i="5" s="1"/>
  <c r="M45" i="5" s="1"/>
  <c r="N45" i="5" s="1"/>
  <c r="O45" i="5" s="1"/>
  <c r="AK93" i="6"/>
  <c r="AL167" i="2"/>
  <c r="AL79" i="6" s="1"/>
  <c r="AL78" i="6"/>
  <c r="AF250" i="2"/>
  <c r="AE150" i="6"/>
  <c r="AE252" i="2"/>
  <c r="AE263" i="2" s="1"/>
  <c r="AK57" i="6"/>
  <c r="AK128" i="2"/>
  <c r="AL185" i="2"/>
  <c r="AM240" i="2"/>
  <c r="AL140" i="6"/>
  <c r="AL139" i="6"/>
  <c r="AL184" i="2"/>
  <c r="AL96" i="6" s="1"/>
  <c r="AM239" i="2"/>
  <c r="J78" i="5"/>
  <c r="J77" i="5"/>
  <c r="AF70" i="6"/>
  <c r="AF143" i="2"/>
  <c r="AF71" i="6" s="1"/>
  <c r="AB122" i="6"/>
  <c r="AB227" i="2"/>
  <c r="AB258" i="2"/>
  <c r="AB260" i="2" s="1"/>
  <c r="AC122" i="6"/>
  <c r="AC227" i="2"/>
  <c r="AC258" i="2"/>
  <c r="AC260" i="2" s="1"/>
  <c r="M29" i="5"/>
  <c r="M23" i="5"/>
  <c r="AM98" i="2"/>
  <c r="J86" i="5"/>
  <c r="N106" i="5" l="1"/>
  <c r="L73" i="5"/>
  <c r="L94" i="5" s="1"/>
  <c r="L14" i="5"/>
  <c r="L30" i="5"/>
  <c r="AH52" i="6"/>
  <c r="AH53" i="6"/>
  <c r="AH142" i="2"/>
  <c r="AH69" i="6"/>
  <c r="AH212" i="2"/>
  <c r="AH207" i="2"/>
  <c r="AH210" i="2" s="1"/>
  <c r="L44" i="5"/>
  <c r="P45" i="5"/>
  <c r="AF215" i="2"/>
  <c r="AF216" i="2" s="1"/>
  <c r="AG143" i="2"/>
  <c r="AG71" i="6" s="1"/>
  <c r="L38" i="5"/>
  <c r="AI128" i="6"/>
  <c r="AJ228" i="2"/>
  <c r="K42" i="5"/>
  <c r="L42" i="5" s="1"/>
  <c r="AD119" i="6"/>
  <c r="AD222" i="2"/>
  <c r="AD217" i="2" s="1"/>
  <c r="AE209" i="2"/>
  <c r="AE210" i="2" s="1"/>
  <c r="AL47" i="6"/>
  <c r="AL112" i="2"/>
  <c r="AL113" i="2"/>
  <c r="AL111" i="2"/>
  <c r="AL115" i="2"/>
  <c r="AG117" i="6"/>
  <c r="AA133" i="6"/>
  <c r="AA155" i="6" s="1"/>
  <c r="AA254" i="2"/>
  <c r="AL57" i="6"/>
  <c r="AL128" i="2"/>
  <c r="M30" i="5"/>
  <c r="M38" i="5"/>
  <c r="M14" i="5"/>
  <c r="AC127" i="6"/>
  <c r="AC233" i="2"/>
  <c r="AE152" i="6"/>
  <c r="AE253" i="2"/>
  <c r="AE259" i="2"/>
  <c r="AL93" i="6"/>
  <c r="AI59" i="6"/>
  <c r="AJ131" i="2"/>
  <c r="AI130" i="2"/>
  <c r="AM139" i="6"/>
  <c r="AM270" i="2"/>
  <c r="AG215" i="2"/>
  <c r="AG216" i="2" s="1"/>
  <c r="AG213" i="2"/>
  <c r="K57" i="5"/>
  <c r="M51" i="5"/>
  <c r="L50" i="5"/>
  <c r="J109" i="5"/>
  <c r="J88" i="5"/>
  <c r="AM184" i="2"/>
  <c r="AM96" i="6" s="1"/>
  <c r="AM136" i="6"/>
  <c r="AM269" i="2"/>
  <c r="AM241" i="2"/>
  <c r="AM265" i="2"/>
  <c r="O74" i="5"/>
  <c r="AL101" i="2"/>
  <c r="AL45" i="6"/>
  <c r="AL97" i="6"/>
  <c r="AM185" i="2"/>
  <c r="AM97" i="6" s="1"/>
  <c r="AL141" i="6"/>
  <c r="AL244" i="2"/>
  <c r="AL144" i="6" s="1"/>
  <c r="K101" i="5"/>
  <c r="L102" i="5"/>
  <c r="M103" i="5"/>
  <c r="O27" i="5"/>
  <c r="O22" i="5"/>
  <c r="M73" i="5"/>
  <c r="AM140" i="6"/>
  <c r="AM271" i="2"/>
  <c r="AK117" i="2"/>
  <c r="AK52" i="6" s="1"/>
  <c r="AK118" i="2"/>
  <c r="AK53" i="6" s="1"/>
  <c r="AK116" i="2"/>
  <c r="AK51" i="6" s="1"/>
  <c r="AK50" i="6"/>
  <c r="AK261" i="2"/>
  <c r="AD153" i="6"/>
  <c r="AM100" i="2"/>
  <c r="AM43" i="6"/>
  <c r="AM99" i="2"/>
  <c r="AM44" i="6" s="1"/>
  <c r="AM127" i="2"/>
  <c r="AM110" i="2"/>
  <c r="AF150" i="6"/>
  <c r="AG250" i="2"/>
  <c r="AF252" i="2"/>
  <c r="AB233" i="2"/>
  <c r="AB262" i="2" s="1"/>
  <c r="AB127" i="6"/>
  <c r="P22" i="5"/>
  <c r="P27" i="5"/>
  <c r="AH64" i="6"/>
  <c r="AM167" i="2"/>
  <c r="AM79" i="6" s="1"/>
  <c r="N29" i="5"/>
  <c r="N23" i="5"/>
  <c r="AM181" i="2"/>
  <c r="O106" i="5" l="1"/>
  <c r="N73" i="5"/>
  <c r="AH143" i="2"/>
  <c r="AH71" i="6" s="1"/>
  <c r="AH70" i="6"/>
  <c r="P106" i="5"/>
  <c r="AH117" i="6"/>
  <c r="AH215" i="2"/>
  <c r="AH216" i="2" s="1"/>
  <c r="AH213" i="2"/>
  <c r="M44" i="5"/>
  <c r="K82" i="5"/>
  <c r="K68" i="5"/>
  <c r="K63" i="5"/>
  <c r="K62" i="5"/>
  <c r="AM45" i="6"/>
  <c r="AM101" i="2"/>
  <c r="O23" i="5"/>
  <c r="O29" i="5"/>
  <c r="AC133" i="6"/>
  <c r="AC155" i="6" s="1"/>
  <c r="F52" i="1"/>
  <c r="AC262" i="2"/>
  <c r="AC254" i="2"/>
  <c r="AF152" i="6"/>
  <c r="AF253" i="2"/>
  <c r="AF259" i="2"/>
  <c r="J110" i="5"/>
  <c r="AJ128" i="6"/>
  <c r="AK228" i="2"/>
  <c r="AM93" i="6"/>
  <c r="K104" i="5"/>
  <c r="AM47" i="6"/>
  <c r="AM112" i="2"/>
  <c r="AM113" i="2"/>
  <c r="AM115" i="2"/>
  <c r="AM111" i="2"/>
  <c r="N103" i="5"/>
  <c r="M102" i="5"/>
  <c r="P74" i="5"/>
  <c r="M50" i="5"/>
  <c r="N51" i="5"/>
  <c r="AF263" i="2"/>
  <c r="AD227" i="2"/>
  <c r="AD122" i="6"/>
  <c r="AD258" i="2"/>
  <c r="AD260" i="2" s="1"/>
  <c r="AM141" i="6"/>
  <c r="AM244" i="2"/>
  <c r="AM144" i="6" s="1"/>
  <c r="AG150" i="6"/>
  <c r="AH250" i="2"/>
  <c r="AG252" i="2"/>
  <c r="AG263" i="2" s="1"/>
  <c r="AM57" i="6"/>
  <c r="AM128" i="2"/>
  <c r="M94" i="5"/>
  <c r="AI58" i="6"/>
  <c r="AI135" i="2"/>
  <c r="AI138" i="2"/>
  <c r="AL117" i="2"/>
  <c r="AL52" i="6" s="1"/>
  <c r="AL118" i="2"/>
  <c r="AL53" i="6" s="1"/>
  <c r="AL50" i="6"/>
  <c r="AL116" i="2"/>
  <c r="AL51" i="6" s="1"/>
  <c r="AL261" i="2"/>
  <c r="J91" i="5"/>
  <c r="J92" i="5" s="1"/>
  <c r="J89" i="5"/>
  <c r="AF209" i="2"/>
  <c r="AF210" i="2" s="1"/>
  <c r="AE222" i="2"/>
  <c r="AE217" i="2" s="1"/>
  <c r="AE119" i="6"/>
  <c r="P23" i="5"/>
  <c r="P29" i="5"/>
  <c r="N44" i="5"/>
  <c r="N38" i="5"/>
  <c r="N30" i="5"/>
  <c r="N14" i="5"/>
  <c r="AB133" i="6"/>
  <c r="AB155" i="6" s="1"/>
  <c r="AB254" i="2"/>
  <c r="AI209" i="2"/>
  <c r="AM209" i="2" s="1"/>
  <c r="AH119" i="6"/>
  <c r="AH222" i="2"/>
  <c r="AH217" i="2" s="1"/>
  <c r="AJ59" i="6"/>
  <c r="AK131" i="2"/>
  <c r="AJ130" i="2"/>
  <c r="AE153" i="6"/>
  <c r="M42" i="5"/>
  <c r="L41" i="5"/>
  <c r="C123" i="5" l="1"/>
  <c r="N94" i="5"/>
  <c r="S29" i="5"/>
  <c r="O73" i="5"/>
  <c r="L57" i="5"/>
  <c r="AI66" i="6"/>
  <c r="AI139" i="2"/>
  <c r="AI67" i="6" s="1"/>
  <c r="AI141" i="2"/>
  <c r="O30" i="5"/>
  <c r="O44" i="5"/>
  <c r="O38" i="5"/>
  <c r="O14" i="5"/>
  <c r="AE122" i="6"/>
  <c r="AE227" i="2"/>
  <c r="AE258" i="2"/>
  <c r="AE260" i="2" s="1"/>
  <c r="AH150" i="6"/>
  <c r="AH252" i="2"/>
  <c r="AH263" i="2" s="1"/>
  <c r="AM50" i="6"/>
  <c r="AM118" i="2"/>
  <c r="AM116" i="2"/>
  <c r="AM51" i="6" s="1"/>
  <c r="AM117" i="2"/>
  <c r="AM52" i="6" s="1"/>
  <c r="AM261" i="2"/>
  <c r="AI63" i="6"/>
  <c r="AI136" i="2"/>
  <c r="AI64" i="6" s="1"/>
  <c r="AI164" i="2"/>
  <c r="N102" i="5"/>
  <c r="O103" i="5"/>
  <c r="AF119" i="6"/>
  <c r="AF222" i="2"/>
  <c r="AF217" i="2" s="1"/>
  <c r="AG209" i="2"/>
  <c r="AG210" i="2" s="1"/>
  <c r="O51" i="5"/>
  <c r="N50" i="5"/>
  <c r="AK128" i="6"/>
  <c r="AL228" i="2"/>
  <c r="N42" i="5"/>
  <c r="M41" i="5"/>
  <c r="AJ58" i="6"/>
  <c r="AJ135" i="2"/>
  <c r="AJ138" i="2"/>
  <c r="AF153" i="6"/>
  <c r="K76" i="5"/>
  <c r="K70" i="5"/>
  <c r="K69" i="5"/>
  <c r="AD127" i="6"/>
  <c r="AD233" i="2"/>
  <c r="AH227" i="2"/>
  <c r="AH122" i="6"/>
  <c r="AH258" i="2"/>
  <c r="AH260" i="2" s="1"/>
  <c r="AG152" i="6"/>
  <c r="AG253" i="2"/>
  <c r="AG259" i="2"/>
  <c r="K105" i="5"/>
  <c r="L105" i="5" s="1"/>
  <c r="M105" i="5" s="1"/>
  <c r="N105" i="5" s="1"/>
  <c r="O105" i="5" s="1"/>
  <c r="P105" i="5" s="1"/>
  <c r="K112" i="5"/>
  <c r="AK59" i="6"/>
  <c r="AL131" i="2"/>
  <c r="AK130" i="2"/>
  <c r="P38" i="5"/>
  <c r="P30" i="5"/>
  <c r="P44" i="5"/>
  <c r="P14" i="5"/>
  <c r="P73" i="5"/>
  <c r="O94" i="5" l="1"/>
  <c r="P94" i="5" s="1"/>
  <c r="AM53" i="6"/>
  <c r="AM2" i="2"/>
  <c r="L104" i="5"/>
  <c r="M57" i="5"/>
  <c r="AH127" i="6"/>
  <c r="AH233" i="2"/>
  <c r="AG153" i="6"/>
  <c r="AJ66" i="6"/>
  <c r="AJ139" i="2"/>
  <c r="AJ67" i="6" s="1"/>
  <c r="AJ141" i="2"/>
  <c r="AG119" i="6"/>
  <c r="AG222" i="2"/>
  <c r="AG217" i="2" s="1"/>
  <c r="AD133" i="6"/>
  <c r="AD155" i="6" s="1"/>
  <c r="AD254" i="2"/>
  <c r="AD262" i="2"/>
  <c r="L63" i="5"/>
  <c r="L62" i="5"/>
  <c r="L82" i="5"/>
  <c r="AL128" i="6"/>
  <c r="AM228" i="2"/>
  <c r="AM128" i="6" s="1"/>
  <c r="AK58" i="6"/>
  <c r="AK135" i="2"/>
  <c r="AK138" i="2"/>
  <c r="AJ63" i="6"/>
  <c r="AJ164" i="2"/>
  <c r="AJ136" i="2"/>
  <c r="AJ64" i="6" s="1"/>
  <c r="AI69" i="6"/>
  <c r="AI142" i="2"/>
  <c r="O42" i="5"/>
  <c r="N41" i="5"/>
  <c r="AH152" i="6"/>
  <c r="AH253" i="2"/>
  <c r="AH259" i="2"/>
  <c r="AL59" i="6"/>
  <c r="AL130" i="2"/>
  <c r="AM130" i="2" s="1"/>
  <c r="O50" i="5"/>
  <c r="P51" i="5"/>
  <c r="P50" i="5" s="1"/>
  <c r="O102" i="5"/>
  <c r="AE127" i="6"/>
  <c r="AE233" i="2"/>
  <c r="AE262" i="2" s="1"/>
  <c r="K77" i="5"/>
  <c r="K78" i="5"/>
  <c r="AI76" i="6"/>
  <c r="AI187" i="2"/>
  <c r="AF122" i="6"/>
  <c r="AF227" i="2"/>
  <c r="AF258" i="2"/>
  <c r="AF260" i="2" s="1"/>
  <c r="AI250" i="2"/>
  <c r="C168" i="5" l="1"/>
  <c r="K84" i="5"/>
  <c r="AM58" i="6"/>
  <c r="AM131" i="2"/>
  <c r="AM59" i="6" s="1"/>
  <c r="AM135" i="2"/>
  <c r="AM138" i="2"/>
  <c r="AJ76" i="6"/>
  <c r="AJ187" i="2"/>
  <c r="M82" i="5"/>
  <c r="M62" i="5"/>
  <c r="M63" i="5"/>
  <c r="AF127" i="6"/>
  <c r="AF233" i="2"/>
  <c r="L84" i="5"/>
  <c r="L86" i="5" s="1"/>
  <c r="AE133" i="6"/>
  <c r="AE155" i="6" s="1"/>
  <c r="AE254" i="2"/>
  <c r="M104" i="5"/>
  <c r="AG227" i="2"/>
  <c r="AG122" i="6"/>
  <c r="AG258" i="2"/>
  <c r="AG260" i="2" s="1"/>
  <c r="AI99" i="6"/>
  <c r="AI207" i="2"/>
  <c r="AI212" i="2"/>
  <c r="AH153" i="6"/>
  <c r="AH254" i="2"/>
  <c r="AI70" i="6"/>
  <c r="AI143" i="2"/>
  <c r="AI71" i="6" s="1"/>
  <c r="AK66" i="6"/>
  <c r="AK139" i="2"/>
  <c r="AK67" i="6" s="1"/>
  <c r="AK141" i="2"/>
  <c r="AH133" i="6"/>
  <c r="AH262" i="2"/>
  <c r="AL58" i="6"/>
  <c r="AL138" i="2"/>
  <c r="AL135" i="2"/>
  <c r="AI150" i="6"/>
  <c r="AJ250" i="2"/>
  <c r="AI252" i="2"/>
  <c r="P42" i="5"/>
  <c r="P41" i="5" s="1"/>
  <c r="O41" i="5"/>
  <c r="AJ69" i="6"/>
  <c r="AJ142" i="2"/>
  <c r="AK63" i="6"/>
  <c r="AK164" i="2"/>
  <c r="AK136" i="2"/>
  <c r="AK64" i="6" s="1"/>
  <c r="P66" i="5"/>
  <c r="P102" i="5"/>
  <c r="N57" i="5"/>
  <c r="AH155" i="6" l="1"/>
  <c r="AL66" i="6"/>
  <c r="AL139" i="2"/>
  <c r="AL67" i="6" s="1"/>
  <c r="AL141" i="2"/>
  <c r="AI213" i="2"/>
  <c r="AI215" i="2"/>
  <c r="AI216" i="2" s="1"/>
  <c r="AF133" i="6"/>
  <c r="AF155" i="6" s="1"/>
  <c r="AF254" i="2"/>
  <c r="AK76" i="6"/>
  <c r="AK187" i="2"/>
  <c r="AI152" i="6"/>
  <c r="AI253" i="2"/>
  <c r="AI259" i="2"/>
  <c r="AI263" i="2"/>
  <c r="AI210" i="2"/>
  <c r="AI117" i="6"/>
  <c r="AM66" i="6"/>
  <c r="AM141" i="2"/>
  <c r="AM139" i="2"/>
  <c r="AF262" i="2"/>
  <c r="AM63" i="6"/>
  <c r="AM136" i="2"/>
  <c r="AM64" i="6" s="1"/>
  <c r="AJ150" i="6"/>
  <c r="AK250" i="2"/>
  <c r="AJ252" i="2"/>
  <c r="AJ70" i="6"/>
  <c r="AJ143" i="2"/>
  <c r="AJ71" i="6" s="1"/>
  <c r="AG127" i="6"/>
  <c r="AG233" i="2"/>
  <c r="M84" i="5"/>
  <c r="M86" i="5" s="1"/>
  <c r="N63" i="5"/>
  <c r="N62" i="5"/>
  <c r="N82" i="5"/>
  <c r="P101" i="5"/>
  <c r="P65" i="5"/>
  <c r="L66" i="5"/>
  <c r="AK69" i="6"/>
  <c r="AK142" i="2"/>
  <c r="N104" i="5"/>
  <c r="L88" i="5"/>
  <c r="P57" i="5"/>
  <c r="O57" i="5"/>
  <c r="AL63" i="6"/>
  <c r="AL164" i="2"/>
  <c r="AL136" i="2"/>
  <c r="AL64" i="6" s="1"/>
  <c r="AJ99" i="6"/>
  <c r="AJ212" i="2"/>
  <c r="AJ207" i="2"/>
  <c r="K85" i="5"/>
  <c r="K108" i="5" s="1"/>
  <c r="K86" i="5"/>
  <c r="M88" i="5" l="1"/>
  <c r="L65" i="5"/>
  <c r="L101" i="5"/>
  <c r="M66" i="5"/>
  <c r="AM67" i="6"/>
  <c r="AL76" i="6"/>
  <c r="AL187" i="2"/>
  <c r="P100" i="5"/>
  <c r="AG133" i="6"/>
  <c r="AG155" i="6" s="1"/>
  <c r="AG254" i="2"/>
  <c r="AJ152" i="6"/>
  <c r="AJ253" i="2"/>
  <c r="AJ259" i="2"/>
  <c r="L91" i="5"/>
  <c r="L89" i="5"/>
  <c r="O82" i="5"/>
  <c r="O62" i="5"/>
  <c r="O63" i="5"/>
  <c r="AJ117" i="6"/>
  <c r="O104" i="5"/>
  <c r="AK99" i="6"/>
  <c r="AK207" i="2"/>
  <c r="AK212" i="2"/>
  <c r="AL69" i="6"/>
  <c r="AL142" i="2"/>
  <c r="K109" i="5"/>
  <c r="K88" i="5"/>
  <c r="AM69" i="6"/>
  <c r="AM142" i="2"/>
  <c r="AJ215" i="2"/>
  <c r="AJ216" i="2" s="1"/>
  <c r="AJ213" i="2"/>
  <c r="AK150" i="6"/>
  <c r="AL250" i="2"/>
  <c r="AK252" i="2"/>
  <c r="AI153" i="6"/>
  <c r="P68" i="5"/>
  <c r="P62" i="5"/>
  <c r="P82" i="5"/>
  <c r="P63" i="5"/>
  <c r="AK70" i="6"/>
  <c r="AK143" i="2"/>
  <c r="AK71" i="6" s="1"/>
  <c r="AI119" i="6"/>
  <c r="AI222" i="2"/>
  <c r="AJ209" i="2"/>
  <c r="AJ210" i="2" s="1"/>
  <c r="N84" i="5"/>
  <c r="N86" i="5" s="1"/>
  <c r="AM164" i="2"/>
  <c r="AJ263" i="2"/>
  <c r="AG262" i="2"/>
  <c r="P104" i="5" l="1"/>
  <c r="N88" i="5"/>
  <c r="AK213" i="2"/>
  <c r="AK215" i="2"/>
  <c r="AK216" i="2" s="1"/>
  <c r="AK117" i="6"/>
  <c r="AJ153" i="6"/>
  <c r="AM76" i="6"/>
  <c r="AM187" i="2"/>
  <c r="AK152" i="6"/>
  <c r="AK253" i="2"/>
  <c r="AK259" i="2"/>
  <c r="P84" i="5"/>
  <c r="P86" i="5" s="1"/>
  <c r="AL150" i="6"/>
  <c r="AM250" i="2"/>
  <c r="AL252" i="2"/>
  <c r="AL263" i="2" s="1"/>
  <c r="K89" i="5"/>
  <c r="K91" i="5"/>
  <c r="K92" i="5" s="1"/>
  <c r="N66" i="5"/>
  <c r="M65" i="5"/>
  <c r="M101" i="5"/>
  <c r="K110" i="5"/>
  <c r="K115" i="5"/>
  <c r="L92" i="5"/>
  <c r="L100" i="5"/>
  <c r="L109" i="5" s="1"/>
  <c r="L68" i="5"/>
  <c r="AI122" i="6"/>
  <c r="AI227" i="2"/>
  <c r="AI258" i="2"/>
  <c r="AI260" i="2" s="1"/>
  <c r="AL70" i="6"/>
  <c r="AL143" i="2"/>
  <c r="AL71" i="6" s="1"/>
  <c r="AJ119" i="6"/>
  <c r="AK209" i="2"/>
  <c r="AK210" i="2" s="1"/>
  <c r="AJ222" i="2"/>
  <c r="AJ217" i="2" s="1"/>
  <c r="AM70" i="6"/>
  <c r="AM143" i="2"/>
  <c r="AM71" i="6" s="1"/>
  <c r="O84" i="5"/>
  <c r="O86" i="5" s="1"/>
  <c r="P70" i="5"/>
  <c r="P76" i="5"/>
  <c r="P69" i="5"/>
  <c r="AI217" i="2"/>
  <c r="AK263" i="2"/>
  <c r="AL99" i="6"/>
  <c r="AL212" i="2"/>
  <c r="AL207" i="2"/>
  <c r="M89" i="5"/>
  <c r="M91" i="5"/>
  <c r="M92" i="5" s="1"/>
  <c r="P109" i="5" l="1"/>
  <c r="P88" i="5"/>
  <c r="AL209" i="2"/>
  <c r="AL210" i="2" s="1"/>
  <c r="AK222" i="2"/>
  <c r="AK119" i="6"/>
  <c r="AL215" i="2"/>
  <c r="AL216" i="2" s="1"/>
  <c r="AL213" i="2"/>
  <c r="AJ227" i="2"/>
  <c r="AJ122" i="6"/>
  <c r="AJ258" i="2"/>
  <c r="AJ260" i="2" s="1"/>
  <c r="L69" i="5"/>
  <c r="L70" i="5"/>
  <c r="L76" i="5"/>
  <c r="M100" i="5"/>
  <c r="M109" i="5" s="1"/>
  <c r="M68" i="5"/>
  <c r="O88" i="5"/>
  <c r="AK153" i="6"/>
  <c r="P77" i="5"/>
  <c r="P78" i="5"/>
  <c r="N65" i="5"/>
  <c r="O66" i="5"/>
  <c r="N101" i="5"/>
  <c r="AL152" i="6"/>
  <c r="AL253" i="2"/>
  <c r="AL259" i="2"/>
  <c r="AM150" i="6"/>
  <c r="AM252" i="2"/>
  <c r="AL117" i="6"/>
  <c r="L110" i="5"/>
  <c r="L115" i="5"/>
  <c r="AM99" i="6"/>
  <c r="AM212" i="2"/>
  <c r="AM207" i="2"/>
  <c r="N89" i="5"/>
  <c r="N91" i="5"/>
  <c r="N92" i="5" s="1"/>
  <c r="AI127" i="6"/>
  <c r="AI233" i="2"/>
  <c r="AL119" i="6" l="1"/>
  <c r="AL222" i="2"/>
  <c r="AL217" i="2" s="1"/>
  <c r="AM215" i="2"/>
  <c r="AM216" i="2" s="1"/>
  <c r="AM213" i="2"/>
  <c r="AM152" i="6"/>
  <c r="AM253" i="2"/>
  <c r="AM259" i="2"/>
  <c r="AI133" i="6"/>
  <c r="AI155" i="6" s="1"/>
  <c r="AI262" i="2"/>
  <c r="AI254" i="2"/>
  <c r="AM263" i="2"/>
  <c r="N100" i="5"/>
  <c r="N109" i="5" s="1"/>
  <c r="N68" i="5"/>
  <c r="O89" i="5"/>
  <c r="O91" i="5"/>
  <c r="O92" i="5" s="1"/>
  <c r="AM117" i="6"/>
  <c r="AM210" i="2"/>
  <c r="O101" i="5"/>
  <c r="O65" i="5"/>
  <c r="AK122" i="6"/>
  <c r="AK227" i="2"/>
  <c r="AK258" i="2"/>
  <c r="AK260" i="2" s="1"/>
  <c r="AK217" i="2"/>
  <c r="AL153" i="6"/>
  <c r="L77" i="5"/>
  <c r="L78" i="5"/>
  <c r="M76" i="5"/>
  <c r="M70" i="5"/>
  <c r="M69" i="5"/>
  <c r="P89" i="5"/>
  <c r="P91" i="5"/>
  <c r="P92" i="5" s="1"/>
  <c r="M110" i="5"/>
  <c r="M115" i="5"/>
  <c r="AJ127" i="6"/>
  <c r="AJ233" i="2"/>
  <c r="AJ262" i="2" s="1"/>
  <c r="P117" i="5"/>
  <c r="P115" i="5"/>
  <c r="O100" i="5" l="1"/>
  <c r="O109" i="5" s="1"/>
  <c r="O68" i="5"/>
  <c r="N110" i="5"/>
  <c r="N115" i="5"/>
  <c r="AM119" i="6"/>
  <c r="AM222" i="2"/>
  <c r="AM217" i="2" s="1"/>
  <c r="AM153" i="6"/>
  <c r="I123" i="5"/>
  <c r="C125" i="5"/>
  <c r="C124" i="5"/>
  <c r="AL122" i="6"/>
  <c r="AL227" i="2"/>
  <c r="AL258" i="2"/>
  <c r="AL260" i="2" s="1"/>
  <c r="AJ133" i="6"/>
  <c r="AJ155" i="6" s="1"/>
  <c r="AJ254" i="2"/>
  <c r="M77" i="5"/>
  <c r="M78" i="5"/>
  <c r="AK233" i="2"/>
  <c r="AK262" i="2" s="1"/>
  <c r="AK127" i="6"/>
  <c r="N70" i="5"/>
  <c r="N69" i="5"/>
  <c r="N76" i="5"/>
  <c r="AL127" i="6" l="1"/>
  <c r="AL233" i="2"/>
  <c r="AL262" i="2" s="1"/>
  <c r="AM122" i="6"/>
  <c r="AM227" i="2"/>
  <c r="AM258" i="2"/>
  <c r="AM260" i="2" s="1"/>
  <c r="O110" i="5"/>
  <c r="O115" i="5"/>
  <c r="I122" i="5" s="1"/>
  <c r="P110" i="5"/>
  <c r="O69" i="5"/>
  <c r="O70" i="5"/>
  <c r="O76" i="5"/>
  <c r="N78" i="5"/>
  <c r="N77" i="5"/>
  <c r="AK133" i="6"/>
  <c r="AK155" i="6" s="1"/>
  <c r="AK254" i="2"/>
  <c r="AM127" i="6" l="1"/>
  <c r="AM233" i="2"/>
  <c r="O78" i="5"/>
  <c r="O77" i="5"/>
  <c r="AL133" i="6"/>
  <c r="AL155" i="6" s="1"/>
  <c r="AL254" i="2"/>
  <c r="AM133" i="6" l="1"/>
  <c r="AM155" i="6" s="1"/>
  <c r="AM262" i="2"/>
  <c r="AM254" i="2"/>
  <c r="J114" i="5" l="1"/>
  <c r="J115" i="5" s="1"/>
  <c r="I121" i="5" l="1"/>
  <c r="I124" i="5" l="1"/>
  <c r="I127" i="5" l="1"/>
  <c r="I129" i="5" s="1"/>
  <c r="C5" i="4" s="1"/>
  <c r="C22" i="4"/>
  <c r="L123" i="5" l="1"/>
  <c r="I80" i="3" l="1"/>
</calcChain>
</file>

<file path=xl/comments1.xml><?xml version="1.0" encoding="utf-8"?>
<comments xmlns="http://schemas.openxmlformats.org/spreadsheetml/2006/main">
  <authors>
    <author xml:space="preserve"> </author>
    <author>Hussain, Danyal (Research)</author>
    <author>Govil, Vasundhara (Research)</author>
  </authors>
  <commentList>
    <comment ref="Q13" authorId="0">
      <text>
        <r>
          <rPr>
            <sz val="9"/>
            <color indexed="81"/>
            <rFont val="Tahoma"/>
            <family val="2"/>
          </rPr>
          <t>Square doeds not intend to renew payment processing agreement with Starbucks, when it expires in 3Q16.</t>
        </r>
      </text>
    </comment>
    <comment ref="S13" authorId="0">
      <text>
        <r>
          <rPr>
            <sz val="9"/>
            <color indexed="81"/>
            <rFont val="Tahoma"/>
            <family val="2"/>
          </rPr>
          <t>Square doeds not intend to renew payment processing agreement with Starbucks, when it expires in 3Q16.</t>
        </r>
      </text>
    </comment>
    <comment ref="A16" authorId="1">
      <text>
        <r>
          <rPr>
            <b/>
            <sz val="9"/>
            <color indexed="81"/>
            <rFont val="Tahoma"/>
            <family val="2"/>
          </rPr>
          <t>Hussain, Danyal (Research):</t>
        </r>
        <r>
          <rPr>
            <sz val="9"/>
            <color indexed="81"/>
            <rFont val="Tahoma"/>
            <family val="2"/>
          </rPr>
          <t xml:space="preserve">
4Q seasonally strong, 1Q weak.</t>
        </r>
      </text>
    </comment>
    <comment ref="L16" authorId="1">
      <text>
        <r>
          <rPr>
            <b/>
            <sz val="9"/>
            <color indexed="81"/>
            <rFont val="Tahoma"/>
            <family val="2"/>
          </rPr>
          <t>Hussain, Danyal (Research):</t>
        </r>
        <r>
          <rPr>
            <sz val="9"/>
            <color indexed="81"/>
            <rFont val="Tahoma"/>
            <family val="2"/>
          </rPr>
          <t xml:space="preserve">
Should be small beat</t>
        </r>
      </text>
    </comment>
    <comment ref="M16" authorId="1">
      <text>
        <r>
          <rPr>
            <b/>
            <sz val="9"/>
            <color indexed="81"/>
            <rFont val="Tahoma"/>
            <family val="2"/>
          </rPr>
          <t>Hussain, Danyal (Research):</t>
        </r>
        <r>
          <rPr>
            <sz val="9"/>
            <color indexed="81"/>
            <rFont val="Tahoma"/>
            <family val="2"/>
          </rPr>
          <t xml:space="preserve">
Very conservative, should be more robust beat.</t>
        </r>
      </text>
    </comment>
    <comment ref="A19" authorId="1">
      <text>
        <r>
          <rPr>
            <b/>
            <sz val="9"/>
            <color indexed="81"/>
            <rFont val="Tahoma"/>
            <family val="2"/>
          </rPr>
          <t>Hussain, Danyal (Research):</t>
        </r>
        <r>
          <rPr>
            <sz val="9"/>
            <color indexed="81"/>
            <rFont val="Tahoma"/>
            <family val="2"/>
          </rPr>
          <t xml:space="preserve">
- Driven my mix of geographies and products. Faster growing products have lower cost, like cash for business. Likewise, in Canada will onboard Interac debit.
- Company has not baked in renegotiation with partners, could be upside. Q4 will see first impact with renegotiation. Networks just as good as taking back as giving so will be conservative.</t>
        </r>
      </text>
    </comment>
    <comment ref="X19" authorId="1">
      <text>
        <r>
          <rPr>
            <b/>
            <sz val="9"/>
            <color indexed="81"/>
            <rFont val="Tahoma"/>
            <family val="2"/>
          </rPr>
          <t>Hussain, Danyal (Research):</t>
        </r>
        <r>
          <rPr>
            <sz val="9"/>
            <color indexed="81"/>
            <rFont val="Tahoma"/>
            <family val="2"/>
          </rPr>
          <t xml:space="preserve">
1210-1250</t>
        </r>
      </text>
    </comment>
    <comment ref="S20" authorId="2">
      <text>
        <r>
          <rPr>
            <b/>
            <sz val="9"/>
            <color indexed="81"/>
            <rFont val="Tahoma"/>
            <family val="2"/>
          </rPr>
          <t>Govil, Vasundhara (Research):</t>
        </r>
        <r>
          <rPr>
            <sz val="9"/>
            <color indexed="81"/>
            <rFont val="Tahoma"/>
            <family val="2"/>
          </rPr>
          <t xml:space="preserve">
expected to decline slightly as Square cash becomes part of the mix</t>
        </r>
      </text>
    </comment>
    <comment ref="AC20" authorId="2">
      <text>
        <r>
          <rPr>
            <b/>
            <sz val="9"/>
            <color indexed="81"/>
            <rFont val="Tahoma"/>
            <family val="2"/>
          </rPr>
          <t>Govil, Vasundhara (Research):</t>
        </r>
        <r>
          <rPr>
            <sz val="9"/>
            <color indexed="81"/>
            <rFont val="Tahoma"/>
            <family val="2"/>
          </rPr>
          <t xml:space="preserve">
expected to decline slightly as Square cash becomes part of the mix</t>
        </r>
      </text>
    </comment>
    <comment ref="AH20" authorId="2">
      <text>
        <r>
          <rPr>
            <b/>
            <sz val="9"/>
            <color indexed="81"/>
            <rFont val="Tahoma"/>
            <family val="2"/>
          </rPr>
          <t>Govil, Vasundhara (Research):</t>
        </r>
        <r>
          <rPr>
            <sz val="9"/>
            <color indexed="81"/>
            <rFont val="Tahoma"/>
            <family val="2"/>
          </rPr>
          <t xml:space="preserve">
expected to decline slightly as Square cash becomes part of the mix</t>
        </r>
      </text>
    </comment>
    <comment ref="AM20" authorId="2">
      <text>
        <r>
          <rPr>
            <b/>
            <sz val="9"/>
            <color indexed="81"/>
            <rFont val="Tahoma"/>
            <family val="2"/>
          </rPr>
          <t>Govil, Vasundhara (Research):</t>
        </r>
        <r>
          <rPr>
            <sz val="9"/>
            <color indexed="81"/>
            <rFont val="Tahoma"/>
            <family val="2"/>
          </rPr>
          <t xml:space="preserve">
expected to decline slightly as Square cash becomes part of the mix</t>
        </r>
      </text>
    </comment>
    <comment ref="P26" authorId="1">
      <text>
        <r>
          <rPr>
            <b/>
            <sz val="9"/>
            <color indexed="81"/>
            <rFont val="Tahoma"/>
            <family val="2"/>
          </rPr>
          <t>Hussain, Danyal (Research):</t>
        </r>
        <r>
          <rPr>
            <sz val="9"/>
            <color indexed="81"/>
            <rFont val="Tahoma"/>
            <family val="2"/>
          </rPr>
          <t xml:space="preserve">
151-156</t>
        </r>
      </text>
    </comment>
    <comment ref="R26" authorId="2">
      <text>
        <r>
          <rPr>
            <b/>
            <sz val="9"/>
            <color indexed="81"/>
            <rFont val="Tahoma"/>
            <family val="2"/>
          </rPr>
          <t>Govil, Vasundhara (Research):</t>
        </r>
        <r>
          <rPr>
            <sz val="9"/>
            <color indexed="81"/>
            <rFont val="Tahoma"/>
            <family val="2"/>
          </rPr>
          <t xml:space="preserve">
guidance $182-185mn</t>
        </r>
      </text>
    </comment>
    <comment ref="O29" authorId="1">
      <text>
        <r>
          <rPr>
            <b/>
            <sz val="9"/>
            <color indexed="81"/>
            <rFont val="Tahoma"/>
            <family val="2"/>
          </rPr>
          <t>Hussain, Danyal (Research):</t>
        </r>
        <r>
          <rPr>
            <sz val="9"/>
            <color indexed="81"/>
            <rFont val="Tahoma"/>
            <family val="2"/>
          </rPr>
          <t xml:space="preserve">
Company assuming nothing here.</t>
        </r>
      </text>
    </comment>
    <comment ref="A32" authorId="1">
      <text>
        <r>
          <rPr>
            <b/>
            <sz val="9"/>
            <color indexed="81"/>
            <rFont val="Tahoma"/>
            <family val="2"/>
          </rPr>
          <t>Govil, Vasundhara (Research):</t>
        </r>
        <r>
          <rPr>
            <sz val="9"/>
            <color indexed="81"/>
            <rFont val="Tahoma"/>
            <family val="2"/>
          </rPr>
          <t xml:space="preserve">
Caviar courier/equipment costs are biggest driver here</t>
        </r>
      </text>
    </comment>
    <comment ref="A38" authorId="1">
      <text>
        <r>
          <rPr>
            <b/>
            <sz val="9"/>
            <color indexed="81"/>
            <rFont val="Tahoma"/>
            <family val="2"/>
          </rPr>
          <t>Hussain, Danyal (Research):</t>
        </r>
        <r>
          <rPr>
            <sz val="9"/>
            <color indexed="81"/>
            <rFont val="Tahoma"/>
            <family val="2"/>
          </rPr>
          <t xml:space="preserve">
Some expenses will move from S&amp;M to COGS as Square shifts towards paid readers.
Currently negative gross profit but will break-even at some point.</t>
        </r>
      </text>
    </comment>
    <comment ref="V38" authorId="1">
      <text>
        <r>
          <rPr>
            <b/>
            <sz val="9"/>
            <color indexed="81"/>
            <rFont val="Tahoma"/>
            <family val="2"/>
          </rPr>
          <t>Hussain, Danyal (Research):</t>
        </r>
        <r>
          <rPr>
            <sz val="9"/>
            <color indexed="81"/>
            <rFont val="Tahoma"/>
            <family val="2"/>
          </rPr>
          <t xml:space="preserve">
Elevated due to $2.3mn bankruptcy from hardware distributor</t>
        </r>
      </text>
    </comment>
    <comment ref="R57" authorId="1">
      <text>
        <r>
          <rPr>
            <b/>
            <sz val="9"/>
            <color indexed="81"/>
            <rFont val="Tahoma"/>
            <family val="2"/>
          </rPr>
          <t>Hussain, Danyal (Research):</t>
        </r>
        <r>
          <rPr>
            <sz val="9"/>
            <color indexed="81"/>
            <rFont val="Tahoma"/>
            <family val="2"/>
          </rPr>
          <t xml:space="preserve">
"increases in engineering personnel costs, offset by the timing of certain hardware development expenses"</t>
        </r>
      </text>
    </comment>
    <comment ref="T61" authorId="1">
      <text>
        <r>
          <rPr>
            <b/>
            <sz val="9"/>
            <color indexed="81"/>
            <rFont val="Tahoma"/>
            <family val="2"/>
          </rPr>
          <t>Hussain, Danyal (Research):</t>
        </r>
        <r>
          <rPr>
            <sz val="9"/>
            <color indexed="81"/>
            <rFont val="Tahoma"/>
            <family val="2"/>
          </rPr>
          <t xml:space="preserve">
will be low again, per 4Q call</t>
        </r>
      </text>
    </comment>
    <comment ref="A64" authorId="1">
      <text>
        <r>
          <rPr>
            <b/>
            <sz val="9"/>
            <color indexed="81"/>
            <rFont val="Tahoma"/>
            <family val="2"/>
          </rPr>
          <t>Hussain, Danyal (Research):</t>
        </r>
        <r>
          <rPr>
            <sz val="9"/>
            <color indexed="81"/>
            <rFont val="Tahoma"/>
            <family val="2"/>
          </rPr>
          <t xml:space="preserve">
Includes Dongle costs, given out for free.  10-20% of total sales and marketing from Mag Stripe Reader.</t>
        </r>
      </text>
    </comment>
    <comment ref="O71" authorId="1">
      <text>
        <r>
          <rPr>
            <b/>
            <sz val="9"/>
            <color indexed="81"/>
            <rFont val="Tahoma"/>
            <family val="2"/>
          </rPr>
          <t>Hussain, Danyal (Research):</t>
        </r>
        <r>
          <rPr>
            <sz val="9"/>
            <color indexed="81"/>
            <rFont val="Tahoma"/>
            <family val="2"/>
          </rPr>
          <t xml:space="preserve">
50mn litigation accrual</t>
        </r>
      </text>
    </comment>
    <comment ref="P71" authorId="2">
      <text>
        <r>
          <rPr>
            <b/>
            <sz val="9"/>
            <color indexed="81"/>
            <rFont val="Tahoma"/>
            <family val="2"/>
          </rPr>
          <t>Govil, Vasundhara (Research):</t>
        </r>
        <r>
          <rPr>
            <sz val="9"/>
            <color indexed="81"/>
            <rFont val="Tahoma"/>
            <family val="2"/>
          </rPr>
          <t xml:space="preserve">
litigation settlement gain</t>
        </r>
      </text>
    </comment>
    <comment ref="A78" authorId="1">
      <text>
        <r>
          <rPr>
            <b/>
            <sz val="9"/>
            <color indexed="81"/>
            <rFont val="Tahoma"/>
            <family val="2"/>
          </rPr>
          <t>Hussain, Danyal (Research):</t>
        </r>
        <r>
          <rPr>
            <sz val="9"/>
            <color indexed="81"/>
            <rFont val="Tahoma"/>
            <family val="2"/>
          </rPr>
          <t xml:space="preserve">
- Square Capital losses are low to mid single digits, below public company benchmarks
- Cover up to $250 in chargebacks per month for all sellers</t>
        </r>
      </text>
    </comment>
    <comment ref="J78" authorId="1">
      <text>
        <r>
          <rPr>
            <b/>
            <sz val="9"/>
            <color indexed="81"/>
            <rFont val="Tahoma"/>
            <family val="2"/>
          </rPr>
          <t>Hussain, Danyal (Research):</t>
        </r>
        <r>
          <rPr>
            <sz val="9"/>
            <color indexed="81"/>
            <rFont val="Tahoma"/>
            <family val="2"/>
          </rPr>
          <t xml:space="preserve">
1Q loss was higher due to a single seller going bankrupt. Caused a lot of work on large seller risk.</t>
        </r>
      </text>
    </comment>
    <comment ref="V80" authorId="1">
      <text>
        <r>
          <rPr>
            <b/>
            <sz val="9"/>
            <color indexed="81"/>
            <rFont val="Tahoma"/>
            <family val="2"/>
          </rPr>
          <t>Hussain, Danyal (Research):</t>
        </r>
        <r>
          <rPr>
            <sz val="9"/>
            <color indexed="81"/>
            <rFont val="Tahoma"/>
            <family val="2"/>
          </rPr>
          <t xml:space="preserve">
Mostly txn losses, under 10bps</t>
        </r>
      </text>
    </comment>
    <comment ref="A103" authorId="1">
      <text>
        <r>
          <rPr>
            <b/>
            <sz val="9"/>
            <color indexed="81"/>
            <rFont val="Tahoma"/>
            <family val="2"/>
          </rPr>
          <t>Hussain, Danyal (Research):</t>
        </r>
        <r>
          <rPr>
            <sz val="9"/>
            <color indexed="81"/>
            <rFont val="Tahoma"/>
            <family val="2"/>
          </rPr>
          <t xml:space="preserve">
In F2016 should increase, again due to lease hold improvements.  In 2017 will start to moderate (software development costs)</t>
        </r>
      </text>
    </comment>
    <comment ref="B103" authorId="2">
      <text>
        <r>
          <rPr>
            <b/>
            <sz val="9"/>
            <color indexed="81"/>
            <rFont val="Tahoma"/>
            <family val="2"/>
          </rPr>
          <t>Govil, Vasundhara (Research):</t>
        </r>
        <r>
          <rPr>
            <sz val="9"/>
            <color indexed="81"/>
            <rFont val="Tahoma"/>
            <family val="2"/>
          </rPr>
          <t xml:space="preserve">
includes amortization of technology and acquired customer assets</t>
        </r>
      </text>
    </comment>
    <comment ref="A115" authorId="1">
      <text>
        <r>
          <rPr>
            <b/>
            <sz val="9"/>
            <color indexed="81"/>
            <rFont val="Tahoma"/>
            <family val="2"/>
          </rPr>
          <t>Hussain, Danyal (Research):</t>
        </r>
        <r>
          <rPr>
            <sz val="9"/>
            <color indexed="81"/>
            <rFont val="Tahoma"/>
            <family val="2"/>
          </rPr>
          <t xml:space="preserve">
- Excludes sbux, SBC, and impairment of intangibles</t>
        </r>
      </text>
    </comment>
    <comment ref="T124" authorId="1">
      <text>
        <r>
          <rPr>
            <b/>
            <sz val="9"/>
            <color indexed="81"/>
            <rFont val="Tahoma"/>
            <family val="2"/>
          </rPr>
          <t>Hussain, Danyal (Research):</t>
        </r>
        <r>
          <rPr>
            <sz val="9"/>
            <color indexed="81"/>
            <rFont val="Tahoma"/>
            <family val="2"/>
          </rPr>
          <t xml:space="preserve">
2.4mn/yr next 5 years
Plugged based on ANI calc</t>
        </r>
      </text>
    </comment>
    <comment ref="T125" authorId="1">
      <text>
        <r>
          <rPr>
            <b/>
            <sz val="9"/>
            <color indexed="81"/>
            <rFont val="Tahoma"/>
            <family val="2"/>
          </rPr>
          <t>Hussain, Danyal (Research):</t>
        </r>
        <r>
          <rPr>
            <sz val="9"/>
            <color indexed="81"/>
            <rFont val="Tahoma"/>
            <family val="2"/>
          </rPr>
          <t xml:space="preserve">
Plugged based on ANI Calc</t>
        </r>
      </text>
    </comment>
    <comment ref="A138" authorId="1">
      <text>
        <r>
          <rPr>
            <b/>
            <sz val="9"/>
            <color indexed="81"/>
            <rFont val="Tahoma"/>
            <family val="2"/>
          </rPr>
          <t>Hussain, Danyal (Research):</t>
        </r>
        <r>
          <rPr>
            <sz val="9"/>
            <color indexed="81"/>
            <rFont val="Tahoma"/>
            <family val="2"/>
          </rPr>
          <t xml:space="preserve">
Excludes SBUX, Amort of Acquired, impairment of intangibles, and Extraordinary items</t>
        </r>
      </text>
    </comment>
    <comment ref="A141" authorId="1">
      <text>
        <r>
          <rPr>
            <b/>
            <sz val="9"/>
            <color indexed="81"/>
            <rFont val="Tahoma"/>
            <family val="2"/>
          </rPr>
          <t>Hussain, Danyal (Research):</t>
        </r>
        <r>
          <rPr>
            <sz val="9"/>
            <color indexed="81"/>
            <rFont val="Tahoma"/>
            <family val="2"/>
          </rPr>
          <t xml:space="preserve">
Excludes:
SBC
Amortization
Starbucks</t>
        </r>
      </text>
    </comment>
    <comment ref="J145" authorId="0">
      <text>
        <r>
          <rPr>
            <sz val="9"/>
            <color indexed="81"/>
            <rFont val="Tahoma"/>
            <family val="2"/>
          </rPr>
          <t>Pro forma adjustment to reflect assumed conversion of preferred stock to
occur upon completion of the Company’s initial public offering</t>
        </r>
      </text>
    </comment>
    <comment ref="J146" authorId="0">
      <text>
        <r>
          <rPr>
            <sz val="9"/>
            <color indexed="81"/>
            <rFont val="Tahoma"/>
            <family val="2"/>
          </rPr>
          <t>Pro forma adjustment to reflect assumed conversion of preferred stock to
occur upon completion of the Company’s initial public offering</t>
        </r>
      </text>
    </comment>
    <comment ref="J147" authorId="0">
      <text>
        <r>
          <rPr>
            <sz val="9"/>
            <color indexed="81"/>
            <rFont val="Tahoma"/>
            <family val="2"/>
          </rPr>
          <t>Pro forma adjustment to reflect assumed conversion of preferred stock to
occur upon completion of the Company’s initial public offering</t>
        </r>
      </text>
    </comment>
    <comment ref="P147" authorId="1">
      <text>
        <r>
          <rPr>
            <b/>
            <sz val="9"/>
            <color indexed="81"/>
            <rFont val="Tahoma"/>
            <family val="2"/>
          </rPr>
          <t>Hussain, Danyal (Research):</t>
        </r>
        <r>
          <rPr>
            <sz val="9"/>
            <color indexed="81"/>
            <rFont val="Tahoma"/>
            <family val="2"/>
          </rPr>
          <t xml:space="preserve">
est</t>
        </r>
      </text>
    </comment>
    <comment ref="S147" authorId="1">
      <text>
        <r>
          <rPr>
            <b/>
            <sz val="9"/>
            <color indexed="81"/>
            <rFont val="Tahoma"/>
            <family val="2"/>
          </rPr>
          <t>Hussain, Danyal (Research):</t>
        </r>
        <r>
          <rPr>
            <sz val="9"/>
            <color indexed="81"/>
            <rFont val="Tahoma"/>
            <family val="2"/>
          </rPr>
          <t xml:space="preserve">
est</t>
        </r>
      </text>
    </comment>
    <comment ref="D156" authorId="0">
      <text>
        <r>
          <rPr>
            <sz val="9"/>
            <color indexed="81"/>
            <rFont val="Tahoma"/>
            <family val="2"/>
          </rPr>
          <t>Loss on sale of property and
equipment 2.705mn
Impairment of intangible assets 2.430 mn</t>
        </r>
      </text>
    </comment>
    <comment ref="O192" authorId="1">
      <text>
        <r>
          <rPr>
            <b/>
            <sz val="9"/>
            <color indexed="81"/>
            <rFont val="Tahoma"/>
            <family val="2"/>
          </rPr>
          <t>Hussain, Danyal (Research):</t>
        </r>
        <r>
          <rPr>
            <sz val="9"/>
            <color indexed="81"/>
            <rFont val="Tahoma"/>
            <family val="2"/>
          </rPr>
          <t xml:space="preserve">
purchase of marketable securities</t>
        </r>
      </text>
    </comment>
    <comment ref="P193" authorId="2">
      <text>
        <r>
          <rPr>
            <b/>
            <sz val="9"/>
            <color indexed="81"/>
            <rFont val="Tahoma"/>
            <family val="2"/>
          </rPr>
          <t>Govil, Vasundhara (Research):</t>
        </r>
        <r>
          <rPr>
            <sz val="9"/>
            <color indexed="81"/>
            <rFont val="Tahoma"/>
            <family val="2"/>
          </rPr>
          <t xml:space="preserve">
purchase of and proceeds from marketable securities</t>
        </r>
      </text>
    </comment>
    <comment ref="T200" authorId="1">
      <text>
        <r>
          <rPr>
            <b/>
            <sz val="9"/>
            <color indexed="81"/>
            <rFont val="Tahoma"/>
            <family val="2"/>
          </rPr>
          <t>Hussain, Danyal (Research):</t>
        </r>
        <r>
          <rPr>
            <sz val="9"/>
            <color indexed="81"/>
            <rFont val="Tahoma"/>
            <family val="2"/>
          </rPr>
          <t xml:space="preserve">
• $440 million aggregate principal amount of Convertible Senior Notes due 2022.
o 0.375% cash interest expense.
o Conversion premium/price: 32.5% / $22.95 for the convertible with Convertible Note Hedge Transactions that increase the effective conversion premium to 80% / $31.18
348mn debt, accretes to 440mn over 5 years. 12mn deal expense.</t>
        </r>
      </text>
    </comment>
    <comment ref="T202" authorId="1">
      <text>
        <r>
          <rPr>
            <b/>
            <sz val="9"/>
            <color indexed="81"/>
            <rFont val="Tahoma"/>
            <family val="2"/>
          </rPr>
          <t>Hussain, Danyal (Research):</t>
        </r>
        <r>
          <rPr>
            <sz val="9"/>
            <color indexed="81"/>
            <rFont val="Tahoma"/>
            <family val="2"/>
          </rPr>
          <t xml:space="preserve">
Starbucks warrant retirement</t>
        </r>
      </text>
    </comment>
    <comment ref="A225" authorId="1">
      <text>
        <r>
          <rPr>
            <b/>
            <sz val="9"/>
            <color indexed="81"/>
            <rFont val="Tahoma"/>
            <family val="2"/>
          </rPr>
          <t>Hussain, Danyal (Research):</t>
        </r>
        <r>
          <rPr>
            <sz val="9"/>
            <color indexed="81"/>
            <rFont val="Tahoma"/>
            <family val="2"/>
          </rPr>
          <t xml:space="preserve">
Mgmt expects to keep BS exposure flat, rest is sold of to institutional investors like Victory Park Capital and Colchis Capital. If needed, Square can fund with its own balance sheet.</t>
        </r>
      </text>
    </comment>
    <comment ref="L246" authorId="1">
      <text>
        <r>
          <rPr>
            <b/>
            <sz val="9"/>
            <color indexed="81"/>
            <rFont val="Tahoma"/>
            <family val="2"/>
          </rPr>
          <t>Hussain, Danyal (Research):</t>
        </r>
        <r>
          <rPr>
            <sz val="9"/>
            <color indexed="81"/>
            <rFont val="Tahoma"/>
            <family val="2"/>
          </rPr>
          <t xml:space="preserve">
Pro-forma</t>
        </r>
      </text>
    </comment>
    <comment ref="N266" authorId="1">
      <text>
        <r>
          <rPr>
            <b/>
            <sz val="9"/>
            <color indexed="81"/>
            <rFont val="Tahoma"/>
            <family val="2"/>
          </rPr>
          <t>Hussain, Danyal (Research):</t>
        </r>
        <r>
          <rPr>
            <sz val="9"/>
            <color indexed="81"/>
            <rFont val="Tahoma"/>
            <family val="2"/>
          </rPr>
          <t xml:space="preserve">
Elevated in 2015, building out headquarters. In 2015, about half is related to real estate which shouldn’t recur.
3-4% on net revenue for data centers and equipment going forward
</t>
        </r>
      </text>
    </comment>
  </commentList>
</comments>
</file>

<file path=xl/comments2.xml><?xml version="1.0" encoding="utf-8"?>
<comments xmlns="http://schemas.openxmlformats.org/spreadsheetml/2006/main">
  <authors>
    <author>Hussain, Danyal (Research)</author>
    <author xml:space="preserve"> </author>
    <author>Govil, Vasundhara (Research)</author>
  </authors>
  <commentList>
    <comment ref="A7" authorId="0">
      <text>
        <r>
          <rPr>
            <b/>
            <sz val="9"/>
            <color indexed="81"/>
            <rFont val="Tahoma"/>
            <family val="2"/>
          </rPr>
          <t>Hussain, Danyal (Research):</t>
        </r>
        <r>
          <rPr>
            <sz val="9"/>
            <color indexed="81"/>
            <rFont val="Tahoma"/>
            <family val="2"/>
          </rPr>
          <t xml:space="preserve">
Excludes: 
- Caviar and Capital revenue
- SBUX revenue
Includes: 
- Square Cash for Business revenue
- Includes interchange, assessment fees to networks, processing/bank fees to processing partners JPM and WFC. </t>
        </r>
      </text>
    </comment>
    <comment ref="A10" authorId="0">
      <text>
        <r>
          <rPr>
            <b/>
            <sz val="9"/>
            <color indexed="81"/>
            <rFont val="Tahoma"/>
            <family val="2"/>
          </rPr>
          <t>Hussain, Danyal (Research):</t>
        </r>
        <r>
          <rPr>
            <sz val="9"/>
            <color indexed="81"/>
            <rFont val="Tahoma"/>
            <family val="2"/>
          </rPr>
          <t xml:space="preserve">
GPV is defined as the total dollar amount of all card payments processed by sellers using Square, net of refunds. 
DOES include square cash for business.
GPV excludes:
- payments processed for Starbucks
- square Cash peer-to-peer
- Caviar and Capital volumes (i.e. not double counted)
Mix:
- Credit/Debit mix mirrors the industry. 45% debit 55%
- Average ticket $50-55 range, industry avg
- 70% CP, 30% CNP</t>
        </r>
      </text>
    </comment>
    <comment ref="A17" authorId="0">
      <text>
        <r>
          <rPr>
            <b/>
            <sz val="9"/>
            <color indexed="81"/>
            <rFont val="Tahoma"/>
            <family val="2"/>
          </rPr>
          <t>Hussain, Danyal (Research):</t>
        </r>
        <r>
          <rPr>
            <sz val="9"/>
            <color indexed="81"/>
            <rFont val="Tahoma"/>
            <family val="2"/>
          </rPr>
          <t xml:space="preserve">
- Majority of decline is due to Square Cash for business, 1.9% fee.
- Big merchants have more custom pricing, but base of micromerchants continues to grow rapidly. So net neutral through near-term. Step function change not in the numbers now. But what they see in the market is the oppty to move upmarket.
</t>
        </r>
      </text>
    </comment>
    <comment ref="M17" authorId="0">
      <text>
        <r>
          <rPr>
            <b/>
            <sz val="9"/>
            <color indexed="81"/>
            <rFont val="Tahoma"/>
            <family val="2"/>
          </rPr>
          <t>Hussain, Danyal (Research):</t>
        </r>
        <r>
          <rPr>
            <sz val="9"/>
            <color indexed="81"/>
            <rFont val="Tahoma"/>
            <family val="2"/>
          </rPr>
          <t xml:space="preserve">
Drops because offering out the 250k new readers for free or with qualifying credit in processing fees over first 90 days. Contra revenue per accounting rule.</t>
        </r>
      </text>
    </comment>
    <comment ref="Q23" authorId="1">
      <text>
        <r>
          <rPr>
            <sz val="9"/>
            <color indexed="81"/>
            <rFont val="Tahoma"/>
            <family val="2"/>
          </rPr>
          <t>Square does not intend to renew payment processing agreement with Starbucks, when it expires in 3Q16.</t>
        </r>
      </text>
    </comment>
    <comment ref="A30" authorId="0">
      <text>
        <r>
          <rPr>
            <b/>
            <sz val="9"/>
            <color indexed="81"/>
            <rFont val="Tahoma"/>
            <family val="2"/>
          </rPr>
          <t>Hussain, Danyal (Research):</t>
        </r>
        <r>
          <rPr>
            <sz val="9"/>
            <color indexed="81"/>
            <rFont val="Tahoma"/>
            <family val="2"/>
          </rPr>
          <t xml:space="preserve">
By size:
- Square Capital
- Caviar
- Appointments
- Customer Engagement
- Payroll
Note Square credit rates can be raised as loan losses pick up in a worsening credit environment. Currently charge 10-16%. Average loan size is $6-10k, 8-10 month duration.
Potential upside from moving into loan product (vs. MCA), which would allow for larger loans, non Square customers, and potentially intl.
Too early to determine if seasonality</t>
        </r>
      </text>
    </comment>
    <comment ref="F30" authorId="0">
      <text>
        <r>
          <rPr>
            <b/>
            <sz val="9"/>
            <color indexed="81"/>
            <rFont val="Tahoma"/>
            <family val="2"/>
          </rPr>
          <t>Hussain, Danyal (Research):</t>
        </r>
        <r>
          <rPr>
            <sz val="9"/>
            <color indexed="81"/>
            <rFont val="Tahoma"/>
            <family val="2"/>
          </rPr>
          <t xml:space="preserve">
May 2014: Square Capital Launched.</t>
        </r>
      </text>
    </comment>
    <comment ref="L30" authorId="0">
      <text>
        <r>
          <rPr>
            <b/>
            <sz val="9"/>
            <color indexed="81"/>
            <rFont val="Tahoma"/>
            <family val="2"/>
          </rPr>
          <t>Hussain, Danyal (Research):</t>
        </r>
        <r>
          <rPr>
            <sz val="9"/>
            <color indexed="81"/>
            <rFont val="Tahoma"/>
            <family val="2"/>
          </rPr>
          <t xml:space="preserve">
August:
- $1mn/day run rate Square Capital.
- $225mn to date, 20k SMBs and 40k advances</t>
        </r>
      </text>
    </comment>
    <comment ref="V30" authorId="0">
      <text>
        <r>
          <rPr>
            <b/>
            <sz val="9"/>
            <color indexed="81"/>
            <rFont val="Tahoma"/>
            <family val="2"/>
          </rPr>
          <t>Hussain, Danyal (Research):</t>
        </r>
        <r>
          <rPr>
            <sz val="9"/>
            <color indexed="81"/>
            <rFont val="Tahoma"/>
            <family val="2"/>
          </rPr>
          <t xml:space="preserve">
20mn from $2bn of Instant Deposit volume.</t>
        </r>
      </text>
    </comment>
    <comment ref="T39" authorId="0">
      <text>
        <r>
          <rPr>
            <b/>
            <sz val="9"/>
            <color indexed="81"/>
            <rFont val="Tahoma"/>
            <family val="2"/>
          </rPr>
          <t>Hussain, Danyal (Research):</t>
        </r>
        <r>
          <rPr>
            <sz val="9"/>
            <color indexed="81"/>
            <rFont val="Tahoma"/>
            <family val="2"/>
          </rPr>
          <t xml:space="preserve">
Lastly,
hardware revenue in the first quarter of 2016 was elevated due to the
fulfillment of the majority of pre-orders for our contactless and chip reader
during the period. As a result, year-over-year hardware revenue growth for
the first quarter and full year of 2017 will be more moderate relative to prior
periods.</t>
        </r>
      </text>
    </comment>
    <comment ref="U39" authorId="0">
      <text>
        <r>
          <rPr>
            <b/>
            <sz val="9"/>
            <color indexed="81"/>
            <rFont val="Tahoma"/>
            <family val="2"/>
          </rPr>
          <t>Hussain, Danyal (Research):</t>
        </r>
        <r>
          <rPr>
            <sz val="9"/>
            <color indexed="81"/>
            <rFont val="Tahoma"/>
            <family val="2"/>
          </rPr>
          <t xml:space="preserve">
Lastly,
hardware revenue in the first quarter of 2016 was elevated due to the
fulfillment of the majority of pre-orders for our contactless and chip reader
during the period. As a result, year-over-year hardware revenue growth for
the first quarter and full year of 2017 will be more moderate relative to prior
periods.</t>
        </r>
      </text>
    </comment>
    <comment ref="M42" authorId="2">
      <text>
        <r>
          <rPr>
            <b/>
            <sz val="9"/>
            <color indexed="81"/>
            <rFont val="Tahoma"/>
            <family val="2"/>
          </rPr>
          <t>Govil, Vasundhara (Research):</t>
        </r>
        <r>
          <rPr>
            <sz val="9"/>
            <color indexed="81"/>
            <rFont val="Tahoma"/>
            <family val="2"/>
          </rPr>
          <t xml:space="preserve">
Driven by EMV </t>
        </r>
      </text>
    </comment>
    <comment ref="C62" authorId="0">
      <text>
        <r>
          <rPr>
            <b/>
            <sz val="9"/>
            <color indexed="81"/>
            <rFont val="Tahoma"/>
            <family val="2"/>
          </rPr>
          <t>Hussain, Danyal (Research):</t>
        </r>
        <r>
          <rPr>
            <sz val="9"/>
            <color indexed="81"/>
            <rFont val="Tahoma"/>
            <family val="2"/>
          </rPr>
          <t xml:space="preserve">
2011 88%
85/13/2 2Q12
92/7/1 2Q11</t>
        </r>
      </text>
    </comment>
    <comment ref="D62" authorId="0">
      <text>
        <r>
          <rPr>
            <b/>
            <sz val="9"/>
            <color indexed="81"/>
            <rFont val="Tahoma"/>
            <family val="2"/>
          </rPr>
          <t>Hussain, Danyal (Research):</t>
        </r>
        <r>
          <rPr>
            <sz val="9"/>
            <color indexed="81"/>
            <rFont val="Tahoma"/>
            <family val="2"/>
          </rPr>
          <t xml:space="preserve">
76/20/4 2Q13</t>
        </r>
      </text>
    </comment>
    <comment ref="C63" authorId="0">
      <text>
        <r>
          <rPr>
            <b/>
            <sz val="9"/>
            <color indexed="81"/>
            <rFont val="Tahoma"/>
            <family val="2"/>
          </rPr>
          <t>Hussain, Danyal (Research):</t>
        </r>
        <r>
          <rPr>
            <sz val="9"/>
            <color indexed="81"/>
            <rFont val="Tahoma"/>
            <family val="2"/>
          </rPr>
          <t xml:space="preserve">
201110%</t>
        </r>
      </text>
    </comment>
    <comment ref="C64" authorId="0">
      <text>
        <r>
          <rPr>
            <b/>
            <sz val="9"/>
            <color indexed="81"/>
            <rFont val="Tahoma"/>
            <family val="2"/>
          </rPr>
          <t>Hussain, Danyal (Research):</t>
        </r>
        <r>
          <rPr>
            <sz val="9"/>
            <color indexed="81"/>
            <rFont val="Tahoma"/>
            <family val="2"/>
          </rPr>
          <t xml:space="preserve">
2011 2%</t>
        </r>
      </text>
    </comment>
    <comment ref="M84" authorId="0">
      <text>
        <r>
          <rPr>
            <b/>
            <sz val="9"/>
            <color indexed="81"/>
            <rFont val="Tahoma"/>
            <family val="2"/>
          </rPr>
          <t>Hussain, Danyal (Research):</t>
        </r>
        <r>
          <rPr>
            <sz val="9"/>
            <color indexed="81"/>
            <rFont val="Tahoma"/>
            <family val="2"/>
          </rPr>
          <t xml:space="preserve">
We extended over $400 million through more than 70,000 advances in 2015, with nearly $150 million advanced in the fourth quarter. Our sellers find Square Capital invaluable, and over 90% of those who have been offered a second advance have accepted it.</t>
        </r>
      </text>
    </comment>
    <comment ref="Q84" authorId="2">
      <text>
        <r>
          <rPr>
            <b/>
            <sz val="9"/>
            <color indexed="81"/>
            <rFont val="Tahoma"/>
            <family val="2"/>
          </rPr>
          <t>Govil, Vasundhara (Research):</t>
        </r>
        <r>
          <rPr>
            <sz val="9"/>
            <color indexed="81"/>
            <rFont val="Tahoma"/>
            <family val="2"/>
          </rPr>
          <t xml:space="preserve">
70% YoY. 
Loss rates of ~4%</t>
        </r>
      </text>
    </comment>
    <comment ref="T84" authorId="0">
      <text>
        <r>
          <rPr>
            <b/>
            <sz val="9"/>
            <color indexed="81"/>
            <rFont val="Tahoma"/>
            <family val="2"/>
          </rPr>
          <t>Hussain, Danyal (Research):</t>
        </r>
        <r>
          <rPr>
            <sz val="9"/>
            <color indexed="81"/>
            <rFont val="Tahoma"/>
            <family val="2"/>
          </rPr>
          <t xml:space="preserve">
225k sellers?</t>
        </r>
      </text>
    </comment>
    <comment ref="R85" authorId="0">
      <text>
        <r>
          <rPr>
            <b/>
            <sz val="9"/>
            <color indexed="81"/>
            <rFont val="Tahoma"/>
            <family val="2"/>
          </rPr>
          <t>Hussain, Danyal (Research):</t>
        </r>
        <r>
          <rPr>
            <sz val="9"/>
            <color indexed="81"/>
            <rFont val="Tahoma"/>
            <family val="2"/>
          </rPr>
          <t xml:space="preserve">
68%</t>
        </r>
      </text>
    </comment>
    <comment ref="L88" authorId="0">
      <text>
        <r>
          <rPr>
            <b/>
            <sz val="9"/>
            <color indexed="81"/>
            <rFont val="Tahoma"/>
            <family val="2"/>
          </rPr>
          <t>Hussain, Danyal (Research):</t>
        </r>
        <r>
          <rPr>
            <sz val="9"/>
            <color indexed="81"/>
            <rFont val="Tahoma"/>
            <family val="2"/>
          </rPr>
          <t xml:space="preserve">
Launched August</t>
        </r>
      </text>
    </comment>
    <comment ref="M88" authorId="0">
      <text>
        <r>
          <rPr>
            <b/>
            <sz val="9"/>
            <color indexed="81"/>
            <rFont val="Tahoma"/>
            <family val="2"/>
          </rPr>
          <t>Hussain, Danyal (Research):</t>
        </r>
        <r>
          <rPr>
            <sz val="9"/>
            <color indexed="81"/>
            <rFont val="Tahoma"/>
            <family val="2"/>
          </rPr>
          <t xml:space="preserve">
since launch in August 2015 through the end of the fourth quarter, we have helped over 58,000 sellers complete nearly 600,000 deposits instantly.</t>
        </r>
      </text>
    </comment>
    <comment ref="Q88" authorId="2">
      <text>
        <r>
          <rPr>
            <b/>
            <sz val="9"/>
            <color indexed="81"/>
            <rFont val="Tahoma"/>
            <family val="2"/>
          </rPr>
          <t>Govil, Vasundhara (Research):</t>
        </r>
        <r>
          <rPr>
            <sz val="9"/>
            <color indexed="81"/>
            <rFont val="Tahoma"/>
            <family val="2"/>
          </rPr>
          <t xml:space="preserve">
200K unique selleers have used to date</t>
        </r>
      </text>
    </comment>
    <comment ref="T88" authorId="0">
      <text>
        <r>
          <rPr>
            <b/>
            <sz val="9"/>
            <color indexed="81"/>
            <rFont val="Tahoma"/>
            <family val="2"/>
          </rPr>
          <t>Hussain, Danyal (Research):</t>
        </r>
        <r>
          <rPr>
            <sz val="9"/>
            <color indexed="81"/>
            <rFont val="Tahoma"/>
            <family val="2"/>
          </rPr>
          <t xml:space="preserve">
 Instant Deposit benefited from increased awareness
among both sellers and Square Cash customers.
</t>
        </r>
      </text>
    </comment>
    <comment ref="U88" authorId="0">
      <text>
        <r>
          <rPr>
            <b/>
            <sz val="9"/>
            <color indexed="81"/>
            <rFont val="Tahoma"/>
            <family val="2"/>
          </rPr>
          <t>Hussain, Danyal (Research):</t>
        </r>
        <r>
          <rPr>
            <sz val="9"/>
            <color indexed="81"/>
            <rFont val="Tahoma"/>
            <family val="2"/>
          </rPr>
          <t xml:space="preserve">
Instant
Deposit benefited from increased usage by our sellers as well as individuals
using the Square Cash app.</t>
        </r>
      </text>
    </comment>
    <comment ref="V88" authorId="0">
      <text>
        <r>
          <rPr>
            <b/>
            <sz val="9"/>
            <color indexed="81"/>
            <rFont val="Tahoma"/>
            <family val="2"/>
          </rPr>
          <t>Hussain, Danyal (Research):</t>
        </r>
        <r>
          <rPr>
            <sz val="9"/>
            <color indexed="81"/>
            <rFont val="Tahoma"/>
            <family val="2"/>
          </rPr>
          <t xml:space="preserve">
2bn Instant deposit</t>
        </r>
      </text>
    </comment>
    <comment ref="M89" authorId="0">
      <text>
        <r>
          <rPr>
            <b/>
            <sz val="9"/>
            <color indexed="81"/>
            <rFont val="Tahoma"/>
            <family val="2"/>
          </rPr>
          <t>Hussain, Danyal (Research):</t>
        </r>
        <r>
          <rPr>
            <sz val="9"/>
            <color indexed="81"/>
            <rFont val="Tahoma"/>
            <family val="2"/>
          </rPr>
          <t xml:space="preserve">
launched in six new cities in 2015 and is now in 17 markets across the country. Caviar  enables restaurants to serve more customers, grow their sales, and expand their reach. The number of orders through Caviar in the fourth quarter grew by 4.5 times year over year.</t>
        </r>
      </text>
    </comment>
    <comment ref="M90" authorId="0">
      <text>
        <r>
          <rPr>
            <b/>
            <sz val="9"/>
            <color indexed="81"/>
            <rFont val="Tahoma"/>
            <family val="2"/>
          </rPr>
          <t>Hussain, Danyal (Research):</t>
        </r>
        <r>
          <rPr>
            <sz val="9"/>
            <color indexed="81"/>
            <rFont val="Tahoma"/>
            <family val="2"/>
          </rPr>
          <t xml:space="preserve">
Since its launch a year and a half ago, approximately 100,000 active sellers used Square Invoices to process their payments as of the end of the fourth quarter.</t>
        </r>
      </text>
    </comment>
    <comment ref="P90" authorId="2">
      <text>
        <r>
          <rPr>
            <b/>
            <sz val="9"/>
            <color indexed="81"/>
            <rFont val="Tahoma"/>
            <family val="2"/>
          </rPr>
          <t>Govil, Vasundhara (Research):</t>
        </r>
        <r>
          <rPr>
            <sz val="9"/>
            <color indexed="81"/>
            <rFont val="Tahoma"/>
            <family val="2"/>
          </rPr>
          <t xml:space="preserve">
$2.3bn cumulative to date</t>
        </r>
      </text>
    </comment>
    <comment ref="T90" authorId="0">
      <text>
        <r>
          <rPr>
            <b/>
            <sz val="9"/>
            <color indexed="81"/>
            <rFont val="Tahoma"/>
            <family val="2"/>
          </rPr>
          <t>Hussain, Danyal (Research):</t>
        </r>
        <r>
          <rPr>
            <sz val="9"/>
            <color indexed="81"/>
            <rFont val="Tahoma"/>
            <family val="2"/>
          </rPr>
          <t xml:space="preserve">
250k actives</t>
        </r>
      </text>
    </comment>
  </commentList>
</comments>
</file>

<file path=xl/comments3.xml><?xml version="1.0" encoding="utf-8"?>
<comments xmlns="http://schemas.openxmlformats.org/spreadsheetml/2006/main">
  <authors>
    <author>Hussain, Danyal (Research)</author>
    <author xml:space="preserve"> </author>
  </authors>
  <commentList>
    <comment ref="P6" authorId="0">
      <text>
        <r>
          <rPr>
            <b/>
            <sz val="9"/>
            <color indexed="81"/>
            <rFont val="Tahoma"/>
            <family val="2"/>
          </rPr>
          <t>Hussain, Danyal (Research):</t>
        </r>
        <r>
          <rPr>
            <sz val="9"/>
            <color indexed="81"/>
            <rFont val="Tahoma"/>
            <family val="2"/>
          </rPr>
          <t xml:space="preserve">
Bull case 485,806 combines SU $365bn with intl 12% of TAM</t>
        </r>
      </text>
    </comment>
    <comment ref="C106" authorId="0">
      <text>
        <r>
          <rPr>
            <b/>
            <sz val="9"/>
            <color indexed="81"/>
            <rFont val="Tahoma"/>
            <family val="2"/>
          </rPr>
          <t>Hussain, Danyal (Research):</t>
        </r>
        <r>
          <rPr>
            <sz val="9"/>
            <color indexed="81"/>
            <rFont val="Tahoma"/>
            <family val="2"/>
          </rPr>
          <t xml:space="preserve">
We do not add back SBC</t>
        </r>
      </text>
    </comment>
    <comment ref="D106" authorId="0">
      <text>
        <r>
          <rPr>
            <b/>
            <sz val="9"/>
            <color indexed="81"/>
            <rFont val="Tahoma"/>
            <family val="2"/>
          </rPr>
          <t>Hussain, Danyal (Research):</t>
        </r>
        <r>
          <rPr>
            <sz val="9"/>
            <color indexed="81"/>
            <rFont val="Tahoma"/>
            <family val="2"/>
          </rPr>
          <t xml:space="preserve">
We do not add back SBC</t>
        </r>
      </text>
    </comment>
    <comment ref="P117" authorId="0">
      <text>
        <r>
          <rPr>
            <b/>
            <sz val="9"/>
            <color indexed="81"/>
            <rFont val="Tahoma"/>
            <family val="2"/>
          </rPr>
          <t>Hussain, Danyal (Research):</t>
        </r>
        <r>
          <rPr>
            <sz val="9"/>
            <color indexed="81"/>
            <rFont val="Tahoma"/>
            <family val="2"/>
          </rPr>
          <t xml:space="preserve">
H-model</t>
        </r>
      </text>
    </comment>
    <comment ref="C141" authorId="1">
      <text>
        <r>
          <rPr>
            <sz val="9"/>
            <color indexed="81"/>
            <rFont val="Tahoma"/>
            <family val="2"/>
          </rPr>
          <t>Placeholder</t>
        </r>
      </text>
    </comment>
  </commentList>
</comments>
</file>

<file path=xl/sharedStrings.xml><?xml version="1.0" encoding="utf-8"?>
<sst xmlns="http://schemas.openxmlformats.org/spreadsheetml/2006/main" count="1098" uniqueCount="822">
  <si>
    <t>James Faucette</t>
  </si>
  <si>
    <t>Vasu Govil</t>
  </si>
  <si>
    <t>Danyal Hussain, CFA</t>
  </si>
  <si>
    <t>Executive Director</t>
  </si>
  <si>
    <t>Vice President</t>
  </si>
  <si>
    <t>Associate</t>
  </si>
  <si>
    <t>212-296-5771</t>
  </si>
  <si>
    <t>212-761-3609</t>
  </si>
  <si>
    <t>212-761-1669</t>
  </si>
  <si>
    <t>james.faucette@morganstanley.com</t>
  </si>
  <si>
    <t>vasundhara.govil@morganstanley.com</t>
  </si>
  <si>
    <t>danyal.hussain@morganstanley.com</t>
  </si>
  <si>
    <t>Scenario:</t>
  </si>
  <si>
    <t>Square, Inc.</t>
  </si>
  <si>
    <t>Financials (FY ended Dec 31)</t>
  </si>
  <si>
    <t>MS Estimates vs. Guidance (YoY % change)</t>
  </si>
  <si>
    <t>2015A</t>
  </si>
  <si>
    <t>2016A</t>
  </si>
  <si>
    <t>2017E</t>
  </si>
  <si>
    <t>2018E</t>
  </si>
  <si>
    <t>FY17</t>
  </si>
  <si>
    <t>MS</t>
  </si>
  <si>
    <t>Guidance</t>
  </si>
  <si>
    <t>Revenue</t>
  </si>
  <si>
    <t>Transaction revenue</t>
  </si>
  <si>
    <t>Adj. Revenue</t>
  </si>
  <si>
    <t>YoY % change</t>
  </si>
  <si>
    <t>Adj. Revenue growth</t>
  </si>
  <si>
    <t>% of revenue</t>
  </si>
  <si>
    <t>EBITDA (Adjusted)</t>
  </si>
  <si>
    <t>Starbucks transaction revenue</t>
  </si>
  <si>
    <t>EBITDA Margin (on Adj. Revenue)</t>
  </si>
  <si>
    <t>Metrics</t>
  </si>
  <si>
    <t>Software and data product revenue</t>
  </si>
  <si>
    <t>FQ4/16</t>
  </si>
  <si>
    <t>FQ1/17</t>
  </si>
  <si>
    <t>FQ2/17</t>
  </si>
  <si>
    <t>FQ3/17</t>
  </si>
  <si>
    <t>GPV ($mn)</t>
  </si>
  <si>
    <t>Hardware revenue</t>
  </si>
  <si>
    <t>Total Revenue</t>
  </si>
  <si>
    <t xml:space="preserve">EBITDA </t>
  </si>
  <si>
    <t>EBITDA Margin (on Net Revenue)</t>
  </si>
  <si>
    <t>Adj. EBITDA  (Square Method)</t>
  </si>
  <si>
    <t xml:space="preserve">Operating Income </t>
  </si>
  <si>
    <t>Operating Margin</t>
  </si>
  <si>
    <t>Diluted Net Income (Square Method)</t>
  </si>
  <si>
    <t>Capex</t>
  </si>
  <si>
    <t>Capex % of sales</t>
  </si>
  <si>
    <t>FCF</t>
  </si>
  <si>
    <t>FCF/share</t>
  </si>
  <si>
    <t>Total assets</t>
  </si>
  <si>
    <t>Total liabilities</t>
  </si>
  <si>
    <t>Total shareholder's equity</t>
  </si>
  <si>
    <t>Square, Inc Model: Quarterly Model</t>
  </si>
  <si>
    <t>Fiscal Year End: Dec ($ in millions, except per share data)</t>
  </si>
  <si>
    <t>2012A</t>
  </si>
  <si>
    <t>2013A</t>
  </si>
  <si>
    <t>1Q14A</t>
  </si>
  <si>
    <t>2Q14A</t>
  </si>
  <si>
    <t>3Q14A</t>
  </si>
  <si>
    <t>4Q14A</t>
  </si>
  <si>
    <t>2014A</t>
  </si>
  <si>
    <t>1Q15A</t>
  </si>
  <si>
    <t>2Q15A</t>
  </si>
  <si>
    <t>3Q15A</t>
  </si>
  <si>
    <t>4Q15A</t>
  </si>
  <si>
    <t>1Q16A</t>
  </si>
  <si>
    <t>2Q16A</t>
  </si>
  <si>
    <t>3Q16A</t>
  </si>
  <si>
    <t>4Q16A</t>
  </si>
  <si>
    <t>1Q17A</t>
  </si>
  <si>
    <t>2Q17A</t>
  </si>
  <si>
    <t>3Q17A</t>
  </si>
  <si>
    <t>4Q17E</t>
  </si>
  <si>
    <t>1Q18E</t>
  </si>
  <si>
    <t>2Q18E</t>
  </si>
  <si>
    <t>3Q18E</t>
  </si>
  <si>
    <t>4Q18E</t>
  </si>
  <si>
    <t>1Q19E</t>
  </si>
  <si>
    <t>2Q19E</t>
  </si>
  <si>
    <t>3Q19E</t>
  </si>
  <si>
    <t>4Q19E</t>
  </si>
  <si>
    <t>2019E</t>
  </si>
  <si>
    <t>1Q20E</t>
  </si>
  <si>
    <t>2Q20E</t>
  </si>
  <si>
    <t>3Q20E</t>
  </si>
  <si>
    <t>4Q20E</t>
  </si>
  <si>
    <t>2020E</t>
  </si>
  <si>
    <t>'16-'19 CAGR</t>
  </si>
  <si>
    <t>Income Statement - Fiscal</t>
  </si>
  <si>
    <t>Fiscal Year End: May ($ in millions, except per share data)</t>
  </si>
  <si>
    <t>GPV (in millions)</t>
  </si>
  <si>
    <t xml:space="preserve"> Total Revenue</t>
  </si>
  <si>
    <t>Transaction costs</t>
  </si>
  <si>
    <t>as a % of GPV</t>
  </si>
  <si>
    <t>Bull</t>
  </si>
  <si>
    <t>Base</t>
  </si>
  <si>
    <t>Bear</t>
  </si>
  <si>
    <t>Adj. Rev Take Rate</t>
  </si>
  <si>
    <t>Adjusted Revenue</t>
  </si>
  <si>
    <t>Starbucks transaction costs</t>
  </si>
  <si>
    <t>as a % of Starbucks transaction revenue</t>
  </si>
  <si>
    <t>Subscription and services-based costs</t>
  </si>
  <si>
    <t>as a % of Software and data product revenue</t>
  </si>
  <si>
    <t>Hardware costs</t>
  </si>
  <si>
    <t>as a % of Hardware revenue</t>
  </si>
  <si>
    <t>Amortization of acquired technology</t>
  </si>
  <si>
    <t xml:space="preserve"> Total Cost of revenue</t>
  </si>
  <si>
    <t xml:space="preserve">Starbucks Gross Profit </t>
  </si>
  <si>
    <t>Margin on Net Revenue</t>
  </si>
  <si>
    <t>Margin on Adj. Revenue</t>
  </si>
  <si>
    <t>Gross Profit (ex-Starbucks)</t>
  </si>
  <si>
    <t>Operating Expenses</t>
  </si>
  <si>
    <t>Product development</t>
  </si>
  <si>
    <t>as a % of adj. revenue</t>
  </si>
  <si>
    <t>Sales and marketing</t>
  </si>
  <si>
    <t>General and administrative</t>
  </si>
  <si>
    <t>Transaction and advance losses</t>
  </si>
  <si>
    <t>Transaction losses</t>
  </si>
  <si>
    <t>Advance losses</t>
  </si>
  <si>
    <t>as a % of Software revenue</t>
  </si>
  <si>
    <t>Amortization of acquired customer assets</t>
  </si>
  <si>
    <t>Impairment of intangible assets</t>
  </si>
  <si>
    <t>YoY change in margin (bps)</t>
  </si>
  <si>
    <t>Depreciation &amp; Amortization</t>
  </si>
  <si>
    <t>as a % of adj. revenues</t>
  </si>
  <si>
    <t>EBITDA ("GAAP")</t>
  </si>
  <si>
    <t>Adj. EBITDA (Square Method)</t>
  </si>
  <si>
    <t>EBITDA Margin (on Total Revenue)</t>
  </si>
  <si>
    <t>Interest income and (expense)</t>
  </si>
  <si>
    <t>Other income and (expense)</t>
  </si>
  <si>
    <t>Noncash interest income and (expense)</t>
  </si>
  <si>
    <t>Noncash debt accretion (expense)</t>
  </si>
  <si>
    <t>Income before income taxes</t>
  </si>
  <si>
    <t>as a % of total revenues</t>
  </si>
  <si>
    <t xml:space="preserve">Income tax expense/(benefit) </t>
  </si>
  <si>
    <t xml:space="preserve">Tax rate </t>
  </si>
  <si>
    <t xml:space="preserve">Extraordinary Items, net of tax </t>
  </si>
  <si>
    <t xml:space="preserve"> </t>
  </si>
  <si>
    <t>Net Income (GAAP)</t>
  </si>
  <si>
    <t>Diluted EPS (GAAP)</t>
  </si>
  <si>
    <t>Adj. Net Income (MS Method)</t>
  </si>
  <si>
    <t>Adj. EPS (MS Method)</t>
  </si>
  <si>
    <t>Adj. Net Income (Square Method)</t>
  </si>
  <si>
    <t>Adj. EPS (Square Method)</t>
  </si>
  <si>
    <t>Period end Shares</t>
  </si>
  <si>
    <t>Average Basic shares outstanding</t>
  </si>
  <si>
    <t>Average Diluted shares outstanding (for GAAP EPS)</t>
  </si>
  <si>
    <t>Share Price (used to calculate dilution)</t>
  </si>
  <si>
    <t>Adjustments</t>
  </si>
  <si>
    <t>Total share-based compensation</t>
  </si>
  <si>
    <t>Loss on sale of property and equipment</t>
  </si>
  <si>
    <t>Cash Flow Statement - Fiscal</t>
  </si>
  <si>
    <t>Cash Flow from Operating Activities</t>
  </si>
  <si>
    <t>Net income</t>
  </si>
  <si>
    <t>Adjustments to reconcile net income to net cash provided by operating activities:</t>
  </si>
  <si>
    <t>Depreciation and amortization on property and equipment and intangible assets</t>
  </si>
  <si>
    <t xml:space="preserve">Depreciation </t>
  </si>
  <si>
    <t>Amortization</t>
  </si>
  <si>
    <t>Stock-based compensation</t>
  </si>
  <si>
    <t>Starbucks share-based incentive</t>
  </si>
  <si>
    <t>Excess tax benefit from share-based payment activity</t>
  </si>
  <si>
    <t>Provision for transaction losses</t>
  </si>
  <si>
    <t>Provision for uncollectible receivables related to merchant cash
advances</t>
  </si>
  <si>
    <t>Deferred tax assets</t>
  </si>
  <si>
    <t>Other</t>
  </si>
  <si>
    <t>Net changes in assets and liabilities:</t>
  </si>
  <si>
    <t>Settlements receivable</t>
  </si>
  <si>
    <t>Merchant cash advance receivable</t>
  </si>
  <si>
    <t>Other current assets</t>
  </si>
  <si>
    <t>Other assets</t>
  </si>
  <si>
    <t>Accounts payable</t>
  </si>
  <si>
    <t>Customers payable</t>
  </si>
  <si>
    <t>Charge-offs and recoveries to accrued transaction losses</t>
  </si>
  <si>
    <t>Accrued expenses</t>
  </si>
  <si>
    <t>Other current liabilities</t>
  </si>
  <si>
    <t>Other liabilities</t>
  </si>
  <si>
    <t>Cash flow from operations</t>
  </si>
  <si>
    <t>Cash Flow from Investing Activities</t>
  </si>
  <si>
    <t>Purchases of property and equipment</t>
  </si>
  <si>
    <t>Payment for acquisition of intangible assets</t>
  </si>
  <si>
    <t>Other investing activities</t>
  </si>
  <si>
    <t>Business acquisitions (net of cash acquired)</t>
  </si>
  <si>
    <t>Cash flow from investing activities</t>
  </si>
  <si>
    <t>Cash Flow from Financing Activities</t>
  </si>
  <si>
    <t>Proceeds from issuance of preferred stock, net</t>
  </si>
  <si>
    <t>Proceeds from issuance of common stock</t>
  </si>
  <si>
    <t>Principal payments on capital lease obligation</t>
  </si>
  <si>
    <t>Proceeds from debt</t>
  </si>
  <si>
    <t>Principal payments on debt</t>
  </si>
  <si>
    <t>Proceeds from the share issuance/exercise of stock options</t>
  </si>
  <si>
    <t>Excess tax benefit from share-based payment award</t>
  </si>
  <si>
    <t>Cash flow from financing activities</t>
  </si>
  <si>
    <t>Effect of foreign exchange rate on cash and cash equivalents</t>
  </si>
  <si>
    <t>Net change in cash and equivalents</t>
  </si>
  <si>
    <t>Beginning of period cash balance</t>
  </si>
  <si>
    <t>End of period cash balance</t>
  </si>
  <si>
    <t>Free Cash Flow (CFO less capex)</t>
  </si>
  <si>
    <t>FCF/Net Income</t>
  </si>
  <si>
    <t>Check</t>
  </si>
  <si>
    <t>Balance Sheet</t>
  </si>
  <si>
    <t>Current Assets</t>
  </si>
  <si>
    <t>Cash and cash equivalents</t>
  </si>
  <si>
    <t>Restricted cash</t>
  </si>
  <si>
    <t>Merchant cash advance receivable, net</t>
  </si>
  <si>
    <t>Total current assets</t>
  </si>
  <si>
    <t>Property and equipment, net of accumulated depreciation</t>
  </si>
  <si>
    <t>Goodwill</t>
  </si>
  <si>
    <t>Acquired intangible assets, net of accumulated amortization</t>
  </si>
  <si>
    <t>Total Assets</t>
  </si>
  <si>
    <t>Current liabilities</t>
  </si>
  <si>
    <t>Accrued transaction losses</t>
  </si>
  <si>
    <t>Total current liabilities</t>
  </si>
  <si>
    <t>Debt</t>
  </si>
  <si>
    <t>Other long-term liabilities</t>
  </si>
  <si>
    <t>Convertible preferred stock</t>
  </si>
  <si>
    <t>Common Stock</t>
  </si>
  <si>
    <t>Additional Paid-in Capital</t>
  </si>
  <si>
    <t>Accumulated other comprehensive loss</t>
  </si>
  <si>
    <t>Accumulated deficit</t>
  </si>
  <si>
    <t>Total stockholders' equity</t>
  </si>
  <si>
    <t>Total Liabilities &amp; Stockholders' Equity</t>
  </si>
  <si>
    <t>Key Operating Statistics</t>
  </si>
  <si>
    <t>Total debt</t>
  </si>
  <si>
    <t>Net Debt</t>
  </si>
  <si>
    <t>Debt/Total Capital</t>
  </si>
  <si>
    <t>Net Debt/EBITDA (adjusted)</t>
  </si>
  <si>
    <t>Debt/EBITDA (adjusted)</t>
  </si>
  <si>
    <t>Return on Average Assets</t>
  </si>
  <si>
    <t>Return on Average Equity</t>
  </si>
  <si>
    <t>Days Settlements receivable Outstanding</t>
  </si>
  <si>
    <t>Days Accounts Payable Outstanding</t>
  </si>
  <si>
    <t>Capex as % of Total Revenue</t>
  </si>
  <si>
    <t>Settlements Receivable: Receivables/Payables Ratio</t>
  </si>
  <si>
    <t>Other Current Assets as % of Total  Revenue</t>
  </si>
  <si>
    <t>Accounts Payable as % of Operating Expenses</t>
  </si>
  <si>
    <t>Accrued Expenses as % of Operating Expenses</t>
  </si>
  <si>
    <t>Other Current Liabilities as % of Operating Expenses</t>
  </si>
  <si>
    <t>Risk &amp; Fraud (Provision for Transaction Losses)</t>
  </si>
  <si>
    <t>As % of Total GPV</t>
  </si>
  <si>
    <t>Provision for Risk Loss</t>
  </si>
  <si>
    <t>As % of Risk &amp; Fraud</t>
  </si>
  <si>
    <t>Charge-offs</t>
  </si>
  <si>
    <t>As % of Accrual for Risk Loss</t>
  </si>
  <si>
    <t>Transaction Loss Reserve, Beginning</t>
  </si>
  <si>
    <t>+ Provision for Risk Loss</t>
  </si>
  <si>
    <t>- Charge-offs</t>
  </si>
  <si>
    <t>Transaction Loss Reserve, Ending</t>
  </si>
  <si>
    <t>Customers Payable</t>
  </si>
  <si>
    <t>Days of Unpaid GPV</t>
  </si>
  <si>
    <t>Monday</t>
  </si>
  <si>
    <t>Tuesday</t>
  </si>
  <si>
    <t>Wednesday</t>
  </si>
  <si>
    <t>Thursday</t>
  </si>
  <si>
    <t>Friday</t>
  </si>
  <si>
    <t>Saturday</t>
  </si>
  <si>
    <t>Sunday</t>
  </si>
  <si>
    <t>Unpaid GPV</t>
  </si>
  <si>
    <t>Days of Unpaid GPV (On Last Day of Period)</t>
  </si>
  <si>
    <t>Daily GPV</t>
  </si>
  <si>
    <t>Customers Payable as % of Unpaid GPV</t>
  </si>
  <si>
    <t>Modelware Required Tags:</t>
  </si>
  <si>
    <t>Statutory Tax Rate</t>
  </si>
  <si>
    <t>Unrecorded Goodwill</t>
  </si>
  <si>
    <t>ND</t>
  </si>
  <si>
    <t>Net Issuance</t>
  </si>
  <si>
    <t>Amortization adjustment-EBITDA for consensus</t>
  </si>
  <si>
    <t>Toggle</t>
  </si>
  <si>
    <t>Square, Inc. Model: Segment Detail</t>
  </si>
  <si>
    <t>QoQ % change</t>
  </si>
  <si>
    <t>Square Take rate</t>
  </si>
  <si>
    <t>Subscription and services-based revenue</t>
  </si>
  <si>
    <t>As a % of GPV</t>
  </si>
  <si>
    <t>Total  Revenue</t>
  </si>
  <si>
    <t>% of Total Net Revenues</t>
  </si>
  <si>
    <t>Total</t>
  </si>
  <si>
    <t>Adj. transaction revenue</t>
  </si>
  <si>
    <t>GPV Mix by seller Size (ex Starbucks)</t>
  </si>
  <si>
    <t>Micro (&lt;$125k)</t>
  </si>
  <si>
    <t>Small ($125-500k)</t>
  </si>
  <si>
    <t>Mid-Large ($500k+)</t>
  </si>
  <si>
    <t>Mix by Geography</t>
  </si>
  <si>
    <t>Disclosed Statistics and Data Points</t>
  </si>
  <si>
    <t>Square Capital originations ($mn)</t>
  </si>
  <si>
    <t xml:space="preserve">YoY growth </t>
  </si>
  <si>
    <t>Loans</t>
  </si>
  <si>
    <t>40k</t>
  </si>
  <si>
    <t>49k</t>
  </si>
  <si>
    <t>47k</t>
  </si>
  <si>
    <t>Default Rates</t>
  </si>
  <si>
    <t>Instant Deposit</t>
  </si>
  <si>
    <t>Caviar</t>
  </si>
  <si>
    <t>Square Invoices GPV ($mn)</t>
  </si>
  <si>
    <t>SQ capital revenue estimate</t>
  </si>
  <si>
    <t>Square Inc. Model: PT Interpolation</t>
  </si>
  <si>
    <t>Calculated ($)</t>
  </si>
  <si>
    <t>DCF Valuation</t>
  </si>
  <si>
    <t>EV/EBITDA</t>
  </si>
  <si>
    <t>EV/EBITDA Valuation</t>
  </si>
  <si>
    <t>EV/EBITDA Target</t>
  </si>
  <si>
    <t>CY19 Revenue</t>
  </si>
  <si>
    <t>Target Multiple</t>
  </si>
  <si>
    <t>Enterprise Value</t>
  </si>
  <si>
    <t>Net Debt/(Cash)</t>
  </si>
  <si>
    <t>Implied Share Price</t>
  </si>
  <si>
    <t>Avg. shares outstanding</t>
  </si>
  <si>
    <t>Square, Inc. Model: DCF</t>
  </si>
  <si>
    <t>1=Bull</t>
  </si>
  <si>
    <t>FYE: Dec ($ in mn, except per share data)</t>
  </si>
  <si>
    <t>To adjust discounting:</t>
  </si>
  <si>
    <t>2=Base</t>
  </si>
  <si>
    <t>&lt;-Enter current fiscal year +1</t>
  </si>
  <si>
    <t>3=Bear</t>
  </si>
  <si>
    <t>&lt;-Enter most recent Q reported (0-3, 0 means YE)</t>
  </si>
  <si>
    <t>GPV</t>
  </si>
  <si>
    <t>Take Rate on GPV</t>
  </si>
  <si>
    <t>Software &amp; Data Product Revenue</t>
  </si>
  <si>
    <t>Software as a % of Adj. Revenue</t>
  </si>
  <si>
    <t>Hardware Revenue</t>
  </si>
  <si>
    <t>Take Rate %</t>
  </si>
  <si>
    <t>Starbucks Revenue</t>
  </si>
  <si>
    <t>Total Net Revenue</t>
  </si>
  <si>
    <t>% of GPV</t>
  </si>
  <si>
    <t>Net Take Rate</t>
  </si>
  <si>
    <t>Software and Data Product Costs</t>
  </si>
  <si>
    <t>% of Software revenue</t>
  </si>
  <si>
    <t>% of Hardware revenue</t>
  </si>
  <si>
    <t>Product Development</t>
  </si>
  <si>
    <t>% of revenues</t>
  </si>
  <si>
    <t>Sales and Marketing</t>
  </si>
  <si>
    <t>G&amp;A</t>
  </si>
  <si>
    <t>Transaction &amp; Advance Losses</t>
  </si>
  <si>
    <t>Amort of Acquired Tech &amp; Customers</t>
  </si>
  <si>
    <t>Impairment of Intangible Assets</t>
  </si>
  <si>
    <t>Starbucks Transaction Costs</t>
  </si>
  <si>
    <t>Operating income</t>
  </si>
  <si>
    <t>Bull/Bear Adjustment</t>
  </si>
  <si>
    <t>Operating margin (on net revenue)</t>
  </si>
  <si>
    <t>Operating margin (on adj. revenue)</t>
  </si>
  <si>
    <t>Depreciation and amortization</t>
  </si>
  <si>
    <t>% of adj. revenues</t>
  </si>
  <si>
    <t>EBITDA margin (on net revenue)</t>
  </si>
  <si>
    <t>EBITDA margin (on adj. revenue)</t>
  </si>
  <si>
    <t>Loss on Property &amp; Equipment</t>
  </si>
  <si>
    <t>SBC</t>
  </si>
  <si>
    <t>EBITDA (Adj. - Square Method)</t>
  </si>
  <si>
    <t>Adj. EBITDA margin (on net revenue)</t>
  </si>
  <si>
    <t>Adj. EBITDA margin (on adj. revenue)</t>
  </si>
  <si>
    <t>Interest Income/(expense)</t>
  </si>
  <si>
    <t>Other income/(expense), net</t>
  </si>
  <si>
    <t>EBT</t>
  </si>
  <si>
    <t>Tax exp/(bene)</t>
  </si>
  <si>
    <t>Tax rate</t>
  </si>
  <si>
    <t>Net income from continuing operation(adjusted)</t>
  </si>
  <si>
    <t>Adj Net Income (Square Method)</t>
  </si>
  <si>
    <t>Diluted Share Count (for EPS)</t>
  </si>
  <si>
    <t xml:space="preserve">   Share Price used for dilution</t>
  </si>
  <si>
    <t>Other Cash Impacts</t>
  </si>
  <si>
    <t>Capital Expenditure</t>
  </si>
  <si>
    <t>Capex % of adj. revenues</t>
  </si>
  <si>
    <t>Change in Net working capital (incl Charge-offs)</t>
  </si>
  <si>
    <t>NWC % of revenues</t>
  </si>
  <si>
    <t>Other non-cash items (incl Provisions, ex SBC)</t>
  </si>
  <si>
    <t>Other % of revenues</t>
  </si>
  <si>
    <t>After Tax Interest Expense</t>
  </si>
  <si>
    <t>Free cash flow to firm</t>
  </si>
  <si>
    <t>PV factor</t>
  </si>
  <si>
    <t>PV of Free Cash Flows</t>
  </si>
  <si>
    <t>Terminal Value</t>
  </si>
  <si>
    <t>Inputs</t>
  </si>
  <si>
    <t>Valuation</t>
  </si>
  <si>
    <t>DCF Sensitivity Analysis</t>
  </si>
  <si>
    <t>WACC</t>
  </si>
  <si>
    <t>Discount Rate</t>
  </si>
  <si>
    <t>PV of terminal value</t>
  </si>
  <si>
    <t>Terminal FCF multiple</t>
  </si>
  <si>
    <t>Total PV of FCF</t>
  </si>
  <si>
    <t>Terminal EBITDA multiple</t>
  </si>
  <si>
    <t>Less: Debt</t>
  </si>
  <si>
    <t>Terminal</t>
  </si>
  <si>
    <t>Terminal Growth Rate</t>
  </si>
  <si>
    <t>Plus: Cash &amp; corp investments</t>
  </si>
  <si>
    <t>Growth</t>
  </si>
  <si>
    <t>Equity value</t>
  </si>
  <si>
    <t>Rate</t>
  </si>
  <si>
    <t>Diluted shares outstanding</t>
  </si>
  <si>
    <t>Implied share price in one year</t>
  </si>
  <si>
    <t>High Growth Years</t>
  </si>
  <si>
    <t>High Growth Starting FCF Growth Rate</t>
  </si>
  <si>
    <t>WACC Calculation</t>
  </si>
  <si>
    <t>WACC = (equity/capital) x (WACE) + (LTD/capital) x (WACD)</t>
  </si>
  <si>
    <t>Current capital structure</t>
  </si>
  <si>
    <t>Weighted</t>
  </si>
  <si>
    <t>Value</t>
  </si>
  <si>
    <t>%</t>
  </si>
  <si>
    <t>Cost</t>
  </si>
  <si>
    <t>Equity</t>
  </si>
  <si>
    <t>Weighted average cost of equity</t>
  </si>
  <si>
    <t>CAPM = Risk free rate + beta (expected market return - risk free rate)</t>
  </si>
  <si>
    <t>Risk free rate</t>
  </si>
  <si>
    <t>10-yr Treasury Yield</t>
  </si>
  <si>
    <t>+</t>
  </si>
  <si>
    <t>Beta</t>
  </si>
  <si>
    <t>x</t>
  </si>
  <si>
    <t>Expected market return</t>
  </si>
  <si>
    <t>-RFR</t>
  </si>
  <si>
    <t>Risk Premium</t>
  </si>
  <si>
    <t>+ Alpha</t>
  </si>
  <si>
    <t>Cost of Equity (WACE)</t>
  </si>
  <si>
    <t>Square Inc. Financials - Presentation Format</t>
  </si>
  <si>
    <t>INCOME STATEMENT ($ millions except per share data)</t>
  </si>
  <si>
    <t>as a % of Revenue</t>
  </si>
  <si>
    <t>Total revenue</t>
  </si>
  <si>
    <t>Software and data product costs</t>
  </si>
  <si>
    <t>Total Cost of revenue</t>
  </si>
  <si>
    <t>Adjusted Gross Profit (ex-Starbucks)</t>
  </si>
  <si>
    <t>Stock Based Comp</t>
  </si>
  <si>
    <t>Adj. EBITDA (SBC Unburdened - Square Method)</t>
  </si>
  <si>
    <t>Income Before Taxes</t>
  </si>
  <si>
    <t>Income Taxes (Benefit)</t>
  </si>
  <si>
    <t>Tax Rate</t>
  </si>
  <si>
    <t>Wtd. Avg. Diluted Shares</t>
  </si>
  <si>
    <t>CASH FLOW STATEMENT ($ millions)</t>
  </si>
  <si>
    <t>Cash Flow from Operations</t>
  </si>
  <si>
    <t>Change in Cash and Equivalents</t>
  </si>
  <si>
    <t>Cash, End of Period</t>
  </si>
  <si>
    <t>BALANCE SHEET ($ millions)</t>
  </si>
  <si>
    <t>963 - 966</t>
  </si>
  <si>
    <t>132 - 135</t>
  </si>
  <si>
    <t>.</t>
  </si>
  <si>
    <t>SQ.N</t>
  </si>
  <si>
    <t>Square Inc</t>
  </si>
  <si>
    <t>BYNZGK1</t>
  </si>
  <si>
    <t>Currency</t>
  </si>
  <si>
    <t>USD</t>
  </si>
  <si>
    <t>Current Stock Price</t>
  </si>
  <si>
    <t>Count</t>
  </si>
  <si>
    <t>SQ.N,mscalc:closePriceCurrencyCalc</t>
  </si>
  <si>
    <t>SQ.N,mscalc:targetPrice,,,,USD</t>
  </si>
  <si>
    <t>SQ.N,mscalc:sedolCodeCalc</t>
  </si>
  <si>
    <t>$F$2</t>
  </si>
  <si>
    <t>26</t>
  </si>
  <si>
    <t>% of total GPV</t>
  </si>
  <si>
    <t>% of total Gross Rev</t>
  </si>
  <si>
    <t>Intl Revenue ($mn)</t>
  </si>
  <si>
    <t>US Revenue ($mn)</t>
  </si>
  <si>
    <t>Micro (&lt;$125k) Growth Rate</t>
  </si>
  <si>
    <t>Micro (&lt;$125k) GPV</t>
  </si>
  <si>
    <t>Small ($125-500k) GPV</t>
  </si>
  <si>
    <t>Mid-Large ($500k+) GPV</t>
  </si>
  <si>
    <t>PV of cash flows in years 2018-2020</t>
  </si>
  <si>
    <t>PV of cash flows in years 2021-2025</t>
  </si>
  <si>
    <t>2012-2016 rev growth rate</t>
  </si>
  <si>
    <t>2016-2025 rev growth rate</t>
  </si>
  <si>
    <t>2017-2020 Adj. Rev CAGR</t>
  </si>
  <si>
    <t>2020 Adj. EBITDA Margin</t>
  </si>
  <si>
    <t>2017-2020 GPV CAGR</t>
  </si>
  <si>
    <t>Implied Adj. EBITDA Multiple</t>
  </si>
  <si>
    <t>'17-25 CAGR</t>
  </si>
  <si>
    <t>Research</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</si>
  <si>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</si>
  <si>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</si>
  <si>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</si>
  <si>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</si>
  <si>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</si>
  <si>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</si>
  <si>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</si>
  <si>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James Faucette, Vasundhara Govil, Danyal Hussain, Brian Nowak</t>
  </si>
  <si>
    <t>Date: 19 Dec 2017</t>
  </si>
  <si>
    <t>Ticker: SQ.N</t>
  </si>
  <si>
    <t>Stock Rating: Equal-Weight</t>
  </si>
  <si>
    <t>Industry: Payments and Processing</t>
  </si>
  <si>
    <t>Industry View: In-Line</t>
  </si>
  <si>
    <t>Price as of 19 Dec 2017: 36.61</t>
  </si>
  <si>
    <t>Target Price: 40</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</si>
  <si>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</si>
  <si>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</si>
  <si>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</si>
  <si>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</si>
  <si>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Square Inc.</t>
  </si>
  <si>
    <t>STOCK RATINGS</t>
  </si>
  <si>
    <t>Global Stock Ratings Distribution</t>
  </si>
  <si>
    <t>(as of November 30, 2017)</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</si>
  <si>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</si>
  <si>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</si>
  <si>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</si>
  <si>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</si>
  <si>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</si>
  <si>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</si>
  <si>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</si>
  <si>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</si>
  <si>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</si>
  <si>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</si>
  <si>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</si>
  <si>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</si>
  <si>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</si>
  <si>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</si>
  <si>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</si>
  <si>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</si>
  <si>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</si>
  <si>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</si>
  <si>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</si>
  <si>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</si>
  <si>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</si>
  <si>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</si>
  <si>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</si>
  <si>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</si>
  <si>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</si>
  <si>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</si>
  <si>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</si>
  <si>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</si>
  <si>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</si>
  <si>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</si>
  <si>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</si>
  <si>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</si>
  <si>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</si>
  <si>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</si>
  <si>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</si>
  <si>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</si>
  <si>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</si>
  <si>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</si>
  <si>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</si>
  <si>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</si>
  <si>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</si>
  <si>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</si>
  <si>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</si>
  <si>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</si>
  <si>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</si>
  <si>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</si>
  <si>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</si>
  <si>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</si>
  <si>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</si>
  <si>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</si>
  <si>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</si>
  <si>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</si>
  <si>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</si>
  <si>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</si>
  <si>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</si>
  <si>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</si>
  <si>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</si>
  <si>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</si>
  <si>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</si>
  <si>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</si>
  <si>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</si>
  <si>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</si>
  <si>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</si>
  <si>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</si>
  <si>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</si>
  <si>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</si>
  <si>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</si>
  <si>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</si>
  <si>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</si>
  <si>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</si>
  <si>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</si>
  <si>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</si>
  <si>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</si>
  <si>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</si>
  <si>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</si>
  <si>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</si>
  <si>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</si>
  <si>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</si>
  <si>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</si>
  <si>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</si>
  <si>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</si>
  <si>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</si>
  <si>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</si>
  <si>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</si>
  <si>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</si>
  <si>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</si>
  <si>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</si>
  <si>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</si>
  <si>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</si>
  <si>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</si>
  <si>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</si>
  <si>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</si>
  <si>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</si>
  <si>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</si>
  <si>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</si>
  <si>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</si>
  <si>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</si>
  <si>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</si>
  <si>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</si>
  <si>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</si>
  <si>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</si>
  <si>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</si>
  <si>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</si>
  <si>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</si>
  <si>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</si>
  <si>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</si>
  <si>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</si>
  <si>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</si>
  <si>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</si>
  <si>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</si>
  <si>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</si>
  <si>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</si>
  <si>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</si>
  <si>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</si>
  <si>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</si>
  <si>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</si>
  <si>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</si>
  <si>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</si>
  <si>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</si>
  <si>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</si>
  <si>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</si>
  <si>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</si>
  <si>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</si>
  <si>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</si>
  <si>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</si>
  <si>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</si>
  <si>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</si>
  <si>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</si>
  <si>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</si>
  <si>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</si>
  <si>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</si>
  <si>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</si>
  <si>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</si>
  <si>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</si>
  <si>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</si>
  <si>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</si>
  <si>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</si>
  <si>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</si>
  <si>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</si>
  <si>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</si>
  <si>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</si>
  <si>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</si>
  <si>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</si>
  <si>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</si>
  <si>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</si>
  <si>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</si>
  <si>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</si>
  <si>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</si>
  <si>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</si>
  <si>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</si>
  <si>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</si>
  <si>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</si>
  <si>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</si>
  <si>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</si>
  <si>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</si>
  <si>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</si>
  <si>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</si>
  <si>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</si>
  <si>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</si>
  <si>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</si>
  <si>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</si>
  <si>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</si>
  <si>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</si>
  <si>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</si>
  <si>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</si>
  <si>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</si>
  <si>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</si>
  <si>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</si>
  <si>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</si>
  <si>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</si>
  <si>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</si>
  <si>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</si>
  <si>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Square Inc.</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</si>
  <si>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</si>
  <si>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</si>
  <si>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</si>
  <si>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</si>
  <si>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</si>
  <si>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</si>
  <si>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</si>
  <si>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</si>
  <si>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</si>
  <si>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</si>
  <si>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</si>
  <si>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</si>
  <si>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</si>
  <si>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</si>
  <si>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</si>
  <si>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</si>
  <si>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</si>
  <si>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</si>
  <si>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</si>
  <si>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</si>
  <si>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</si>
  <si>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</si>
  <si>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</si>
  <si>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</si>
  <si>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</si>
  <si>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</si>
  <si>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</si>
  <si>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</si>
  <si>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</si>
  <si>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</si>
  <si>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</si>
  <si>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</si>
  <si>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</si>
  <si>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</si>
  <si>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</si>
  <si>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</si>
  <si>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</si>
  <si>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</si>
  <si>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</si>
  <si>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</si>
  <si>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</si>
  <si>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</si>
  <si>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</si>
  <si>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</si>
  <si>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</si>
  <si>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</si>
  <si>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</si>
  <si>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</si>
  <si>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</si>
  <si>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</si>
  <si>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</si>
  <si>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</si>
  <si>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</si>
  <si>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</si>
  <si>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</si>
  <si>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</si>
  <si>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</si>
  <si>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</si>
  <si>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</si>
  <si>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</si>
  <si>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</si>
  <si>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</si>
  <si>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</si>
  <si>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</si>
  <si>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</si>
  <si>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</si>
  <si>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provided or is providing investment banking services to,</t>
  </si>
  <si>
    <t>or has an investment banking client relationship with, the following company: Square Inc.</t>
  </si>
  <si>
    <t>In the next 3 months, Morgan Stanley expects to receive or intends to seek compensation for investment</t>
  </si>
  <si>
    <t>banking services from Square Inc.</t>
  </si>
  <si>
    <t>As of November 30, 2017, Morgan Stanley beneficially owned 1% or more of a class of common equity</t>
  </si>
  <si>
    <t>securities of the following companies covered in Morgan Stanley Research: Square Inc.</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</si>
  <si>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</si>
  <si>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</si>
  <si>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</si>
  <si>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</si>
  <si>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</si>
  <si>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James E Faucette.</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</si>
  <si>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</si>
  <si>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</si>
  <si>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</si>
  <si>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</si>
  <si>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</si>
  <si>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</si>
  <si>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</si>
  <si>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</si>
  <si>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</si>
  <si>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</si>
  <si>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</si>
  <si>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</si>
  <si>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</si>
  <si>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</si>
  <si>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</si>
  <si>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</si>
  <si>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</si>
  <si>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</si>
  <si>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</si>
  <si>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2017 Morgan Stanley</t>
  </si>
  <si>
    <t>MacroVersion</t>
  </si>
  <si>
    <t>PublishDate</t>
  </si>
  <si>
    <t>Discipline</t>
  </si>
  <si>
    <t>ResearchTopic</t>
  </si>
  <si>
    <t>Company</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</si>
  <si>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</si>
  <si>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</si>
  <si>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</si>
  <si>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</si>
  <si>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</si>
  <si>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</si>
  <si>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</si>
  <si>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</si>
  <si>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</si>
  <si>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</si>
  <si>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</si>
  <si>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</si>
  <si>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</si>
  <si>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</si>
  <si>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</si>
  <si>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</si>
  <si>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</si>
  <si>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</si>
  <si>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</si>
  <si>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</si>
  <si>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</si>
  <si>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</si>
  <si>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</si>
  <si>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</si>
  <si>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</si>
  <si>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</si>
  <si>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</si>
  <si>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</si>
  <si>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</si>
  <si>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</si>
  <si>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</si>
  <si>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</si>
  <si>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</si>
  <si>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</si>
  <si>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</si>
  <si>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</si>
  <si>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</si>
  <si>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</si>
  <si>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</si>
  <si>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</si>
  <si>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</si>
  <si>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</si>
  <si>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</si>
  <si>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Equal-Weight / In-Line</t>
  </si>
  <si>
    <t>Quarterly Update</t>
  </si>
  <si>
    <t>NorthAmerica</t>
  </si>
  <si>
    <t>danyah</t>
  </si>
  <si>
    <t>MSA38JKV, MSA93FJR, MSA13GBB, MSA32LVJ</t>
  </si>
  <si>
    <t>L:\ITServices\Companies\SQ\Model\SQ Model.xlsm</t>
  </si>
  <si>
    <t>[BRO MSA]</t>
  </si>
  <si>
    <t>[PRODUCT MODEL]</t>
  </si>
  <si>
    <t>[EMAIL_ALERT YES]</t>
  </si>
  <si>
    <t>[DISCIPLINE Company]</t>
  </si>
  <si>
    <t>[SUPPRESSED NO]</t>
  </si>
  <si>
    <t>[DOCDAT 2017-12-19]</t>
  </si>
  <si>
    <t>[DOCTIME 12:36]</t>
  </si>
  <si>
    <t>[PSYM SQ.N(S&amp;P) (None)]</t>
  </si>
  <si>
    <t>[COU 1]</t>
  </si>
  <si>
    <t>[ANA MSA93FJR MSA13GBB MSA32LVJ]</t>
  </si>
  <si>
    <t>[HL SQ.N Model]</t>
  </si>
  <si>
    <t>[IND COMPUT]</t>
  </si>
  <si>
    <t>[PANA MSA38JKV]</t>
  </si>
</sst>
</file>

<file path=xl/styles.xml><?xml version="1.0" encoding="utf-8"?>
<styleSheet xmlns="http://schemas.openxmlformats.org/spreadsheetml/2006/main" xmlns:mc="http://schemas.openxmlformats.org/markup-compatibility/2006" xmlns:x14ac="http://schemas.microsoft.com/office/spreadsheetml/2009/9/ac" mc:Ignorable="x14ac">
  <numFmts count="42">
    <numFmt numFmtId="5" formatCode="&quot;$&quot;#,##0_);\(&quot;$&quot;#,##0\)"/>
    <numFmt numFmtId="7" formatCode="&quot;$&quot;#,##0.00_);\(&quot;$&quot;#,##0.0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0.0"/>
    <numFmt numFmtId="167" formatCode="#,##0.0_);\(#,##0.0\)"/>
    <numFmt numFmtId="168" formatCode="_(* #,##0.0_);_(* \(#,##0.0\);_(* &quot;-&quot;??_);_(@_)"/>
    <numFmt numFmtId="169" formatCode="&quot;$&quot;#,##0.00"/>
    <numFmt numFmtId="170" formatCode="0.0%_);\(0.0%\)"/>
    <numFmt numFmtId="171" formatCode="0.00%_);\(0.00%\)"/>
    <numFmt numFmtId="172" formatCode="0.000%_);\(0.000%\)"/>
    <numFmt numFmtId="173" formatCode="0.000%"/>
    <numFmt numFmtId="174" formatCode="#,##0.000_);\(#,##0.000\)"/>
    <numFmt numFmtId="175" formatCode="0.0"/>
    <numFmt numFmtId="176" formatCode="#,##0.0000"/>
    <numFmt numFmtId="177" formatCode="_(* #,##0.000_);_(* \(#,##0.000\);_(* &quot;-&quot;??_);_(@_)"/>
    <numFmt numFmtId="178" formatCode="0.0\x"/>
    <numFmt numFmtId="179" formatCode="0.0\X"/>
    <numFmt numFmtId="180" formatCode="0.0000%"/>
    <numFmt numFmtId="181" formatCode="[$-409]mmm\-yy;@"/>
    <numFmt numFmtId="182" formatCode="&quot;$&quot;#,##0"/>
    <numFmt numFmtId="183" formatCode="_(* #,##0_);_(* \(#,##0\);_(* &quot;-&quot;?_);_(@_)"/>
    <numFmt numFmtId="197" formatCode="#,##0.0_);\(#,##0.0\);#,##0.0_);@_)"/>
    <numFmt numFmtId="198" formatCode="&quot;$&quot;_(#,##0.00_);&quot;$&quot;\(#,##0.00\);&quot;$&quot;_(0.00_);@_)"/>
    <numFmt numFmtId="199" formatCode="#,##0.00_);\(#,##0.00\);0.00_);@_)"/>
    <numFmt numFmtId="200" formatCode="#,##0.0_)\x;\(#,##0.0\)\x;0.0_)\x;@_)_x"/>
    <numFmt numFmtId="201" formatCode="#,##0.0_)_x;\(#,##0.0\)_x;0.0_)_x;@_)_x"/>
    <numFmt numFmtId="202" formatCode="0.0_)\%;\(0.0\)\%;0.0_)\%;@_)_%"/>
    <numFmt numFmtId="203" formatCode="#,##0.0_)_%;\(#,##0.0\)_%;0.0_)_%;@_)_%"/>
    <numFmt numFmtId="204" formatCode="0_)"/>
    <numFmt numFmtId="205" formatCode="0.0%;\(0.0%\)"/>
    <numFmt numFmtId="206" formatCode="&quot;$&quot;#,##0.0_);[Red]\(&quot;$&quot;#,##0.0\)"/>
    <numFmt numFmtId="207" formatCode="_-* #,##0\ _P_t_a_-;\-* #,##0\ _P_t_a_-;_-* &quot;-&quot;\ _P_t_a_-;_-@_-"/>
    <numFmt numFmtId="208" formatCode="_-* #,##0.00\ _P_t_a_-;\-* #,##0.00\ _P_t_a_-;_-* &quot;-&quot;??\ _P_t_a_-;_-@_-"/>
    <numFmt numFmtId="209" formatCode="_-* #,##0\ &quot;pta&quot;_-;\-* #,##0\ &quot;pta&quot;_-;_-* &quot;-&quot;\ &quot;pta&quot;_-;_-@_-"/>
    <numFmt numFmtId="210" formatCode="_-* #,##0.00\ &quot;pta&quot;_-;\-* #,##0.00\ &quot;pta&quot;_-;_-* &quot;-&quot;??\ &quot;pta&quot;_-;_-@_-"/>
    <numFmt numFmtId="211" formatCode="0.00\ \ \ \ "/>
    <numFmt numFmtId="212" formatCode="#,##0\x"/>
    <numFmt numFmtId="218" formatCode="mm/dd/yy\ hh:mm"/>
  </numFmts>
  <fonts count="68">
    <font>
      <sz val="10"/>
      <name val="Arial"/>
      <family val="2"/>
    </font>
    <font>
      <sz val="11"/>
      <color theme="1"/>
      <name val="Calibri"/>
      <family val="2"/>
      <scheme val="minor"/>
    </font>
    <font>
      <sz val="10"/>
      <name val="Arial"/>
      <family val="2"/>
    </font>
    <font>
      <b/>
      <sz val="11"/>
      <name val="Arial"/>
      <family val="2"/>
    </font>
    <font>
      <b/>
      <sz val="10"/>
      <name val="Arial"/>
      <family val="2"/>
    </font>
    <font>
      <b/>
      <sz val="12"/>
      <name val="Arial"/>
      <family val="2"/>
    </font>
    <font>
      <b/>
      <sz val="14"/>
      <name val="Arial"/>
      <family val="2"/>
    </font>
    <font>
      <sz val="8"/>
      <name val="Arial"/>
      <family val="2"/>
    </font>
    <font>
      <b/>
      <sz val="8"/>
      <name val="Arial"/>
      <family val="2"/>
    </font>
    <font>
      <sz val="9"/>
      <name val="Arial"/>
      <family val="2"/>
    </font>
    <font>
      <sz val="10"/>
      <color rgb="FF0000FF"/>
      <name val="Arial"/>
      <family val="2"/>
    </font>
    <font>
      <b/>
      <sz val="10"/>
      <color indexed="9"/>
      <name val="Arial"/>
      <family val="2"/>
    </font>
    <font>
      <sz val="10"/>
      <color indexed="12"/>
      <name val="Arial"/>
      <family val="2"/>
    </font>
    <font>
      <sz val="10"/>
      <color indexed="9"/>
      <name val="Arial"/>
      <family val="2"/>
    </font>
    <font>
      <b/>
      <u/>
      <sz val="10"/>
      <name val="Arial"/>
      <family val="2"/>
    </font>
    <font>
      <sz val="10"/>
      <color rgb="FF008000"/>
      <name val="Arial"/>
      <family val="2"/>
    </font>
    <font>
      <b/>
      <sz val="10"/>
      <color rgb="FF008000"/>
      <name val="Arial"/>
      <family val="2"/>
    </font>
    <font>
      <sz val="10"/>
      <color indexed="17"/>
      <name val="Arial"/>
      <family val="2"/>
    </font>
    <font>
      <sz val="8"/>
      <color indexed="12"/>
      <name val="Arial"/>
      <family val="2"/>
    </font>
    <font>
      <sz val="8"/>
      <color rgb="FF0000FF"/>
      <name val="Arial"/>
      <family val="2"/>
    </font>
    <font>
      <b/>
      <sz val="10"/>
      <color indexed="8"/>
      <name val="Arial"/>
      <family val="2"/>
    </font>
    <font>
      <b/>
      <sz val="10"/>
      <color rgb="FF0000FF"/>
      <name val="Arial"/>
      <family val="2"/>
    </font>
    <font>
      <b/>
      <sz val="8"/>
      <color indexed="12"/>
      <name val="Arial"/>
      <family val="2"/>
    </font>
    <font>
      <sz val="8"/>
      <color rgb="FFFF0000"/>
      <name val="Arial"/>
      <family val="2"/>
    </font>
    <font>
      <sz val="10"/>
      <color indexed="8"/>
      <name val="Arial"/>
      <family val="2"/>
    </font>
    <font>
      <b/>
      <sz val="10"/>
      <color indexed="12"/>
      <name val="univers45"/>
    </font>
    <font>
      <sz val="10"/>
      <color indexed="57"/>
      <name val="Arial"/>
      <family val="2"/>
    </font>
    <font>
      <b/>
      <sz val="10"/>
      <color indexed="12"/>
      <name val="Arial"/>
      <family val="2"/>
    </font>
    <font>
      <sz val="10"/>
      <color indexed="10"/>
      <name val="Arial"/>
      <family val="2"/>
    </font>
    <font>
      <sz val="9"/>
      <color indexed="12"/>
      <name val="Arial"/>
      <family val="2"/>
    </font>
    <font>
      <sz val="8"/>
      <color indexed="10"/>
      <name val="Arial"/>
      <family val="2"/>
    </font>
    <font>
      <sz val="12"/>
      <name val="Arial"/>
      <family val="2"/>
    </font>
    <font>
      <b/>
      <sz val="9"/>
      <color indexed="12"/>
      <name val="Arial"/>
      <family val="2"/>
    </font>
    <font>
      <b/>
      <sz val="10"/>
      <color rgb="FFFF0000"/>
      <name val="Arial"/>
      <family val="2"/>
    </font>
    <font>
      <sz val="10"/>
      <color rgb="FFFF0000"/>
      <name val="Arial"/>
      <family val="2"/>
    </font>
    <font>
      <sz val="10"/>
      <name val="Times New Roman"/>
      <family val="1"/>
    </font>
    <font>
      <sz val="9"/>
      <color indexed="81"/>
      <name val="Tahoma"/>
      <family val="2"/>
    </font>
    <font>
      <b/>
      <sz val="9"/>
      <color indexed="81"/>
      <name val="Tahoma"/>
      <family val="2"/>
    </font>
    <font>
      <sz val="8"/>
      <color indexed="8"/>
      <name val="Arial"/>
      <family val="2"/>
    </font>
    <font>
      <b/>
      <sz val="8"/>
      <color rgb="FF0000FF"/>
      <name val="Arial"/>
      <family val="2"/>
    </font>
    <font>
      <b/>
      <sz val="9"/>
      <name val="Arial"/>
      <family val="2"/>
    </font>
    <font>
      <sz val="9"/>
      <color rgb="FF008000"/>
      <name val="Arial"/>
      <family val="2"/>
    </font>
    <font>
      <sz val="10"/>
      <color theme="0"/>
      <name val="Arial"/>
      <family val="2"/>
    </font>
    <font>
      <b/>
      <sz val="10"/>
      <color theme="0"/>
      <name val="Arial"/>
      <family val="2"/>
    </font>
    <font>
      <b/>
      <sz val="10"/>
      <color indexed="17"/>
      <name val="Arial"/>
      <family val="2"/>
    </font>
    <font>
      <sz val="10"/>
      <color indexed="53"/>
      <name val="Arial"/>
      <family val="2"/>
    </font>
    <font>
      <i/>
      <sz val="10"/>
      <name val="Arial"/>
      <family val="2"/>
    </font>
    <font>
      <i/>
      <sz val="8"/>
      <name val="Arial"/>
      <family val="2"/>
    </font>
    <font>
      <sz val="10"/>
      <color theme="3" tint="0.79998168889431442"/>
      <name val="Arial"/>
      <family val="2"/>
    </font>
    <font>
      <b/>
      <sz val="10"/>
      <color indexed="10"/>
      <name val="Arial"/>
      <family val="2"/>
    </font>
    <font>
      <u/>
      <sz val="10"/>
      <name val="Arial"/>
      <family val="2"/>
    </font>
    <font>
      <sz val="11"/>
      <name val="Arial"/>
      <family val="2"/>
    </font>
    <font>
      <sz val="10"/>
      <name val="GillSans"/>
      <family val="2"/>
    </font>
    <font>
      <sz val="10"/>
      <name val="Helvetica"/>
      <family val="2"/>
    </font>
    <font>
      <sz val="10"/>
      <name val="MS Sans Serif"/>
      <family val="2"/>
    </font>
    <font>
      <b/>
      <sz val="10"/>
      <color indexed="8"/>
      <name val="Times New Roman"/>
      <family val="1"/>
    </font>
    <font>
      <sz val="8"/>
      <name val="Palatino"/>
      <family val="1"/>
    </font>
    <font>
      <sz val="9"/>
      <name val="Times New Roman"/>
      <family val="1"/>
    </font>
    <font>
      <sz val="10"/>
      <color indexed="8"/>
      <name val="Times New Roman"/>
      <family val="1"/>
    </font>
    <font>
      <i/>
      <sz val="8"/>
      <name val="Times New Roman"/>
      <family val="1"/>
    </font>
    <font>
      <sz val="12"/>
      <name val="바탕체"/>
      <family val="3"/>
      <charset val="129"/>
    </font>
    <font>
      <sz val="10"/>
      <color theme="1"/>
      <name val="Arial"/>
      <family val="2"/>
    </font>
    <font>
      <sz val="10"/>
      <name val="Arial"/>
      <family val="2"/>
    </font>
    <font>
      <sz val="9"/>
      <color rgb="FFFF0000"/>
      <name val="Arial"/>
      <family val="2"/>
    </font>
    <font>
      <sz val="9"/>
      <color theme="0"/>
      <name val="Arial"/>
      <family val="2"/>
    </font>
    <font>
      <sz val="10"/>
      <name val="Courier"/>
      <family val="3"/>
    </font>
    <font>
      <sz val="10"/>
      <color rgb="FF000000"/>
      <name val="Arial"/>
      <family val="2"/>
    </font>
    <font>
      <b/>
      <sz val="12"/>
      <color rgb="FF000080"/>
      <name val="Arial"/>
      <family val="2"/>
    </font>
  </fonts>
  <fills count="14">
    <fill>
      <patternFill patternType="none"/>
    </fill>
    <fill>
      <patternFill patternType="gray125"/>
    </fill>
    <fill>
      <patternFill patternType="solid">
        <fgColor indexed="9"/>
        <bgColor indexed="64"/>
      </patternFill>
    </fill>
    <fill>
      <patternFill patternType="solid">
        <fgColor theme="3" tint="0.79998168889431442"/>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indexed="22"/>
        <bgColor indexed="64"/>
      </patternFill>
    </fill>
    <fill>
      <patternFill patternType="solid">
        <fgColor theme="0"/>
        <bgColor indexed="64"/>
      </patternFill>
    </fill>
    <fill>
      <patternFill patternType="solid">
        <fgColor theme="3"/>
        <bgColor indexed="64"/>
      </patternFill>
    </fill>
    <fill>
      <patternFill patternType="solid">
        <fgColor indexed="65"/>
        <bgColor indexed="64"/>
      </patternFill>
    </fill>
    <fill>
      <patternFill patternType="solid">
        <fgColor indexed="43"/>
        <bgColor indexed="64"/>
      </patternFill>
    </fill>
    <fill>
      <patternFill patternType="solid">
        <fgColor indexed="59"/>
      </patternFill>
    </fill>
  </fills>
  <borders count="65">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diagonal/>
    </border>
    <border>
      <left/>
      <right style="thin">
        <color indexed="64"/>
      </right>
      <top style="hair">
        <color indexed="64"/>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9"/>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diagonal/>
    </border>
    <border>
      <left style="thin">
        <color indexed="64"/>
      </left>
      <right/>
      <top/>
      <bottom style="hair">
        <color indexed="8"/>
      </bottom>
      <diagonal/>
    </border>
    <border>
      <left style="thin">
        <color indexed="64"/>
      </left>
      <right style="thin">
        <color indexed="64"/>
      </right>
      <top/>
      <bottom style="hair">
        <color indexed="8"/>
      </bottom>
      <diagonal/>
    </border>
    <border>
      <left style="thin">
        <color indexed="64"/>
      </left>
      <right/>
      <top/>
      <bottom style="hair">
        <color indexed="64"/>
      </bottom>
      <diagonal/>
    </border>
    <border>
      <left/>
      <right style="thin">
        <color indexed="64"/>
      </right>
      <top/>
      <bottom style="hair">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style="thin">
        <color indexed="64"/>
      </left>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right/>
      <top style="double">
        <color indexed="64"/>
      </top>
      <bottom style="double">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bottom style="thin">
        <color indexed="9"/>
      </bottom>
      <diagonal/>
    </border>
    <border>
      <left style="thin">
        <color indexed="64"/>
      </left>
      <right style="thin">
        <color indexed="9"/>
      </right>
      <top style="thin">
        <color indexed="64"/>
      </top>
      <bottom style="thin">
        <color indexed="64"/>
      </bottom>
      <diagonal/>
    </border>
    <border>
      <left style="thin">
        <color indexed="9"/>
      </left>
      <right style="thin">
        <color indexed="9"/>
      </right>
      <top style="thin">
        <color indexed="64"/>
      </top>
      <bottom style="thin">
        <color indexed="64"/>
      </bottom>
      <diagonal/>
    </border>
    <border>
      <left style="thin">
        <color theme="0"/>
      </left>
      <right style="thin">
        <color theme="0"/>
      </right>
      <top style="thin">
        <color indexed="64"/>
      </top>
      <bottom style="thin">
        <color indexed="64"/>
      </bottom>
      <diagonal/>
    </border>
    <border>
      <left style="thin">
        <color theme="0"/>
      </left>
      <right style="thin">
        <color indexed="64"/>
      </right>
      <top style="thin">
        <color indexed="64"/>
      </top>
      <bottom style="thin">
        <color indexed="64"/>
      </bottom>
      <diagonal/>
    </border>
    <border>
      <left style="thin">
        <color indexed="8"/>
      </left>
      <right/>
      <top/>
      <bottom/>
      <diagonal/>
    </border>
    <border>
      <left style="thin">
        <color indexed="64"/>
      </left>
      <right style="thin">
        <color indexed="8"/>
      </right>
      <top/>
      <bottom/>
      <diagonal/>
    </border>
    <border>
      <left style="thin">
        <color indexed="8"/>
      </left>
      <right/>
      <top style="thin">
        <color indexed="64"/>
      </top>
      <bottom/>
      <diagonal/>
    </border>
    <border>
      <left style="thin">
        <color indexed="64"/>
      </left>
      <right style="thin">
        <color indexed="8"/>
      </right>
      <top style="thin">
        <color indexed="64"/>
      </top>
      <bottom/>
      <diagonal/>
    </border>
    <border>
      <left style="thin">
        <color indexed="8"/>
      </left>
      <right/>
      <top/>
      <bottom style="thin">
        <color indexed="64"/>
      </bottom>
      <diagonal/>
    </border>
    <border>
      <left style="thin">
        <color indexed="64"/>
      </left>
      <right style="thin">
        <color indexed="8"/>
      </right>
      <top/>
      <bottom style="thin">
        <color indexed="64"/>
      </bottom>
      <diagonal/>
    </border>
    <border>
      <left style="thin">
        <color indexed="8"/>
      </left>
      <right/>
      <top style="thin">
        <color indexed="64"/>
      </top>
      <bottom style="thin">
        <color indexed="8"/>
      </bottom>
      <diagonal/>
    </border>
    <border>
      <left style="thin">
        <color indexed="64"/>
      </left>
      <right style="thin">
        <color indexed="64"/>
      </right>
      <top style="thin">
        <color indexed="64"/>
      </top>
      <bottom style="thin">
        <color indexed="8"/>
      </bottom>
      <diagonal/>
    </border>
    <border>
      <left style="thin">
        <color indexed="64"/>
      </left>
      <right style="thin">
        <color indexed="8"/>
      </right>
      <top style="thin">
        <color indexed="64"/>
      </top>
      <bottom style="thin">
        <color indexed="8"/>
      </bottom>
      <diagonal/>
    </border>
    <border>
      <left/>
      <right/>
      <top style="thin">
        <color indexed="64"/>
      </top>
      <bottom style="thin">
        <color indexed="8"/>
      </bottom>
      <diagonal/>
    </border>
    <border>
      <left style="thin">
        <color indexed="9"/>
      </left>
      <right style="thin">
        <color indexed="9"/>
      </right>
      <top style="thin">
        <color indexed="64"/>
      </top>
      <bottom/>
      <diagonal/>
    </border>
    <border>
      <left style="thin">
        <color theme="0"/>
      </left>
      <right style="thin">
        <color theme="0"/>
      </right>
      <top style="thin">
        <color indexed="64"/>
      </top>
      <bottom/>
      <diagonal/>
    </border>
    <border>
      <left style="thin">
        <color theme="0"/>
      </left>
      <right style="thin">
        <color indexed="64"/>
      </right>
      <top style="thin">
        <color indexed="64"/>
      </top>
      <bottom/>
      <diagonal/>
    </border>
    <border>
      <left style="thin">
        <color indexed="8"/>
      </left>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double">
        <color indexed="64"/>
      </bottom>
      <diagonal/>
    </border>
    <border>
      <left style="thin">
        <color indexed="64"/>
      </left>
      <right style="thin">
        <color indexed="8"/>
      </right>
      <top style="thin">
        <color indexed="64"/>
      </top>
      <bottom style="double">
        <color indexed="64"/>
      </bottom>
      <diagonal/>
    </border>
    <border>
      <left/>
      <right/>
      <top/>
      <bottom style="thin">
        <color indexed="8"/>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83">
    <xf numFmtId="0" fontId="0" fillId="0" borderId="0"/>
    <xf numFmtId="43"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alignment vertical="top"/>
    </xf>
    <xf numFmtId="0" fontId="2" fillId="0" borderId="0" applyNumberFormat="0" applyFill="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0" fontId="2" fillId="12" borderId="0" applyNumberFormat="0" applyFont="0" applyBorder="0" applyAlignment="0" applyProtection="0"/>
    <xf numFmtId="0" fontId="2" fillId="0" borderId="0">
      <alignment vertical="top"/>
    </xf>
    <xf numFmtId="0" fontId="52" fillId="0" borderId="0"/>
    <xf numFmtId="0" fontId="2" fillId="0" borderId="0"/>
    <xf numFmtId="197" fontId="2" fillId="0" borderId="0" applyFont="0" applyFill="0" applyBorder="0" applyAlignment="0" applyProtection="0"/>
    <xf numFmtId="0" fontId="2" fillId="0" borderId="0" applyFont="0" applyFill="0" applyBorder="0" applyAlignment="0" applyProtection="0"/>
    <xf numFmtId="198" fontId="2" fillId="0" borderId="0" applyFont="0" applyFill="0" applyBorder="0" applyAlignment="0" applyProtection="0"/>
    <xf numFmtId="0" fontId="2" fillId="0" borderId="0" applyFont="0" applyFill="0" applyBorder="0" applyAlignment="0" applyProtection="0"/>
    <xf numFmtId="199"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53" fillId="0" borderId="0"/>
    <xf numFmtId="0" fontId="35" fillId="13" borderId="0" applyNumberFormat="0" applyFont="0" applyAlignment="0" applyProtection="0"/>
    <xf numFmtId="200" fontId="2" fillId="0" borderId="0" applyFont="0" applyFill="0" applyBorder="0" applyAlignment="0" applyProtection="0"/>
    <xf numFmtId="0" fontId="2" fillId="0" borderId="0" applyFont="0" applyFill="0" applyBorder="0" applyAlignment="0" applyProtection="0"/>
    <xf numFmtId="201" fontId="2" fillId="0" borderId="0" applyFont="0" applyFill="0" applyBorder="0" applyAlignment="0" applyProtection="0"/>
    <xf numFmtId="0" fontId="2" fillId="0" borderId="0" applyFont="0" applyFill="0" applyBorder="0" applyAlignment="0" applyProtection="0"/>
    <xf numFmtId="202" fontId="2" fillId="0" borderId="0" applyFont="0" applyFill="0" applyBorder="0" applyAlignment="0" applyProtection="0"/>
    <xf numFmtId="203" fontId="2" fillId="0" borderId="0" applyFont="0" applyFill="0" applyBorder="0" applyAlignment="0" applyProtection="0"/>
    <xf numFmtId="0" fontId="2" fillId="0" borderId="0" applyNumberFormat="0" applyFill="0" applyBorder="0" applyAlignment="0" applyProtection="0"/>
    <xf numFmtId="0" fontId="2" fillId="0" borderId="0"/>
    <xf numFmtId="0" fontId="2" fillId="0" borderId="0"/>
    <xf numFmtId="0" fontId="2" fillId="0" borderId="0"/>
    <xf numFmtId="0" fontId="2" fillId="0" borderId="0" applyFill="0" applyAlignment="0">
      <protection locked="0"/>
    </xf>
    <xf numFmtId="0" fontId="54" fillId="0" borderId="0"/>
    <xf numFmtId="0" fontId="54" fillId="0" borderId="0"/>
    <xf numFmtId="204" fontId="54" fillId="0" borderId="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55" fillId="0" borderId="0"/>
    <xf numFmtId="0" fontId="2" fillId="0" borderId="0"/>
    <xf numFmtId="0" fontId="2" fillId="0" borderId="0"/>
    <xf numFmtId="205" fontId="2" fillId="8" borderId="6">
      <alignment horizontal="right"/>
    </xf>
    <xf numFmtId="206" fontId="2" fillId="8" borderId="6">
      <alignment horizontal="right"/>
    </xf>
    <xf numFmtId="0" fontId="56" fillId="0" borderId="0" applyFont="0" applyFill="0" applyBorder="0" applyAlignment="0" applyProtection="0">
      <alignment horizontal="right"/>
    </xf>
    <xf numFmtId="170" fontId="2" fillId="0" borderId="0">
      <alignment horizontal="right"/>
    </xf>
    <xf numFmtId="207" fontId="2" fillId="0" borderId="0" applyFont="0" applyFill="0" applyBorder="0" applyAlignment="0" applyProtection="0"/>
    <xf numFmtId="208" fontId="2" fillId="0" borderId="0" applyFont="0" applyFill="0" applyBorder="0" applyAlignment="0" applyProtection="0"/>
    <xf numFmtId="209" fontId="2" fillId="0" borderId="0" applyFont="0" applyFill="0" applyBorder="0" applyAlignment="0" applyProtection="0"/>
    <xf numFmtId="210" fontId="2" fillId="0" borderId="0" applyFont="0" applyFill="0" applyBorder="0" applyAlignment="0" applyProtection="0"/>
    <xf numFmtId="0" fontId="2" fillId="0" borderId="0"/>
    <xf numFmtId="175" fontId="2" fillId="0" borderId="0"/>
    <xf numFmtId="0" fontId="57" fillId="0" borderId="0">
      <alignment vertical="center"/>
    </xf>
    <xf numFmtId="211" fontId="52" fillId="8" borderId="0"/>
    <xf numFmtId="167" fontId="58" fillId="0" borderId="0"/>
    <xf numFmtId="0" fontId="58" fillId="0" borderId="0"/>
    <xf numFmtId="0" fontId="58" fillId="0" borderId="58">
      <alignment horizontal="centerContinuous"/>
    </xf>
    <xf numFmtId="0" fontId="59" fillId="0" borderId="58"/>
    <xf numFmtId="0" fontId="2" fillId="0" borderId="0"/>
    <xf numFmtId="0" fontId="2" fillId="0" borderId="0" applyFont="0" applyFill="0" applyBorder="0" applyAlignment="0" applyProtection="0"/>
    <xf numFmtId="0" fontId="60" fillId="0" borderId="0" applyFont="0" applyFill="0" applyBorder="0" applyAlignment="0" applyProtection="0"/>
    <xf numFmtId="0" fontId="1" fillId="0" borderId="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1" fillId="0" borderId="0"/>
    <xf numFmtId="0" fontId="61" fillId="0" borderId="0"/>
    <xf numFmtId="0" fontId="61" fillId="0" borderId="0"/>
    <xf numFmtId="0" fontId="61" fillId="0" borderId="0"/>
    <xf numFmtId="0" fontId="61" fillId="0" borderId="0"/>
    <xf numFmtId="0" fontId="2" fillId="0" borderId="0"/>
    <xf numFmtId="0" fontId="2" fillId="0" borderId="0"/>
    <xf numFmtId="9" fontId="2" fillId="0" borderId="0" applyFont="0" applyFill="0" applyBorder="0" applyAlignment="0" applyProtection="0"/>
    <xf numFmtId="0" fontId="62" fillId="0" borderId="0"/>
    <xf numFmtId="44" fontId="62" fillId="0" borderId="0" applyFont="0" applyFill="0" applyBorder="0" applyAlignment="0" applyProtection="0"/>
    <xf numFmtId="0" fontId="65" fillId="0" borderId="0"/>
  </cellStyleXfs>
  <cellXfs count="1019">
    <xf numFmtId="0" fontId="0" fillId="0" borderId="0" xfId="0"/>
    <xf numFmtId="0" fontId="3" fillId="0" borderId="0" xfId="0" applyFont="1" applyAlignment="1">
      <alignment horizontal="left"/>
    </xf>
    <xf numFmtId="0" fontId="2" fillId="2" borderId="0" xfId="4" applyFont="1" applyFill="1" applyAlignment="1"/>
    <xf numFmtId="0" fontId="4" fillId="2" borderId="0" xfId="4" applyFont="1" applyFill="1" applyAlignment="1"/>
    <xf numFmtId="0" fontId="4" fillId="2" borderId="0" xfId="4" applyFont="1" applyFill="1" applyAlignment="1">
      <alignment horizontal="right"/>
    </xf>
    <xf numFmtId="0" fontId="2" fillId="2" borderId="0" xfId="4" applyFont="1" applyFill="1" applyAlignment="1">
      <alignment horizontal="right"/>
    </xf>
    <xf numFmtId="0" fontId="2" fillId="2" borderId="0" xfId="4" applyFill="1" applyAlignment="1"/>
    <xf numFmtId="0" fontId="0" fillId="2" borderId="0" xfId="0" applyFill="1"/>
    <xf numFmtId="0" fontId="3" fillId="2" borderId="0" xfId="0" applyFont="1" applyFill="1" applyAlignment="1">
      <alignment horizontal="left"/>
    </xf>
    <xf numFmtId="0" fontId="2" fillId="0" borderId="0" xfId="0" applyFont="1" applyAlignment="1">
      <alignment horizontal="right"/>
    </xf>
    <xf numFmtId="0" fontId="5" fillId="2" borderId="0" xfId="0" applyFont="1" applyFill="1"/>
    <xf numFmtId="0" fontId="4" fillId="2" borderId="0" xfId="0" applyFont="1" applyFill="1" applyAlignment="1">
      <alignment horizontal="center"/>
    </xf>
    <xf numFmtId="0" fontId="2" fillId="2" borderId="0" xfId="0" applyFont="1" applyFill="1" applyAlignment="1">
      <alignment horizontal="right"/>
    </xf>
    <xf numFmtId="0" fontId="0" fillId="2" borderId="0" xfId="0" applyFill="1" applyAlignment="1">
      <alignment vertical="center"/>
    </xf>
    <xf numFmtId="0" fontId="5" fillId="2" borderId="0" xfId="0" applyFont="1" applyFill="1" applyBorder="1" applyAlignment="1">
      <alignment vertical="center"/>
    </xf>
    <xf numFmtId="0" fontId="0" fillId="2" borderId="0" xfId="0" applyFill="1" applyBorder="1" applyAlignment="1">
      <alignment vertical="center"/>
    </xf>
    <xf numFmtId="0" fontId="4" fillId="2" borderId="0" xfId="0" applyFont="1" applyFill="1" applyAlignment="1">
      <alignment horizontal="center" vertical="center"/>
    </xf>
    <xf numFmtId="0" fontId="2" fillId="2" borderId="0" xfId="0" applyFont="1" applyFill="1" applyAlignment="1">
      <alignment horizontal="right" vertical="center"/>
    </xf>
    <xf numFmtId="0" fontId="5" fillId="2" borderId="0" xfId="0" applyFont="1" applyFill="1" applyBorder="1"/>
    <xf numFmtId="0" fontId="2" fillId="2" borderId="0" xfId="0" applyFont="1" applyFill="1" applyBorder="1" applyAlignment="1">
      <alignment horizontal="right"/>
    </xf>
    <xf numFmtId="0" fontId="6" fillId="3" borderId="0" xfId="0" applyFont="1" applyFill="1" applyBorder="1" applyAlignment="1">
      <alignment horizontal="centerContinuous"/>
    </xf>
    <xf numFmtId="0" fontId="0" fillId="0" borderId="0" xfId="0" applyFill="1"/>
    <xf numFmtId="0" fontId="2" fillId="0" borderId="0" xfId="0" applyFont="1" applyFill="1" applyBorder="1"/>
    <xf numFmtId="0" fontId="4" fillId="2" borderId="0" xfId="0" applyFont="1" applyFill="1" applyBorder="1"/>
    <xf numFmtId="0" fontId="2" fillId="2" borderId="0" xfId="0" applyFont="1" applyFill="1" applyBorder="1"/>
    <xf numFmtId="0" fontId="4" fillId="0" borderId="0" xfId="0" applyFont="1" applyFill="1" applyBorder="1"/>
    <xf numFmtId="0" fontId="4" fillId="3" borderId="1" xfId="0" applyNumberFormat="1" applyFont="1" applyFill="1" applyBorder="1" applyAlignment="1">
      <alignment horizontal="center"/>
    </xf>
    <xf numFmtId="0" fontId="4" fillId="3" borderId="2" xfId="0" applyNumberFormat="1" applyFont="1" applyFill="1" applyBorder="1" applyAlignment="1">
      <alignment horizontal="center"/>
    </xf>
    <xf numFmtId="0" fontId="4" fillId="3" borderId="2" xfId="0" applyFont="1" applyFill="1" applyBorder="1"/>
    <xf numFmtId="0" fontId="4" fillId="3" borderId="2" xfId="0" applyFont="1" applyFill="1" applyBorder="1" applyAlignment="1">
      <alignment horizontal="center"/>
    </xf>
    <xf numFmtId="0" fontId="4" fillId="3" borderId="2" xfId="0" applyFont="1" applyFill="1" applyBorder="1" applyAlignment="1">
      <alignment horizontal="centerContinuous"/>
    </xf>
    <xf numFmtId="0" fontId="4" fillId="2" borderId="3" xfId="0" applyFont="1" applyFill="1" applyBorder="1"/>
    <xf numFmtId="37" fontId="2" fillId="2" borderId="4" xfId="0" applyNumberFormat="1" applyFont="1" applyFill="1" applyBorder="1"/>
    <xf numFmtId="37" fontId="2" fillId="2" borderId="5" xfId="0" applyNumberFormat="1" applyFont="1" applyFill="1" applyBorder="1"/>
    <xf numFmtId="0" fontId="2" fillId="2" borderId="3" xfId="0" applyFont="1" applyFill="1" applyBorder="1"/>
    <xf numFmtId="164" fontId="7" fillId="2" borderId="3" xfId="0" applyNumberFormat="1" applyFont="1" applyFill="1" applyBorder="1" applyAlignment="1">
      <alignment horizontal="center"/>
    </xf>
    <xf numFmtId="1" fontId="2" fillId="0" borderId="3" xfId="0" applyNumberFormat="1" applyFont="1" applyFill="1" applyBorder="1" applyAlignment="1">
      <alignment horizontal="centerContinuous"/>
    </xf>
    <xf numFmtId="165" fontId="2" fillId="0" borderId="0" xfId="1" applyNumberFormat="1" applyFont="1" applyFill="1" applyBorder="1" applyAlignment="1">
      <alignment horizontal="left" vertical="top"/>
    </xf>
    <xf numFmtId="165" fontId="2" fillId="0" borderId="6" xfId="1" applyNumberFormat="1" applyFont="1" applyFill="1" applyBorder="1" applyAlignment="1">
      <alignment horizontal="left" vertical="top"/>
    </xf>
    <xf numFmtId="166" fontId="2" fillId="2" borderId="7" xfId="0" applyNumberFormat="1" applyFont="1" applyFill="1" applyBorder="1"/>
    <xf numFmtId="0" fontId="4" fillId="3" borderId="8" xfId="0" applyFont="1" applyFill="1" applyBorder="1"/>
    <xf numFmtId="167" fontId="4" fillId="3" borderId="9" xfId="0" applyNumberFormat="1" applyFont="1" applyFill="1" applyBorder="1" applyAlignment="1">
      <alignment horizontal="center"/>
    </xf>
    <xf numFmtId="5" fontId="4" fillId="3" borderId="8" xfId="0" applyNumberFormat="1" applyFont="1" applyFill="1" applyBorder="1" applyAlignment="1">
      <alignment horizontal="centerContinuous"/>
    </xf>
    <xf numFmtId="165" fontId="4" fillId="3" borderId="10" xfId="1" applyNumberFormat="1" applyFont="1" applyFill="1" applyBorder="1" applyAlignment="1">
      <alignment horizontal="centerContinuous" vertical="top"/>
    </xf>
    <xf numFmtId="165" fontId="4" fillId="3" borderId="11" xfId="1" applyNumberFormat="1" applyFont="1" applyFill="1" applyBorder="1" applyAlignment="1">
      <alignment horizontal="centerContinuous" vertical="top"/>
    </xf>
    <xf numFmtId="0" fontId="7" fillId="2" borderId="3" xfId="0" applyFont="1" applyFill="1" applyBorder="1" applyAlignment="1">
      <alignment horizontal="left" indent="1"/>
    </xf>
    <xf numFmtId="164" fontId="7" fillId="2" borderId="7" xfId="0" applyNumberFormat="1" applyFont="1" applyFill="1" applyBorder="1"/>
    <xf numFmtId="164" fontId="7" fillId="2" borderId="7" xfId="0" applyNumberFormat="1" applyFont="1" applyFill="1" applyBorder="1" applyAlignment="1">
      <alignment horizontal="center"/>
    </xf>
    <xf numFmtId="164" fontId="2" fillId="0" borderId="12" xfId="0" applyNumberFormat="1" applyFont="1" applyFill="1" applyBorder="1" applyAlignment="1">
      <alignment horizontal="centerContinuous"/>
    </xf>
    <xf numFmtId="165" fontId="2" fillId="0" borderId="13" xfId="1" applyNumberFormat="1" applyFont="1" applyFill="1" applyBorder="1" applyAlignment="1">
      <alignment horizontal="left" vertical="top"/>
    </xf>
    <xf numFmtId="164" fontId="2" fillId="2" borderId="7" xfId="3" applyNumberFormat="1" applyFont="1" applyFill="1" applyBorder="1" applyAlignment="1">
      <alignment horizontal="center"/>
    </xf>
    <xf numFmtId="0" fontId="2" fillId="0" borderId="3" xfId="0" applyFont="1" applyFill="1" applyBorder="1" applyAlignment="1">
      <alignment horizontal="centerContinuous"/>
    </xf>
    <xf numFmtId="0" fontId="0" fillId="0" borderId="7" xfId="0" applyBorder="1"/>
    <xf numFmtId="164" fontId="7" fillId="2" borderId="7" xfId="3" applyNumberFormat="1" applyFont="1" applyFill="1" applyBorder="1" applyAlignment="1">
      <alignment horizontal="center"/>
    </xf>
    <xf numFmtId="164" fontId="2" fillId="0" borderId="3" xfId="0" applyNumberFormat="1" applyFont="1" applyFill="1" applyBorder="1" applyAlignment="1">
      <alignment horizontal="centerContinuous"/>
    </xf>
    <xf numFmtId="164" fontId="2" fillId="0" borderId="0" xfId="0" applyNumberFormat="1" applyFont="1" applyFill="1" applyBorder="1" applyAlignment="1">
      <alignment horizontal="centerContinuous"/>
    </xf>
    <xf numFmtId="164" fontId="2" fillId="0" borderId="6" xfId="0" applyNumberFormat="1" applyFont="1" applyFill="1" applyBorder="1" applyAlignment="1">
      <alignment horizontal="centerContinuous"/>
    </xf>
    <xf numFmtId="0" fontId="2" fillId="2" borderId="14" xfId="0" applyFont="1" applyFill="1" applyBorder="1"/>
    <xf numFmtId="0" fontId="2" fillId="2" borderId="15" xfId="0" applyFont="1" applyFill="1" applyBorder="1"/>
    <xf numFmtId="0" fontId="2" fillId="0" borderId="14" xfId="0" applyFont="1" applyFill="1" applyBorder="1" applyAlignment="1">
      <alignment horizontal="centerContinuous"/>
    </xf>
    <xf numFmtId="0" fontId="2" fillId="0" borderId="16" xfId="0" applyFont="1" applyFill="1" applyBorder="1" applyAlignment="1">
      <alignment horizontal="centerContinuous"/>
    </xf>
    <xf numFmtId="0" fontId="2" fillId="0" borderId="17" xfId="0" applyFont="1" applyFill="1" applyBorder="1" applyAlignment="1">
      <alignment horizontal="centerContinuous"/>
    </xf>
    <xf numFmtId="9" fontId="7" fillId="2" borderId="7" xfId="3" applyNumberFormat="1" applyFont="1" applyFill="1" applyBorder="1"/>
    <xf numFmtId="0" fontId="2" fillId="3" borderId="2" xfId="0" applyFont="1" applyFill="1" applyBorder="1" applyAlignment="1">
      <alignment horizontal="center"/>
    </xf>
    <xf numFmtId="0" fontId="4" fillId="3" borderId="18" xfId="0" applyFont="1" applyFill="1" applyBorder="1" applyAlignment="1">
      <alignment horizontal="center"/>
    </xf>
    <xf numFmtId="0" fontId="0" fillId="0" borderId="19" xfId="0" applyBorder="1"/>
    <xf numFmtId="0" fontId="0" fillId="0" borderId="4" xfId="0" applyBorder="1"/>
    <xf numFmtId="168" fontId="2" fillId="2" borderId="7" xfId="1" applyNumberFormat="1" applyFont="1" applyFill="1" applyBorder="1" applyAlignment="1">
      <alignment horizontal="center"/>
    </xf>
    <xf numFmtId="0" fontId="7" fillId="2" borderId="14" xfId="0" applyFont="1" applyFill="1" applyBorder="1" applyAlignment="1">
      <alignment horizontal="left" indent="1"/>
    </xf>
    <xf numFmtId="164" fontId="7" fillId="2" borderId="15" xfId="0" applyNumberFormat="1" applyFont="1" applyFill="1" applyBorder="1" applyAlignment="1">
      <alignment horizontal="center"/>
    </xf>
    <xf numFmtId="9" fontId="7" fillId="2" borderId="20" xfId="3" applyNumberFormat="1" applyFont="1" applyFill="1" applyBorder="1"/>
    <xf numFmtId="0" fontId="4" fillId="3" borderId="12" xfId="0" applyFont="1" applyFill="1" applyBorder="1"/>
    <xf numFmtId="166" fontId="4" fillId="3" borderId="21" xfId="0" applyNumberFormat="1" applyFont="1" applyFill="1" applyBorder="1"/>
    <xf numFmtId="0" fontId="8" fillId="3" borderId="22" xfId="0" applyFont="1" applyFill="1" applyBorder="1" applyAlignment="1">
      <alignment horizontal="left" indent="1"/>
    </xf>
    <xf numFmtId="164" fontId="8" fillId="3" borderId="23" xfId="3" applyNumberFormat="1" applyFont="1" applyFill="1" applyBorder="1"/>
    <xf numFmtId="0" fontId="2" fillId="2" borderId="7" xfId="0" applyFont="1" applyFill="1" applyBorder="1"/>
    <xf numFmtId="0" fontId="2" fillId="2" borderId="3" xfId="0" applyFont="1" applyFill="1" applyBorder="1" applyAlignment="1">
      <alignment horizontal="left" indent="1"/>
    </xf>
    <xf numFmtId="0" fontId="2" fillId="3" borderId="3" xfId="0" applyFont="1" applyFill="1" applyBorder="1" applyAlignment="1">
      <alignment horizontal="left" indent="1"/>
    </xf>
    <xf numFmtId="164" fontId="7" fillId="3" borderId="7" xfId="0" applyNumberFormat="1" applyFont="1" applyFill="1" applyBorder="1"/>
    <xf numFmtId="0" fontId="2" fillId="3" borderId="24" xfId="0" applyFont="1" applyFill="1" applyBorder="1" applyAlignment="1">
      <alignment horizontal="left" indent="1"/>
    </xf>
    <xf numFmtId="164" fontId="7" fillId="3" borderId="20" xfId="0" applyNumberFormat="1" applyFont="1" applyFill="1" applyBorder="1"/>
    <xf numFmtId="0" fontId="2" fillId="0" borderId="0" xfId="0" applyFont="1"/>
    <xf numFmtId="0" fontId="0" fillId="2" borderId="0" xfId="0" applyFill="1" applyBorder="1"/>
    <xf numFmtId="0" fontId="8" fillId="3" borderId="24" xfId="0" applyFont="1" applyFill="1" applyBorder="1" applyAlignment="1">
      <alignment horizontal="left" indent="1"/>
    </xf>
    <xf numFmtId="164" fontId="8" fillId="3" borderId="20" xfId="3" applyNumberFormat="1" applyFont="1" applyFill="1" applyBorder="1"/>
    <xf numFmtId="164" fontId="8" fillId="3" borderId="25" xfId="3" applyNumberFormat="1" applyFont="1" applyFill="1" applyBorder="1"/>
    <xf numFmtId="0" fontId="4" fillId="2" borderId="12" xfId="0" applyFont="1" applyFill="1" applyBorder="1"/>
    <xf numFmtId="166" fontId="4" fillId="2" borderId="21" xfId="0" applyNumberFormat="1" applyFont="1" applyFill="1" applyBorder="1"/>
    <xf numFmtId="7" fontId="2" fillId="2" borderId="7" xfId="0" applyNumberFormat="1" applyFont="1" applyFill="1" applyBorder="1"/>
    <xf numFmtId="166" fontId="4" fillId="2" borderId="7" xfId="0" applyNumberFormat="1" applyFont="1" applyFill="1" applyBorder="1"/>
    <xf numFmtId="0" fontId="4" fillId="2" borderId="14" xfId="0" applyFont="1" applyFill="1" applyBorder="1"/>
    <xf numFmtId="166" fontId="4" fillId="2" borderId="15" xfId="0" applyNumberFormat="1" applyFont="1" applyFill="1" applyBorder="1"/>
    <xf numFmtId="0" fontId="4" fillId="0" borderId="0" xfId="0" applyNumberFormat="1" applyFont="1" applyFill="1" applyBorder="1"/>
    <xf numFmtId="0" fontId="5" fillId="0" borderId="0" xfId="0" applyNumberFormat="1" applyFont="1" applyFill="1"/>
    <xf numFmtId="9" fontId="4" fillId="0" borderId="0" xfId="3" applyFont="1" applyFill="1" applyBorder="1"/>
    <xf numFmtId="0" fontId="9" fillId="2" borderId="0" xfId="0" applyNumberFormat="1" applyFont="1" applyFill="1" applyBorder="1" applyAlignment="1">
      <alignment horizontal="left" vertical="center"/>
    </xf>
    <xf numFmtId="167" fontId="4" fillId="0" borderId="0" xfId="0" applyNumberFormat="1" applyFont="1" applyFill="1" applyBorder="1"/>
    <xf numFmtId="167" fontId="10" fillId="0" borderId="0" xfId="0" applyNumberFormat="1" applyFont="1" applyFill="1" applyBorder="1" applyAlignment="1"/>
    <xf numFmtId="164" fontId="4" fillId="0" borderId="0" xfId="3" applyNumberFormat="1" applyFont="1" applyFill="1" applyBorder="1"/>
    <xf numFmtId="0" fontId="11" fillId="2" borderId="0" xfId="0" applyNumberFormat="1" applyFont="1" applyFill="1" applyBorder="1" applyAlignment="1">
      <alignment horizontal="center"/>
    </xf>
    <xf numFmtId="0" fontId="4" fillId="0" borderId="0" xfId="0" applyFont="1" applyAlignment="1">
      <alignment horizontal="left"/>
    </xf>
    <xf numFmtId="169" fontId="4" fillId="2" borderId="0" xfId="0" applyNumberFormat="1" applyFont="1" applyFill="1" applyBorder="1" applyAlignment="1">
      <alignment horizontal="center"/>
    </xf>
    <xf numFmtId="2" fontId="4" fillId="2" borderId="0" xfId="0" applyNumberFormat="1" applyFont="1" applyFill="1" applyBorder="1" applyAlignment="1">
      <alignment horizontal="center"/>
    </xf>
    <xf numFmtId="166" fontId="12" fillId="2" borderId="0" xfId="1" applyNumberFormat="1" applyFont="1" applyFill="1" applyBorder="1" applyAlignment="1">
      <alignment horizontal="right"/>
    </xf>
    <xf numFmtId="0" fontId="4" fillId="2" borderId="0" xfId="0" applyNumberFormat="1" applyFont="1" applyFill="1" applyBorder="1" applyAlignment="1">
      <alignment horizontal="center"/>
    </xf>
    <xf numFmtId="9" fontId="4" fillId="2" borderId="0" xfId="3" applyFont="1" applyFill="1" applyBorder="1" applyAlignment="1">
      <alignment horizontal="center"/>
    </xf>
    <xf numFmtId="0" fontId="4" fillId="2" borderId="0" xfId="0" applyNumberFormat="1" applyFont="1" applyFill="1" applyBorder="1" applyAlignment="1">
      <alignment horizontal="left"/>
    </xf>
    <xf numFmtId="0" fontId="4" fillId="3" borderId="26" xfId="0" applyNumberFormat="1" applyFont="1" applyFill="1" applyBorder="1" applyAlignment="1">
      <alignment horizontal="center"/>
    </xf>
    <xf numFmtId="0" fontId="2" fillId="0" borderId="0" xfId="0" quotePrefix="1" applyFont="1" applyAlignment="1">
      <alignment horizontal="center"/>
    </xf>
    <xf numFmtId="0" fontId="4" fillId="2" borderId="0" xfId="0" applyNumberFormat="1" applyFont="1" applyFill="1" applyBorder="1" applyAlignment="1">
      <alignment horizontal="right"/>
    </xf>
    <xf numFmtId="0" fontId="6" fillId="2" borderId="0" xfId="0" applyNumberFormat="1" applyFont="1" applyFill="1" applyBorder="1" applyAlignment="1">
      <alignment horizontal="left"/>
    </xf>
    <xf numFmtId="167" fontId="4" fillId="2" borderId="0" xfId="0" applyNumberFormat="1" applyFont="1" applyFill="1" applyBorder="1" applyAlignment="1">
      <alignment horizontal="right"/>
    </xf>
    <xf numFmtId="164" fontId="4" fillId="2" borderId="0" xfId="3" applyNumberFormat="1" applyFont="1" applyFill="1" applyBorder="1" applyAlignment="1">
      <alignment horizontal="right"/>
    </xf>
    <xf numFmtId="10" fontId="4" fillId="2" borderId="0" xfId="3" applyNumberFormat="1" applyFont="1" applyFill="1" applyBorder="1" applyAlignment="1">
      <alignment horizontal="right"/>
    </xf>
    <xf numFmtId="0" fontId="2" fillId="0" borderId="0" xfId="0" applyFont="1" applyBorder="1"/>
    <xf numFmtId="167" fontId="4" fillId="0" borderId="4" xfId="1" applyNumberFormat="1" applyFont="1" applyFill="1" applyBorder="1" applyAlignment="1"/>
    <xf numFmtId="165" fontId="14" fillId="3" borderId="4" xfId="1" applyNumberFormat="1" applyFont="1" applyFill="1" applyBorder="1" applyAlignment="1">
      <alignment horizontal="right"/>
    </xf>
    <xf numFmtId="0" fontId="14" fillId="2" borderId="27" xfId="0" applyNumberFormat="1" applyFont="1" applyFill="1" applyBorder="1" applyAlignment="1">
      <alignment horizontal="right"/>
    </xf>
    <xf numFmtId="0" fontId="7" fillId="2" borderId="27" xfId="0" applyNumberFormat="1" applyFont="1" applyFill="1" applyBorder="1" applyAlignment="1">
      <alignment horizontal="left"/>
    </xf>
    <xf numFmtId="0" fontId="14" fillId="3" borderId="4" xfId="0" applyNumberFormat="1" applyFont="1" applyFill="1" applyBorder="1" applyAlignment="1">
      <alignment horizontal="right"/>
    </xf>
    <xf numFmtId="0" fontId="2" fillId="0" borderId="0" xfId="0" applyFont="1" applyBorder="1" applyAlignment="1">
      <alignment horizontal="center"/>
    </xf>
    <xf numFmtId="0" fontId="2" fillId="0" borderId="0" xfId="0" applyFont="1" applyBorder="1" applyAlignment="1">
      <alignment horizontal="right"/>
    </xf>
    <xf numFmtId="167" fontId="2" fillId="0" borderId="7" xfId="1" applyNumberFormat="1" applyFont="1" applyFill="1" applyBorder="1" applyAlignment="1">
      <alignment horizontal="left"/>
    </xf>
    <xf numFmtId="37" fontId="15" fillId="3" borderId="7" xfId="0" applyNumberFormat="1" applyFont="1" applyFill="1" applyBorder="1" applyAlignment="1"/>
    <xf numFmtId="37" fontId="15" fillId="0" borderId="0" xfId="0" applyNumberFormat="1" applyFont="1" applyFill="1" applyBorder="1" applyAlignment="1"/>
    <xf numFmtId="37" fontId="16" fillId="3" borderId="7" xfId="0" applyNumberFormat="1" applyFont="1" applyFill="1" applyBorder="1" applyAlignment="1"/>
    <xf numFmtId="37" fontId="17" fillId="0" borderId="0" xfId="0" applyNumberFormat="1" applyFont="1" applyFill="1" applyBorder="1" applyAlignment="1"/>
    <xf numFmtId="9" fontId="8" fillId="0" borderId="0" xfId="1" applyNumberFormat="1" applyFont="1" applyAlignment="1">
      <alignment horizontal="center"/>
    </xf>
    <xf numFmtId="167" fontId="15" fillId="3" borderId="7" xfId="0" applyNumberFormat="1" applyFont="1" applyFill="1" applyBorder="1" applyAlignment="1"/>
    <xf numFmtId="167" fontId="15" fillId="0" borderId="0" xfId="0" applyNumberFormat="1" applyFont="1" applyFill="1" applyBorder="1" applyAlignment="1"/>
    <xf numFmtId="167" fontId="16" fillId="3" borderId="7" xfId="0" applyNumberFormat="1" applyFont="1" applyFill="1" applyBorder="1" applyAlignment="1"/>
    <xf numFmtId="167" fontId="17" fillId="0" borderId="0" xfId="0" applyNumberFormat="1" applyFont="1" applyFill="1" applyBorder="1" applyAlignment="1"/>
    <xf numFmtId="167" fontId="7" fillId="0" borderId="0" xfId="0" applyNumberFormat="1" applyFont="1" applyFill="1" applyBorder="1"/>
    <xf numFmtId="167" fontId="7" fillId="0" borderId="0" xfId="1" applyNumberFormat="1" applyFont="1" applyBorder="1" applyAlignment="1">
      <alignment horizontal="right"/>
    </xf>
    <xf numFmtId="167" fontId="2" fillId="4" borderId="0" xfId="0" applyNumberFormat="1" applyFont="1" applyFill="1" applyBorder="1"/>
    <xf numFmtId="167" fontId="2" fillId="0" borderId="0" xfId="0" applyNumberFormat="1" applyFont="1" applyFill="1" applyBorder="1"/>
    <xf numFmtId="167" fontId="4" fillId="3" borderId="2" xfId="1" applyNumberFormat="1" applyFont="1" applyFill="1" applyBorder="1" applyAlignment="1">
      <alignment horizontal="left"/>
    </xf>
    <xf numFmtId="167" fontId="4" fillId="3" borderId="2" xfId="0" applyNumberFormat="1" applyFont="1" applyFill="1" applyBorder="1" applyAlignment="1"/>
    <xf numFmtId="167" fontId="4" fillId="3" borderId="26" xfId="0" applyNumberFormat="1" applyFont="1" applyFill="1" applyBorder="1" applyAlignment="1"/>
    <xf numFmtId="9" fontId="0" fillId="0" borderId="0" xfId="3" applyFont="1"/>
    <xf numFmtId="37" fontId="0" fillId="0" borderId="0" xfId="0" applyNumberFormat="1"/>
    <xf numFmtId="164" fontId="2" fillId="0" borderId="0" xfId="1" applyNumberFormat="1" applyFont="1" applyBorder="1" applyAlignment="1">
      <alignment horizontal="center"/>
    </xf>
    <xf numFmtId="167" fontId="2" fillId="0" borderId="0" xfId="1" applyNumberFormat="1" applyFont="1" applyBorder="1" applyAlignment="1">
      <alignment horizontal="right"/>
    </xf>
    <xf numFmtId="170" fontId="7" fillId="0" borderId="0" xfId="0" applyNumberFormat="1" applyFont="1" applyFill="1"/>
    <xf numFmtId="164" fontId="7" fillId="0" borderId="7" xfId="3" applyNumberFormat="1" applyFont="1" applyFill="1" applyBorder="1" applyAlignment="1">
      <alignment horizontal="left" indent="2"/>
    </xf>
    <xf numFmtId="170" fontId="8" fillId="3" borderId="7" xfId="3" applyNumberFormat="1" applyFont="1" applyFill="1" applyBorder="1" applyAlignment="1"/>
    <xf numFmtId="170" fontId="7" fillId="0" borderId="0" xfId="3" applyNumberFormat="1" applyFont="1" applyBorder="1" applyAlignment="1"/>
    <xf numFmtId="170" fontId="7" fillId="0" borderId="0" xfId="1" applyNumberFormat="1" applyFont="1" applyAlignment="1">
      <alignment horizontal="right"/>
    </xf>
    <xf numFmtId="170" fontId="7" fillId="0" borderId="7" xfId="0" applyNumberFormat="1" applyFont="1" applyFill="1" applyBorder="1" applyAlignment="1">
      <alignment horizontal="left" indent="3"/>
    </xf>
    <xf numFmtId="167" fontId="4" fillId="0" borderId="7" xfId="1" applyNumberFormat="1" applyFont="1" applyFill="1" applyBorder="1" applyAlignment="1"/>
    <xf numFmtId="167" fontId="10" fillId="3" borderId="7" xfId="0" applyNumberFormat="1" applyFont="1" applyFill="1" applyBorder="1" applyAlignment="1"/>
    <xf numFmtId="167" fontId="4" fillId="3" borderId="7" xfId="0" applyNumberFormat="1" applyFont="1" applyFill="1" applyBorder="1" applyAlignment="1"/>
    <xf numFmtId="167" fontId="2" fillId="0" borderId="0" xfId="0" applyNumberFormat="1" applyFont="1" applyFill="1" applyBorder="1" applyAlignment="1"/>
    <xf numFmtId="164" fontId="7" fillId="0" borderId="0" xfId="3" applyNumberFormat="1" applyFont="1" applyFill="1" applyBorder="1"/>
    <xf numFmtId="10" fontId="7" fillId="3" borderId="7" xfId="3" applyNumberFormat="1" applyFont="1" applyFill="1" applyBorder="1" applyAlignment="1"/>
    <xf numFmtId="10" fontId="7" fillId="0" borderId="0" xfId="3" applyNumberFormat="1" applyFont="1" applyFill="1" applyBorder="1" applyAlignment="1"/>
    <xf numFmtId="10" fontId="8" fillId="3" borderId="7" xfId="3" applyNumberFormat="1" applyFont="1" applyFill="1" applyBorder="1" applyAlignment="1"/>
    <xf numFmtId="10" fontId="18" fillId="2" borderId="0" xfId="3" applyNumberFormat="1" applyFont="1" applyFill="1" applyBorder="1" applyAlignment="1">
      <alignment horizontal="right"/>
    </xf>
    <xf numFmtId="164" fontId="7" fillId="0" borderId="0" xfId="3" applyNumberFormat="1" applyFont="1" applyBorder="1" applyAlignment="1">
      <alignment horizontal="center"/>
    </xf>
    <xf numFmtId="164" fontId="7" fillId="0" borderId="0" xfId="3" applyNumberFormat="1" applyFont="1" applyBorder="1" applyAlignment="1">
      <alignment horizontal="right"/>
    </xf>
    <xf numFmtId="164" fontId="18" fillId="5" borderId="7" xfId="3" applyNumberFormat="1" applyFont="1" applyFill="1" applyBorder="1" applyAlignment="1">
      <alignment horizontal="left" indent="2"/>
    </xf>
    <xf numFmtId="164" fontId="19" fillId="3" borderId="7" xfId="3" applyNumberFormat="1" applyFont="1" applyFill="1" applyBorder="1" applyAlignment="1"/>
    <xf numFmtId="164" fontId="19" fillId="0" borderId="0" xfId="3" applyNumberFormat="1" applyFont="1" applyFill="1" applyBorder="1" applyAlignment="1"/>
    <xf numFmtId="164" fontId="8" fillId="3" borderId="7" xfId="3" applyNumberFormat="1" applyFont="1" applyFill="1" applyBorder="1" applyAlignment="1"/>
    <xf numFmtId="171" fontId="7" fillId="3" borderId="7" xfId="3" applyNumberFormat="1" applyFont="1" applyFill="1" applyBorder="1" applyAlignment="1"/>
    <xf numFmtId="171" fontId="18" fillId="5" borderId="0" xfId="3" applyNumberFormat="1" applyFont="1" applyFill="1" applyBorder="1" applyAlignment="1"/>
    <xf numFmtId="10" fontId="7" fillId="2" borderId="0" xfId="3" applyNumberFormat="1" applyFont="1" applyFill="1" applyBorder="1" applyAlignment="1">
      <alignment horizontal="right"/>
    </xf>
    <xf numFmtId="167" fontId="4" fillId="3" borderId="4" xfId="1" applyNumberFormat="1" applyFont="1" applyFill="1" applyBorder="1" applyAlignment="1">
      <alignment horizontal="left"/>
    </xf>
    <xf numFmtId="167" fontId="4" fillId="3" borderId="4" xfId="0" applyNumberFormat="1" applyFont="1" applyFill="1" applyBorder="1" applyAlignment="1"/>
    <xf numFmtId="167" fontId="4" fillId="3" borderId="27" xfId="0" applyNumberFormat="1" applyFont="1" applyFill="1" applyBorder="1" applyAlignment="1"/>
    <xf numFmtId="164" fontId="7" fillId="3" borderId="15" xfId="3" applyNumberFormat="1" applyFont="1" applyFill="1" applyBorder="1" applyAlignment="1">
      <alignment horizontal="left" indent="2"/>
    </xf>
    <xf numFmtId="170" fontId="8" fillId="3" borderId="15" xfId="3" applyNumberFormat="1" applyFont="1" applyFill="1" applyBorder="1" applyAlignment="1"/>
    <xf numFmtId="170" fontId="7" fillId="3" borderId="16" xfId="3" applyNumberFormat="1" applyFont="1" applyFill="1" applyBorder="1" applyAlignment="1"/>
    <xf numFmtId="9" fontId="10" fillId="0" borderId="0" xfId="0" applyNumberFormat="1" applyFont="1" applyFill="1" applyBorder="1" applyAlignment="1"/>
    <xf numFmtId="9" fontId="4" fillId="3" borderId="7" xfId="0" applyNumberFormat="1" applyFont="1" applyFill="1" applyBorder="1" applyAlignment="1"/>
    <xf numFmtId="167" fontId="7" fillId="0" borderId="0" xfId="1" applyNumberFormat="1" applyFont="1" applyBorder="1" applyAlignment="1">
      <alignment horizontal="center"/>
    </xf>
    <xf numFmtId="164" fontId="7" fillId="0" borderId="0" xfId="3" applyNumberFormat="1" applyFont="1" applyFill="1" applyBorder="1" applyAlignment="1"/>
    <xf numFmtId="170" fontId="18" fillId="2" borderId="0" xfId="3" applyNumberFormat="1" applyFont="1" applyFill="1" applyBorder="1" applyAlignment="1">
      <alignment horizontal="right"/>
    </xf>
    <xf numFmtId="164" fontId="8" fillId="3" borderId="7" xfId="3" applyNumberFormat="1" applyFont="1" applyFill="1" applyBorder="1" applyAlignment="1">
      <alignment horizontal="right"/>
    </xf>
    <xf numFmtId="164" fontId="18" fillId="2" borderId="0" xfId="3" applyNumberFormat="1" applyFont="1" applyFill="1" applyBorder="1" applyAlignment="1">
      <alignment horizontal="right"/>
    </xf>
    <xf numFmtId="164" fontId="7" fillId="3" borderId="7" xfId="3" applyNumberFormat="1" applyFont="1" applyFill="1" applyBorder="1" applyAlignment="1"/>
    <xf numFmtId="170" fontId="18" fillId="5" borderId="0" xfId="3" applyNumberFormat="1" applyFont="1" applyFill="1" applyBorder="1" applyAlignment="1"/>
    <xf numFmtId="9" fontId="7" fillId="0" borderId="0" xfId="3" applyNumberFormat="1" applyFont="1" applyBorder="1" applyAlignment="1">
      <alignment horizontal="right"/>
    </xf>
    <xf numFmtId="167" fontId="10" fillId="3" borderId="7" xfId="0" applyNumberFormat="1" applyFont="1" applyFill="1" applyBorder="1" applyAlignment="1">
      <alignment horizontal="right"/>
    </xf>
    <xf numFmtId="168" fontId="4" fillId="0" borderId="0" xfId="1" applyNumberFormat="1" applyFont="1" applyFill="1"/>
    <xf numFmtId="168" fontId="4" fillId="0" borderId="7" xfId="1" applyNumberFormat="1" applyFont="1" applyFill="1" applyBorder="1" applyAlignment="1">
      <alignment horizontal="left"/>
    </xf>
    <xf numFmtId="168" fontId="4" fillId="3" borderId="7" xfId="1" applyNumberFormat="1" applyFont="1" applyFill="1" applyBorder="1" applyAlignment="1"/>
    <xf numFmtId="168" fontId="4" fillId="0" borderId="0" xfId="1" applyNumberFormat="1" applyFont="1" applyBorder="1" applyAlignment="1"/>
    <xf numFmtId="168" fontId="4" fillId="0" borderId="0" xfId="1" applyNumberFormat="1" applyFont="1" applyAlignment="1">
      <alignment horizontal="center"/>
    </xf>
    <xf numFmtId="168" fontId="4" fillId="0" borderId="0" xfId="1" applyNumberFormat="1" applyFont="1" applyAlignment="1">
      <alignment horizontal="right"/>
    </xf>
    <xf numFmtId="170" fontId="7" fillId="0" borderId="0" xfId="1" applyNumberFormat="1" applyFont="1" applyAlignment="1">
      <alignment horizontal="center"/>
    </xf>
    <xf numFmtId="168" fontId="4" fillId="3" borderId="4" xfId="1" applyNumberFormat="1" applyFont="1" applyFill="1" applyBorder="1" applyAlignment="1"/>
    <xf numFmtId="167" fontId="4" fillId="3" borderId="27" xfId="1" applyNumberFormat="1" applyFont="1" applyFill="1" applyBorder="1" applyAlignment="1"/>
    <xf numFmtId="168" fontId="4" fillId="3" borderId="27" xfId="1" applyNumberFormat="1" applyFont="1" applyFill="1" applyBorder="1" applyAlignment="1"/>
    <xf numFmtId="164" fontId="7" fillId="3" borderId="7" xfId="3" applyNumberFormat="1" applyFont="1" applyFill="1" applyBorder="1" applyAlignment="1">
      <alignment horizontal="left" indent="2"/>
    </xf>
    <xf numFmtId="170" fontId="7" fillId="3" borderId="0" xfId="3" applyNumberFormat="1" applyFont="1" applyFill="1" applyBorder="1" applyAlignment="1"/>
    <xf numFmtId="167" fontId="20" fillId="0" borderId="0" xfId="0" applyNumberFormat="1" applyFont="1"/>
    <xf numFmtId="167" fontId="20" fillId="0" borderId="0" xfId="1" applyNumberFormat="1" applyFont="1" applyAlignment="1">
      <alignment horizontal="right"/>
    </xf>
    <xf numFmtId="164" fontId="20" fillId="0" borderId="0" xfId="3" applyNumberFormat="1" applyFont="1"/>
    <xf numFmtId="164" fontId="7" fillId="3" borderId="0" xfId="3" applyNumberFormat="1" applyFont="1" applyFill="1" applyBorder="1" applyAlignment="1"/>
    <xf numFmtId="164" fontId="20" fillId="0" borderId="0" xfId="3" applyNumberFormat="1" applyFont="1" applyAlignment="1">
      <alignment horizontal="center"/>
    </xf>
    <xf numFmtId="164" fontId="20" fillId="0" borderId="0" xfId="3" applyNumberFormat="1" applyFont="1" applyAlignment="1">
      <alignment horizontal="right"/>
    </xf>
    <xf numFmtId="164" fontId="8" fillId="3" borderId="15" xfId="3" applyNumberFormat="1" applyFont="1" applyFill="1" applyBorder="1" applyAlignment="1"/>
    <xf numFmtId="164" fontId="7" fillId="3" borderId="16" xfId="3" applyNumberFormat="1" applyFont="1" applyFill="1" applyBorder="1" applyAlignment="1"/>
    <xf numFmtId="4" fontId="7" fillId="0" borderId="0" xfId="3" applyNumberFormat="1" applyFont="1" applyBorder="1" applyAlignment="1"/>
    <xf numFmtId="4" fontId="8" fillId="3" borderId="7" xfId="3" applyNumberFormat="1" applyFont="1" applyFill="1" applyBorder="1" applyAlignment="1"/>
    <xf numFmtId="0" fontId="7" fillId="0" borderId="0" xfId="0" applyFont="1" applyFill="1"/>
    <xf numFmtId="165" fontId="7" fillId="0" borderId="0" xfId="1" applyNumberFormat="1" applyFont="1" applyAlignment="1">
      <alignment horizontal="center"/>
    </xf>
    <xf numFmtId="165" fontId="7" fillId="0" borderId="0" xfId="1" applyNumberFormat="1" applyFont="1" applyAlignment="1">
      <alignment horizontal="right"/>
    </xf>
    <xf numFmtId="167" fontId="8" fillId="0" borderId="0" xfId="0" applyNumberFormat="1" applyFont="1" applyFill="1"/>
    <xf numFmtId="167" fontId="2" fillId="0" borderId="7" xfId="1" applyNumberFormat="1" applyFont="1" applyFill="1" applyBorder="1" applyAlignment="1"/>
    <xf numFmtId="167" fontId="21" fillId="3" borderId="7" xfId="0" applyNumberFormat="1" applyFont="1" applyFill="1" applyBorder="1" applyAlignment="1"/>
    <xf numFmtId="167" fontId="12" fillId="2" borderId="0" xfId="1" applyNumberFormat="1" applyFont="1" applyFill="1" applyBorder="1" applyAlignment="1">
      <alignment horizontal="right"/>
    </xf>
    <xf numFmtId="167" fontId="2" fillId="2" borderId="0" xfId="1" applyNumberFormat="1" applyFont="1" applyFill="1" applyBorder="1" applyAlignment="1">
      <alignment horizontal="right"/>
    </xf>
    <xf numFmtId="167" fontId="8" fillId="0" borderId="0" xfId="1" applyNumberFormat="1" applyFont="1" applyAlignment="1">
      <alignment horizontal="right"/>
    </xf>
    <xf numFmtId="170" fontId="7" fillId="0" borderId="7" xfId="0" applyNumberFormat="1" applyFont="1" applyFill="1" applyBorder="1" applyAlignment="1">
      <alignment horizontal="left" indent="2"/>
    </xf>
    <xf numFmtId="170" fontId="7" fillId="0" borderId="0" xfId="3" applyNumberFormat="1" applyFont="1" applyFill="1" applyBorder="1" applyAlignment="1"/>
    <xf numFmtId="167" fontId="8" fillId="0" borderId="0" xfId="1" applyNumberFormat="1" applyFont="1" applyAlignment="1">
      <alignment horizontal="center"/>
    </xf>
    <xf numFmtId="170" fontId="18" fillId="5" borderId="7" xfId="5" applyNumberFormat="1" applyFont="1" applyFill="1" applyBorder="1" applyAlignment="1">
      <alignment horizontal="left" indent="2"/>
    </xf>
    <xf numFmtId="170" fontId="22" fillId="3" borderId="7" xfId="3" applyNumberFormat="1" applyFont="1" applyFill="1" applyBorder="1" applyAlignment="1"/>
    <xf numFmtId="170" fontId="18" fillId="0" borderId="0" xfId="3" applyNumberFormat="1" applyFont="1" applyFill="1" applyBorder="1" applyAlignment="1"/>
    <xf numFmtId="170" fontId="7" fillId="0" borderId="0" xfId="0" applyNumberFormat="1" applyFont="1"/>
    <xf numFmtId="170" fontId="18" fillId="0" borderId="7" xfId="4" applyNumberFormat="1" applyFont="1" applyFill="1" applyBorder="1" applyAlignment="1">
      <alignment horizontal="left" indent="2"/>
    </xf>
    <xf numFmtId="167" fontId="12" fillId="0" borderId="0" xfId="0" applyNumberFormat="1" applyFont="1" applyFill="1" applyBorder="1"/>
    <xf numFmtId="37" fontId="8" fillId="0" borderId="0" xfId="1" applyNumberFormat="1" applyFont="1" applyAlignment="1">
      <alignment horizontal="right"/>
    </xf>
    <xf numFmtId="170" fontId="18" fillId="5" borderId="7" xfId="4" applyNumberFormat="1" applyFont="1" applyFill="1" applyBorder="1" applyAlignment="1">
      <alignment horizontal="left" indent="2"/>
    </xf>
    <xf numFmtId="172" fontId="8" fillId="3" borderId="7" xfId="3" applyNumberFormat="1" applyFont="1" applyFill="1" applyBorder="1" applyAlignment="1"/>
    <xf numFmtId="172" fontId="7" fillId="0" borderId="0" xfId="3" applyNumberFormat="1" applyFont="1" applyBorder="1" applyAlignment="1"/>
    <xf numFmtId="172" fontId="18" fillId="2" borderId="0" xfId="3" applyNumberFormat="1" applyFont="1" applyFill="1" applyBorder="1" applyAlignment="1">
      <alignment horizontal="right"/>
    </xf>
    <xf numFmtId="10" fontId="7" fillId="0" borderId="0" xfId="3" applyNumberFormat="1" applyFont="1" applyBorder="1" applyAlignment="1">
      <alignment horizontal="right"/>
    </xf>
    <xf numFmtId="172" fontId="22" fillId="3" borderId="7" xfId="3" applyNumberFormat="1" applyFont="1" applyFill="1" applyBorder="1" applyAlignment="1"/>
    <xf numFmtId="172" fontId="18" fillId="0" borderId="0" xfId="3" applyNumberFormat="1" applyFont="1" applyFill="1" applyBorder="1" applyAlignment="1"/>
    <xf numFmtId="172" fontId="18" fillId="5" borderId="0" xfId="3" applyNumberFormat="1" applyFont="1" applyFill="1" applyBorder="1" applyAlignment="1"/>
    <xf numFmtId="166" fontId="7" fillId="3" borderId="7" xfId="0" applyNumberFormat="1" applyFont="1" applyFill="1" applyBorder="1" applyAlignment="1"/>
    <xf numFmtId="166" fontId="23" fillId="0" borderId="0" xfId="0" applyNumberFormat="1" applyFont="1" applyFill="1" applyBorder="1" applyAlignment="1"/>
    <xf numFmtId="166" fontId="7" fillId="0" borderId="0" xfId="0" applyNumberFormat="1" applyFont="1" applyFill="1" applyBorder="1" applyAlignment="1"/>
    <xf numFmtId="166" fontId="7" fillId="3" borderId="7" xfId="3" applyNumberFormat="1" applyFont="1" applyFill="1" applyBorder="1" applyAlignment="1"/>
    <xf numFmtId="166" fontId="7" fillId="0" borderId="0" xfId="3" applyNumberFormat="1" applyFont="1" applyFill="1" applyBorder="1" applyAlignment="1"/>
    <xf numFmtId="167" fontId="7" fillId="0" borderId="0" xfId="1" applyNumberFormat="1" applyFont="1" applyAlignment="1">
      <alignment horizontal="center"/>
    </xf>
    <xf numFmtId="173" fontId="7" fillId="3" borderId="7" xfId="0" applyNumberFormat="1" applyFont="1" applyFill="1" applyBorder="1" applyAlignment="1"/>
    <xf numFmtId="173" fontId="7" fillId="0" borderId="0" xfId="0" applyNumberFormat="1" applyFont="1" applyFill="1" applyBorder="1" applyAlignment="1"/>
    <xf numFmtId="173" fontId="7" fillId="3" borderId="7" xfId="3" applyNumberFormat="1" applyFont="1" applyFill="1" applyBorder="1" applyAlignment="1"/>
    <xf numFmtId="173" fontId="7" fillId="0" borderId="0" xfId="3" applyNumberFormat="1" applyFont="1" applyFill="1" applyBorder="1" applyAlignment="1"/>
    <xf numFmtId="164" fontId="7" fillId="3" borderId="7" xfId="0" applyNumberFormat="1" applyFont="1" applyFill="1" applyBorder="1" applyAlignment="1"/>
    <xf numFmtId="164" fontId="7" fillId="0" borderId="0" xfId="0" applyNumberFormat="1" applyFont="1" applyFill="1" applyBorder="1" applyAlignment="1"/>
    <xf numFmtId="167" fontId="2" fillId="0" borderId="7" xfId="1" applyNumberFormat="1" applyFont="1" applyFill="1" applyBorder="1" applyAlignment="1">
      <alignment wrapText="1"/>
    </xf>
    <xf numFmtId="170" fontId="8" fillId="3" borderId="7" xfId="3" applyNumberFormat="1" applyFont="1" applyFill="1" applyBorder="1" applyAlignment="1">
      <alignment horizontal="right"/>
    </xf>
    <xf numFmtId="170" fontId="7" fillId="0" borderId="0" xfId="3" applyNumberFormat="1" applyFont="1" applyBorder="1" applyAlignment="1">
      <alignment horizontal="right"/>
    </xf>
    <xf numFmtId="164" fontId="0" fillId="0" borderId="0" xfId="3" applyNumberFormat="1" applyFont="1"/>
    <xf numFmtId="0" fontId="7" fillId="0" borderId="0" xfId="0" applyFont="1"/>
    <xf numFmtId="0" fontId="18" fillId="0" borderId="15" xfId="0" applyFont="1" applyFill="1" applyBorder="1" applyAlignment="1">
      <alignment horizontal="left" indent="3"/>
    </xf>
    <xf numFmtId="164" fontId="22" fillId="3" borderId="7" xfId="3" applyNumberFormat="1" applyFont="1" applyFill="1" applyBorder="1" applyAlignment="1"/>
    <xf numFmtId="164" fontId="18" fillId="0" borderId="0" xfId="3" applyNumberFormat="1" applyFont="1" applyFill="1" applyBorder="1" applyAlignment="1"/>
    <xf numFmtId="167" fontId="7" fillId="0" borderId="0" xfId="0" applyNumberFormat="1" applyFont="1"/>
    <xf numFmtId="167" fontId="4" fillId="0" borderId="4" xfId="0" applyNumberFormat="1" applyFont="1" applyFill="1" applyBorder="1" applyAlignment="1"/>
    <xf numFmtId="167" fontId="4" fillId="3" borderId="4" xfId="1" applyNumberFormat="1" applyFont="1" applyFill="1" applyBorder="1" applyAlignment="1"/>
    <xf numFmtId="168" fontId="4" fillId="0" borderId="27" xfId="0" applyNumberFormat="1" applyFont="1" applyBorder="1"/>
    <xf numFmtId="167" fontId="7" fillId="0" borderId="0" xfId="1" applyNumberFormat="1" applyFont="1" applyAlignment="1">
      <alignment horizontal="right"/>
    </xf>
    <xf numFmtId="0" fontId="7" fillId="0" borderId="7" xfId="0" applyFont="1" applyFill="1" applyBorder="1" applyAlignment="1">
      <alignment horizontal="left" indent="3"/>
    </xf>
    <xf numFmtId="37" fontId="8" fillId="3" borderId="7" xfId="0" applyNumberFormat="1" applyFont="1" applyFill="1" applyBorder="1" applyAlignment="1"/>
    <xf numFmtId="37" fontId="7" fillId="0" borderId="0" xfId="0" applyNumberFormat="1" applyFont="1" applyFill="1" applyBorder="1" applyAlignment="1"/>
    <xf numFmtId="0" fontId="7" fillId="0" borderId="0" xfId="0" applyFont="1" applyBorder="1"/>
    <xf numFmtId="0" fontId="7" fillId="0" borderId="7" xfId="0" applyFont="1" applyFill="1" applyBorder="1" applyAlignment="1">
      <alignment horizontal="left" indent="2"/>
    </xf>
    <xf numFmtId="165" fontId="7" fillId="0" borderId="0" xfId="1" applyNumberFormat="1" applyFont="1" applyBorder="1" applyAlignment="1">
      <alignment horizontal="center"/>
    </xf>
    <xf numFmtId="165" fontId="7" fillId="0" borderId="0" xfId="1" applyNumberFormat="1" applyFont="1" applyBorder="1" applyAlignment="1">
      <alignment horizontal="right"/>
    </xf>
    <xf numFmtId="167" fontId="2" fillId="0" borderId="0" xfId="0" applyNumberFormat="1" applyFont="1" applyBorder="1"/>
    <xf numFmtId="0" fontId="7" fillId="0" borderId="7" xfId="0" applyFont="1" applyFill="1" applyBorder="1" applyAlignment="1">
      <alignment horizontal="left" indent="4"/>
    </xf>
    <xf numFmtId="167" fontId="4" fillId="0" borderId="7" xfId="1" applyNumberFormat="1" applyFont="1" applyFill="1" applyBorder="1" applyAlignment="1">
      <alignment horizontal="left"/>
    </xf>
    <xf numFmtId="167" fontId="4" fillId="0" borderId="0" xfId="0" applyNumberFormat="1" applyFont="1" applyBorder="1" applyAlignment="1"/>
    <xf numFmtId="167" fontId="20" fillId="0" borderId="0" xfId="1" applyNumberFormat="1" applyFont="1" applyAlignment="1">
      <alignment horizontal="center"/>
    </xf>
    <xf numFmtId="164" fontId="0" fillId="0" borderId="0" xfId="0" applyNumberFormat="1"/>
    <xf numFmtId="165" fontId="22" fillId="3" borderId="7" xfId="1" applyNumberFormat="1" applyFont="1" applyFill="1" applyBorder="1" applyAlignment="1"/>
    <xf numFmtId="165" fontId="18" fillId="0" borderId="0" xfId="1" applyNumberFormat="1" applyFont="1" applyBorder="1" applyAlignment="1"/>
    <xf numFmtId="37" fontId="4" fillId="0" borderId="0" xfId="1" applyNumberFormat="1" applyFont="1" applyAlignment="1">
      <alignment horizontal="right"/>
    </xf>
    <xf numFmtId="170" fontId="7" fillId="3" borderId="7" xfId="0" applyNumberFormat="1" applyFont="1" applyFill="1" applyBorder="1" applyAlignment="1">
      <alignment horizontal="left" indent="2"/>
    </xf>
    <xf numFmtId="167" fontId="0" fillId="0" borderId="0" xfId="0" applyNumberFormat="1"/>
    <xf numFmtId="170" fontId="0" fillId="0" borderId="0" xfId="0" applyNumberFormat="1"/>
    <xf numFmtId="170" fontId="7" fillId="3" borderId="15" xfId="0" applyNumberFormat="1" applyFont="1" applyFill="1" applyBorder="1" applyAlignment="1">
      <alignment horizontal="left" indent="2"/>
    </xf>
    <xf numFmtId="9" fontId="7" fillId="0" borderId="0" xfId="3" applyFont="1" applyBorder="1" applyAlignment="1">
      <alignment horizontal="right"/>
    </xf>
    <xf numFmtId="164" fontId="18" fillId="0" borderId="0" xfId="1" applyNumberFormat="1" applyFont="1" applyBorder="1" applyAlignment="1"/>
    <xf numFmtId="167" fontId="10" fillId="0" borderId="0" xfId="0" applyNumberFormat="1" applyFont="1" applyBorder="1"/>
    <xf numFmtId="164" fontId="7" fillId="0" borderId="0" xfId="3" applyNumberFormat="1" applyFont="1" applyBorder="1" applyAlignment="1"/>
    <xf numFmtId="167" fontId="24" fillId="0" borderId="0" xfId="0" applyNumberFormat="1" applyFont="1"/>
    <xf numFmtId="167" fontId="24" fillId="0" borderId="0" xfId="1" applyNumberFormat="1" applyFont="1" applyAlignment="1">
      <alignment horizontal="center"/>
    </xf>
    <xf numFmtId="167" fontId="24" fillId="0" borderId="0" xfId="1" applyNumberFormat="1" applyFont="1" applyAlignment="1">
      <alignment horizontal="right"/>
    </xf>
    <xf numFmtId="170" fontId="7" fillId="0" borderId="0" xfId="3" applyNumberFormat="1" applyFont="1"/>
    <xf numFmtId="170" fontId="7" fillId="0" borderId="7" xfId="3" applyNumberFormat="1" applyFont="1" applyFill="1" applyBorder="1" applyAlignment="1">
      <alignment horizontal="left" indent="2"/>
    </xf>
    <xf numFmtId="164" fontId="7" fillId="0" borderId="0" xfId="3" applyNumberFormat="1" applyFont="1"/>
    <xf numFmtId="164" fontId="7" fillId="0" borderId="7" xfId="3" applyNumberFormat="1" applyFont="1" applyFill="1" applyBorder="1" applyAlignment="1">
      <alignment horizontal="left" indent="3"/>
    </xf>
    <xf numFmtId="167" fontId="2" fillId="0" borderId="0" xfId="0" applyNumberFormat="1" applyFont="1"/>
    <xf numFmtId="167" fontId="2" fillId="0" borderId="0" xfId="0" applyNumberFormat="1" applyFont="1" applyBorder="1" applyAlignment="1"/>
    <xf numFmtId="167" fontId="2" fillId="0" borderId="0" xfId="1" applyNumberFormat="1" applyFont="1" applyAlignment="1">
      <alignment horizontal="center"/>
    </xf>
    <xf numFmtId="167" fontId="2" fillId="0" borderId="0" xfId="1" applyNumberFormat="1" applyFont="1" applyAlignment="1">
      <alignment horizontal="right"/>
    </xf>
    <xf numFmtId="170" fontId="7" fillId="0" borderId="0" xfId="0" applyNumberFormat="1" applyFont="1" applyBorder="1"/>
    <xf numFmtId="170" fontId="18" fillId="0" borderId="0" xfId="3" applyNumberFormat="1" applyFont="1" applyBorder="1" applyAlignment="1"/>
    <xf numFmtId="170" fontId="7" fillId="0" borderId="0" xfId="1" applyNumberFormat="1" applyFont="1" applyBorder="1" applyAlignment="1">
      <alignment horizontal="center"/>
    </xf>
    <xf numFmtId="170" fontId="7" fillId="0" borderId="0" xfId="1" applyNumberFormat="1" applyFont="1" applyBorder="1" applyAlignment="1">
      <alignment horizontal="right"/>
    </xf>
    <xf numFmtId="164" fontId="18" fillId="0" borderId="0" xfId="3" applyNumberFormat="1" applyFont="1" applyBorder="1" applyAlignment="1"/>
    <xf numFmtId="167" fontId="10" fillId="0" borderId="0" xfId="0" applyNumberFormat="1" applyFont="1" applyBorder="1" applyAlignment="1"/>
    <xf numFmtId="167" fontId="20" fillId="0" borderId="0" xfId="0" applyNumberFormat="1" applyFont="1" applyBorder="1"/>
    <xf numFmtId="167" fontId="4" fillId="0" borderId="15" xfId="1" applyNumberFormat="1" applyFont="1" applyFill="1" applyBorder="1" applyAlignment="1">
      <alignment horizontal="left"/>
    </xf>
    <xf numFmtId="167" fontId="4" fillId="3" borderId="15" xfId="0" applyNumberFormat="1" applyFont="1" applyFill="1" applyBorder="1" applyAlignment="1"/>
    <xf numFmtId="167" fontId="4" fillId="0" borderId="16" xfId="0" applyNumberFormat="1" applyFont="1" applyBorder="1" applyAlignment="1"/>
    <xf numFmtId="165" fontId="20" fillId="0" borderId="0" xfId="1" applyNumberFormat="1" applyFont="1" applyBorder="1" applyAlignment="1">
      <alignment horizontal="center"/>
    </xf>
    <xf numFmtId="165" fontId="20" fillId="0" borderId="0" xfId="1" applyNumberFormat="1" applyFont="1" applyBorder="1" applyAlignment="1">
      <alignment horizontal="right"/>
    </xf>
    <xf numFmtId="167" fontId="4" fillId="0" borderId="0" xfId="0" applyNumberFormat="1" applyFont="1" applyFill="1" applyBorder="1" applyAlignment="1"/>
    <xf numFmtId="174" fontId="4" fillId="0" borderId="0" xfId="0" applyNumberFormat="1" applyFont="1" applyBorder="1" applyAlignment="1"/>
    <xf numFmtId="167" fontId="4" fillId="3" borderId="28" xfId="1" applyNumberFormat="1" applyFont="1" applyFill="1" applyBorder="1" applyAlignment="1">
      <alignment horizontal="left"/>
    </xf>
    <xf numFmtId="169" fontId="4" fillId="3" borderId="28" xfId="0" applyNumberFormat="1" applyFont="1" applyFill="1" applyBorder="1" applyAlignment="1"/>
    <xf numFmtId="169" fontId="4" fillId="3" borderId="29" xfId="0" applyNumberFormat="1" applyFont="1" applyFill="1" applyBorder="1" applyAlignment="1"/>
    <xf numFmtId="169" fontId="2" fillId="0" borderId="0" xfId="0" applyNumberFormat="1" applyFont="1" applyAlignment="1">
      <alignment horizontal="center"/>
    </xf>
    <xf numFmtId="169" fontId="2" fillId="0" borderId="0" xfId="0" applyNumberFormat="1" applyFont="1" applyAlignment="1">
      <alignment horizontal="right"/>
    </xf>
    <xf numFmtId="168" fontId="2" fillId="0" borderId="7" xfId="1" applyNumberFormat="1" applyFont="1" applyFill="1" applyBorder="1" applyAlignment="1">
      <alignment horizontal="left"/>
    </xf>
    <xf numFmtId="2" fontId="25" fillId="3" borderId="7" xfId="0" applyNumberFormat="1" applyFont="1" applyFill="1" applyBorder="1" applyAlignment="1"/>
    <xf numFmtId="175" fontId="26" fillId="0" borderId="0" xfId="0" applyNumberFormat="1" applyFont="1" applyFill="1" applyBorder="1" applyAlignment="1"/>
    <xf numFmtId="175" fontId="26" fillId="0" borderId="0" xfId="0" applyNumberFormat="1" applyFont="1" applyBorder="1" applyAlignment="1"/>
    <xf numFmtId="175" fontId="25" fillId="3" borderId="7" xfId="0" applyNumberFormat="1" applyFont="1" applyFill="1" applyBorder="1" applyAlignment="1"/>
    <xf numFmtId="167" fontId="4" fillId="0" borderId="4" xfId="1" applyNumberFormat="1" applyFont="1" applyFill="1" applyBorder="1" applyAlignment="1">
      <alignment horizontal="left"/>
    </xf>
    <xf numFmtId="167" fontId="4" fillId="3" borderId="2" xfId="1" applyNumberFormat="1" applyFont="1" applyFill="1" applyBorder="1" applyAlignment="1"/>
    <xf numFmtId="167" fontId="4" fillId="0" borderId="26" xfId="1" applyNumberFormat="1" applyFont="1" applyBorder="1" applyAlignment="1"/>
    <xf numFmtId="167" fontId="2" fillId="0" borderId="0" xfId="0" applyNumberFormat="1" applyFont="1" applyAlignment="1">
      <alignment horizontal="center"/>
    </xf>
    <xf numFmtId="167" fontId="2" fillId="0" borderId="0" xfId="0" applyNumberFormat="1" applyFont="1" applyAlignment="1">
      <alignment horizontal="right"/>
    </xf>
    <xf numFmtId="169" fontId="22" fillId="3" borderId="7" xfId="0" applyNumberFormat="1" applyFont="1" applyFill="1" applyBorder="1" applyAlignment="1">
      <alignment horizontal="right"/>
    </xf>
    <xf numFmtId="164" fontId="12" fillId="0" borderId="0" xfId="3" applyNumberFormat="1" applyFont="1" applyBorder="1" applyAlignment="1">
      <alignment horizontal="right"/>
    </xf>
    <xf numFmtId="176" fontId="12" fillId="0" borderId="0" xfId="3" applyNumberFormat="1" applyFont="1" applyBorder="1" applyAlignment="1">
      <alignment horizontal="right"/>
    </xf>
    <xf numFmtId="37" fontId="4" fillId="3" borderId="2" xfId="1" applyNumberFormat="1" applyFont="1" applyFill="1" applyBorder="1" applyAlignment="1"/>
    <xf numFmtId="174" fontId="4" fillId="0" borderId="26" xfId="1" applyNumberFormat="1" applyFont="1" applyBorder="1" applyAlignment="1"/>
    <xf numFmtId="170" fontId="7" fillId="0" borderId="0" xfId="3" applyNumberFormat="1" applyFont="1" applyFill="1" applyBorder="1" applyAlignment="1">
      <alignment horizontal="right"/>
    </xf>
    <xf numFmtId="170" fontId="2" fillId="0" borderId="0" xfId="0" applyNumberFormat="1" applyFont="1" applyAlignment="1">
      <alignment horizontal="right"/>
    </xf>
    <xf numFmtId="175" fontId="4" fillId="3" borderId="7" xfId="0" applyNumberFormat="1" applyFont="1" applyFill="1" applyBorder="1" applyAlignment="1"/>
    <xf numFmtId="175" fontId="21" fillId="3" borderId="7" xfId="0" applyNumberFormat="1" applyFont="1" applyFill="1" applyBorder="1" applyAlignment="1"/>
    <xf numFmtId="175" fontId="2" fillId="0" borderId="0" xfId="1" applyNumberFormat="1" applyFont="1" applyFill="1" applyBorder="1" applyAlignment="1"/>
    <xf numFmtId="175" fontId="12" fillId="0" borderId="0" xfId="1" applyNumberFormat="1" applyFont="1" applyFill="1" applyBorder="1" applyAlignment="1"/>
    <xf numFmtId="175" fontId="10" fillId="0" borderId="0" xfId="1" applyNumberFormat="1" applyFont="1" applyFill="1" applyBorder="1" applyAlignment="1"/>
    <xf numFmtId="175" fontId="21" fillId="3" borderId="7" xfId="0" applyNumberFormat="1" applyFont="1" applyFill="1" applyBorder="1" applyAlignment="1">
      <alignment horizontal="right"/>
    </xf>
    <xf numFmtId="175" fontId="4" fillId="3" borderId="7" xfId="0" applyNumberFormat="1" applyFont="1" applyFill="1" applyBorder="1" applyAlignment="1">
      <alignment horizontal="right"/>
    </xf>
    <xf numFmtId="7" fontId="2" fillId="3" borderId="7" xfId="3" applyNumberFormat="1" applyFont="1" applyFill="1" applyBorder="1" applyAlignment="1">
      <alignment horizontal="right"/>
    </xf>
    <xf numFmtId="169" fontId="2" fillId="0" borderId="0" xfId="0" applyNumberFormat="1" applyFont="1" applyFill="1" applyBorder="1" applyAlignment="1">
      <alignment horizontal="right"/>
    </xf>
    <xf numFmtId="169" fontId="12" fillId="2" borderId="0" xfId="0" applyNumberFormat="1" applyFont="1" applyFill="1" applyBorder="1" applyAlignment="1">
      <alignment horizontal="right"/>
    </xf>
    <xf numFmtId="0" fontId="11" fillId="2" borderId="0" xfId="0" applyFont="1" applyFill="1" applyBorder="1" applyAlignment="1">
      <alignment horizontal="right"/>
    </xf>
    <xf numFmtId="168" fontId="4" fillId="2" borderId="0" xfId="1" applyNumberFormat="1" applyFont="1" applyFill="1" applyBorder="1" applyAlignment="1">
      <alignment horizontal="center"/>
    </xf>
    <xf numFmtId="168" fontId="4" fillId="3" borderId="7" xfId="1" applyNumberFormat="1" applyFont="1" applyFill="1" applyBorder="1" applyAlignment="1">
      <alignment horizontal="right"/>
    </xf>
    <xf numFmtId="168" fontId="4" fillId="0" borderId="0" xfId="1" applyNumberFormat="1" applyFont="1" applyFill="1" applyBorder="1" applyAlignment="1">
      <alignment horizontal="right"/>
    </xf>
    <xf numFmtId="168" fontId="21" fillId="0" borderId="0" xfId="1" applyNumberFormat="1" applyFont="1" applyFill="1" applyBorder="1" applyAlignment="1">
      <alignment horizontal="right"/>
    </xf>
    <xf numFmtId="168" fontId="21" fillId="6" borderId="0" xfId="1" applyNumberFormat="1" applyFont="1" applyFill="1" applyBorder="1" applyAlignment="1">
      <alignment horizontal="right"/>
    </xf>
    <xf numFmtId="168" fontId="11" fillId="2" borderId="0" xfId="1" applyNumberFormat="1" applyFont="1" applyFill="1" applyBorder="1" applyAlignment="1">
      <alignment horizontal="right"/>
    </xf>
    <xf numFmtId="37" fontId="7" fillId="0" borderId="0" xfId="1" applyNumberFormat="1" applyFont="1" applyAlignment="1">
      <alignment horizontal="right"/>
    </xf>
    <xf numFmtId="168" fontId="4" fillId="2" borderId="0" xfId="1" applyNumberFormat="1" applyFont="1" applyFill="1" applyBorder="1" applyAlignment="1">
      <alignment horizontal="right"/>
    </xf>
    <xf numFmtId="170" fontId="7" fillId="2" borderId="0" xfId="3" applyNumberFormat="1" applyFont="1" applyFill="1" applyBorder="1" applyAlignment="1">
      <alignment horizontal="right"/>
    </xf>
    <xf numFmtId="167" fontId="10" fillId="2" borderId="0" xfId="1" applyNumberFormat="1" applyFont="1" applyFill="1" applyBorder="1" applyAlignment="1">
      <alignment horizontal="right"/>
    </xf>
    <xf numFmtId="168" fontId="2" fillId="0" borderId="3" xfId="1" applyNumberFormat="1" applyFont="1" applyFill="1" applyBorder="1" applyAlignment="1">
      <alignment horizontal="left"/>
    </xf>
    <xf numFmtId="43" fontId="2" fillId="0" borderId="0" xfId="1" applyFont="1" applyFill="1" applyBorder="1" applyAlignment="1">
      <alignment horizontal="right"/>
    </xf>
    <xf numFmtId="0" fontId="29" fillId="0" borderId="15" xfId="0" applyFont="1" applyFill="1" applyBorder="1" applyAlignment="1">
      <alignment horizontal="left"/>
    </xf>
    <xf numFmtId="164" fontId="22" fillId="3" borderId="15" xfId="3" applyNumberFormat="1" applyFont="1" applyFill="1" applyBorder="1" applyAlignment="1">
      <alignment horizontal="right"/>
    </xf>
    <xf numFmtId="169" fontId="30" fillId="2" borderId="16" xfId="0" applyNumberFormat="1" applyFont="1" applyFill="1" applyBorder="1" applyAlignment="1">
      <alignment horizontal="right"/>
    </xf>
    <xf numFmtId="0" fontId="9" fillId="0" borderId="0" xfId="0" applyNumberFormat="1" applyFont="1" applyFill="1" applyBorder="1" applyAlignment="1">
      <alignment horizontal="left"/>
    </xf>
    <xf numFmtId="0" fontId="20" fillId="0" borderId="0" xfId="0" applyFont="1" applyFill="1" applyBorder="1" applyAlignment="1">
      <alignment horizontal="center"/>
    </xf>
    <xf numFmtId="4" fontId="20" fillId="0" borderId="0" xfId="0" applyNumberFormat="1" applyFont="1" applyFill="1" applyBorder="1" applyAlignment="1">
      <alignment horizontal="center"/>
    </xf>
    <xf numFmtId="43" fontId="20" fillId="0" borderId="0" xfId="1" applyFont="1" applyFill="1" applyBorder="1" applyAlignment="1">
      <alignment horizontal="center"/>
    </xf>
    <xf numFmtId="0" fontId="4" fillId="0" borderId="0" xfId="0" applyNumberFormat="1" applyFont="1" applyFill="1" applyBorder="1" applyAlignment="1">
      <alignment horizontal="right"/>
    </xf>
    <xf numFmtId="0" fontId="4" fillId="2" borderId="0" xfId="0" applyNumberFormat="1" applyFont="1" applyFill="1" applyBorder="1"/>
    <xf numFmtId="43" fontId="4" fillId="2" borderId="0" xfId="0" applyNumberFormat="1" applyFont="1" applyFill="1" applyBorder="1"/>
    <xf numFmtId="0" fontId="5" fillId="0" borderId="19" xfId="0" applyFont="1" applyFill="1" applyBorder="1"/>
    <xf numFmtId="0" fontId="4" fillId="3" borderId="4" xfId="0" applyNumberFormat="1" applyFont="1" applyFill="1" applyBorder="1" applyAlignment="1">
      <alignment horizontal="center"/>
    </xf>
    <xf numFmtId="0" fontId="11" fillId="0" borderId="27" xfId="0" applyNumberFormat="1" applyFont="1" applyFill="1" applyBorder="1" applyAlignment="1">
      <alignment horizontal="center"/>
    </xf>
    <xf numFmtId="0" fontId="11" fillId="3" borderId="4" xfId="0" applyNumberFormat="1" applyFont="1" applyFill="1" applyBorder="1" applyAlignment="1">
      <alignment horizontal="center"/>
    </xf>
    <xf numFmtId="167" fontId="4" fillId="2" borderId="0" xfId="0" applyNumberFormat="1" applyFont="1" applyFill="1" applyBorder="1" applyAlignment="1">
      <alignment horizontal="center"/>
    </xf>
    <xf numFmtId="167" fontId="4" fillId="0" borderId="3" xfId="0" applyNumberFormat="1" applyFont="1" applyFill="1" applyBorder="1" applyAlignment="1">
      <alignment horizontal="left" indent="1"/>
    </xf>
    <xf numFmtId="167" fontId="12" fillId="0" borderId="0" xfId="0" applyNumberFormat="1" applyFont="1" applyFill="1" applyBorder="1" applyAlignment="1"/>
    <xf numFmtId="167" fontId="20" fillId="2" borderId="0" xfId="0" applyNumberFormat="1" applyFont="1" applyFill="1" applyBorder="1" applyAlignment="1">
      <alignment horizontal="center"/>
    </xf>
    <xf numFmtId="174" fontId="0" fillId="0" borderId="0" xfId="0" applyNumberFormat="1"/>
    <xf numFmtId="167" fontId="2" fillId="0" borderId="3" xfId="0" applyNumberFormat="1" applyFont="1" applyFill="1" applyBorder="1" applyAlignment="1">
      <alignment horizontal="left" indent="1"/>
    </xf>
    <xf numFmtId="167" fontId="2" fillId="0" borderId="3" xfId="0" applyNumberFormat="1" applyFont="1" applyFill="1" applyBorder="1" applyAlignment="1">
      <alignment horizontal="left" indent="2"/>
    </xf>
    <xf numFmtId="167" fontId="2" fillId="0" borderId="3" xfId="0" applyNumberFormat="1" applyFont="1" applyFill="1" applyBorder="1" applyAlignment="1">
      <alignment horizontal="left" indent="3"/>
    </xf>
    <xf numFmtId="167" fontId="27" fillId="3" borderId="7" xfId="0" applyNumberFormat="1" applyFont="1" applyFill="1" applyBorder="1" applyAlignment="1"/>
    <xf numFmtId="167" fontId="2" fillId="0" borderId="3" xfId="0" applyNumberFormat="1" applyFont="1" applyFill="1" applyBorder="1" applyAlignment="1"/>
    <xf numFmtId="167" fontId="10" fillId="0" borderId="6" xfId="0" applyNumberFormat="1" applyFont="1" applyFill="1" applyBorder="1" applyAlignment="1"/>
    <xf numFmtId="167" fontId="10" fillId="0" borderId="3" xfId="0" applyNumberFormat="1" applyFont="1" applyFill="1" applyBorder="1" applyAlignment="1"/>
    <xf numFmtId="167" fontId="4" fillId="0" borderId="0" xfId="0" applyNumberFormat="1" applyFont="1" applyFill="1" applyBorder="1" applyAlignment="1">
      <alignment horizontal="center"/>
    </xf>
    <xf numFmtId="167" fontId="4" fillId="3" borderId="1" xfId="0" applyNumberFormat="1" applyFont="1" applyFill="1" applyBorder="1"/>
    <xf numFmtId="167" fontId="31" fillId="0" borderId="3" xfId="0" applyNumberFormat="1" applyFont="1" applyFill="1" applyBorder="1"/>
    <xf numFmtId="167" fontId="32" fillId="3" borderId="7" xfId="3" applyNumberFormat="1" applyFont="1" applyFill="1" applyBorder="1" applyAlignment="1"/>
    <xf numFmtId="167" fontId="11" fillId="0" borderId="0" xfId="0" applyNumberFormat="1" applyFont="1" applyFill="1" applyBorder="1" applyAlignment="1">
      <alignment horizontal="center"/>
    </xf>
    <xf numFmtId="174" fontId="4" fillId="0" borderId="0" xfId="0" applyNumberFormat="1" applyFont="1" applyFill="1" applyBorder="1" applyAlignment="1">
      <alignment horizontal="center"/>
    </xf>
    <xf numFmtId="174" fontId="33" fillId="0" borderId="0" xfId="0" applyNumberFormat="1" applyFont="1" applyFill="1" applyBorder="1" applyAlignment="1">
      <alignment horizontal="center"/>
    </xf>
    <xf numFmtId="167" fontId="5" fillId="0" borderId="3" xfId="0" applyNumberFormat="1" applyFont="1" applyFill="1" applyBorder="1"/>
    <xf numFmtId="167" fontId="4" fillId="0" borderId="3" xfId="0" applyNumberFormat="1" applyFont="1" applyFill="1" applyBorder="1"/>
    <xf numFmtId="167" fontId="4" fillId="3" borderId="30" xfId="0" applyNumberFormat="1" applyFont="1" applyFill="1" applyBorder="1"/>
    <xf numFmtId="167" fontId="4" fillId="3" borderId="28" xfId="1" applyNumberFormat="1" applyFont="1" applyFill="1" applyBorder="1" applyAlignment="1"/>
    <xf numFmtId="167" fontId="4" fillId="3" borderId="29" xfId="0" applyNumberFormat="1" applyFont="1" applyFill="1" applyBorder="1" applyAlignment="1"/>
    <xf numFmtId="167" fontId="2" fillId="2" borderId="0" xfId="0" applyNumberFormat="1" applyFont="1" applyFill="1" applyBorder="1" applyAlignment="1">
      <alignment horizontal="center"/>
    </xf>
    <xf numFmtId="167" fontId="2" fillId="0" borderId="3" xfId="0" applyNumberFormat="1" applyFont="1" applyFill="1" applyBorder="1"/>
    <xf numFmtId="167" fontId="2" fillId="0" borderId="0" xfId="0" applyNumberFormat="1" applyFont="1" applyFill="1" applyBorder="1" applyAlignment="1">
      <alignment horizontal="center"/>
    </xf>
    <xf numFmtId="0" fontId="4" fillId="0" borderId="3" xfId="0" applyNumberFormat="1" applyFont="1" applyFill="1" applyBorder="1" applyAlignment="1">
      <alignment horizontal="left"/>
    </xf>
    <xf numFmtId="9" fontId="11" fillId="3" borderId="7" xfId="3" applyFont="1" applyFill="1" applyBorder="1" applyAlignment="1">
      <alignment horizontal="center"/>
    </xf>
    <xf numFmtId="0" fontId="11" fillId="0" borderId="0" xfId="0" applyNumberFormat="1" applyFont="1" applyFill="1" applyBorder="1" applyAlignment="1">
      <alignment horizontal="center"/>
    </xf>
    <xf numFmtId="0" fontId="4" fillId="0" borderId="0" xfId="0" applyNumberFormat="1" applyFont="1" applyFill="1" applyBorder="1" applyAlignment="1">
      <alignment horizontal="center"/>
    </xf>
    <xf numFmtId="167" fontId="4" fillId="2" borderId="0" xfId="0" applyNumberFormat="1" applyFont="1" applyFill="1" applyBorder="1"/>
    <xf numFmtId="167" fontId="4" fillId="3" borderId="7" xfId="1" applyNumberFormat="1" applyFont="1" applyFill="1" applyBorder="1"/>
    <xf numFmtId="167" fontId="2" fillId="2" borderId="0" xfId="1" applyNumberFormat="1" applyFont="1" applyFill="1" applyBorder="1"/>
    <xf numFmtId="164" fontId="4" fillId="2" borderId="0" xfId="3" applyNumberFormat="1" applyFont="1" applyFill="1" applyBorder="1"/>
    <xf numFmtId="164" fontId="4" fillId="0" borderId="3" xfId="3" applyNumberFormat="1" applyFont="1" applyFill="1" applyBorder="1"/>
    <xf numFmtId="164" fontId="4" fillId="3" borderId="7" xfId="3" applyNumberFormat="1" applyFont="1" applyFill="1" applyBorder="1"/>
    <xf numFmtId="164" fontId="2" fillId="2" borderId="0" xfId="3" applyNumberFormat="1" applyFont="1" applyFill="1" applyBorder="1"/>
    <xf numFmtId="0" fontId="2" fillId="2" borderId="0" xfId="0" applyNumberFormat="1" applyFont="1" applyFill="1" applyBorder="1"/>
    <xf numFmtId="0" fontId="4" fillId="0" borderId="3" xfId="0" applyFont="1" applyFill="1" applyBorder="1"/>
    <xf numFmtId="175" fontId="27" fillId="3" borderId="7" xfId="0" applyNumberFormat="1" applyFont="1" applyFill="1" applyBorder="1"/>
    <xf numFmtId="175" fontId="12" fillId="2" borderId="0" xfId="0" applyNumberFormat="1" applyFont="1" applyFill="1" applyBorder="1"/>
    <xf numFmtId="0" fontId="2" fillId="0" borderId="0" xfId="0" applyNumberFormat="1" applyFont="1" applyFill="1" applyBorder="1"/>
    <xf numFmtId="7" fontId="4" fillId="3" borderId="7" xfId="2" applyNumberFormat="1" applyFont="1" applyFill="1" applyBorder="1"/>
    <xf numFmtId="7" fontId="2" fillId="2" borderId="0" xfId="2" applyNumberFormat="1" applyFont="1" applyFill="1" applyBorder="1"/>
    <xf numFmtId="0" fontId="8" fillId="2" borderId="0" xfId="0" applyNumberFormat="1" applyFont="1" applyFill="1" applyBorder="1" applyAlignment="1">
      <alignment horizontal="center"/>
    </xf>
    <xf numFmtId="0" fontId="7" fillId="0" borderId="14" xfId="0" applyFont="1" applyFill="1" applyBorder="1" applyAlignment="1">
      <alignment horizontal="left" indent="1"/>
    </xf>
    <xf numFmtId="164" fontId="8" fillId="3" borderId="15" xfId="3" applyNumberFormat="1" applyFont="1" applyFill="1" applyBorder="1"/>
    <xf numFmtId="164" fontId="7" fillId="2" borderId="16" xfId="3" applyNumberFormat="1" applyFont="1" applyFill="1" applyBorder="1"/>
    <xf numFmtId="0" fontId="8" fillId="0" borderId="0" xfId="0" applyNumberFormat="1" applyFont="1" applyFill="1" applyBorder="1" applyAlignment="1">
      <alignment horizontal="center"/>
    </xf>
    <xf numFmtId="43" fontId="33" fillId="0" borderId="0" xfId="1" applyFont="1" applyFill="1" applyBorder="1" applyAlignment="1">
      <alignment horizontal="center"/>
    </xf>
    <xf numFmtId="43" fontId="34" fillId="2" borderId="0" xfId="1" applyFont="1" applyFill="1"/>
    <xf numFmtId="43" fontId="34" fillId="2" borderId="0" xfId="1" applyFont="1" applyFill="1" applyBorder="1" applyAlignment="1"/>
    <xf numFmtId="177" fontId="34" fillId="2" borderId="0" xfId="1" applyNumberFormat="1" applyFont="1" applyFill="1" applyBorder="1" applyAlignment="1"/>
    <xf numFmtId="168" fontId="34" fillId="2" borderId="0" xfId="1" applyNumberFormat="1" applyFont="1" applyFill="1" applyBorder="1" applyAlignment="1"/>
    <xf numFmtId="175" fontId="11" fillId="2" borderId="0" xfId="0" applyNumberFormat="1" applyFont="1" applyFill="1" applyBorder="1"/>
    <xf numFmtId="0" fontId="4" fillId="0" borderId="19" xfId="0" applyNumberFormat="1" applyFont="1" applyFill="1" applyBorder="1" applyAlignment="1">
      <alignment horizontal="left"/>
    </xf>
    <xf numFmtId="167" fontId="2" fillId="0" borderId="3" xfId="2" applyNumberFormat="1" applyFont="1" applyFill="1" applyBorder="1" applyAlignment="1" applyProtection="1">
      <alignment horizontal="left" indent="1"/>
    </xf>
    <xf numFmtId="39" fontId="0" fillId="0" borderId="0" xfId="0" applyNumberFormat="1"/>
    <xf numFmtId="167" fontId="4" fillId="0" borderId="3" xfId="0" applyNumberFormat="1" applyFont="1" applyFill="1" applyBorder="1" applyAlignment="1">
      <alignment horizontal="left" vertical="center"/>
    </xf>
    <xf numFmtId="167" fontId="2" fillId="0" borderId="3" xfId="1" applyNumberFormat="1" applyFont="1" applyFill="1" applyBorder="1" applyAlignment="1" applyProtection="1">
      <alignment horizontal="left" indent="1"/>
    </xf>
    <xf numFmtId="167" fontId="4" fillId="3" borderId="31" xfId="0" applyNumberFormat="1" applyFont="1" applyFill="1" applyBorder="1" applyAlignment="1">
      <alignment horizontal="left" vertical="center"/>
    </xf>
    <xf numFmtId="167" fontId="4" fillId="3" borderId="32" xfId="0" applyNumberFormat="1" applyFont="1" applyFill="1" applyBorder="1" applyAlignment="1"/>
    <xf numFmtId="167" fontId="4" fillId="3" borderId="33" xfId="0" applyNumberFormat="1" applyFont="1" applyFill="1" applyBorder="1" applyAlignment="1"/>
    <xf numFmtId="0" fontId="2" fillId="0" borderId="3" xfId="0" applyFont="1" applyFill="1" applyBorder="1"/>
    <xf numFmtId="0" fontId="4" fillId="3" borderId="7" xfId="0" applyFont="1" applyFill="1" applyBorder="1" applyAlignment="1"/>
    <xf numFmtId="43" fontId="4" fillId="0" borderId="0" xfId="0" applyNumberFormat="1" applyFont="1" applyFill="1" applyBorder="1" applyAlignment="1">
      <alignment horizontal="center"/>
    </xf>
    <xf numFmtId="0" fontId="21" fillId="3" borderId="7" xfId="0" applyFont="1" applyFill="1" applyBorder="1" applyAlignment="1"/>
    <xf numFmtId="0" fontId="21" fillId="0" borderId="0" xfId="0" applyNumberFormat="1" applyFont="1" applyFill="1" applyBorder="1" applyAlignment="1">
      <alignment horizontal="center"/>
    </xf>
    <xf numFmtId="167" fontId="4" fillId="0" borderId="19" xfId="1" applyNumberFormat="1" applyFont="1" applyFill="1" applyBorder="1" applyAlignment="1" applyProtection="1">
      <alignment horizontal="left"/>
    </xf>
    <xf numFmtId="167" fontId="4" fillId="0" borderId="27" xfId="1" applyNumberFormat="1" applyFont="1" applyFill="1" applyBorder="1" applyAlignment="1"/>
    <xf numFmtId="167" fontId="4" fillId="0" borderId="3" xfId="1" applyNumberFormat="1" applyFont="1" applyFill="1" applyBorder="1" applyAlignment="1" applyProtection="1">
      <alignment horizontal="left"/>
    </xf>
    <xf numFmtId="167" fontId="4" fillId="3" borderId="7" xfId="1" applyNumberFormat="1" applyFont="1" applyFill="1" applyBorder="1" applyAlignment="1"/>
    <xf numFmtId="167" fontId="4" fillId="0" borderId="0" xfId="1" applyNumberFormat="1" applyFont="1" applyFill="1" applyBorder="1" applyAlignment="1"/>
    <xf numFmtId="167" fontId="12" fillId="0" borderId="0" xfId="1" applyNumberFormat="1" applyFont="1" applyFill="1" applyBorder="1" applyAlignment="1"/>
    <xf numFmtId="167" fontId="10" fillId="0" borderId="0" xfId="1" applyNumberFormat="1" applyFont="1" applyFill="1" applyBorder="1" applyAlignment="1"/>
    <xf numFmtId="167" fontId="2" fillId="0" borderId="0" xfId="1" applyNumberFormat="1" applyFont="1" applyFill="1" applyBorder="1" applyAlignment="1"/>
    <xf numFmtId="167" fontId="2" fillId="0" borderId="14" xfId="2" applyNumberFormat="1" applyFont="1" applyFill="1" applyBorder="1" applyAlignment="1" applyProtection="1">
      <alignment horizontal="left" indent="1"/>
    </xf>
    <xf numFmtId="167" fontId="4" fillId="0" borderId="27" xfId="1" applyNumberFormat="1" applyFont="1" applyBorder="1" applyAlignment="1"/>
    <xf numFmtId="167" fontId="4" fillId="3" borderId="30" xfId="0" applyNumberFormat="1" applyFont="1" applyFill="1" applyBorder="1" applyAlignment="1">
      <alignment horizontal="left" vertical="center"/>
    </xf>
    <xf numFmtId="167" fontId="4" fillId="3" borderId="29" xfId="1" applyNumberFormat="1" applyFont="1" applyFill="1" applyBorder="1" applyAlignment="1"/>
    <xf numFmtId="0" fontId="31" fillId="2" borderId="0" xfId="0" applyFont="1" applyFill="1"/>
    <xf numFmtId="167" fontId="2" fillId="2" borderId="0" xfId="0" applyNumberFormat="1" applyFont="1" applyFill="1" applyBorder="1" applyAlignment="1"/>
    <xf numFmtId="0" fontId="2" fillId="2" borderId="0" xfId="0" applyFont="1" applyFill="1" applyBorder="1" applyAlignment="1"/>
    <xf numFmtId="0" fontId="4" fillId="3" borderId="1" xfId="0" applyFont="1" applyFill="1" applyBorder="1"/>
    <xf numFmtId="167" fontId="4" fillId="3" borderId="7" xfId="3" applyNumberFormat="1" applyFont="1" applyFill="1" applyBorder="1" applyAlignment="1"/>
    <xf numFmtId="167" fontId="2" fillId="0" borderId="0" xfId="3" applyNumberFormat="1" applyFont="1" applyBorder="1" applyAlignment="1"/>
    <xf numFmtId="0" fontId="2" fillId="0" borderId="3" xfId="0" applyNumberFormat="1" applyFont="1" applyFill="1" applyBorder="1" applyAlignment="1">
      <alignment horizontal="left" indent="1"/>
    </xf>
    <xf numFmtId="164" fontId="4" fillId="3" borderId="7" xfId="3" applyNumberFormat="1" applyFont="1" applyFill="1" applyBorder="1" applyAlignment="1">
      <alignment horizontal="right"/>
    </xf>
    <xf numFmtId="164" fontId="2" fillId="0" borderId="0" xfId="3" applyNumberFormat="1" applyFont="1" applyBorder="1" applyAlignment="1">
      <alignment horizontal="right"/>
    </xf>
    <xf numFmtId="178" fontId="4" fillId="3" borderId="7" xfId="3" applyNumberFormat="1" applyFont="1" applyFill="1" applyBorder="1" applyAlignment="1">
      <alignment horizontal="right"/>
    </xf>
    <xf numFmtId="178" fontId="2" fillId="0" borderId="0" xfId="3" applyNumberFormat="1" applyFont="1" applyBorder="1" applyAlignment="1">
      <alignment horizontal="right"/>
    </xf>
    <xf numFmtId="164" fontId="4" fillId="0" borderId="0" xfId="3" applyNumberFormat="1" applyFont="1" applyFill="1" applyBorder="1" applyAlignment="1">
      <alignment horizontal="center"/>
    </xf>
    <xf numFmtId="164" fontId="2" fillId="0" borderId="3" xfId="3" applyNumberFormat="1" applyFont="1" applyFill="1" applyBorder="1" applyAlignment="1">
      <alignment horizontal="left" indent="1"/>
    </xf>
    <xf numFmtId="164" fontId="4" fillId="3" borderId="7" xfId="3" applyNumberFormat="1" applyFont="1" applyFill="1" applyBorder="1" applyAlignment="1"/>
    <xf numFmtId="164" fontId="2" fillId="0" borderId="0" xfId="3" applyNumberFormat="1" applyFont="1" applyBorder="1" applyAlignment="1"/>
    <xf numFmtId="170" fontId="4" fillId="2" borderId="0" xfId="0" applyNumberFormat="1" applyFont="1" applyFill="1" applyBorder="1" applyAlignment="1">
      <alignment horizontal="center"/>
    </xf>
    <xf numFmtId="170" fontId="2" fillId="0" borderId="3" xfId="0" applyNumberFormat="1" applyFont="1" applyFill="1" applyBorder="1" applyAlignment="1">
      <alignment horizontal="left" indent="1"/>
    </xf>
    <xf numFmtId="170" fontId="4" fillId="3" borderId="7" xfId="3" applyNumberFormat="1" applyFont="1" applyFill="1" applyBorder="1" applyAlignment="1"/>
    <xf numFmtId="170" fontId="2" fillId="2" borderId="0" xfId="3" applyNumberFormat="1" applyFont="1" applyFill="1" applyBorder="1" applyAlignment="1"/>
    <xf numFmtId="170" fontId="12" fillId="2" borderId="0" xfId="3" applyNumberFormat="1" applyFont="1" applyFill="1" applyBorder="1" applyAlignment="1"/>
    <xf numFmtId="179" fontId="4" fillId="2" borderId="0" xfId="0" applyNumberFormat="1" applyFont="1" applyFill="1" applyBorder="1" applyAlignment="1">
      <alignment horizontal="center"/>
    </xf>
    <xf numFmtId="179" fontId="2" fillId="0" borderId="3" xfId="0" applyNumberFormat="1" applyFont="1" applyFill="1" applyBorder="1" applyAlignment="1">
      <alignment horizontal="left" indent="1"/>
    </xf>
    <xf numFmtId="4" fontId="4" fillId="3" borderId="7" xfId="3" applyNumberFormat="1" applyFont="1" applyFill="1" applyBorder="1" applyAlignment="1"/>
    <xf numFmtId="4" fontId="2" fillId="2" borderId="0" xfId="3" applyNumberFormat="1" applyFont="1" applyFill="1" applyBorder="1" applyAlignment="1"/>
    <xf numFmtId="4" fontId="12" fillId="2" borderId="0" xfId="3" applyNumberFormat="1" applyFont="1" applyFill="1" applyBorder="1" applyAlignment="1"/>
    <xf numFmtId="165" fontId="2" fillId="2" borderId="0" xfId="1" applyNumberFormat="1" applyFont="1" applyFill="1" applyBorder="1"/>
    <xf numFmtId="0" fontId="2" fillId="0" borderId="14" xfId="0" applyNumberFormat="1" applyFont="1" applyFill="1" applyBorder="1" applyAlignment="1">
      <alignment horizontal="left" indent="1"/>
    </xf>
    <xf numFmtId="43" fontId="20" fillId="3" borderId="15" xfId="1" applyFont="1" applyFill="1" applyBorder="1" applyAlignment="1" applyProtection="1">
      <alignment horizontal="right"/>
    </xf>
    <xf numFmtId="43" fontId="20" fillId="2" borderId="16" xfId="1" applyFont="1" applyFill="1" applyBorder="1" applyAlignment="1" applyProtection="1">
      <alignment horizontal="right"/>
    </xf>
    <xf numFmtId="0" fontId="2" fillId="0" borderId="19" xfId="0" applyFont="1" applyBorder="1"/>
    <xf numFmtId="167" fontId="2" fillId="0" borderId="27" xfId="0" applyNumberFormat="1" applyFont="1" applyFill="1" applyBorder="1" applyAlignment="1"/>
    <xf numFmtId="170" fontId="2" fillId="0" borderId="3" xfId="0" applyNumberFormat="1" applyFont="1" applyFill="1" applyBorder="1" applyAlignment="1">
      <alignment horizontal="left" indent="2"/>
    </xf>
    <xf numFmtId="171" fontId="4" fillId="3" borderId="7" xfId="3" applyNumberFormat="1" applyFont="1" applyFill="1" applyBorder="1" applyAlignment="1"/>
    <xf numFmtId="171" fontId="2" fillId="2" borderId="0" xfId="3" applyNumberFormat="1" applyFont="1" applyFill="1" applyBorder="1" applyAlignment="1"/>
    <xf numFmtId="171" fontId="12" fillId="2" borderId="0" xfId="3" applyNumberFormat="1" applyFont="1" applyFill="1" applyBorder="1" applyAlignment="1"/>
    <xf numFmtId="0" fontId="2" fillId="0" borderId="3" xfId="0" applyFont="1" applyBorder="1"/>
    <xf numFmtId="180" fontId="4" fillId="3" borderId="7" xfId="0" applyNumberFormat="1" applyFont="1" applyFill="1" applyBorder="1" applyAlignment="1"/>
    <xf numFmtId="173" fontId="2" fillId="0" borderId="0" xfId="0" applyNumberFormat="1" applyFont="1" applyFill="1" applyBorder="1" applyAlignment="1"/>
    <xf numFmtId="0" fontId="2" fillId="0" borderId="3" xfId="0" quotePrefix="1" applyFont="1" applyBorder="1"/>
    <xf numFmtId="0" fontId="2" fillId="0" borderId="14" xfId="0" applyFont="1" applyBorder="1"/>
    <xf numFmtId="167" fontId="2" fillId="0" borderId="16" xfId="0" applyNumberFormat="1" applyFont="1" applyFill="1" applyBorder="1" applyAlignment="1"/>
    <xf numFmtId="0" fontId="0" fillId="0" borderId="27" xfId="0" applyBorder="1"/>
    <xf numFmtId="0" fontId="0" fillId="3" borderId="4" xfId="0" applyFill="1" applyBorder="1"/>
    <xf numFmtId="0" fontId="0" fillId="0" borderId="26" xfId="0" applyBorder="1"/>
    <xf numFmtId="0" fontId="0" fillId="3" borderId="26" xfId="0" applyFill="1" applyBorder="1"/>
    <xf numFmtId="0" fontId="0" fillId="0" borderId="3" xfId="0" applyBorder="1"/>
    <xf numFmtId="0" fontId="0" fillId="0" borderId="0" xfId="0" applyBorder="1"/>
    <xf numFmtId="0" fontId="0" fillId="3" borderId="7" xfId="0" applyFill="1" applyBorder="1"/>
    <xf numFmtId="0" fontId="2" fillId="3" borderId="0" xfId="0" applyFont="1" applyFill="1" applyBorder="1" applyAlignment="1">
      <alignment horizontal="right"/>
    </xf>
    <xf numFmtId="0" fontId="10" fillId="7" borderId="0" xfId="0" applyFont="1" applyFill="1" applyBorder="1"/>
    <xf numFmtId="0" fontId="0" fillId="3" borderId="0" xfId="0" applyFill="1" applyBorder="1"/>
    <xf numFmtId="0" fontId="4" fillId="0" borderId="3" xfId="0" applyFont="1" applyBorder="1"/>
    <xf numFmtId="0" fontId="4" fillId="0" borderId="0" xfId="0" applyFont="1" applyBorder="1"/>
    <xf numFmtId="0" fontId="4" fillId="3" borderId="7" xfId="0" applyFont="1" applyFill="1" applyBorder="1"/>
    <xf numFmtId="181" fontId="4" fillId="0" borderId="0" xfId="0" applyNumberFormat="1" applyFont="1" applyBorder="1"/>
    <xf numFmtId="181" fontId="4" fillId="3" borderId="0" xfId="0" applyNumberFormat="1" applyFont="1" applyFill="1" applyBorder="1"/>
    <xf numFmtId="0" fontId="4" fillId="0" borderId="0" xfId="0" applyFont="1"/>
    <xf numFmtId="167" fontId="2" fillId="0" borderId="3" xfId="0" applyNumberFormat="1" applyFont="1" applyBorder="1"/>
    <xf numFmtId="167" fontId="0" fillId="0" borderId="0" xfId="0" applyNumberFormat="1" applyBorder="1"/>
    <xf numFmtId="167" fontId="0" fillId="3" borderId="7" xfId="0" applyNumberFormat="1" applyFill="1" applyBorder="1"/>
    <xf numFmtId="167" fontId="0" fillId="3" borderId="0" xfId="0" applyNumberFormat="1" applyFill="1" applyBorder="1"/>
    <xf numFmtId="167" fontId="4" fillId="0" borderId="3" xfId="0" applyNumberFormat="1" applyFont="1" applyBorder="1"/>
    <xf numFmtId="167" fontId="4" fillId="0" borderId="0" xfId="0" applyNumberFormat="1" applyFont="1" applyBorder="1"/>
    <xf numFmtId="167" fontId="4" fillId="3" borderId="7" xfId="0" applyNumberFormat="1" applyFont="1" applyFill="1" applyBorder="1"/>
    <xf numFmtId="167" fontId="4" fillId="3" borderId="0" xfId="0" applyNumberFormat="1" applyFont="1" applyFill="1" applyBorder="1"/>
    <xf numFmtId="167" fontId="4" fillId="0" borderId="0" xfId="0" applyNumberFormat="1" applyFont="1"/>
    <xf numFmtId="9" fontId="2" fillId="0" borderId="3" xfId="3" applyFont="1" applyBorder="1"/>
    <xf numFmtId="9" fontId="0" fillId="0" borderId="0" xfId="3" applyFont="1" applyBorder="1"/>
    <xf numFmtId="9" fontId="0" fillId="3" borderId="7" xfId="3" applyFont="1" applyFill="1" applyBorder="1"/>
    <xf numFmtId="9" fontId="10" fillId="0" borderId="0" xfId="3" applyFont="1" applyBorder="1"/>
    <xf numFmtId="9" fontId="2" fillId="0" borderId="0" xfId="3" applyFont="1" applyBorder="1"/>
    <xf numFmtId="9" fontId="10" fillId="3" borderId="0" xfId="3" applyFont="1" applyFill="1" applyBorder="1"/>
    <xf numFmtId="167" fontId="4" fillId="0" borderId="14" xfId="0" applyNumberFormat="1" applyFont="1" applyBorder="1"/>
    <xf numFmtId="167" fontId="4" fillId="0" borderId="16" xfId="0" applyNumberFormat="1" applyFont="1" applyBorder="1"/>
    <xf numFmtId="167" fontId="4" fillId="3" borderId="15" xfId="0" applyNumberFormat="1" applyFont="1" applyFill="1" applyBorder="1"/>
    <xf numFmtId="167" fontId="4" fillId="3" borderId="16" xfId="0" applyNumberFormat="1" applyFont="1" applyFill="1" applyBorder="1"/>
    <xf numFmtId="0" fontId="2" fillId="0" borderId="0" xfId="0" applyNumberFormat="1" applyFont="1" applyFill="1" applyBorder="1" applyAlignment="1">
      <alignment horizontal="right"/>
    </xf>
    <xf numFmtId="9" fontId="4" fillId="2" borderId="0" xfId="3" applyFont="1" applyFill="1" applyBorder="1"/>
    <xf numFmtId="9" fontId="2" fillId="2" borderId="0" xfId="3" applyFont="1" applyFill="1" applyBorder="1"/>
    <xf numFmtId="0" fontId="35" fillId="2" borderId="0" xfId="0" applyNumberFormat="1" applyFont="1" applyFill="1" applyBorder="1"/>
    <xf numFmtId="165" fontId="2" fillId="2" borderId="0" xfId="0" applyNumberFormat="1" applyFont="1" applyFill="1" applyBorder="1" applyAlignment="1">
      <alignment horizontal="right"/>
    </xf>
    <xf numFmtId="168" fontId="2" fillId="2" borderId="0" xfId="1" applyNumberFormat="1" applyFont="1" applyFill="1" applyBorder="1"/>
    <xf numFmtId="167" fontId="2" fillId="0" borderId="0" xfId="0" applyNumberFormat="1" applyFont="1" applyFill="1" applyBorder="1" applyAlignment="1">
      <alignment horizontal="right"/>
    </xf>
    <xf numFmtId="0" fontId="6" fillId="0" borderId="0" xfId="0" applyNumberFormat="1" applyFont="1" applyFill="1" applyBorder="1"/>
    <xf numFmtId="10" fontId="4" fillId="0" borderId="0" xfId="3" applyNumberFormat="1" applyFont="1" applyFill="1" applyBorder="1"/>
    <xf numFmtId="37" fontId="4" fillId="2" borderId="0" xfId="0" applyNumberFormat="1" applyFont="1" applyFill="1" applyBorder="1" applyAlignment="1">
      <alignment horizontal="center"/>
    </xf>
    <xf numFmtId="164" fontId="4" fillId="2" borderId="0" xfId="0" applyNumberFormat="1" applyFont="1" applyFill="1" applyBorder="1" applyAlignment="1">
      <alignment horizontal="center"/>
    </xf>
    <xf numFmtId="10" fontId="4" fillId="2" borderId="0" xfId="0" applyNumberFormat="1" applyFont="1" applyFill="1" applyBorder="1" applyAlignment="1">
      <alignment horizontal="center"/>
    </xf>
    <xf numFmtId="3" fontId="4" fillId="2" borderId="0" xfId="0" applyNumberFormat="1" applyFont="1" applyFill="1" applyBorder="1" applyAlignment="1">
      <alignment horizontal="center"/>
    </xf>
    <xf numFmtId="168" fontId="5" fillId="3" borderId="4" xfId="1" applyNumberFormat="1" applyFont="1" applyFill="1" applyBorder="1" applyAlignment="1">
      <alignment horizontal="left"/>
    </xf>
    <xf numFmtId="0" fontId="11" fillId="3" borderId="4" xfId="0" applyFont="1" applyFill="1" applyBorder="1" applyAlignment="1">
      <alignment horizontal="center"/>
    </xf>
    <xf numFmtId="0" fontId="11" fillId="0" borderId="27" xfId="0" applyFont="1" applyFill="1" applyBorder="1" applyAlignment="1">
      <alignment horizontal="center"/>
    </xf>
    <xf numFmtId="0" fontId="0" fillId="0" borderId="0" xfId="0" applyAlignment="1">
      <alignment horizontal="center"/>
    </xf>
    <xf numFmtId="167" fontId="4" fillId="0" borderId="7" xfId="1" applyNumberFormat="1" applyFont="1" applyFill="1" applyBorder="1" applyAlignment="1">
      <alignment horizontal="left" indent="1"/>
    </xf>
    <xf numFmtId="9" fontId="2" fillId="0" borderId="0" xfId="3" applyFont="1" applyBorder="1" applyAlignment="1">
      <alignment horizontal="center"/>
    </xf>
    <xf numFmtId="170" fontId="7" fillId="0" borderId="7" xfId="3" applyNumberFormat="1" applyFont="1" applyFill="1" applyBorder="1" applyAlignment="1" applyProtection="1">
      <alignment horizontal="left" indent="2"/>
    </xf>
    <xf numFmtId="170" fontId="7" fillId="3" borderId="7" xfId="3" applyNumberFormat="1" applyFont="1" applyFill="1" applyBorder="1" applyAlignment="1">
      <alignment horizontal="right"/>
    </xf>
    <xf numFmtId="0" fontId="7" fillId="0" borderId="0" xfId="0" applyFont="1" applyAlignment="1">
      <alignment horizontal="center"/>
    </xf>
    <xf numFmtId="170" fontId="19" fillId="0" borderId="7" xfId="4" applyNumberFormat="1" applyFont="1" applyFill="1" applyBorder="1" applyAlignment="1">
      <alignment horizontal="left" indent="2"/>
    </xf>
    <xf numFmtId="170" fontId="18" fillId="3" borderId="7" xfId="3" applyNumberFormat="1" applyFont="1" applyFill="1" applyBorder="1" applyAlignment="1">
      <alignment horizontal="right"/>
    </xf>
    <xf numFmtId="170" fontId="18" fillId="0" borderId="0" xfId="3" applyNumberFormat="1" applyFont="1" applyFill="1" applyBorder="1" applyAlignment="1">
      <alignment horizontal="right"/>
    </xf>
    <xf numFmtId="170" fontId="19" fillId="3" borderId="7" xfId="3" applyNumberFormat="1" applyFont="1" applyFill="1" applyBorder="1" applyAlignment="1">
      <alignment horizontal="right"/>
    </xf>
    <xf numFmtId="170" fontId="19" fillId="0" borderId="0" xfId="3" applyNumberFormat="1" applyFont="1" applyFill="1" applyBorder="1" applyAlignment="1">
      <alignment horizontal="right"/>
    </xf>
    <xf numFmtId="37" fontId="21" fillId="3" borderId="7" xfId="0" applyNumberFormat="1" applyFont="1" applyFill="1" applyBorder="1" applyAlignment="1"/>
    <xf numFmtId="37" fontId="12" fillId="0" borderId="0" xfId="0" applyNumberFormat="1" applyFont="1" applyFill="1" applyBorder="1"/>
    <xf numFmtId="37" fontId="4" fillId="3" borderId="7" xfId="0" applyNumberFormat="1" applyFont="1" applyFill="1" applyBorder="1" applyAlignment="1"/>
    <xf numFmtId="37" fontId="2" fillId="0" borderId="0" xfId="0" applyNumberFormat="1" applyFont="1" applyFill="1" applyBorder="1"/>
    <xf numFmtId="37" fontId="2" fillId="2" borderId="0" xfId="1" applyNumberFormat="1" applyFont="1" applyFill="1" applyBorder="1" applyAlignment="1">
      <alignment horizontal="right"/>
    </xf>
    <xf numFmtId="164" fontId="2" fillId="0" borderId="0" xfId="3" applyNumberFormat="1" applyFont="1" applyBorder="1" applyAlignment="1">
      <alignment horizontal="center"/>
    </xf>
    <xf numFmtId="170" fontId="19" fillId="5" borderId="7" xfId="4" applyNumberFormat="1" applyFont="1" applyFill="1" applyBorder="1" applyAlignment="1">
      <alignment horizontal="left" indent="2"/>
    </xf>
    <xf numFmtId="170" fontId="22" fillId="3" borderId="7" xfId="3" applyNumberFormat="1" applyFont="1" applyFill="1" applyBorder="1" applyAlignment="1">
      <alignment horizontal="right"/>
    </xf>
    <xf numFmtId="170" fontId="19" fillId="9" borderId="0" xfId="3" applyNumberFormat="1" applyFont="1" applyFill="1" applyBorder="1" applyAlignment="1">
      <alignment horizontal="right"/>
    </xf>
    <xf numFmtId="170" fontId="19" fillId="5" borderId="0" xfId="3" applyNumberFormat="1" applyFont="1" applyFill="1" applyBorder="1" applyAlignment="1">
      <alignment horizontal="right"/>
    </xf>
    <xf numFmtId="166" fontId="19" fillId="3" borderId="7" xfId="3" applyNumberFormat="1" applyFont="1" applyFill="1" applyBorder="1" applyAlignment="1">
      <alignment horizontal="right"/>
    </xf>
    <xf numFmtId="175" fontId="22" fillId="3" borderId="7" xfId="0" applyNumberFormat="1" applyFont="1" applyFill="1" applyBorder="1" applyAlignment="1"/>
    <xf numFmtId="175" fontId="38" fillId="0" borderId="0" xfId="0" applyNumberFormat="1" applyFont="1" applyFill="1" applyBorder="1" applyAlignment="1"/>
    <xf numFmtId="164" fontId="38" fillId="0" borderId="0" xfId="0" applyNumberFormat="1" applyFont="1" applyFill="1" applyBorder="1" applyAlignment="1"/>
    <xf numFmtId="9" fontId="22" fillId="3" borderId="7" xfId="0" applyNumberFormat="1" applyFont="1" applyFill="1" applyBorder="1" applyAlignment="1"/>
    <xf numFmtId="167" fontId="4" fillId="9" borderId="7" xfId="1" applyNumberFormat="1" applyFont="1" applyFill="1" applyBorder="1" applyAlignment="1">
      <alignment horizontal="left" indent="1"/>
    </xf>
    <xf numFmtId="10" fontId="19" fillId="0" borderId="0" xfId="3" applyNumberFormat="1" applyFont="1" applyFill="1" applyBorder="1" applyAlignment="1"/>
    <xf numFmtId="164" fontId="7" fillId="0" borderId="0" xfId="3" applyNumberFormat="1" applyFont="1" applyAlignment="1">
      <alignment horizontal="center"/>
    </xf>
    <xf numFmtId="170" fontId="19" fillId="0" borderId="0" xfId="0" applyNumberFormat="1" applyFont="1"/>
    <xf numFmtId="170" fontId="39" fillId="3" borderId="7" xfId="3" applyNumberFormat="1" applyFont="1" applyFill="1" applyBorder="1" applyAlignment="1">
      <alignment horizontal="right"/>
    </xf>
    <xf numFmtId="10" fontId="19" fillId="0" borderId="0" xfId="3" applyNumberFormat="1" applyFont="1" applyFill="1" applyBorder="1" applyAlignment="1">
      <alignment horizontal="right"/>
    </xf>
    <xf numFmtId="10" fontId="19" fillId="9" borderId="0" xfId="3" applyNumberFormat="1" applyFont="1" applyFill="1" applyBorder="1" applyAlignment="1">
      <alignment horizontal="right"/>
    </xf>
    <xf numFmtId="10" fontId="19" fillId="3" borderId="7" xfId="3" applyNumberFormat="1" applyFont="1" applyFill="1" applyBorder="1" applyAlignment="1">
      <alignment horizontal="right"/>
    </xf>
    <xf numFmtId="10" fontId="19" fillId="5" borderId="0" xfId="3" applyNumberFormat="1" applyFont="1" applyFill="1" applyBorder="1" applyAlignment="1">
      <alignment horizontal="right"/>
    </xf>
    <xf numFmtId="0" fontId="19" fillId="0" borderId="0" xfId="0" applyFont="1" applyAlignment="1">
      <alignment horizontal="center"/>
    </xf>
    <xf numFmtId="0" fontId="7" fillId="0" borderId="3" xfId="0" applyFont="1" applyFill="1" applyBorder="1" applyAlignment="1">
      <alignment horizontal="left" indent="4"/>
    </xf>
    <xf numFmtId="168" fontId="5" fillId="3" borderId="3" xfId="1" applyNumberFormat="1" applyFont="1" applyFill="1" applyBorder="1" applyAlignment="1">
      <alignment horizontal="left"/>
    </xf>
    <xf numFmtId="175" fontId="27" fillId="3" borderId="7" xfId="0" applyNumberFormat="1" applyFont="1" applyFill="1" applyBorder="1" applyAlignment="1"/>
    <xf numFmtId="9" fontId="28" fillId="2" borderId="0" xfId="0" applyNumberFormat="1" applyFont="1" applyFill="1" applyBorder="1"/>
    <xf numFmtId="164" fontId="28" fillId="2" borderId="0" xfId="0" applyNumberFormat="1" applyFont="1" applyFill="1" applyBorder="1"/>
    <xf numFmtId="167" fontId="4" fillId="0" borderId="3" xfId="1" applyNumberFormat="1" applyFont="1" applyFill="1" applyBorder="1" applyAlignment="1">
      <alignment horizontal="left" indent="1"/>
    </xf>
    <xf numFmtId="170" fontId="7" fillId="0" borderId="3" xfId="3" applyNumberFormat="1" applyFont="1" applyFill="1" applyBorder="1" applyAlignment="1" applyProtection="1">
      <alignment horizontal="left" indent="2"/>
    </xf>
    <xf numFmtId="0" fontId="10" fillId="0" borderId="0" xfId="0" applyFont="1" applyAlignment="1">
      <alignment horizontal="center"/>
    </xf>
    <xf numFmtId="175" fontId="38" fillId="0" borderId="0" xfId="0" applyNumberFormat="1" applyFont="1" applyBorder="1" applyAlignment="1"/>
    <xf numFmtId="167" fontId="24" fillId="0" borderId="0" xfId="0" applyNumberFormat="1" applyFont="1" applyBorder="1" applyAlignment="1"/>
    <xf numFmtId="170" fontId="7" fillId="0" borderId="3" xfId="0" applyNumberFormat="1" applyFont="1" applyFill="1" applyBorder="1" applyAlignment="1">
      <alignment horizontal="left" indent="2"/>
    </xf>
    <xf numFmtId="171" fontId="7" fillId="2" borderId="0" xfId="3" applyNumberFormat="1" applyFont="1" applyFill="1" applyBorder="1" applyAlignment="1">
      <alignment horizontal="right"/>
    </xf>
    <xf numFmtId="171" fontId="7" fillId="3" borderId="7" xfId="3" applyNumberFormat="1" applyFont="1" applyFill="1" applyBorder="1" applyAlignment="1">
      <alignment horizontal="right"/>
    </xf>
    <xf numFmtId="170" fontId="7" fillId="0" borderId="3" xfId="0" applyNumberFormat="1" applyFont="1" applyFill="1" applyBorder="1" applyAlignment="1">
      <alignment horizontal="left" indent="4"/>
    </xf>
    <xf numFmtId="167" fontId="4" fillId="3" borderId="1" xfId="1" applyNumberFormat="1" applyFont="1" applyFill="1" applyBorder="1" applyAlignment="1">
      <alignment horizontal="left" indent="1"/>
    </xf>
    <xf numFmtId="167" fontId="2" fillId="3" borderId="26" xfId="1" applyNumberFormat="1" applyFont="1" applyFill="1" applyBorder="1" applyAlignment="1"/>
    <xf numFmtId="0" fontId="2" fillId="0" borderId="3" xfId="0" applyFont="1" applyFill="1" applyBorder="1" applyAlignment="1">
      <alignment horizontal="left" indent="4"/>
    </xf>
    <xf numFmtId="165" fontId="4" fillId="3" borderId="7" xfId="1" applyNumberFormat="1" applyFont="1" applyFill="1" applyBorder="1" applyAlignment="1"/>
    <xf numFmtId="165" fontId="2" fillId="0" borderId="0" xfId="1" applyNumberFormat="1" applyFont="1" applyBorder="1" applyAlignment="1"/>
    <xf numFmtId="168" fontId="5" fillId="0" borderId="3" xfId="1" applyNumberFormat="1" applyFont="1" applyFill="1" applyBorder="1" applyAlignment="1">
      <alignment horizontal="left"/>
    </xf>
    <xf numFmtId="170" fontId="7" fillId="3" borderId="7" xfId="3" applyNumberFormat="1" applyFont="1" applyFill="1" applyBorder="1"/>
    <xf numFmtId="170" fontId="7" fillId="0" borderId="0" xfId="3" applyNumberFormat="1" applyFont="1" applyBorder="1"/>
    <xf numFmtId="170" fontId="19" fillId="3" borderId="7" xfId="3" applyNumberFormat="1" applyFont="1" applyFill="1" applyBorder="1"/>
    <xf numFmtId="170" fontId="19" fillId="0" borderId="0" xfId="3" applyNumberFormat="1" applyFont="1" applyBorder="1"/>
    <xf numFmtId="4" fontId="7" fillId="0" borderId="0" xfId="3" applyNumberFormat="1" applyFont="1" applyBorder="1"/>
    <xf numFmtId="170" fontId="2" fillId="0" borderId="0" xfId="3" applyNumberFormat="1" applyFont="1" applyBorder="1"/>
    <xf numFmtId="166" fontId="10" fillId="0" borderId="0" xfId="3" applyNumberFormat="1" applyFont="1" applyBorder="1"/>
    <xf numFmtId="170" fontId="2" fillId="3" borderId="7" xfId="3" applyNumberFormat="1" applyFont="1" applyFill="1" applyBorder="1"/>
    <xf numFmtId="166" fontId="10" fillId="0" borderId="0" xfId="3" applyNumberFormat="1" applyFont="1" applyBorder="1" applyAlignment="1">
      <alignment horizontal="right"/>
    </xf>
    <xf numFmtId="167" fontId="7" fillId="0" borderId="7" xfId="1" applyNumberFormat="1" applyFont="1" applyFill="1" applyBorder="1" applyAlignment="1">
      <alignment horizontal="left" indent="2"/>
    </xf>
    <xf numFmtId="166" fontId="7" fillId="0" borderId="0" xfId="3" applyNumberFormat="1" applyFont="1" applyBorder="1"/>
    <xf numFmtId="166" fontId="7" fillId="0" borderId="0" xfId="3" applyNumberFormat="1" applyFont="1" applyBorder="1" applyAlignment="1">
      <alignment horizontal="right"/>
    </xf>
    <xf numFmtId="170" fontId="10" fillId="3" borderId="7" xfId="3" applyNumberFormat="1" applyFont="1" applyFill="1" applyBorder="1"/>
    <xf numFmtId="170" fontId="10" fillId="0" borderId="0" xfId="3" applyNumberFormat="1" applyFont="1" applyBorder="1"/>
    <xf numFmtId="9" fontId="19" fillId="0" borderId="0" xfId="3" applyNumberFormat="1" applyFont="1" applyBorder="1" applyAlignment="1">
      <alignment horizontal="right"/>
    </xf>
    <xf numFmtId="167" fontId="2" fillId="0" borderId="15" xfId="1" applyNumberFormat="1" applyFont="1" applyFill="1" applyBorder="1" applyAlignment="1">
      <alignment horizontal="left"/>
    </xf>
    <xf numFmtId="170" fontId="7" fillId="3" borderId="15" xfId="3" applyNumberFormat="1" applyFont="1" applyFill="1" applyBorder="1"/>
    <xf numFmtId="170" fontId="7" fillId="0" borderId="16" xfId="3" applyNumberFormat="1" applyFont="1" applyBorder="1"/>
    <xf numFmtId="170" fontId="19" fillId="0" borderId="16" xfId="3" applyNumberFormat="1" applyFont="1" applyBorder="1"/>
    <xf numFmtId="170" fontId="19" fillId="3" borderId="15" xfId="3" applyNumberFormat="1" applyFont="1" applyFill="1" applyBorder="1"/>
    <xf numFmtId="10" fontId="0" fillId="0" borderId="0" xfId="3" applyNumberFormat="1" applyFont="1"/>
    <xf numFmtId="1" fontId="0" fillId="0" borderId="0" xfId="0" applyNumberFormat="1"/>
    <xf numFmtId="0" fontId="4" fillId="2" borderId="0" xfId="0" applyNumberFormat="1" applyFont="1" applyFill="1" applyBorder="1" applyAlignment="1">
      <alignment horizontal="left" vertical="center"/>
    </xf>
    <xf numFmtId="5" fontId="12" fillId="2" borderId="0" xfId="0" applyNumberFormat="1" applyFont="1" applyFill="1" applyBorder="1" applyAlignment="1">
      <alignment horizontal="center"/>
    </xf>
    <xf numFmtId="0" fontId="4" fillId="3" borderId="1" xfId="0" applyNumberFormat="1" applyFont="1" applyFill="1" applyBorder="1"/>
    <xf numFmtId="0" fontId="4" fillId="3" borderId="34" xfId="0" applyNumberFormat="1" applyFont="1" applyFill="1" applyBorder="1" applyAlignment="1">
      <alignment horizontal="center"/>
    </xf>
    <xf numFmtId="0" fontId="17" fillId="2" borderId="3" xfId="0" applyNumberFormat="1" applyFont="1" applyFill="1" applyBorder="1"/>
    <xf numFmtId="5" fontId="17" fillId="2" borderId="6" xfId="0" applyNumberFormat="1" applyFont="1" applyFill="1" applyBorder="1" applyAlignment="1">
      <alignment horizontal="center"/>
    </xf>
    <xf numFmtId="0" fontId="4" fillId="2" borderId="14" xfId="0" applyNumberFormat="1" applyFont="1" applyFill="1" applyBorder="1"/>
    <xf numFmtId="5" fontId="4" fillId="2" borderId="17" xfId="0" applyNumberFormat="1" applyFont="1" applyFill="1" applyBorder="1" applyAlignment="1">
      <alignment horizontal="center"/>
    </xf>
    <xf numFmtId="0" fontId="4" fillId="3" borderId="19" xfId="0" applyNumberFormat="1" applyFont="1" applyFill="1" applyBorder="1"/>
    <xf numFmtId="0" fontId="4" fillId="3" borderId="5" xfId="0" applyNumberFormat="1" applyFont="1" applyFill="1" applyBorder="1" applyAlignment="1">
      <alignment horizontal="right"/>
    </xf>
    <xf numFmtId="0" fontId="17" fillId="2" borderId="19" xfId="0" applyNumberFormat="1" applyFont="1" applyFill="1" applyBorder="1"/>
    <xf numFmtId="166" fontId="17" fillId="2" borderId="5" xfId="0" applyNumberFormat="1" applyFont="1" applyFill="1" applyBorder="1" applyAlignment="1">
      <alignment horizontal="right"/>
    </xf>
    <xf numFmtId="0" fontId="2" fillId="2" borderId="3" xfId="0" applyNumberFormat="1" applyFont="1" applyFill="1" applyBorder="1"/>
    <xf numFmtId="0" fontId="29" fillId="5" borderId="3" xfId="4" applyNumberFormat="1" applyFont="1" applyFill="1" applyBorder="1" applyAlignment="1">
      <alignment horizontal="left" indent="1"/>
    </xf>
    <xf numFmtId="178" fontId="12" fillId="2" borderId="6" xfId="0" applyNumberFormat="1" applyFont="1" applyFill="1" applyBorder="1"/>
    <xf numFmtId="178" fontId="29" fillId="5" borderId="6" xfId="4" applyNumberFormat="1" applyFont="1" applyFill="1" applyBorder="1" applyAlignment="1"/>
    <xf numFmtId="0" fontId="29" fillId="5" borderId="14" xfId="4" applyNumberFormat="1" applyFont="1" applyFill="1" applyBorder="1" applyAlignment="1">
      <alignment horizontal="left" indent="1"/>
    </xf>
    <xf numFmtId="178" fontId="29" fillId="5" borderId="17" xfId="4" applyNumberFormat="1" applyFont="1" applyFill="1" applyBorder="1" applyAlignment="1"/>
    <xf numFmtId="0" fontId="2" fillId="0" borderId="3" xfId="0" applyNumberFormat="1" applyFont="1" applyFill="1" applyBorder="1"/>
    <xf numFmtId="166" fontId="9" fillId="0" borderId="6" xfId="4" applyNumberFormat="1" applyFont="1" applyFill="1" applyBorder="1" applyAlignment="1"/>
    <xf numFmtId="0" fontId="2" fillId="0" borderId="3" xfId="4" applyNumberFormat="1" applyFont="1" applyFill="1" applyBorder="1" applyAlignment="1">
      <alignment horizontal="left"/>
    </xf>
    <xf numFmtId="166" fontId="41" fillId="0" borderId="6" xfId="4" applyNumberFormat="1" applyFont="1" applyFill="1" applyBorder="1" applyAlignment="1"/>
    <xf numFmtId="166" fontId="0" fillId="0" borderId="0" xfId="0" applyNumberFormat="1"/>
    <xf numFmtId="5" fontId="4" fillId="3" borderId="35" xfId="0" applyNumberFormat="1" applyFont="1" applyFill="1" applyBorder="1" applyAlignment="1">
      <alignment horizontal="right"/>
    </xf>
    <xf numFmtId="167" fontId="17" fillId="3" borderId="5" xfId="0" applyNumberFormat="1" applyFont="1" applyFill="1" applyBorder="1"/>
    <xf numFmtId="0" fontId="2" fillId="3" borderId="3" xfId="0" applyNumberFormat="1" applyFont="1" applyFill="1" applyBorder="1"/>
    <xf numFmtId="167" fontId="17" fillId="3" borderId="6" xfId="0" applyNumberFormat="1" applyFont="1" applyFill="1" applyBorder="1"/>
    <xf numFmtId="0" fontId="2" fillId="3" borderId="14" xfId="0" applyNumberFormat="1" applyFont="1" applyFill="1" applyBorder="1"/>
    <xf numFmtId="167" fontId="17" fillId="3" borderId="17" xfId="0" applyNumberFormat="1" applyFont="1" applyFill="1" applyBorder="1"/>
    <xf numFmtId="0" fontId="5" fillId="0" borderId="0" xfId="0" applyNumberFormat="1" applyFont="1" applyFill="1" applyBorder="1"/>
    <xf numFmtId="9" fontId="5" fillId="0" borderId="0" xfId="3" applyFont="1" applyFill="1" applyBorder="1"/>
    <xf numFmtId="0" fontId="11" fillId="0" borderId="0" xfId="0" quotePrefix="1" applyNumberFormat="1" applyFont="1" applyFill="1" applyBorder="1" applyAlignment="1">
      <alignment horizontal="center"/>
    </xf>
    <xf numFmtId="9" fontId="4" fillId="0" borderId="0" xfId="0" applyNumberFormat="1" applyFont="1" applyFill="1" applyBorder="1" applyAlignment="1">
      <alignment horizontal="center"/>
    </xf>
    <xf numFmtId="0" fontId="4" fillId="0" borderId="0" xfId="4" applyNumberFormat="1" applyFont="1" applyFill="1" applyBorder="1" applyAlignment="1">
      <alignment horizontal="left"/>
    </xf>
    <xf numFmtId="0" fontId="11" fillId="2" borderId="0" xfId="0" quotePrefix="1" applyNumberFormat="1" applyFont="1" applyFill="1" applyBorder="1" applyAlignment="1">
      <alignment horizontal="center"/>
    </xf>
    <xf numFmtId="2" fontId="42" fillId="0" borderId="0" xfId="0" applyNumberFormat="1" applyFont="1" applyFill="1" applyBorder="1" applyAlignment="1">
      <alignment horizontal="center"/>
    </xf>
    <xf numFmtId="0" fontId="27" fillId="5" borderId="2" xfId="4" applyNumberFormat="1" applyFont="1" applyFill="1" applyBorder="1" applyAlignment="1">
      <alignment horizontal="center"/>
    </xf>
    <xf numFmtId="0" fontId="11" fillId="2" borderId="0" xfId="0" applyNumberFormat="1" applyFont="1" applyFill="1" applyBorder="1" applyAlignment="1">
      <alignment horizontal="left"/>
    </xf>
    <xf numFmtId="0" fontId="43" fillId="0" borderId="0" xfId="0" applyNumberFormat="1" applyFont="1" applyFill="1" applyBorder="1" applyAlignment="1">
      <alignment horizontal="center"/>
    </xf>
    <xf numFmtId="0" fontId="4" fillId="0" borderId="0" xfId="0" applyNumberFormat="1" applyFont="1" applyFill="1" applyBorder="1" applyAlignment="1">
      <alignment horizontal="left"/>
    </xf>
    <xf numFmtId="0" fontId="11" fillId="0" borderId="0" xfId="0" applyFont="1" applyFill="1" applyBorder="1" applyAlignment="1">
      <alignment horizontal="center"/>
    </xf>
    <xf numFmtId="38" fontId="4" fillId="5" borderId="19" xfId="0" applyNumberFormat="1" applyFont="1" applyFill="1" applyBorder="1"/>
    <xf numFmtId="165" fontId="44" fillId="0" borderId="0" xfId="1" applyNumberFormat="1" applyFont="1"/>
    <xf numFmtId="165" fontId="4" fillId="0" borderId="0" xfId="1" applyNumberFormat="1" applyFont="1"/>
    <xf numFmtId="0" fontId="8" fillId="5" borderId="3" xfId="0" applyFont="1" applyFill="1" applyBorder="1" applyAlignment="1">
      <alignment horizontal="left" indent="2"/>
    </xf>
    <xf numFmtId="164" fontId="8" fillId="0" borderId="0" xfId="3" applyNumberFormat="1" applyFont="1"/>
    <xf numFmtId="164" fontId="18" fillId="0" borderId="0" xfId="0" applyNumberFormat="1" applyFont="1"/>
    <xf numFmtId="164" fontId="18" fillId="0" borderId="0" xfId="3" applyNumberFormat="1" applyFont="1"/>
    <xf numFmtId="0" fontId="7" fillId="5" borderId="3" xfId="0" applyFont="1" applyFill="1" applyBorder="1" applyAlignment="1">
      <alignment horizontal="left" indent="2"/>
    </xf>
    <xf numFmtId="164" fontId="30" fillId="0" borderId="0" xfId="3" applyNumberFormat="1" applyFont="1"/>
    <xf numFmtId="167" fontId="2" fillId="5" borderId="3" xfId="1" applyNumberFormat="1" applyFont="1" applyFill="1" applyBorder="1" applyAlignment="1"/>
    <xf numFmtId="168" fontId="17" fillId="0" borderId="0" xfId="1" applyNumberFormat="1" applyFont="1"/>
    <xf numFmtId="168" fontId="2" fillId="0" borderId="0" xfId="1" applyNumberFormat="1" applyFont="1"/>
    <xf numFmtId="9" fontId="2" fillId="0" borderId="0" xfId="1" applyNumberFormat="1" applyFont="1"/>
    <xf numFmtId="38" fontId="7" fillId="5" borderId="3" xfId="0" applyNumberFormat="1" applyFont="1" applyFill="1" applyBorder="1" applyAlignment="1">
      <alignment horizontal="left" indent="2"/>
    </xf>
    <xf numFmtId="10" fontId="7" fillId="0" borderId="0" xfId="3" applyNumberFormat="1" applyFont="1"/>
    <xf numFmtId="10" fontId="18" fillId="0" borderId="0" xfId="0" applyNumberFormat="1" applyFont="1"/>
    <xf numFmtId="10" fontId="30" fillId="0" borderId="0" xfId="3" applyNumberFormat="1" applyFont="1"/>
    <xf numFmtId="167" fontId="4" fillId="5" borderId="19" xfId="1" applyNumberFormat="1" applyFont="1" applyFill="1" applyBorder="1" applyAlignment="1"/>
    <xf numFmtId="168" fontId="4" fillId="0" borderId="27" xfId="1" applyNumberFormat="1" applyFont="1" applyBorder="1"/>
    <xf numFmtId="165" fontId="4" fillId="0" borderId="27" xfId="1" applyNumberFormat="1" applyFont="1" applyBorder="1"/>
    <xf numFmtId="165" fontId="4" fillId="0" borderId="5" xfId="1" applyNumberFormat="1" applyFont="1" applyBorder="1"/>
    <xf numFmtId="38" fontId="7" fillId="5" borderId="14" xfId="0" applyNumberFormat="1" applyFont="1" applyFill="1" applyBorder="1" applyAlignment="1">
      <alignment horizontal="left" indent="2"/>
    </xf>
    <xf numFmtId="164" fontId="7" fillId="0" borderId="16" xfId="3" applyNumberFormat="1" applyFont="1" applyBorder="1"/>
    <xf numFmtId="164" fontId="7" fillId="0" borderId="16" xfId="0" applyNumberFormat="1" applyFont="1" applyBorder="1"/>
    <xf numFmtId="164" fontId="7" fillId="0" borderId="17" xfId="0" applyNumberFormat="1" applyFont="1" applyBorder="1"/>
    <xf numFmtId="168" fontId="4" fillId="0" borderId="5" xfId="1" applyNumberFormat="1" applyFont="1" applyBorder="1"/>
    <xf numFmtId="9" fontId="4" fillId="0" borderId="0" xfId="1" applyNumberFormat="1" applyFont="1" applyFill="1" applyBorder="1"/>
    <xf numFmtId="173" fontId="7" fillId="0" borderId="0" xfId="3" applyNumberFormat="1" applyFont="1"/>
    <xf numFmtId="173" fontId="18" fillId="0" borderId="0" xfId="0" applyNumberFormat="1" applyFont="1"/>
    <xf numFmtId="168" fontId="17" fillId="0" borderId="0" xfId="1" applyNumberFormat="1" applyFont="1" applyAlignment="1">
      <alignment horizontal="left" indent="2"/>
    </xf>
    <xf numFmtId="37" fontId="4" fillId="5" borderId="19" xfId="0" applyNumberFormat="1" applyFont="1" applyFill="1" applyBorder="1"/>
    <xf numFmtId="168" fontId="2" fillId="0" borderId="27" xfId="1" applyNumberFormat="1" applyFont="1" applyBorder="1"/>
    <xf numFmtId="168" fontId="2" fillId="0" borderId="5" xfId="1" applyNumberFormat="1" applyFont="1" applyBorder="1"/>
    <xf numFmtId="37" fontId="2" fillId="5" borderId="3" xfId="0" applyNumberFormat="1" applyFont="1" applyFill="1" applyBorder="1" applyAlignment="1">
      <alignment horizontal="left" indent="2"/>
    </xf>
    <xf numFmtId="168" fontId="2" fillId="0" borderId="0" xfId="1" applyNumberFormat="1" applyFont="1" applyBorder="1"/>
    <xf numFmtId="164" fontId="18" fillId="2" borderId="0" xfId="0" applyNumberFormat="1" applyFont="1" applyFill="1" applyBorder="1"/>
    <xf numFmtId="164" fontId="18" fillId="2" borderId="6" xfId="0" applyNumberFormat="1" applyFont="1" applyFill="1" applyBorder="1"/>
    <xf numFmtId="37" fontId="2" fillId="5" borderId="3" xfId="0" applyNumberFormat="1" applyFont="1" applyFill="1" applyBorder="1" applyAlignment="1">
      <alignment horizontal="left" indent="3"/>
    </xf>
    <xf numFmtId="164" fontId="18" fillId="5" borderId="0" xfId="4" applyNumberFormat="1" applyFont="1" applyFill="1" applyBorder="1" applyAlignment="1"/>
    <xf numFmtId="164" fontId="18" fillId="5" borderId="6" xfId="4" applyNumberFormat="1" applyFont="1" applyFill="1" applyBorder="1" applyAlignment="1"/>
    <xf numFmtId="164" fontId="7" fillId="0" borderId="0" xfId="3" applyNumberFormat="1" applyFont="1" applyBorder="1"/>
    <xf numFmtId="164" fontId="7" fillId="0" borderId="6" xfId="3" applyNumberFormat="1" applyFont="1" applyBorder="1"/>
    <xf numFmtId="0" fontId="7" fillId="5" borderId="14" xfId="0" applyFont="1" applyFill="1" applyBorder="1" applyAlignment="1">
      <alignment horizontal="left" indent="2"/>
    </xf>
    <xf numFmtId="164" fontId="7" fillId="0" borderId="17" xfId="3" applyNumberFormat="1" applyFont="1" applyBorder="1"/>
    <xf numFmtId="164" fontId="18" fillId="0" borderId="0" xfId="3" applyNumberFormat="1" applyFont="1" applyBorder="1"/>
    <xf numFmtId="164" fontId="30" fillId="0" borderId="0" xfId="3" applyNumberFormat="1" applyFont="1" applyBorder="1"/>
    <xf numFmtId="38" fontId="2" fillId="5" borderId="19" xfId="0" applyNumberFormat="1" applyFont="1" applyFill="1" applyBorder="1"/>
    <xf numFmtId="38" fontId="2" fillId="5" borderId="3" xfId="0" applyNumberFormat="1" applyFont="1" applyFill="1" applyBorder="1"/>
    <xf numFmtId="164" fontId="45" fillId="0" borderId="0" xfId="3" applyNumberFormat="1" applyFont="1"/>
    <xf numFmtId="38" fontId="4" fillId="3" borderId="19" xfId="0" applyNumberFormat="1" applyFont="1" applyFill="1" applyBorder="1"/>
    <xf numFmtId="168" fontId="4" fillId="3" borderId="27" xfId="1" applyNumberFormat="1" applyFont="1" applyFill="1" applyBorder="1"/>
    <xf numFmtId="168" fontId="4" fillId="3" borderId="5" xfId="1" applyNumberFormat="1" applyFont="1" applyFill="1" applyBorder="1"/>
    <xf numFmtId="0" fontId="7" fillId="3" borderId="3" xfId="0" applyFont="1" applyFill="1" applyBorder="1" applyAlignment="1">
      <alignment horizontal="left" indent="2"/>
    </xf>
    <xf numFmtId="164" fontId="7" fillId="3" borderId="0" xfId="3" applyNumberFormat="1" applyFont="1" applyFill="1" applyBorder="1"/>
    <xf numFmtId="164" fontId="7" fillId="3" borderId="6" xfId="3" applyNumberFormat="1" applyFont="1" applyFill="1" applyBorder="1"/>
    <xf numFmtId="0" fontId="7" fillId="3" borderId="14" xfId="0" applyFont="1" applyFill="1" applyBorder="1" applyAlignment="1">
      <alignment horizontal="left" indent="2"/>
    </xf>
    <xf numFmtId="164" fontId="7" fillId="3" borderId="16" xfId="3" applyNumberFormat="1" applyFont="1" applyFill="1" applyBorder="1"/>
    <xf numFmtId="164" fontId="7" fillId="3" borderId="17" xfId="3" applyNumberFormat="1" applyFont="1" applyFill="1" applyBorder="1"/>
    <xf numFmtId="164" fontId="2" fillId="0" borderId="0" xfId="0" applyNumberFormat="1" applyFont="1"/>
    <xf numFmtId="37" fontId="2" fillId="5" borderId="3" xfId="0" applyNumberFormat="1" applyFont="1" applyFill="1" applyBorder="1"/>
    <xf numFmtId="168" fontId="12" fillId="0" borderId="0" xfId="1" applyNumberFormat="1" applyFont="1"/>
    <xf numFmtId="168" fontId="4" fillId="0" borderId="0" xfId="1" applyNumberFormat="1" applyFont="1"/>
    <xf numFmtId="164" fontId="18" fillId="0" borderId="16" xfId="3" applyNumberFormat="1" applyFont="1" applyFill="1" applyBorder="1"/>
    <xf numFmtId="0" fontId="4" fillId="5" borderId="3" xfId="0" applyFont="1" applyFill="1" applyBorder="1"/>
    <xf numFmtId="164" fontId="4" fillId="0" borderId="0" xfId="1" applyNumberFormat="1" applyFont="1"/>
    <xf numFmtId="7" fontId="2" fillId="0" borderId="0" xfId="1" applyNumberFormat="1" applyFont="1"/>
    <xf numFmtId="9" fontId="4" fillId="0" borderId="0" xfId="1" applyNumberFormat="1" applyFont="1"/>
    <xf numFmtId="7" fontId="4" fillId="0" borderId="0" xfId="1" applyNumberFormat="1" applyFont="1"/>
    <xf numFmtId="0" fontId="2" fillId="5" borderId="3" xfId="0" applyFont="1" applyFill="1" applyBorder="1"/>
    <xf numFmtId="168" fontId="46" fillId="0" borderId="0" xfId="1" applyNumberFormat="1" applyFont="1"/>
    <xf numFmtId="38" fontId="47" fillId="5" borderId="3" xfId="0" applyNumberFormat="1" applyFont="1" applyFill="1" applyBorder="1"/>
    <xf numFmtId="165" fontId="2" fillId="0" borderId="0" xfId="0" applyNumberFormat="1" applyFont="1"/>
    <xf numFmtId="165" fontId="12" fillId="0" borderId="0" xfId="0" applyNumberFormat="1" applyFont="1"/>
    <xf numFmtId="38" fontId="7" fillId="5" borderId="3" xfId="0" applyNumberFormat="1" applyFont="1" applyFill="1" applyBorder="1"/>
    <xf numFmtId="165" fontId="18" fillId="0" borderId="0" xfId="1" applyNumberFormat="1" applyFont="1" applyFill="1"/>
    <xf numFmtId="165" fontId="18" fillId="0" borderId="0" xfId="0" applyNumberFormat="1" applyFont="1"/>
    <xf numFmtId="38" fontId="14" fillId="5" borderId="3" xfId="0" applyNumberFormat="1" applyFont="1" applyFill="1" applyBorder="1"/>
    <xf numFmtId="9" fontId="7" fillId="5" borderId="3" xfId="0" applyNumberFormat="1" applyFont="1" applyFill="1" applyBorder="1" applyAlignment="1">
      <alignment horizontal="left" indent="2"/>
    </xf>
    <xf numFmtId="165" fontId="17" fillId="0" borderId="0" xfId="1" applyNumberFormat="1" applyFont="1"/>
    <xf numFmtId="165" fontId="2" fillId="0" borderId="0" xfId="1" applyNumberFormat="1" applyFont="1"/>
    <xf numFmtId="37" fontId="27" fillId="0" borderId="0" xfId="0" applyNumberFormat="1" applyFont="1"/>
    <xf numFmtId="165" fontId="7" fillId="0" borderId="0" xfId="1" applyNumberFormat="1" applyFont="1"/>
    <xf numFmtId="4" fontId="7" fillId="0" borderId="0" xfId="3" applyNumberFormat="1" applyFont="1"/>
    <xf numFmtId="0" fontId="4" fillId="5" borderId="1" xfId="0" applyFont="1" applyFill="1" applyBorder="1"/>
    <xf numFmtId="168" fontId="4" fillId="0" borderId="26" xfId="1" applyNumberFormat="1" applyFont="1" applyBorder="1"/>
    <xf numFmtId="168" fontId="2" fillId="0" borderId="26" xfId="1" applyNumberFormat="1" applyFont="1" applyBorder="1"/>
    <xf numFmtId="168" fontId="4" fillId="2" borderId="26" xfId="1" applyNumberFormat="1" applyFont="1" applyFill="1" applyBorder="1"/>
    <xf numFmtId="165" fontId="4" fillId="0" borderId="26" xfId="1" applyNumberFormat="1" applyFont="1" applyFill="1" applyBorder="1"/>
    <xf numFmtId="9" fontId="2" fillId="0" borderId="0" xfId="3" applyFont="1"/>
    <xf numFmtId="165" fontId="12" fillId="0" borderId="0" xfId="1" applyNumberFormat="1" applyFont="1"/>
    <xf numFmtId="0" fontId="14" fillId="3" borderId="19" xfId="0" applyFont="1" applyFill="1" applyBorder="1"/>
    <xf numFmtId="164" fontId="12" fillId="3" borderId="5" xfId="3" applyNumberFormat="1" applyFont="1" applyFill="1" applyBorder="1" applyAlignment="1">
      <alignment horizontal="center"/>
    </xf>
    <xf numFmtId="0" fontId="14" fillId="3" borderId="19" xfId="6" applyFont="1" applyFill="1" applyBorder="1"/>
    <xf numFmtId="0" fontId="2" fillId="3" borderId="27" xfId="0" applyFont="1" applyFill="1" applyBorder="1"/>
    <xf numFmtId="0" fontId="2" fillId="3" borderId="5" xfId="0" applyFont="1" applyFill="1" applyBorder="1"/>
    <xf numFmtId="0" fontId="4" fillId="3" borderId="27" xfId="0" applyFont="1" applyFill="1" applyBorder="1" applyAlignment="1">
      <alignment horizontal="center"/>
    </xf>
    <xf numFmtId="0" fontId="4" fillId="3" borderId="27" xfId="0" applyFont="1" applyFill="1" applyBorder="1" applyAlignment="1">
      <alignment horizontal="left"/>
    </xf>
    <xf numFmtId="0" fontId="4" fillId="3" borderId="5" xfId="0" applyFont="1" applyFill="1" applyBorder="1" applyAlignment="1">
      <alignment horizontal="left"/>
    </xf>
    <xf numFmtId="0" fontId="2" fillId="3" borderId="3" xfId="0" applyFont="1" applyFill="1" applyBorder="1"/>
    <xf numFmtId="164" fontId="2" fillId="3" borderId="6" xfId="3" applyNumberFormat="1" applyFont="1" applyFill="1" applyBorder="1" applyAlignment="1">
      <alignment horizontal="center"/>
    </xf>
    <xf numFmtId="0" fontId="2" fillId="3" borderId="3" xfId="6" applyFont="1" applyFill="1" applyBorder="1"/>
    <xf numFmtId="0" fontId="2" fillId="3" borderId="0" xfId="0" applyFont="1" applyFill="1" applyBorder="1"/>
    <xf numFmtId="37" fontId="2" fillId="3" borderId="6" xfId="0" applyNumberFormat="1" applyFont="1" applyFill="1" applyBorder="1"/>
    <xf numFmtId="0" fontId="14" fillId="3" borderId="3" xfId="0" applyFont="1" applyFill="1" applyBorder="1"/>
    <xf numFmtId="0" fontId="4" fillId="3" borderId="0" xfId="0" applyFont="1" applyFill="1" applyBorder="1" applyAlignment="1">
      <alignment horizontal="center"/>
    </xf>
    <xf numFmtId="0" fontId="4" fillId="3" borderId="0" xfId="0" applyFont="1" applyFill="1" applyBorder="1" applyAlignment="1">
      <alignment horizontal="left"/>
    </xf>
    <xf numFmtId="0" fontId="4" fillId="3" borderId="6" xfId="0" applyFont="1" applyFill="1" applyBorder="1" applyAlignment="1">
      <alignment horizontal="left"/>
    </xf>
    <xf numFmtId="0" fontId="4" fillId="3" borderId="6" xfId="0" applyFont="1" applyFill="1" applyBorder="1" applyAlignment="1"/>
    <xf numFmtId="169" fontId="48" fillId="3" borderId="0" xfId="0" applyNumberFormat="1" applyFont="1" applyFill="1" applyBorder="1" applyAlignment="1"/>
    <xf numFmtId="164" fontId="4" fillId="3" borderId="26" xfId="0" applyNumberFormat="1" applyFont="1" applyFill="1" applyBorder="1" applyAlignment="1">
      <alignment horizontal="center"/>
    </xf>
    <xf numFmtId="164" fontId="4" fillId="3" borderId="26" xfId="3" applyNumberFormat="1" applyFont="1" applyFill="1" applyBorder="1" applyAlignment="1">
      <alignment horizontal="center"/>
    </xf>
    <xf numFmtId="0" fontId="2" fillId="3" borderId="6" xfId="0" applyFont="1" applyFill="1" applyBorder="1" applyAlignment="1"/>
    <xf numFmtId="178" fontId="2" fillId="3" borderId="6" xfId="1" applyNumberFormat="1" applyFont="1" applyFill="1" applyBorder="1" applyAlignment="1">
      <alignment horizontal="center"/>
    </xf>
    <xf numFmtId="0" fontId="4" fillId="3" borderId="19" xfId="6" applyFont="1" applyFill="1" applyBorder="1"/>
    <xf numFmtId="9" fontId="4" fillId="3" borderId="27" xfId="3" applyFont="1" applyFill="1" applyBorder="1"/>
    <xf numFmtId="0" fontId="4" fillId="3" borderId="27" xfId="0" applyFont="1" applyFill="1" applyBorder="1"/>
    <xf numFmtId="37" fontId="4" fillId="3" borderId="5" xfId="0" applyNumberFormat="1" applyFont="1" applyFill="1" applyBorder="1"/>
    <xf numFmtId="164" fontId="4" fillId="3" borderId="4" xfId="3" applyNumberFormat="1" applyFont="1" applyFill="1" applyBorder="1" applyAlignment="1">
      <alignment horizontal="center"/>
    </xf>
    <xf numFmtId="5" fontId="2" fillId="0" borderId="19" xfId="2" applyNumberFormat="1" applyFont="1" applyFill="1" applyBorder="1" applyAlignment="1">
      <alignment horizontal="center"/>
    </xf>
    <xf numFmtId="5" fontId="2" fillId="0" borderId="27" xfId="2" applyNumberFormat="1" applyFont="1" applyFill="1" applyBorder="1" applyAlignment="1">
      <alignment horizontal="center"/>
    </xf>
    <xf numFmtId="5" fontId="2" fillId="0" borderId="0" xfId="2" applyNumberFormat="1" applyFont="1" applyFill="1" applyBorder="1" applyAlignment="1">
      <alignment horizontal="center"/>
    </xf>
    <xf numFmtId="5" fontId="2" fillId="0" borderId="5" xfId="2" applyNumberFormat="1" applyFont="1" applyFill="1" applyBorder="1" applyAlignment="1">
      <alignment horizontal="center"/>
    </xf>
    <xf numFmtId="0" fontId="17" fillId="3" borderId="3" xfId="6" applyFont="1" applyFill="1" applyBorder="1"/>
    <xf numFmtId="37" fontId="17" fillId="3" borderId="6" xfId="0" applyNumberFormat="1" applyFont="1" applyFill="1" applyBorder="1"/>
    <xf numFmtId="0" fontId="4" fillId="3" borderId="3" xfId="0" applyFont="1" applyFill="1" applyBorder="1" applyAlignment="1">
      <alignment horizontal="center"/>
    </xf>
    <xf numFmtId="164" fontId="4" fillId="3" borderId="7" xfId="3" applyNumberFormat="1" applyFont="1" applyFill="1" applyBorder="1" applyAlignment="1">
      <alignment horizontal="center"/>
    </xf>
    <xf numFmtId="5" fontId="2" fillId="0" borderId="3" xfId="2" applyNumberFormat="1" applyFont="1" applyFill="1" applyBorder="1" applyAlignment="1">
      <alignment horizontal="center"/>
    </xf>
    <xf numFmtId="5" fontId="2" fillId="0" borderId="6" xfId="2" applyNumberFormat="1" applyFont="1" applyFill="1" applyBorder="1" applyAlignment="1">
      <alignment horizontal="center"/>
    </xf>
    <xf numFmtId="168" fontId="17" fillId="3" borderId="6" xfId="1" applyNumberFormat="1" applyFont="1" applyFill="1" applyBorder="1"/>
    <xf numFmtId="5" fontId="4" fillId="0" borderId="2" xfId="2" applyNumberFormat="1" applyFont="1" applyFill="1" applyBorder="1" applyAlignment="1">
      <alignment horizontal="center"/>
    </xf>
    <xf numFmtId="0" fontId="19" fillId="5" borderId="3" xfId="0" applyFont="1" applyFill="1" applyBorder="1" applyAlignment="1">
      <alignment horizontal="left" indent="2"/>
    </xf>
    <xf numFmtId="10" fontId="19" fillId="5" borderId="6" xfId="3" applyNumberFormat="1" applyFont="1" applyFill="1" applyBorder="1" applyAlignment="1">
      <alignment horizontal="center"/>
    </xf>
    <xf numFmtId="164" fontId="4" fillId="3" borderId="15" xfId="3" applyNumberFormat="1" applyFont="1" applyFill="1" applyBorder="1" applyAlignment="1">
      <alignment horizontal="center"/>
    </xf>
    <xf numFmtId="5" fontId="2" fillId="0" borderId="14" xfId="2" applyNumberFormat="1" applyFont="1" applyFill="1" applyBorder="1" applyAlignment="1">
      <alignment horizontal="center"/>
    </xf>
    <xf numFmtId="5" fontId="2" fillId="0" borderId="16" xfId="2" applyNumberFormat="1" applyFont="1" applyFill="1" applyBorder="1" applyAlignment="1">
      <alignment horizontal="center"/>
    </xf>
    <xf numFmtId="5" fontId="2" fillId="0" borderId="17" xfId="2" applyNumberFormat="1" applyFont="1" applyFill="1" applyBorder="1" applyAlignment="1">
      <alignment horizontal="center"/>
    </xf>
    <xf numFmtId="0" fontId="19" fillId="5" borderId="14" xfId="0" applyFont="1" applyFill="1" applyBorder="1" applyAlignment="1">
      <alignment horizontal="left" indent="2"/>
    </xf>
    <xf numFmtId="10" fontId="19" fillId="5" borderId="17" xfId="3" applyNumberFormat="1" applyFont="1" applyFill="1" applyBorder="1" applyAlignment="1">
      <alignment horizontal="center"/>
    </xf>
    <xf numFmtId="0" fontId="4" fillId="3" borderId="1" xfId="6" applyFont="1" applyFill="1" applyBorder="1"/>
    <xf numFmtId="0" fontId="4" fillId="3" borderId="26" xfId="0" applyFont="1" applyFill="1" applyBorder="1"/>
    <xf numFmtId="182" fontId="4" fillId="3" borderId="34" xfId="1" applyNumberFormat="1" applyFont="1" applyFill="1" applyBorder="1"/>
    <xf numFmtId="0" fontId="2" fillId="3" borderId="14" xfId="0" applyFont="1" applyFill="1" applyBorder="1"/>
    <xf numFmtId="0" fontId="4" fillId="3" borderId="16" xfId="0" applyFont="1" applyFill="1" applyBorder="1" applyAlignment="1">
      <alignment horizontal="center"/>
    </xf>
    <xf numFmtId="0" fontId="49" fillId="3" borderId="16" xfId="0" applyFont="1" applyFill="1" applyBorder="1" applyAlignment="1">
      <alignment horizontal="center"/>
    </xf>
    <xf numFmtId="0" fontId="4" fillId="3" borderId="17" xfId="0" applyFont="1" applyFill="1" applyBorder="1" applyAlignment="1">
      <alignment horizontal="center"/>
    </xf>
    <xf numFmtId="0" fontId="7" fillId="5" borderId="19" xfId="0" applyFont="1" applyFill="1" applyBorder="1" applyAlignment="1">
      <alignment horizontal="left" indent="2"/>
    </xf>
    <xf numFmtId="3" fontId="18" fillId="5" borderId="5" xfId="3" applyNumberFormat="1" applyFont="1" applyFill="1" applyBorder="1" applyAlignment="1">
      <alignment horizontal="center"/>
    </xf>
    <xf numFmtId="164" fontId="18" fillId="5" borderId="17" xfId="3" applyNumberFormat="1" applyFont="1" applyFill="1" applyBorder="1" applyAlignment="1">
      <alignment horizontal="center"/>
    </xf>
    <xf numFmtId="0" fontId="7" fillId="3" borderId="5" xfId="0" applyFont="1" applyFill="1" applyBorder="1"/>
    <xf numFmtId="0" fontId="2" fillId="3" borderId="3" xfId="0" applyFont="1" applyFill="1" applyBorder="1" applyAlignment="1">
      <alignment horizontal="left"/>
    </xf>
    <xf numFmtId="0" fontId="7" fillId="3" borderId="6" xfId="0" applyFont="1" applyFill="1" applyBorder="1"/>
    <xf numFmtId="0" fontId="2" fillId="3" borderId="6" xfId="0" applyFont="1" applyFill="1" applyBorder="1"/>
    <xf numFmtId="7" fontId="2" fillId="0" borderId="0" xfId="0" applyNumberFormat="1" applyFont="1"/>
    <xf numFmtId="8" fontId="2" fillId="0" borderId="0" xfId="0" applyNumberFormat="1" applyFont="1"/>
    <xf numFmtId="0" fontId="2" fillId="3" borderId="6" xfId="0" applyFont="1" applyFill="1" applyBorder="1" applyAlignment="1">
      <alignment horizontal="center"/>
    </xf>
    <xf numFmtId="5" fontId="2" fillId="0" borderId="0" xfId="0" applyNumberFormat="1" applyFont="1"/>
    <xf numFmtId="0" fontId="2" fillId="3" borderId="0" xfId="0" applyFont="1" applyFill="1" applyBorder="1" applyAlignment="1">
      <alignment horizontal="center"/>
    </xf>
    <xf numFmtId="0" fontId="44" fillId="3" borderId="19" xfId="0" applyFont="1" applyFill="1" applyBorder="1"/>
    <xf numFmtId="37" fontId="17" fillId="3" borderId="27" xfId="1" applyNumberFormat="1" applyFont="1" applyFill="1" applyBorder="1"/>
    <xf numFmtId="9" fontId="2" fillId="3" borderId="27" xfId="1" applyNumberFormat="1" applyFont="1" applyFill="1" applyBorder="1"/>
    <xf numFmtId="10" fontId="2" fillId="3" borderId="27" xfId="0" applyNumberFormat="1" applyFont="1" applyFill="1" applyBorder="1"/>
    <xf numFmtId="10" fontId="2" fillId="3" borderId="5" xfId="0" applyNumberFormat="1" applyFont="1" applyFill="1" applyBorder="1"/>
    <xf numFmtId="0" fontId="44" fillId="3" borderId="14" xfId="0" applyFont="1" applyFill="1" applyBorder="1"/>
    <xf numFmtId="37" fontId="17" fillId="3" borderId="16" xfId="1" applyNumberFormat="1" applyFont="1" applyFill="1" applyBorder="1"/>
    <xf numFmtId="9" fontId="2" fillId="3" borderId="16" xfId="0" applyNumberFormat="1" applyFont="1" applyFill="1" applyBorder="1"/>
    <xf numFmtId="10" fontId="12" fillId="3" borderId="16" xfId="0" applyNumberFormat="1" applyFont="1" applyFill="1" applyBorder="1" applyAlignment="1">
      <alignment horizontal="right"/>
    </xf>
    <xf numFmtId="10" fontId="2" fillId="3" borderId="17" xfId="0" applyNumberFormat="1" applyFont="1" applyFill="1" applyBorder="1"/>
    <xf numFmtId="0" fontId="4" fillId="3" borderId="3" xfId="0" applyFont="1" applyFill="1" applyBorder="1"/>
    <xf numFmtId="37" fontId="4" fillId="3" borderId="0" xfId="1" applyNumberFormat="1" applyFont="1" applyFill="1" applyBorder="1"/>
    <xf numFmtId="9" fontId="4" fillId="3" borderId="0" xfId="0" applyNumberFormat="1" applyFont="1" applyFill="1" applyBorder="1"/>
    <xf numFmtId="10" fontId="27" fillId="3" borderId="0" xfId="0" applyNumberFormat="1" applyFont="1" applyFill="1" applyBorder="1"/>
    <xf numFmtId="10" fontId="4" fillId="3" borderId="6" xfId="0" applyNumberFormat="1" applyFont="1" applyFill="1" applyBorder="1"/>
    <xf numFmtId="164" fontId="2" fillId="3" borderId="0" xfId="0" applyNumberFormat="1" applyFont="1" applyFill="1" applyBorder="1"/>
    <xf numFmtId="10" fontId="12" fillId="3" borderId="0" xfId="0" applyNumberFormat="1" applyFont="1" applyFill="1" applyBorder="1"/>
    <xf numFmtId="0" fontId="7" fillId="3" borderId="0" xfId="0" applyFont="1" applyFill="1" applyBorder="1"/>
    <xf numFmtId="2" fontId="2" fillId="3" borderId="0" xfId="0" applyNumberFormat="1" applyFont="1" applyFill="1" applyBorder="1"/>
    <xf numFmtId="43" fontId="12" fillId="3" borderId="0" xfId="1" applyFont="1" applyFill="1" applyBorder="1"/>
    <xf numFmtId="0" fontId="2" fillId="3" borderId="3" xfId="0" quotePrefix="1" applyFont="1" applyFill="1" applyBorder="1"/>
    <xf numFmtId="10" fontId="2" fillId="3" borderId="0" xfId="0" applyNumberFormat="1" applyFont="1" applyFill="1" applyBorder="1"/>
    <xf numFmtId="164" fontId="7" fillId="3" borderId="0" xfId="0" applyNumberFormat="1" applyFont="1" applyFill="1" applyBorder="1"/>
    <xf numFmtId="0" fontId="4" fillId="3" borderId="19" xfId="0" applyFont="1" applyFill="1" applyBorder="1"/>
    <xf numFmtId="10" fontId="27" fillId="3" borderId="27" xfId="3" applyNumberFormat="1" applyFont="1" applyFill="1" applyBorder="1"/>
    <xf numFmtId="0" fontId="2" fillId="0" borderId="0" xfId="0" applyFont="1" applyFill="1" applyBorder="1" applyAlignment="1">
      <alignment horizontal="right"/>
    </xf>
    <xf numFmtId="0" fontId="2" fillId="3" borderId="14" xfId="0" quotePrefix="1" applyFont="1" applyFill="1" applyBorder="1" applyAlignment="1">
      <alignment horizontal="left" indent="1"/>
    </xf>
    <xf numFmtId="10" fontId="12" fillId="3" borderId="16" xfId="3" applyNumberFormat="1" applyFont="1" applyFill="1" applyBorder="1"/>
    <xf numFmtId="0" fontId="4" fillId="0" borderId="0" xfId="0" applyFont="1" applyFill="1" applyBorder="1" applyAlignment="1">
      <alignment wrapText="1"/>
    </xf>
    <xf numFmtId="0" fontId="9" fillId="0" borderId="0" xfId="0" applyFont="1" applyFill="1" applyBorder="1" applyAlignment="1" applyProtection="1">
      <alignment horizontal="right"/>
    </xf>
    <xf numFmtId="10" fontId="4" fillId="3" borderId="0" xfId="3" applyNumberFormat="1" applyFont="1" applyFill="1" applyBorder="1"/>
    <xf numFmtId="0" fontId="40" fillId="0" borderId="0" xfId="0" applyFont="1" applyFill="1" applyBorder="1" applyAlignment="1" applyProtection="1">
      <alignment horizontal="right"/>
    </xf>
    <xf numFmtId="2" fontId="9" fillId="0" borderId="0" xfId="0" applyNumberFormat="1" applyFont="1" applyFill="1" applyBorder="1" applyAlignment="1" applyProtection="1">
      <alignment horizontal="right"/>
    </xf>
    <xf numFmtId="0" fontId="2" fillId="3" borderId="16" xfId="0" applyFont="1" applyFill="1" applyBorder="1"/>
    <xf numFmtId="0" fontId="2" fillId="3" borderId="17" xfId="0" applyFont="1" applyFill="1" applyBorder="1"/>
    <xf numFmtId="182" fontId="9" fillId="0" borderId="0" xfId="0" applyNumberFormat="1" applyFont="1" applyFill="1" applyBorder="1" applyAlignment="1" applyProtection="1">
      <alignment horizontal="right"/>
    </xf>
    <xf numFmtId="0" fontId="42" fillId="0" borderId="0" xfId="0" applyFont="1"/>
    <xf numFmtId="0" fontId="9" fillId="0" borderId="0" xfId="0" applyFont="1" applyFill="1" applyBorder="1" applyAlignment="1">
      <alignment horizontal="right"/>
    </xf>
    <xf numFmtId="0" fontId="9" fillId="0" borderId="0" xfId="0" applyFont="1" applyFill="1" applyBorder="1"/>
    <xf numFmtId="2" fontId="2" fillId="0" borderId="0" xfId="0" applyNumberFormat="1" applyFont="1" applyFill="1" applyBorder="1"/>
    <xf numFmtId="0" fontId="11" fillId="0" borderId="0" xfId="0" applyFont="1" applyFill="1" applyBorder="1" applyAlignment="1">
      <alignment horizontal="right"/>
    </xf>
    <xf numFmtId="2" fontId="11" fillId="0" borderId="0" xfId="0" applyNumberFormat="1" applyFont="1" applyFill="1" applyBorder="1" applyAlignment="1">
      <alignment horizontal="center"/>
    </xf>
    <xf numFmtId="0" fontId="5" fillId="2" borderId="0" xfId="0" applyNumberFormat="1" applyFont="1" applyFill="1" applyBorder="1" applyAlignment="1">
      <alignment horizontal="left"/>
    </xf>
    <xf numFmtId="0" fontId="2" fillId="2" borderId="0" xfId="0" applyFont="1" applyFill="1"/>
    <xf numFmtId="37" fontId="2" fillId="2" borderId="36" xfId="0" applyNumberFormat="1" applyFont="1" applyFill="1" applyBorder="1"/>
    <xf numFmtId="37" fontId="2" fillId="2" borderId="0" xfId="0" applyNumberFormat="1" applyFont="1" applyFill="1" applyBorder="1"/>
    <xf numFmtId="0" fontId="11" fillId="10" borderId="37" xfId="0" applyFont="1" applyFill="1" applyBorder="1" applyAlignment="1">
      <alignment vertical="top" wrapText="1"/>
    </xf>
    <xf numFmtId="0" fontId="11" fillId="10" borderId="38" xfId="0" applyFont="1" applyFill="1" applyBorder="1" applyAlignment="1">
      <alignment horizontal="center"/>
    </xf>
    <xf numFmtId="0" fontId="11" fillId="10" borderId="26" xfId="0" applyFont="1" applyFill="1" applyBorder="1" applyAlignment="1">
      <alignment horizontal="center"/>
    </xf>
    <xf numFmtId="0" fontId="11" fillId="10" borderId="39" xfId="0" applyFont="1" applyFill="1" applyBorder="1" applyAlignment="1">
      <alignment horizontal="center"/>
    </xf>
    <xf numFmtId="0" fontId="11" fillId="10" borderId="40" xfId="0" applyFont="1" applyFill="1" applyBorder="1" applyAlignment="1">
      <alignment horizontal="center"/>
    </xf>
    <xf numFmtId="168" fontId="2" fillId="2" borderId="41" xfId="1" applyNumberFormat="1" applyFont="1" applyFill="1" applyBorder="1" applyAlignment="1">
      <alignment horizontal="left"/>
    </xf>
    <xf numFmtId="168" fontId="4" fillId="2" borderId="7" xfId="1" applyNumberFormat="1" applyFont="1" applyFill="1" applyBorder="1" applyAlignment="1">
      <alignment horizontal="right"/>
    </xf>
    <xf numFmtId="168" fontId="4" fillId="2" borderId="42" xfId="1" applyNumberFormat="1" applyFont="1" applyFill="1" applyBorder="1" applyAlignment="1">
      <alignment horizontal="right"/>
    </xf>
    <xf numFmtId="168" fontId="2" fillId="2" borderId="0" xfId="1" applyNumberFormat="1" applyFont="1" applyFill="1" applyBorder="1" applyAlignment="1">
      <alignment horizontal="right"/>
    </xf>
    <xf numFmtId="0" fontId="7" fillId="2" borderId="41" xfId="0" applyFont="1" applyFill="1" applyBorder="1" applyAlignment="1">
      <alignment horizontal="left" indent="3"/>
    </xf>
    <xf numFmtId="164" fontId="8" fillId="2" borderId="7" xfId="3" applyNumberFormat="1" applyFont="1" applyFill="1" applyBorder="1" applyAlignment="1">
      <alignment horizontal="right"/>
    </xf>
    <xf numFmtId="164" fontId="8" fillId="2" borderId="42" xfId="3" applyNumberFormat="1" applyFont="1" applyFill="1" applyBorder="1" applyAlignment="1">
      <alignment horizontal="right"/>
    </xf>
    <xf numFmtId="164" fontId="7" fillId="2" borderId="0" xfId="3" applyNumberFormat="1" applyFont="1" applyFill="1" applyBorder="1" applyAlignment="1">
      <alignment horizontal="right"/>
    </xf>
    <xf numFmtId="9" fontId="8" fillId="2" borderId="7" xfId="3" applyNumberFormat="1" applyFont="1" applyFill="1" applyBorder="1" applyAlignment="1">
      <alignment horizontal="right"/>
    </xf>
    <xf numFmtId="9" fontId="8" fillId="2" borderId="42" xfId="3" applyNumberFormat="1" applyFont="1" applyFill="1" applyBorder="1" applyAlignment="1">
      <alignment horizontal="right"/>
    </xf>
    <xf numFmtId="9" fontId="7" fillId="2" borderId="0" xfId="3" applyNumberFormat="1" applyFont="1" applyFill="1" applyBorder="1" applyAlignment="1">
      <alignment horizontal="right"/>
    </xf>
    <xf numFmtId="168" fontId="4" fillId="3" borderId="43" xfId="1" applyNumberFormat="1" applyFont="1" applyFill="1" applyBorder="1"/>
    <xf numFmtId="168" fontId="4" fillId="3" borderId="4" xfId="1" applyNumberFormat="1" applyFont="1" applyFill="1" applyBorder="1" applyAlignment="1">
      <alignment horizontal="right"/>
    </xf>
    <xf numFmtId="168" fontId="4" fillId="3" borderId="44" xfId="1" applyNumberFormat="1" applyFont="1" applyFill="1" applyBorder="1" applyAlignment="1">
      <alignment horizontal="right"/>
    </xf>
    <xf numFmtId="168" fontId="4" fillId="3" borderId="27" xfId="1" applyNumberFormat="1" applyFont="1" applyFill="1" applyBorder="1" applyAlignment="1">
      <alignment horizontal="right"/>
    </xf>
    <xf numFmtId="0" fontId="8" fillId="3" borderId="45" xfId="0" applyFont="1" applyFill="1" applyBorder="1" applyAlignment="1">
      <alignment horizontal="left" indent="3"/>
    </xf>
    <xf numFmtId="164" fontId="8" fillId="3" borderId="15" xfId="3" applyNumberFormat="1" applyFont="1" applyFill="1" applyBorder="1" applyAlignment="1">
      <alignment horizontal="right"/>
    </xf>
    <xf numFmtId="164" fontId="8" fillId="3" borderId="46" xfId="3" applyNumberFormat="1" applyFont="1" applyFill="1" applyBorder="1" applyAlignment="1">
      <alignment horizontal="right"/>
    </xf>
    <xf numFmtId="164" fontId="8" fillId="3" borderId="16" xfId="3" applyNumberFormat="1" applyFont="1" applyFill="1" applyBorder="1" applyAlignment="1">
      <alignment horizontal="right"/>
    </xf>
    <xf numFmtId="173" fontId="8" fillId="2" borderId="7" xfId="3" applyNumberFormat="1" applyFont="1" applyFill="1" applyBorder="1" applyAlignment="1">
      <alignment horizontal="right"/>
    </xf>
    <xf numFmtId="173" fontId="8" fillId="2" borderId="42" xfId="3" applyNumberFormat="1" applyFont="1" applyFill="1" applyBorder="1" applyAlignment="1">
      <alignment horizontal="right"/>
    </xf>
    <xf numFmtId="173" fontId="7" fillId="2" borderId="0" xfId="3" applyNumberFormat="1" applyFont="1" applyFill="1" applyBorder="1" applyAlignment="1">
      <alignment horizontal="right"/>
    </xf>
    <xf numFmtId="164" fontId="8" fillId="3" borderId="42" xfId="3" applyNumberFormat="1" applyFont="1" applyFill="1" applyBorder="1" applyAlignment="1">
      <alignment horizontal="right"/>
    </xf>
    <xf numFmtId="164" fontId="7" fillId="3" borderId="0" xfId="3" applyNumberFormat="1" applyFont="1" applyFill="1" applyBorder="1" applyAlignment="1">
      <alignment horizontal="right"/>
    </xf>
    <xf numFmtId="0" fontId="8" fillId="3" borderId="41" xfId="0" applyFont="1" applyFill="1" applyBorder="1" applyAlignment="1">
      <alignment horizontal="left" indent="3"/>
    </xf>
    <xf numFmtId="164" fontId="8" fillId="3" borderId="0" xfId="3" applyNumberFormat="1" applyFont="1" applyFill="1" applyBorder="1" applyAlignment="1">
      <alignment horizontal="right"/>
    </xf>
    <xf numFmtId="168" fontId="2" fillId="2" borderId="41" xfId="1" applyNumberFormat="1" applyFont="1" applyFill="1" applyBorder="1" applyAlignment="1">
      <alignment horizontal="left" indent="1"/>
    </xf>
    <xf numFmtId="168" fontId="2" fillId="3" borderId="27" xfId="1" applyNumberFormat="1" applyFont="1" applyFill="1" applyBorder="1" applyAlignment="1">
      <alignment horizontal="right"/>
    </xf>
    <xf numFmtId="164" fontId="2" fillId="2" borderId="0" xfId="3" applyNumberFormat="1" applyFont="1" applyFill="1"/>
    <xf numFmtId="164" fontId="4" fillId="3" borderId="42" xfId="3" applyNumberFormat="1" applyFont="1" applyFill="1" applyBorder="1" applyAlignment="1">
      <alignment horizontal="right"/>
    </xf>
    <xf numFmtId="164" fontId="2" fillId="3" borderId="0" xfId="3" applyNumberFormat="1" applyFont="1" applyFill="1" applyBorder="1" applyAlignment="1">
      <alignment horizontal="right"/>
    </xf>
    <xf numFmtId="164" fontId="4" fillId="3" borderId="15" xfId="3" applyNumberFormat="1" applyFont="1" applyFill="1" applyBorder="1" applyAlignment="1">
      <alignment horizontal="right"/>
    </xf>
    <xf numFmtId="164" fontId="4" fillId="3" borderId="46" xfId="3" applyNumberFormat="1" applyFont="1" applyFill="1" applyBorder="1" applyAlignment="1">
      <alignment horizontal="right"/>
    </xf>
    <xf numFmtId="164" fontId="2" fillId="3" borderId="16" xfId="3" applyNumberFormat="1" applyFont="1" applyFill="1" applyBorder="1" applyAlignment="1">
      <alignment horizontal="right"/>
    </xf>
    <xf numFmtId="170" fontId="7" fillId="0" borderId="4" xfId="0" applyNumberFormat="1" applyFont="1" applyFill="1" applyBorder="1" applyAlignment="1">
      <alignment horizontal="left" indent="2"/>
    </xf>
    <xf numFmtId="168" fontId="4" fillId="2" borderId="41" xfId="1" applyNumberFormat="1" applyFont="1" applyFill="1" applyBorder="1" applyAlignment="1">
      <alignment horizontal="left"/>
    </xf>
    <xf numFmtId="167" fontId="4" fillId="0" borderId="7" xfId="0" applyNumberFormat="1" applyFont="1" applyFill="1" applyBorder="1" applyAlignment="1"/>
    <xf numFmtId="7" fontId="4" fillId="3" borderId="28" xfId="0" applyNumberFormat="1" applyFont="1" applyFill="1" applyBorder="1" applyAlignment="1"/>
    <xf numFmtId="7" fontId="4" fillId="3" borderId="29" xfId="0" applyNumberFormat="1" applyFont="1" applyFill="1" applyBorder="1" applyAlignment="1"/>
    <xf numFmtId="2" fontId="25" fillId="0" borderId="7" xfId="0" applyNumberFormat="1" applyFont="1" applyFill="1" applyBorder="1" applyAlignment="1"/>
    <xf numFmtId="175" fontId="25" fillId="0" borderId="7" xfId="0" applyNumberFormat="1" applyFont="1" applyFill="1" applyBorder="1" applyAlignment="1"/>
    <xf numFmtId="167" fontId="4" fillId="0" borderId="2" xfId="1" applyNumberFormat="1" applyFont="1" applyFill="1" applyBorder="1" applyAlignment="1"/>
    <xf numFmtId="167" fontId="4" fillId="0" borderId="26" xfId="1" applyNumberFormat="1" applyFont="1" applyFill="1" applyBorder="1" applyAlignment="1"/>
    <xf numFmtId="169" fontId="22" fillId="0" borderId="7" xfId="0" applyNumberFormat="1" applyFont="1" applyFill="1" applyBorder="1" applyAlignment="1">
      <alignment horizontal="right"/>
    </xf>
    <xf numFmtId="164" fontId="12" fillId="0" borderId="0" xfId="3" applyNumberFormat="1" applyFont="1" applyFill="1" applyBorder="1" applyAlignment="1">
      <alignment horizontal="right"/>
    </xf>
    <xf numFmtId="49" fontId="2" fillId="2" borderId="47" xfId="0" applyNumberFormat="1" applyFont="1" applyFill="1" applyBorder="1"/>
    <xf numFmtId="168" fontId="4" fillId="2" borderId="48" xfId="1" applyNumberFormat="1" applyFont="1" applyFill="1" applyBorder="1" applyAlignment="1">
      <alignment horizontal="right"/>
    </xf>
    <xf numFmtId="168" fontId="4" fillId="2" borderId="49" xfId="1" applyNumberFormat="1" applyFont="1" applyFill="1" applyBorder="1" applyAlignment="1">
      <alignment horizontal="right"/>
    </xf>
    <xf numFmtId="168" fontId="2" fillId="2" borderId="50" xfId="1" applyNumberFormat="1" applyFont="1" applyFill="1" applyBorder="1" applyAlignment="1">
      <alignment horizontal="right"/>
    </xf>
    <xf numFmtId="0" fontId="13" fillId="2" borderId="0" xfId="0" applyFont="1" applyFill="1" applyBorder="1"/>
    <xf numFmtId="0" fontId="11" fillId="10" borderId="19" xfId="0" applyFont="1" applyFill="1" applyBorder="1" applyAlignment="1">
      <alignment vertical="top" wrapText="1"/>
    </xf>
    <xf numFmtId="0" fontId="11" fillId="10" borderId="51" xfId="0" applyFont="1" applyFill="1" applyBorder="1" applyAlignment="1">
      <alignment horizontal="center"/>
    </xf>
    <xf numFmtId="0" fontId="11" fillId="10" borderId="27" xfId="0" applyFont="1" applyFill="1" applyBorder="1" applyAlignment="1">
      <alignment horizontal="center"/>
    </xf>
    <xf numFmtId="0" fontId="11" fillId="10" borderId="52" xfId="0" applyFont="1" applyFill="1" applyBorder="1" applyAlignment="1">
      <alignment horizontal="center"/>
    </xf>
    <xf numFmtId="0" fontId="11" fillId="10" borderId="53" xfId="0" applyFont="1" applyFill="1" applyBorder="1" applyAlignment="1">
      <alignment horizontal="center"/>
    </xf>
    <xf numFmtId="0" fontId="50" fillId="2" borderId="41" xfId="0" applyFont="1" applyFill="1" applyBorder="1"/>
    <xf numFmtId="0" fontId="2" fillId="2" borderId="42" xfId="0" applyFont="1" applyFill="1" applyBorder="1"/>
    <xf numFmtId="0" fontId="2" fillId="2" borderId="41" xfId="0" applyFont="1" applyFill="1" applyBorder="1"/>
    <xf numFmtId="168" fontId="4" fillId="2" borderId="7" xfId="1" applyNumberFormat="1" applyFont="1" applyFill="1" applyBorder="1"/>
    <xf numFmtId="168" fontId="4" fillId="2" borderId="42" xfId="1" applyNumberFormat="1" applyFont="1" applyFill="1" applyBorder="1"/>
    <xf numFmtId="0" fontId="2" fillId="2" borderId="41" xfId="0" applyFont="1" applyFill="1" applyBorder="1" applyAlignment="1">
      <alignment horizontal="left" indent="1"/>
    </xf>
    <xf numFmtId="168" fontId="4" fillId="3" borderId="54" xfId="1" applyNumberFormat="1" applyFont="1" applyFill="1" applyBorder="1"/>
    <xf numFmtId="168" fontId="4" fillId="3" borderId="2" xfId="1" applyNumberFormat="1" applyFont="1" applyFill="1" applyBorder="1" applyAlignment="1">
      <alignment horizontal="right"/>
    </xf>
    <xf numFmtId="168" fontId="4" fillId="3" borderId="55" xfId="1" applyNumberFormat="1" applyFont="1" applyFill="1" applyBorder="1" applyAlignment="1">
      <alignment horizontal="right"/>
    </xf>
    <xf numFmtId="168" fontId="4" fillId="3" borderId="26" xfId="1" applyNumberFormat="1" applyFont="1" applyFill="1" applyBorder="1" applyAlignment="1">
      <alignment horizontal="right"/>
    </xf>
    <xf numFmtId="168" fontId="4" fillId="3" borderId="56" xfId="1" applyNumberFormat="1" applyFont="1" applyFill="1" applyBorder="1"/>
    <xf numFmtId="168" fontId="4" fillId="3" borderId="28" xfId="1" applyNumberFormat="1" applyFont="1" applyFill="1" applyBorder="1" applyAlignment="1">
      <alignment horizontal="right"/>
    </xf>
    <xf numFmtId="168" fontId="4" fillId="3" borderId="57" xfId="1" applyNumberFormat="1" applyFont="1" applyFill="1" applyBorder="1" applyAlignment="1">
      <alignment horizontal="right"/>
    </xf>
    <xf numFmtId="168" fontId="4" fillId="3" borderId="29" xfId="1" applyNumberFormat="1" applyFont="1" applyFill="1" applyBorder="1" applyAlignment="1">
      <alignment horizontal="right"/>
    </xf>
    <xf numFmtId="168" fontId="4" fillId="0" borderId="47" xfId="1" applyNumberFormat="1" applyFont="1" applyFill="1" applyBorder="1"/>
    <xf numFmtId="168" fontId="4" fillId="0" borderId="48" xfId="1" applyNumberFormat="1" applyFont="1" applyFill="1" applyBorder="1" applyAlignment="1">
      <alignment horizontal="right"/>
    </xf>
    <xf numFmtId="168" fontId="4" fillId="0" borderId="49" xfId="1" applyNumberFormat="1" applyFont="1" applyFill="1" applyBorder="1" applyAlignment="1">
      <alignment horizontal="right"/>
    </xf>
    <xf numFmtId="168" fontId="4" fillId="0" borderId="50" xfId="1" applyNumberFormat="1" applyFont="1" applyFill="1" applyBorder="1" applyAlignment="1">
      <alignment horizontal="right"/>
    </xf>
    <xf numFmtId="165" fontId="4" fillId="2" borderId="42" xfId="1" applyNumberFormat="1" applyFont="1" applyFill="1" applyBorder="1"/>
    <xf numFmtId="0" fontId="4" fillId="2" borderId="0" xfId="0" applyFont="1" applyFill="1"/>
    <xf numFmtId="0" fontId="4" fillId="2" borderId="41" xfId="0" applyFont="1" applyFill="1" applyBorder="1"/>
    <xf numFmtId="165" fontId="4" fillId="2" borderId="0" xfId="1" applyNumberFormat="1" applyFont="1" applyFill="1" applyBorder="1"/>
    <xf numFmtId="165" fontId="4" fillId="3" borderId="55" xfId="1" applyNumberFormat="1" applyFont="1" applyFill="1" applyBorder="1" applyAlignment="1">
      <alignment horizontal="right"/>
    </xf>
    <xf numFmtId="165" fontId="4" fillId="3" borderId="26" xfId="1" applyNumberFormat="1" applyFont="1" applyFill="1" applyBorder="1" applyAlignment="1">
      <alignment horizontal="right"/>
    </xf>
    <xf numFmtId="168" fontId="4" fillId="3" borderId="47" xfId="1" applyNumberFormat="1" applyFont="1" applyFill="1" applyBorder="1"/>
    <xf numFmtId="168" fontId="4" fillId="3" borderId="48" xfId="1" applyNumberFormat="1" applyFont="1" applyFill="1" applyBorder="1" applyAlignment="1">
      <alignment horizontal="right"/>
    </xf>
    <xf numFmtId="165" fontId="4" fillId="3" borderId="49" xfId="1" applyNumberFormat="1" applyFont="1" applyFill="1" applyBorder="1" applyAlignment="1">
      <alignment horizontal="right"/>
    </xf>
    <xf numFmtId="165" fontId="4" fillId="3" borderId="50" xfId="1" applyNumberFormat="1" applyFont="1" applyFill="1" applyBorder="1" applyAlignment="1">
      <alignment horizontal="right"/>
    </xf>
    <xf numFmtId="0" fontId="28" fillId="2" borderId="0" xfId="0" applyFont="1" applyFill="1"/>
    <xf numFmtId="0" fontId="28" fillId="2" borderId="0" xfId="0" applyFont="1" applyFill="1" applyBorder="1"/>
    <xf numFmtId="183" fontId="28" fillId="2" borderId="0" xfId="0" applyNumberFormat="1" applyFont="1" applyFill="1"/>
    <xf numFmtId="8" fontId="0" fillId="0" borderId="0" xfId="0" applyNumberFormat="1"/>
    <xf numFmtId="7" fontId="0" fillId="0" borderId="0" xfId="0" applyNumberFormat="1"/>
    <xf numFmtId="49" fontId="0" fillId="0" borderId="0" xfId="0" applyNumberFormat="1"/>
    <xf numFmtId="167" fontId="9" fillId="3" borderId="7" xfId="0" applyNumberFormat="1" applyFont="1" applyFill="1" applyBorder="1" applyAlignment="1"/>
    <xf numFmtId="0" fontId="0" fillId="3" borderId="19" xfId="0" applyNumberFormat="1" applyFont="1" applyFill="1" applyBorder="1"/>
    <xf numFmtId="4" fontId="4" fillId="0" borderId="0" xfId="0" applyNumberFormat="1" applyFont="1" applyFill="1" applyBorder="1" applyAlignment="1">
      <alignment horizontal="center"/>
    </xf>
    <xf numFmtId="167" fontId="0" fillId="0" borderId="7" xfId="1" applyNumberFormat="1" applyFont="1" applyFill="1" applyBorder="1" applyAlignment="1">
      <alignment horizontal="left"/>
    </xf>
    <xf numFmtId="166" fontId="2" fillId="3" borderId="7" xfId="3" applyNumberFormat="1" applyFont="1" applyFill="1" applyBorder="1"/>
    <xf numFmtId="166" fontId="2" fillId="0" borderId="0" xfId="3" applyNumberFormat="1" applyFont="1" applyBorder="1"/>
    <xf numFmtId="164" fontId="2" fillId="3" borderId="7" xfId="3" applyNumberFormat="1" applyFont="1" applyFill="1" applyBorder="1"/>
    <xf numFmtId="166" fontId="10" fillId="3" borderId="7" xfId="3" applyNumberFormat="1" applyFont="1" applyFill="1" applyBorder="1"/>
    <xf numFmtId="170" fontId="2" fillId="5" borderId="0" xfId="3" applyNumberFormat="1" applyFont="1" applyFill="1" applyBorder="1"/>
    <xf numFmtId="166" fontId="5" fillId="0" borderId="0" xfId="3" applyNumberFormat="1" applyFont="1" applyFill="1" applyBorder="1"/>
    <xf numFmtId="166" fontId="3" fillId="0" borderId="0" xfId="3" applyNumberFormat="1" applyFont="1" applyFill="1" applyBorder="1"/>
    <xf numFmtId="4" fontId="18" fillId="0" borderId="0" xfId="0" applyNumberFormat="1" applyFont="1"/>
    <xf numFmtId="167" fontId="4" fillId="3" borderId="19" xfId="1" applyNumberFormat="1" applyFont="1" applyFill="1" applyBorder="1" applyAlignment="1"/>
    <xf numFmtId="38" fontId="7" fillId="3" borderId="14" xfId="0" applyNumberFormat="1" applyFont="1" applyFill="1" applyBorder="1" applyAlignment="1">
      <alignment horizontal="left" indent="2"/>
    </xf>
    <xf numFmtId="164" fontId="7" fillId="3" borderId="16" xfId="0" applyNumberFormat="1" applyFont="1" applyFill="1" applyBorder="1"/>
    <xf numFmtId="164" fontId="7" fillId="3" borderId="17" xfId="0" applyNumberFormat="1" applyFont="1" applyFill="1" applyBorder="1"/>
    <xf numFmtId="0" fontId="0" fillId="3" borderId="3" xfId="6" applyFont="1" applyFill="1" applyBorder="1"/>
    <xf numFmtId="0" fontId="0" fillId="3" borderId="3" xfId="0" applyFont="1" applyFill="1" applyBorder="1"/>
    <xf numFmtId="9" fontId="46" fillId="0" borderId="0" xfId="1" applyNumberFormat="1" applyFont="1"/>
    <xf numFmtId="0" fontId="34" fillId="0" borderId="0" xfId="0" applyFont="1"/>
    <xf numFmtId="0" fontId="34" fillId="0" borderId="0" xfId="0" applyFont="1" applyFill="1"/>
    <xf numFmtId="0" fontId="34" fillId="0" borderId="0" xfId="0" applyFont="1" applyFill="1" applyAlignment="1">
      <alignment horizontal="right"/>
    </xf>
    <xf numFmtId="0" fontId="63" fillId="0" borderId="0" xfId="7" applyFont="1" applyFill="1" applyBorder="1" applyAlignment="1">
      <alignment wrapText="1"/>
    </xf>
    <xf numFmtId="166" fontId="34" fillId="0" borderId="0" xfId="0" applyNumberFormat="1" applyFont="1" applyAlignment="1">
      <alignment horizontal="right"/>
    </xf>
    <xf numFmtId="164" fontId="34" fillId="0" borderId="0" xfId="0" applyNumberFormat="1" applyFont="1" applyAlignment="1">
      <alignment horizontal="right"/>
    </xf>
    <xf numFmtId="182" fontId="34" fillId="0" borderId="0" xfId="0" applyNumberFormat="1" applyFont="1" applyAlignment="1">
      <alignment horizontal="right"/>
    </xf>
    <xf numFmtId="4" fontId="34" fillId="0" borderId="0" xfId="0" applyNumberFormat="1" applyFont="1" applyAlignment="1">
      <alignment horizontal="right"/>
    </xf>
    <xf numFmtId="8" fontId="34" fillId="0" borderId="0" xfId="0" applyNumberFormat="1" applyFont="1" applyAlignment="1">
      <alignment horizontal="right"/>
    </xf>
    <xf numFmtId="0" fontId="34" fillId="0" borderId="0" xfId="0" applyFont="1" applyAlignment="1">
      <alignment horizontal="right"/>
    </xf>
    <xf numFmtId="182" fontId="34" fillId="0" borderId="0" xfId="0" applyNumberFormat="1" applyFont="1"/>
    <xf numFmtId="0" fontId="4" fillId="3" borderId="16" xfId="0" applyFont="1" applyFill="1" applyBorder="1" applyAlignment="1">
      <alignment horizontal="center"/>
    </xf>
    <xf numFmtId="0" fontId="4" fillId="3" borderId="0" xfId="0" applyFont="1" applyFill="1" applyBorder="1" applyAlignment="1">
      <alignment horizontal="center"/>
    </xf>
    <xf numFmtId="0" fontId="0" fillId="3" borderId="1" xfId="0" applyNumberFormat="1" applyFont="1" applyFill="1" applyBorder="1" applyAlignment="1">
      <alignment horizontal="left"/>
    </xf>
    <xf numFmtId="212" fontId="0" fillId="3" borderId="34" xfId="0" applyNumberFormat="1" applyFill="1" applyBorder="1" applyAlignment="1">
      <alignment horizontal="center"/>
    </xf>
    <xf numFmtId="0" fontId="4" fillId="0" borderId="0" xfId="0" quotePrefix="1" applyFont="1" applyAlignment="1">
      <alignment horizontal="left"/>
    </xf>
    <xf numFmtId="0" fontId="42" fillId="0" borderId="0" xfId="0" applyFont="1" applyFill="1"/>
    <xf numFmtId="0" fontId="42" fillId="0" borderId="0" xfId="0" applyFont="1" applyFill="1" applyAlignment="1">
      <alignment horizontal="right"/>
    </xf>
    <xf numFmtId="0" fontId="64" fillId="0" borderId="0" xfId="7" applyFont="1" applyFill="1" applyBorder="1" applyAlignment="1">
      <alignment wrapText="1"/>
    </xf>
    <xf numFmtId="9" fontId="64" fillId="0" borderId="0" xfId="7" applyNumberFormat="1" applyFont="1" applyFill="1" applyBorder="1" applyAlignment="1">
      <alignment wrapText="1"/>
    </xf>
    <xf numFmtId="9" fontId="42" fillId="0" borderId="0" xfId="0" applyNumberFormat="1" applyFont="1" applyAlignment="1">
      <alignment horizontal="right"/>
    </xf>
    <xf numFmtId="164" fontId="42" fillId="0" borderId="0" xfId="0" applyNumberFormat="1" applyFont="1" applyAlignment="1">
      <alignment horizontal="right"/>
    </xf>
    <xf numFmtId="0" fontId="2" fillId="11" borderId="0" xfId="82" applyFont="1" applyFill="1" applyAlignment="1">
      <alignment vertical="top"/>
    </xf>
    <xf numFmtId="0" fontId="0" fillId="11" borderId="0" xfId="0" applyFill="1" applyAlignment="1">
      <alignment vertical="top"/>
    </xf>
    <xf numFmtId="0" fontId="0" fillId="11" borderId="0" xfId="0" applyFill="1"/>
    <xf numFmtId="0" fontId="51" fillId="11" borderId="0" xfId="82" applyFont="1" applyFill="1" applyAlignment="1">
      <alignment horizontal="left" vertical="top"/>
    </xf>
    <xf numFmtId="0" fontId="2" fillId="11" borderId="0" xfId="0" applyFont="1" applyFill="1" applyAlignment="1">
      <alignment vertical="top"/>
    </xf>
    <xf numFmtId="0" fontId="46" fillId="11" borderId="0" xfId="82" applyFont="1" applyFill="1" applyAlignment="1">
      <alignment vertical="top"/>
    </xf>
    <xf numFmtId="0" fontId="66" fillId="11" borderId="0" xfId="0" applyFont="1" applyFill="1" applyAlignment="1">
      <alignment vertical="top"/>
    </xf>
    <xf numFmtId="0" fontId="67" fillId="11" borderId="0" xfId="0" applyFont="1" applyFill="1" applyAlignment="1">
      <alignment vertical="top"/>
    </xf>
    <xf numFmtId="0" fontId="67" fillId="11" borderId="0" xfId="0" applyFont="1" applyFill="1" applyAlignment="1">
      <alignment vertical="top"/>
    </xf>
    <xf numFmtId="0" fontId="66" fillId="11" borderId="0" xfId="0" applyFont="1" applyFill="1" applyAlignment="1">
      <alignment vertical="top"/>
    </xf>
    <xf numFmtId="0" fontId="0" fillId="11" borderId="0" xfId="0" applyFill="1" applyAlignment="1">
      <alignment vertical="top"/>
    </xf>
    <xf numFmtId="0" fontId="0" fillId="11" borderId="63" xfId="0" applyFill="1" applyBorder="1" applyAlignment="1">
      <alignment vertical="top"/>
    </xf>
    <xf numFmtId="0" fontId="66" fillId="11" borderId="59" xfId="0" applyFont="1" applyFill="1" applyBorder="1" applyAlignment="1">
      <alignment vertical="top"/>
    </xf>
    <xf numFmtId="0" fontId="66" fillId="11" borderId="60" xfId="0" applyFont="1" applyFill="1" applyBorder="1" applyAlignment="1">
      <alignment vertical="top"/>
    </xf>
    <xf numFmtId="0" fontId="66" fillId="11" borderId="61" xfId="0" applyFont="1" applyFill="1" applyBorder="1" applyAlignment="1">
      <alignment vertical="top"/>
    </xf>
    <xf numFmtId="0" fontId="66" fillId="11" borderId="62" xfId="0" applyFont="1" applyFill="1" applyBorder="1" applyAlignment="1">
      <alignment vertical="top"/>
    </xf>
    <xf numFmtId="9" fontId="66" fillId="11" borderId="59" xfId="0" applyNumberFormat="1" applyFont="1" applyFill="1" applyBorder="1" applyAlignment="1">
      <alignment vertical="top"/>
    </xf>
    <xf numFmtId="3" fontId="66" fillId="11" borderId="59" xfId="0" applyNumberFormat="1" applyFont="1" applyFill="1" applyBorder="1" applyAlignment="1">
      <alignment vertical="top"/>
    </xf>
    <xf numFmtId="0" fontId="0" fillId="11" borderId="64" xfId="0" applyFill="1" applyBorder="1" applyAlignment="1">
      <alignment vertical="top"/>
    </xf>
    <xf numFmtId="2" fontId="0" fillId="0" borderId="0" xfId="0" applyNumberFormat="1" applyAlignment="1">
      <alignment horizontal="left"/>
    </xf>
    <xf numFmtId="0" fontId="0" fillId="0" borderId="0" xfId="0" applyNumberFormat="1" applyAlignment="1">
      <alignment horizontal="left"/>
    </xf>
    <xf numFmtId="1" fontId="0" fillId="0" borderId="0" xfId="0" applyNumberFormat="1" applyAlignment="1">
      <alignment horizontal="left"/>
    </xf>
    <xf numFmtId="218" fontId="0" fillId="0" borderId="0" xfId="0" applyNumberFormat="1" applyAlignment="1">
      <alignment horizontal="left"/>
    </xf>
  </cellXfs>
  <cellStyles count="83">
    <cellStyle name=" 1" xfId="13"/>
    <cellStyle name="$_AA - BenefitsBonus " xfId="14"/>
    <cellStyle name="_AA - BenefitsBonus " xfId="15"/>
    <cellStyle name="_Comma_AA - BenefitsBonus " xfId="16"/>
    <cellStyle name="_Comma_Citi Premium Deal - GCIRC Most Likely 01_7_09($3 25M)-Amy " xfId="17"/>
    <cellStyle name="_Currency_AA - BenefitsBonus " xfId="18"/>
    <cellStyle name="_Currency_Citi Premium Deal - GCIRC Most Likely 01_7_09($3 25M)-Amy " xfId="19"/>
    <cellStyle name="_CurrencySpace_AA - BenefitsBonus " xfId="20"/>
    <cellStyle name="_CurrencySpace_Citi Premium Deal - GCIRC Most Likely 01_7_09($3 25M)-Amy " xfId="21"/>
    <cellStyle name="_FX model v.11 (with JPN and AUS) " xfId="22"/>
    <cellStyle name="_FX model v.4.-daily tradexls_FX model v.11 (with JPN and AUS) " xfId="23"/>
    <cellStyle name="_FX model v.6_FX model v.11 (with JPN and AUS) " xfId="24"/>
    <cellStyle name="—_GS_Cash " xfId="25"/>
    <cellStyle name="_Highlight_Citi Premium Deal - GCIRC Most Likely 01_7_09($3 25M)-Amy " xfId="26"/>
    <cellStyle name="_Multiple_AA - BenefitsBonus " xfId="27"/>
    <cellStyle name="_Multiple_Citi Premium Deal - GCIRC Most Likely 01_7_09($3 25M)-Amy " xfId="28"/>
    <cellStyle name="_MultipleSpace_AA - BenefitsBonus " xfId="29"/>
    <cellStyle name="_MultipleSpace_Citi Premium Deal - GCIRC Most Likely 01_7_09($3 25M)-Amy " xfId="30"/>
    <cellStyle name="_Percent_AA - BenefitsBonus " xfId="31"/>
    <cellStyle name="_PercentSpace_AA - BenefitsBonus " xfId="32"/>
    <cellStyle name="_PF Quarterly Financial Model " xfId="33"/>
    <cellStyle name="_SUMMARY " xfId="34"/>
    <cellStyle name="_Taiwan - Template to markets " xfId="35"/>
    <cellStyle name="_Volume-HK 2003-05_FX model v.11 (with JPN and AUS) " xfId="36"/>
    <cellStyle name="_Wireline Tel Forecast " xfId="37"/>
    <cellStyle name="0_Capex &amp; Depreciation " xfId="38"/>
    <cellStyle name="0_Valuing BP " xfId="39"/>
    <cellStyle name="0_Wireline Tel Forecast " xfId="40"/>
    <cellStyle name="ÅëÈ­ [0]_cover " xfId="41"/>
    <cellStyle name="ÅëÈ­_cover " xfId="42"/>
    <cellStyle name="ÄÞ¸¶ [0]_cover " xfId="43"/>
    <cellStyle name="ÄÞ¸¶_cover " xfId="44"/>
    <cellStyle name="c_HardInc " xfId="45"/>
    <cellStyle name="C￥AØ_¿μ¾÷CoE² " xfId="46"/>
    <cellStyle name="Ç¥ÁØ_cover " xfId="47"/>
    <cellStyle name="Comma" xfId="1" builtinId="3"/>
    <cellStyle name="Comma 10" xfId="11"/>
    <cellStyle name="Comma 2" xfId="68"/>
    <cellStyle name="Comma 2 2" xfId="69"/>
    <cellStyle name="Comma 2 3" xfId="70"/>
    <cellStyle name="Comma 3" xfId="71"/>
    <cellStyle name="Currency" xfId="2" builtinId="4"/>
    <cellStyle name="Currency 2" xfId="81"/>
    <cellStyle name="d_yield_AA - BenefitsBonus " xfId="48"/>
    <cellStyle name="g_rate_AA - BenefitsBonus " xfId="49"/>
    <cellStyle name="Hard Percent_2005 TDS Mgmt Summaries MASTER " xfId="50"/>
    <cellStyle name="m_AA - BenefitsBonus " xfId="51"/>
    <cellStyle name="Millares [0]_ " xfId="52"/>
    <cellStyle name="Millares_ " xfId="53"/>
    <cellStyle name="Moneda [0]_ " xfId="54"/>
    <cellStyle name="Moneda_ " xfId="55"/>
    <cellStyle name="Normal" xfId="0" builtinId="0"/>
    <cellStyle name="Normal 10 2" xfId="10"/>
    <cellStyle name="Normal 2" xfId="56"/>
    <cellStyle name="Normal 2 10 2" xfId="9"/>
    <cellStyle name="Normal 2 2" xfId="72"/>
    <cellStyle name="Normal 3" xfId="67"/>
    <cellStyle name="Normal 3 2" xfId="73"/>
    <cellStyle name="Normal 3 3" xfId="74"/>
    <cellStyle name="Normal 3 4" xfId="75"/>
    <cellStyle name="Normal 4" xfId="76"/>
    <cellStyle name="Normal 5" xfId="77"/>
    <cellStyle name="Normal 6" xfId="78"/>
    <cellStyle name="Normal 7" xfId="80"/>
    <cellStyle name="Normal_DisclaimerSheet Samples" xfId="82"/>
    <cellStyle name="Normal_PF Quarterly Financial Model " xfId="5"/>
    <cellStyle name="Normal_RAZFmod0600_betty" xfId="6"/>
    <cellStyle name="Normal_WU Model" xfId="7"/>
    <cellStyle name="Onedec_FT Valuation " xfId="57"/>
    <cellStyle name="p " xfId="58"/>
    <cellStyle name="Percent" xfId="3" builtinId="5"/>
    <cellStyle name="Percent 2" xfId="8"/>
    <cellStyle name="Percent 3" xfId="79"/>
    <cellStyle name="q_AA - BenefitsBonus " xfId="59"/>
    <cellStyle name="RRSInstruction" xfId="12"/>
    <cellStyle name="s_DCFLBO Code_Wireline Tel Forecast " xfId="60"/>
    <cellStyle name="s_HardInc " xfId="61"/>
    <cellStyle name="s_Valuation " xfId="62"/>
    <cellStyle name="ssp " xfId="63"/>
    <cellStyle name="Style 1" xfId="4"/>
    <cellStyle name="Style 1 2" xfId="64"/>
    <cellStyle name="콤마 [0]_ 2팀층별 " xfId="65"/>
    <cellStyle name="콤마_ 2팀층별 " xfId="66"/>
  </cellStyles>
  <dxfs count="0"/>
  <tableStyles count="0" defaultTableStyle="TableStyleMedium2" defaultPivotStyle="PivotStyleLight16"/>
  <colors>
    <mruColors>
      <color rgb="FF0000FF"/>
      <color rgb="FFCCFFCC"/>
      <color rgb="FF008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theme/theme1.xml" Type="http://schemas.openxmlformats.org/officeDocument/2006/relationships/theme"/>
<Relationship Id="rId12" Target="styles.xml" Type="http://schemas.openxmlformats.org/officeDocument/2006/relationships/styles"/>
<Relationship Id="rId13" Target="sharedStrings.xml" Type="http://schemas.openxmlformats.org/officeDocument/2006/relationships/sharedStrings"/>
<Relationship Id="rId14" Target="calcChain.xml" Type="http://schemas.openxmlformats.org/officeDocument/2006/relationships/calcChain"/>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activeX/_rels/activeX1.xml.rels><?xml version="1.0" encoding="UTF-8" standalone="yes"?>
<Relationships xmlns="http://schemas.openxmlformats.org/package/2006/relationships">
<Relationship Id="rId1" Target="activeX1.bin" Type="http://schemas.microsoft.com/office/2006/relationships/activeXControlBinary"/>
</Relationships>

</file>

<file path=xl/activeX/_rels/activeX2.xml.rels><?xml version="1.0" encoding="UTF-8" standalone="yes"?>
<Relationships xmlns="http://schemas.openxmlformats.org/package/2006/relationships">
<Relationship Id="rId1" Target="activeX2.bin" Type="http://schemas.microsoft.com/office/2006/relationships/activeXControlBinary"/>
</Relationships>

</file>

<file path=xl/activeX/_rels/activeX3.xml.rels><?xml version="1.0" encoding="UTF-8" standalone="yes"?>
<Relationships xmlns="http://schemas.openxmlformats.org/package/2006/relationships">
<Relationship Id="rId1" Target="activeX3.bin" Type="http://schemas.microsoft.com/office/2006/relationships/activeXControlBinary"/>
</Relationships>

</file>

<file path=xl/activeX/_rels/activeX4.xml.rels><?xml version="1.0" encoding="UTF-8" standalone="yes"?>
<Relationships xmlns="http://schemas.openxmlformats.org/package/2006/relationships">
<Relationship Id="rId1" Target="activeX4.bin" Type="http://schemas.microsoft.com/office/2006/relationships/activeXControlBinary"/>
</Relationships>

</file>

<file path=xl/activeX/_rels/activeX5.xml.rels><?xml version="1.0" encoding="UTF-8" standalone="yes"?>
<Relationships xmlns="http://schemas.openxmlformats.org/package/2006/relationships">
<Relationship Id="rId1" Target="activeX5.bin" Type="http://schemas.microsoft.com/office/2006/relationships/activeXControlBinary"/>
</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vmlDrawing1.vml.rels><?xml version="1.0" encoding="UTF-8" standalone="yes"?>
<Relationships xmlns="http://schemas.openxmlformats.org/package/2006/relationships">
<Relationship Id="rId1" Target="../media/image4.emf" Type="http://schemas.openxmlformats.org/officeDocument/2006/relationships/image"/>
</Relationships>

</file>

<file path=xl/drawings/_rels/vmlDrawing2.vml.rels><?xml version="1.0" encoding="UTF-8" standalone="yes"?>
<Relationships xmlns="http://schemas.openxmlformats.org/package/2006/relationships">
<Relationship Id="rId1" Target="../media/image5.emf" Type="http://schemas.openxmlformats.org/officeDocument/2006/relationships/image"/>
</Relationships>

</file>

<file path=xl/drawings/_rels/vmlDrawing3.vml.rels><?xml version="1.0" encoding="UTF-8" standalone="yes"?>
<Relationships xmlns="http://schemas.openxmlformats.org/package/2006/relationships">
<Relationship Id="rId1" Target="../media/image6.emf" Type="http://schemas.openxmlformats.org/officeDocument/2006/relationships/image"/>
</Relationships>

</file>

<file path=xl/drawings/_rels/vmlDrawing4.vml.rels><?xml version="1.0" encoding="UTF-8" standalone="yes"?>
<Relationships xmlns="http://schemas.openxmlformats.org/package/2006/relationships">
<Relationship Id="rId1" Target="../media/image7.emf" Type="http://schemas.openxmlformats.org/officeDocument/2006/relationships/image"/>
</Relationships>

</file>

<file path=xl/drawings/_rels/vmlDrawing5.vml.rels><?xml version="1.0" encoding="UTF-8" standalone="yes"?>
<Relationships xmlns="http://schemas.openxmlformats.org/package/2006/relationships">
<Relationship Id="rId1" Target="../media/image8.emf"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170</xdr:row>
      <xdr:rowOff>0</xdr:rowOff>
    </xdr:from>
    <xdr:to>
      <xdr:col>7</xdr:col>
      <xdr:colOff>390525</xdr:colOff>
      <xdr:row>193</xdr:row>
      <xdr:rowOff>104775</xdr:rowOff>
    </xdr:to>
    <xdr:pic>
      <xdr:nvPicPr>
        <xdr:cNvPr id="45057" name="Picture 1" descr="C:\Users\danyah\AppData\Local\Temp\MercuryPriceRatingHistoryChart\SQ.N_2017_12_19_00_10_43.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6155650"/>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6</xdr:row>
          <xdr:rowOff>47625</xdr:rowOff>
        </xdr:from>
        <xdr:to>
          <xdr:col>4</xdr:col>
          <xdr:colOff>266700</xdr:colOff>
          <xdr:row>6</xdr:row>
          <xdr:rowOff>323850</xdr:rowOff>
        </xdr:to>
        <xdr:sp macro="" textlink="">
          <xdr:nvSpPr>
            <xdr:cNvPr id="1025" name="Combo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819150</xdr:colOff>
          <xdr:row>2</xdr:row>
          <xdr:rowOff>76200</xdr:rowOff>
        </xdr:from>
        <xdr:to>
          <xdr:col>1</xdr:col>
          <xdr:colOff>2647950</xdr:colOff>
          <xdr:row>4</xdr:row>
          <xdr:rowOff>19050</xdr:rowOff>
        </xdr:to>
        <xdr:sp macro="" textlink="">
          <xdr:nvSpPr>
            <xdr:cNvPr id="2049" name="ComboBox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771525</xdr:colOff>
          <xdr:row>2</xdr:row>
          <xdr:rowOff>95250</xdr:rowOff>
        </xdr:from>
        <xdr:to>
          <xdr:col>1</xdr:col>
          <xdr:colOff>3067050</xdr:colOff>
          <xdr:row>4</xdr:row>
          <xdr:rowOff>38100</xdr:rowOff>
        </xdr:to>
        <xdr:sp macro="" textlink="">
          <xdr:nvSpPr>
            <xdr:cNvPr id="3073" name="ComboBox1"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1</xdr:row>
          <xdr:rowOff>47625</xdr:rowOff>
        </xdr:from>
        <xdr:to>
          <xdr:col>2</xdr:col>
          <xdr:colOff>942975</xdr:colOff>
          <xdr:row>2</xdr:row>
          <xdr:rowOff>85725</xdr:rowOff>
        </xdr:to>
        <xdr:sp macro="" textlink="">
          <xdr:nvSpPr>
            <xdr:cNvPr id="4097" name="ComboBox2" hidden="1">
              <a:extLst>
                <a:ext uri="{63B3BB69-23CF-44E3-9099-C40C66FF867C}">
                  <a14:compatExt spid="_x0000_s4097"/>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847725</xdr:colOff>
          <xdr:row>2</xdr:row>
          <xdr:rowOff>57150</xdr:rowOff>
        </xdr:from>
        <xdr:to>
          <xdr:col>2</xdr:col>
          <xdr:colOff>219075</xdr:colOff>
          <xdr:row>3</xdr:row>
          <xdr:rowOff>123825</xdr:rowOff>
        </xdr:to>
        <xdr:sp macro="" textlink="">
          <xdr:nvSpPr>
            <xdr:cNvPr id="5121" name="ComboBox1" hidden="1">
              <a:extLst>
                <a:ext uri="{63B3BB69-23CF-44E3-9099-C40C66FF867C}">
                  <a14:compatExt spid="_x0000_s5121"/>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2.xml.rels><?xml version="1.0" encoding="UTF-8" standalone="yes"?>
<Relationships xmlns="http://schemas.openxmlformats.org/package/2006/relationships">
<Relationship Id="rId1" Target="mailto:vasundhara.govil@morganstanley.com" TargetMode="External" Type="http://schemas.openxmlformats.org/officeDocument/2006/relationships/hyperlink"/>
<Relationship Id="rId2" Target="../printerSettings/printerSettings2.bin" Type="http://schemas.openxmlformats.org/officeDocument/2006/relationships/printerSettings"/>
<Relationship Id="rId3" Target="../drawings/drawing2.xml" Type="http://schemas.openxmlformats.org/officeDocument/2006/relationships/drawing"/>
<Relationship Id="rId4" Target="../drawings/vmlDrawing1.vml" Type="http://schemas.openxmlformats.org/officeDocument/2006/relationships/vmlDrawing"/>
<Relationship Id="rId5" Target="../activeX/activeX1.xml" Type="http://schemas.openxmlformats.org/officeDocument/2006/relationships/control"/>
<Relationship Id="rId6" Target="../media/image4.emf" Type="http://schemas.openxmlformats.org/officeDocument/2006/relationships/image"/>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 Id="rId2" Target="../drawings/drawing3.xml" Type="http://schemas.openxmlformats.org/officeDocument/2006/relationships/drawing"/>
<Relationship Id="rId3" Target="../drawings/vmlDrawing2.vml" Type="http://schemas.openxmlformats.org/officeDocument/2006/relationships/vmlDrawing"/>
<Relationship Id="rId4" Target="../activeX/activeX2.xml" Type="http://schemas.openxmlformats.org/officeDocument/2006/relationships/control"/>
<Relationship Id="rId5" Target="../media/image5.emf" Type="http://schemas.openxmlformats.org/officeDocument/2006/relationships/image"/>
<Relationship Id="rId6" Target="../comments1.xml" Type="http://schemas.openxmlformats.org/officeDocument/2006/relationships/comment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drawings/drawing4.xml" Type="http://schemas.openxmlformats.org/officeDocument/2006/relationships/drawing"/>
<Relationship Id="rId3" Target="../drawings/vmlDrawing3.vml" Type="http://schemas.openxmlformats.org/officeDocument/2006/relationships/vmlDrawing"/>
<Relationship Id="rId4" Target="../activeX/activeX3.xml" Type="http://schemas.openxmlformats.org/officeDocument/2006/relationships/control"/>
<Relationship Id="rId5" Target="../media/image6.emf" Type="http://schemas.openxmlformats.org/officeDocument/2006/relationships/image"/>
<Relationship Id="rId6" Target="../comments2.xml" Type="http://schemas.openxmlformats.org/officeDocument/2006/relationships/comment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drawing5.xml" Type="http://schemas.openxmlformats.org/officeDocument/2006/relationships/drawing"/>
<Relationship Id="rId3" Target="../drawings/vmlDrawing4.vml" Type="http://schemas.openxmlformats.org/officeDocument/2006/relationships/vmlDrawing"/>
<Relationship Id="rId4" Target="../activeX/activeX4.xml" Type="http://schemas.openxmlformats.org/officeDocument/2006/relationships/control"/>
<Relationship Id="rId5" Target="../media/image7.emf" Type="http://schemas.openxmlformats.org/officeDocument/2006/relationships/image"/>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drawing6.xml" Type="http://schemas.openxmlformats.org/officeDocument/2006/relationships/drawing"/>
<Relationship Id="rId3" Target="../drawings/vmlDrawing5.vml" Type="http://schemas.openxmlformats.org/officeDocument/2006/relationships/vmlDrawing"/>
<Relationship Id="rId4" Target="../activeX/activeX5.xml" Type="http://schemas.openxmlformats.org/officeDocument/2006/relationships/control"/>
<Relationship Id="rId5" Target="../media/image8.emf" Type="http://schemas.openxmlformats.org/officeDocument/2006/relationships/image"/>
<Relationship Id="rId6" Target="../comments3.xml" Type="http://schemas.openxmlformats.org/officeDocument/2006/relationships/comment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s>

</file>

<file path=xl/worksheets/_rels/sheet10.xml.rels><?xml version="1.0" encoding="UTF-8" standalone="yes"?>
<Relationships xmlns="http://schemas.openxmlformats.org/package/2006/relationships">
<Relationship Id="rId1" Target="../printerSettings/printerSettings9.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87"/>
  <sheetViews>
    <sheetView showGridLines="0" tabSelected="1" workbookViewId="0">
      <selection activeCell="Z1" sqref="Z1"/>
    </sheetView>
  </sheetViews>
  <sheetFormatPr defaultRowHeight="12.75"/>
  <cols>
    <col min="1" max="1" width="25.7109375" style="998" customWidth="1"/>
    <col min="2" max="5" width="9.140625" style="998"/>
    <col min="6" max="6" width="18.7109375" style="998" customWidth="1"/>
    <col min="7" max="256" width="9.140625" style="998"/>
    <col min="257" max="257" width="100.7109375" style="998" customWidth="1"/>
    <col min="258" max="512" width="9.140625" style="998"/>
    <col min="513" max="513" width="100.7109375" style="998" customWidth="1"/>
    <col min="514" max="768" width="9.140625" style="998"/>
    <col min="769" max="769" width="100.7109375" style="998" customWidth="1"/>
    <col min="770" max="1024" width="9.140625" style="998"/>
    <col min="1025" max="1025" width="100.7109375" style="998" customWidth="1"/>
    <col min="1026" max="1280" width="9.140625" style="998"/>
    <col min="1281" max="1281" width="100.7109375" style="998" customWidth="1"/>
    <col min="1282" max="1536" width="9.140625" style="998"/>
    <col min="1537" max="1537" width="100.7109375" style="998" customWidth="1"/>
    <col min="1538" max="1792" width="9.140625" style="998"/>
    <col min="1793" max="1793" width="100.7109375" style="998" customWidth="1"/>
    <col min="1794" max="2048" width="9.140625" style="998"/>
    <col min="2049" max="2049" width="100.7109375" style="998" customWidth="1"/>
    <col min="2050" max="2304" width="9.140625" style="998"/>
    <col min="2305" max="2305" width="100.7109375" style="998" customWidth="1"/>
    <col min="2306" max="2560" width="9.140625" style="998"/>
    <col min="2561" max="2561" width="100.7109375" style="998" customWidth="1"/>
    <col min="2562" max="2816" width="9.140625" style="998"/>
    <col min="2817" max="2817" width="100.7109375" style="998" customWidth="1"/>
    <col min="2818" max="3072" width="9.140625" style="998"/>
    <col min="3073" max="3073" width="100.7109375" style="998" customWidth="1"/>
    <col min="3074" max="3328" width="9.140625" style="998"/>
    <col min="3329" max="3329" width="100.7109375" style="998" customWidth="1"/>
    <col min="3330" max="3584" width="9.140625" style="998"/>
    <col min="3585" max="3585" width="100.7109375" style="998" customWidth="1"/>
    <col min="3586" max="3840" width="9.140625" style="998"/>
    <col min="3841" max="3841" width="100.7109375" style="998" customWidth="1"/>
    <col min="3842" max="4096" width="9.140625" style="998"/>
    <col min="4097" max="4097" width="100.7109375" style="998" customWidth="1"/>
    <col min="4098" max="4352" width="9.140625" style="998"/>
    <col min="4353" max="4353" width="100.7109375" style="998" customWidth="1"/>
    <col min="4354" max="4608" width="9.140625" style="998"/>
    <col min="4609" max="4609" width="100.7109375" style="998" customWidth="1"/>
    <col min="4610" max="4864" width="9.140625" style="998"/>
    <col min="4865" max="4865" width="100.7109375" style="998" customWidth="1"/>
    <col min="4866" max="5120" width="9.140625" style="998"/>
    <col min="5121" max="5121" width="100.7109375" style="998" customWidth="1"/>
    <col min="5122" max="5376" width="9.140625" style="998"/>
    <col min="5377" max="5377" width="100.7109375" style="998" customWidth="1"/>
    <col min="5378" max="5632" width="9.140625" style="998"/>
    <col min="5633" max="5633" width="100.7109375" style="998" customWidth="1"/>
    <col min="5634" max="5888" width="9.140625" style="998"/>
    <col min="5889" max="5889" width="100.7109375" style="998" customWidth="1"/>
    <col min="5890" max="6144" width="9.140625" style="998"/>
    <col min="6145" max="6145" width="100.7109375" style="998" customWidth="1"/>
    <col min="6146" max="6400" width="9.140625" style="998"/>
    <col min="6401" max="6401" width="100.7109375" style="998" customWidth="1"/>
    <col min="6402" max="6656" width="9.140625" style="998"/>
    <col min="6657" max="6657" width="100.7109375" style="998" customWidth="1"/>
    <col min="6658" max="6912" width="9.140625" style="998"/>
    <col min="6913" max="6913" width="100.7109375" style="998" customWidth="1"/>
    <col min="6914" max="7168" width="9.140625" style="998"/>
    <col min="7169" max="7169" width="100.7109375" style="998" customWidth="1"/>
    <col min="7170" max="7424" width="9.140625" style="998"/>
    <col min="7425" max="7425" width="100.7109375" style="998" customWidth="1"/>
    <col min="7426" max="7680" width="9.140625" style="998"/>
    <col min="7681" max="7681" width="100.7109375" style="998" customWidth="1"/>
    <col min="7682" max="7936" width="9.140625" style="998"/>
    <col min="7937" max="7937" width="100.7109375" style="998" customWidth="1"/>
    <col min="7938" max="8192" width="9.140625" style="998"/>
    <col min="8193" max="8193" width="100.7109375" style="998" customWidth="1"/>
    <col min="8194" max="8448" width="9.140625" style="998"/>
    <col min="8449" max="8449" width="100.7109375" style="998" customWidth="1"/>
    <col min="8450" max="8704" width="9.140625" style="998"/>
    <col min="8705" max="8705" width="100.7109375" style="998" customWidth="1"/>
    <col min="8706" max="8960" width="9.140625" style="998"/>
    <col min="8961" max="8961" width="100.7109375" style="998" customWidth="1"/>
    <col min="8962" max="9216" width="9.140625" style="998"/>
    <col min="9217" max="9217" width="100.7109375" style="998" customWidth="1"/>
    <col min="9218" max="9472" width="9.140625" style="998"/>
    <col min="9473" max="9473" width="100.7109375" style="998" customWidth="1"/>
    <col min="9474" max="9728" width="9.140625" style="998"/>
    <col min="9729" max="9729" width="100.7109375" style="998" customWidth="1"/>
    <col min="9730" max="9984" width="9.140625" style="998"/>
    <col min="9985" max="9985" width="100.7109375" style="998" customWidth="1"/>
    <col min="9986" max="10240" width="9.140625" style="998"/>
    <col min="10241" max="10241" width="100.7109375" style="998" customWidth="1"/>
    <col min="10242" max="10496" width="9.140625" style="998"/>
    <col min="10497" max="10497" width="100.7109375" style="998" customWidth="1"/>
    <col min="10498" max="10752" width="9.140625" style="998"/>
    <col min="10753" max="10753" width="100.7109375" style="998" customWidth="1"/>
    <col min="10754" max="11008" width="9.140625" style="998"/>
    <col min="11009" max="11009" width="100.7109375" style="998" customWidth="1"/>
    <col min="11010" max="11264" width="9.140625" style="998"/>
    <col min="11265" max="11265" width="100.7109375" style="998" customWidth="1"/>
    <col min="11266" max="11520" width="9.140625" style="998"/>
    <col min="11521" max="11521" width="100.7109375" style="998" customWidth="1"/>
    <col min="11522" max="11776" width="9.140625" style="998"/>
    <col min="11777" max="11777" width="100.7109375" style="998" customWidth="1"/>
    <col min="11778" max="12032" width="9.140625" style="998"/>
    <col min="12033" max="12033" width="100.7109375" style="998" customWidth="1"/>
    <col min="12034" max="12288" width="9.140625" style="998"/>
    <col min="12289" max="12289" width="100.7109375" style="998" customWidth="1"/>
    <col min="12290" max="12544" width="9.140625" style="998"/>
    <col min="12545" max="12545" width="100.7109375" style="998" customWidth="1"/>
    <col min="12546" max="12800" width="9.140625" style="998"/>
    <col min="12801" max="12801" width="100.7109375" style="998" customWidth="1"/>
    <col min="12802" max="13056" width="9.140625" style="998"/>
    <col min="13057" max="13057" width="100.7109375" style="998" customWidth="1"/>
    <col min="13058" max="13312" width="9.140625" style="998"/>
    <col min="13313" max="13313" width="100.7109375" style="998" customWidth="1"/>
    <col min="13314" max="13568" width="9.140625" style="998"/>
    <col min="13569" max="13569" width="100.7109375" style="998" customWidth="1"/>
    <col min="13570" max="13824" width="9.140625" style="998"/>
    <col min="13825" max="13825" width="100.7109375" style="998" customWidth="1"/>
    <col min="13826" max="14080" width="9.140625" style="998"/>
    <col min="14081" max="14081" width="100.7109375" style="998" customWidth="1"/>
    <col min="14082" max="14336" width="9.140625" style="998"/>
    <col min="14337" max="14337" width="100.7109375" style="998" customWidth="1"/>
    <col min="14338" max="14592" width="9.140625" style="998"/>
    <col min="14593" max="14593" width="100.7109375" style="998" customWidth="1"/>
    <col min="14594" max="14848" width="9.140625" style="998"/>
    <col min="14849" max="14849" width="100.7109375" style="998" customWidth="1"/>
    <col min="14850" max="15104" width="9.140625" style="998"/>
    <col min="15105" max="15105" width="100.7109375" style="998" customWidth="1"/>
    <col min="15106" max="15360" width="9.140625" style="998"/>
    <col min="15361" max="15361" width="100.7109375" style="998" customWidth="1"/>
    <col min="15362" max="15616" width="9.140625" style="998"/>
    <col min="15617" max="15617" width="100.7109375" style="998" customWidth="1"/>
    <col min="15618" max="15872" width="9.140625" style="998"/>
    <col min="15873" max="15873" width="100.7109375" style="998" customWidth="1"/>
    <col min="15874" max="16128" width="9.140625" style="998"/>
    <col min="16129" max="16129" width="100.7109375" style="998" customWidth="1"/>
    <col min="16130" max="16384" width="9.140625" style="998"/>
  </cols>
  <sheetData>
    <row r="1" spans="1:8" ht="30" customHeight="1">
      <c r="A1" s="996"/>
      <c r="B1" s="997"/>
      <c r="C1" s="997"/>
      <c r="D1" s="997"/>
      <c r="E1" s="997"/>
      <c r="F1" s="997"/>
      <c r="G1" s="997"/>
      <c r="H1" s="997"/>
    </row>
    <row r="2" spans="1:8" ht="14.25">
      <c r="A2" s="999" t="s">
        <v>464</v>
      </c>
      <c r="B2" s="997"/>
      <c r="C2" s="997"/>
      <c r="D2" s="997"/>
      <c r="E2" s="997"/>
      <c r="F2" s="997"/>
      <c r="G2" s="997"/>
      <c r="H2" s="997"/>
    </row>
    <row r="3" spans="1:8" ht="14.25">
      <c r="A3" s="999" t="s">
        <v>465</v>
      </c>
      <c r="B3" s="997"/>
      <c r="C3" s="997"/>
      <c r="D3" s="997"/>
      <c r="E3" s="997"/>
      <c r="F3" s="997"/>
      <c r="G3" s="997"/>
      <c r="H3" s="997"/>
    </row>
    <row r="4" spans="1:8" ht="14.25">
      <c r="A4" s="999" t="s">
        <v>466</v>
      </c>
      <c r="B4" s="997"/>
      <c r="C4" s="997"/>
      <c r="D4" s="997"/>
      <c r="E4" s="997"/>
      <c r="F4" s="997"/>
      <c r="G4" s="997"/>
      <c r="H4" s="997"/>
    </row>
    <row r="5" spans="1:8" ht="14.25">
      <c r="A5" s="999" t="s">
        <v>467</v>
      </c>
      <c r="B5" s="997"/>
      <c r="C5" s="997"/>
      <c r="D5" s="997"/>
      <c r="E5" s="997"/>
      <c r="F5" s="997"/>
      <c r="G5" s="997"/>
      <c r="H5" s="997"/>
    </row>
    <row r="6" spans="1:8" ht="14.25">
      <c r="A6" s="999"/>
      <c r="B6" s="997"/>
      <c r="C6" s="997"/>
      <c r="D6" s="997"/>
      <c r="E6" s="997"/>
      <c r="F6" s="997"/>
      <c r="G6" s="997"/>
      <c r="H6" s="997"/>
    </row>
    <row r="7" spans="1:8">
      <c r="A7" s="996" t="s">
        <v>468</v>
      </c>
      <c r="B7" s="997"/>
      <c r="C7" s="997"/>
      <c r="D7" s="997"/>
      <c r="E7" s="997"/>
      <c r="F7" s="997"/>
      <c r="G7" s="997"/>
      <c r="H7" s="997"/>
    </row>
    <row r="8" spans="1:8">
      <c r="A8" s="996" t="s">
        <v>469</v>
      </c>
      <c r="B8" s="997"/>
      <c r="C8" s="997"/>
      <c r="D8" s="997"/>
      <c r="E8" s="997"/>
      <c r="F8" s="997"/>
      <c r="G8" s="997"/>
      <c r="H8" s="997"/>
    </row>
    <row r="9" spans="1:8">
      <c r="A9" s="996"/>
      <c r="B9" s="997"/>
      <c r="C9" s="997"/>
      <c r="D9" s="997"/>
      <c r="E9" s="997"/>
      <c r="F9" s="997"/>
      <c r="G9" s="997"/>
      <c r="H9" s="997"/>
    </row>
    <row r="10" spans="1:8">
      <c r="A10" s="1000" t="s">
        <v>470</v>
      </c>
      <c r="B10" s="997"/>
      <c r="C10" s="997"/>
      <c r="D10" s="997"/>
      <c r="E10" s="997"/>
      <c r="F10" s="997"/>
      <c r="G10" s="997"/>
      <c r="H10" s="997"/>
    </row>
    <row r="11" spans="1:8">
      <c r="A11" s="1000" t="s">
        <v>471</v>
      </c>
      <c r="B11" s="997"/>
      <c r="C11" s="997"/>
      <c r="D11" s="997"/>
      <c r="E11" s="997"/>
      <c r="F11" s="997"/>
      <c r="G11" s="997"/>
      <c r="H11" s="997"/>
    </row>
    <row r="12" spans="1:8">
      <c r="A12" s="1000" t="s">
        <v>472</v>
      </c>
      <c r="B12" s="997"/>
      <c r="C12" s="997"/>
      <c r="D12" s="997"/>
      <c r="E12" s="997"/>
      <c r="F12" s="997"/>
      <c r="G12" s="997"/>
      <c r="H12" s="997"/>
    </row>
    <row r="13" spans="1:8">
      <c r="A13" s="1000" t="s">
        <v>473</v>
      </c>
      <c r="B13" s="997"/>
      <c r="C13" s="997"/>
      <c r="D13" s="997"/>
      <c r="E13" s="997"/>
      <c r="F13" s="997"/>
      <c r="G13" s="997"/>
      <c r="H13" s="997"/>
    </row>
    <row r="14" spans="1:8">
      <c r="A14" s="1000" t="s">
        <v>474</v>
      </c>
      <c r="B14" s="997"/>
      <c r="C14" s="997"/>
      <c r="D14" s="997"/>
      <c r="E14" s="997"/>
      <c r="F14" s="997"/>
      <c r="G14" s="997"/>
      <c r="H14" s="997"/>
    </row>
    <row r="15" spans="1:8">
      <c r="A15" s="1000" t="s">
        <v>475</v>
      </c>
      <c r="B15" s="997"/>
      <c r="C15" s="997"/>
      <c r="D15" s="997"/>
      <c r="E15" s="997"/>
      <c r="F15" s="997"/>
      <c r="G15" s="997"/>
      <c r="H15" s="997"/>
    </row>
    <row r="16" spans="1:8">
      <c r="A16" s="1000"/>
      <c r="B16" s="997"/>
      <c r="C16" s="997"/>
      <c r="D16" s="997"/>
      <c r="E16" s="997"/>
      <c r="F16" s="997"/>
      <c r="G16" s="997"/>
      <c r="H16" s="997"/>
    </row>
    <row r="17" spans="1:8">
      <c r="A17" s="1000" t="s">
        <v>461</v>
      </c>
      <c r="B17" s="997"/>
      <c r="C17" s="997"/>
      <c r="D17" s="997"/>
      <c r="E17" s="997"/>
      <c r="F17" s="997"/>
      <c r="G17" s="997"/>
      <c r="H17" s="997"/>
    </row>
    <row r="18" spans="1:8">
      <c r="A18" s="1000"/>
      <c r="B18" s="997"/>
      <c r="C18" s="997"/>
      <c r="D18" s="997"/>
      <c r="E18" s="997"/>
      <c r="F18" s="997"/>
      <c r="G18" s="997"/>
      <c r="H18" s="997"/>
    </row>
    <row r="19" spans="1:8">
      <c r="A19" s="1000" t="s">
        <v>462</v>
      </c>
      <c r="B19" s="997"/>
      <c r="C19" s="997"/>
      <c r="D19" s="997"/>
      <c r="E19" s="997"/>
      <c r="F19" s="997"/>
      <c r="G19" s="997"/>
      <c r="H19" s="997"/>
    </row>
    <row r="20" spans="1:8">
      <c r="A20" s="996"/>
      <c r="B20" s="997"/>
      <c r="C20" s="997"/>
      <c r="D20" s="997"/>
      <c r="E20" s="997"/>
      <c r="F20" s="997"/>
      <c r="G20" s="997"/>
      <c r="H20" s="997"/>
    </row>
    <row r="21" spans="1:8">
      <c r="A21" s="1001" t="s">
        <v>463</v>
      </c>
      <c r="B21" s="997"/>
      <c r="C21" s="997"/>
      <c r="D21" s="997"/>
      <c r="E21" s="997"/>
      <c r="F21" s="997"/>
      <c r="G21" s="997"/>
      <c r="H21" s="997"/>
    </row>
    <row r="22" spans="1:8">
      <c r="A22" s="997"/>
      <c r="B22" s="997"/>
      <c r="C22" s="997"/>
      <c r="D22" s="997"/>
      <c r="E22" s="997"/>
      <c r="F22" s="997"/>
      <c r="G22" s="997"/>
      <c r="H22" s="997"/>
    </row>
    <row r="23" spans="1:8">
      <c r="A23" s="1002" t="s">
        <v>750</v>
      </c>
      <c r="B23" s="997"/>
      <c r="C23" s="997"/>
      <c r="D23" s="997"/>
      <c r="E23" s="997"/>
      <c r="F23" s="997"/>
      <c r="G23" s="997"/>
      <c r="H23" s="997"/>
    </row>
    <row r="24" spans="1:8">
      <c r="A24" s="1002" t="s">
        <v>751</v>
      </c>
      <c r="B24" s="997"/>
      <c r="C24" s="997"/>
      <c r="D24" s="997"/>
      <c r="E24" s="997"/>
      <c r="F24" s="997"/>
      <c r="G24" s="997"/>
      <c r="H24" s="997"/>
    </row>
    <row r="25" spans="1:8">
      <c r="A25" s="1002" t="s">
        <v>752</v>
      </c>
      <c r="B25" s="997"/>
      <c r="C25" s="997"/>
      <c r="D25" s="997"/>
      <c r="E25" s="997"/>
      <c r="F25" s="997"/>
      <c r="G25" s="997"/>
      <c r="H25" s="997"/>
    </row>
    <row r="26" spans="1:8">
      <c r="A26" s="1002" t="s">
        <v>753</v>
      </c>
      <c r="B26" s="997"/>
      <c r="C26" s="997"/>
      <c r="D26" s="997"/>
      <c r="E26" s="997"/>
      <c r="F26" s="997"/>
      <c r="G26" s="997"/>
      <c r="H26" s="997"/>
    </row>
    <row r="27" spans="1:8">
      <c r="A27" s="997"/>
      <c r="B27" s="997"/>
      <c r="C27" s="997"/>
      <c r="D27" s="997"/>
      <c r="E27" s="997"/>
      <c r="F27" s="997"/>
      <c r="G27" s="997"/>
      <c r="H27" s="997"/>
    </row>
    <row r="28" spans="1:8">
      <c r="A28" s="997"/>
      <c r="B28" s="997"/>
      <c r="C28" s="997"/>
      <c r="D28" s="997"/>
      <c r="E28" s="997"/>
      <c r="F28" s="997"/>
      <c r="G28" s="997"/>
      <c r="H28" s="997"/>
    </row>
    <row r="29" spans="1:8">
      <c r="A29" s="1002" t="s">
        <v>745</v>
      </c>
      <c r="B29" s="997"/>
      <c r="C29" s="997"/>
      <c r="D29" s="997"/>
      <c r="E29" s="997"/>
      <c r="F29" s="997"/>
      <c r="G29" s="997"/>
      <c r="H29" s="997"/>
    </row>
    <row r="30" spans="1:8">
      <c r="A30" s="1002" t="s">
        <v>746</v>
      </c>
      <c r="B30" s="997"/>
      <c r="C30" s="997"/>
      <c r="D30" s="997"/>
      <c r="E30" s="997"/>
      <c r="F30" s="997"/>
      <c r="G30" s="997"/>
      <c r="H30" s="997"/>
    </row>
    <row r="31" spans="1:8">
      <c r="A31" s="1002" t="s">
        <v>747</v>
      </c>
      <c r="B31" s="997"/>
      <c r="C31" s="997"/>
      <c r="D31" s="997"/>
      <c r="E31" s="997"/>
      <c r="F31" s="997"/>
      <c r="G31" s="997"/>
      <c r="H31" s="997"/>
    </row>
    <row r="32" spans="1:8">
      <c r="A32" s="1002" t="s">
        <v>748</v>
      </c>
      <c r="B32" s="997"/>
      <c r="C32" s="997"/>
      <c r="D32" s="997"/>
      <c r="E32" s="997"/>
      <c r="F32" s="997"/>
      <c r="G32" s="997"/>
      <c r="H32" s="997"/>
    </row>
    <row r="33" spans="1:8">
      <c r="A33" s="1002" t="s">
        <v>749</v>
      </c>
      <c r="B33" s="997"/>
      <c r="C33" s="997"/>
      <c r="D33" s="997"/>
      <c r="E33" s="997"/>
      <c r="F33" s="997"/>
      <c r="G33" s="997"/>
      <c r="H33" s="997"/>
    </row>
    <row r="34" spans="1:8">
      <c r="A34" s="997"/>
      <c r="B34" s="997"/>
      <c r="C34" s="997"/>
      <c r="D34" s="997"/>
      <c r="E34" s="997"/>
      <c r="F34" s="997"/>
      <c r="G34" s="997"/>
      <c r="H34" s="997"/>
    </row>
    <row r="35" spans="1:8">
      <c r="A35" s="1002" t="s">
        <v>741</v>
      </c>
      <c r="B35" s="997"/>
      <c r="C35" s="997"/>
      <c r="D35" s="997"/>
      <c r="E35" s="997"/>
      <c r="F35" s="997"/>
      <c r="G35" s="997"/>
      <c r="H35" s="997"/>
    </row>
    <row r="36" spans="1:8">
      <c r="A36" s="1002" t="s">
        <v>742</v>
      </c>
      <c r="B36" s="997"/>
      <c r="C36" s="997"/>
      <c r="D36" s="997"/>
      <c r="E36" s="997"/>
      <c r="F36" s="997"/>
      <c r="G36" s="997"/>
      <c r="H36" s="997"/>
    </row>
    <row r="37" spans="1:8">
      <c r="A37" s="1002" t="s">
        <v>743</v>
      </c>
      <c r="B37" s="997"/>
      <c r="C37" s="997"/>
      <c r="D37" s="997"/>
      <c r="E37" s="997"/>
      <c r="F37" s="997"/>
      <c r="G37" s="997"/>
      <c r="H37" s="997"/>
    </row>
    <row r="38" spans="1:8">
      <c r="A38" s="1002" t="s">
        <v>744</v>
      </c>
      <c r="B38" s="997"/>
      <c r="C38" s="997"/>
      <c r="D38" s="997"/>
      <c r="E38" s="997"/>
      <c r="F38" s="997"/>
      <c r="G38" s="997"/>
      <c r="H38" s="997"/>
    </row>
    <row r="39" spans="1:8">
      <c r="A39" s="997"/>
      <c r="B39" s="997"/>
      <c r="C39" s="997"/>
      <c r="D39" s="997"/>
      <c r="E39" s="997"/>
      <c r="F39" s="997"/>
      <c r="G39" s="997"/>
      <c r="H39" s="997"/>
    </row>
    <row r="40" spans="1:8">
      <c r="A40" s="1002" t="s">
        <v>735</v>
      </c>
      <c r="B40" s="997"/>
      <c r="C40" s="997"/>
      <c r="D40" s="997"/>
      <c r="E40" s="997"/>
      <c r="F40" s="997"/>
      <c r="G40" s="997"/>
      <c r="H40" s="997"/>
    </row>
    <row r="41" spans="1:8">
      <c r="A41" s="1002" t="s">
        <v>736</v>
      </c>
      <c r="B41" s="997"/>
      <c r="C41" s="997"/>
      <c r="D41" s="997"/>
      <c r="E41" s="997"/>
      <c r="F41" s="997"/>
      <c r="G41" s="997"/>
      <c r="H41" s="997"/>
    </row>
    <row r="42" spans="1:8">
      <c r="A42" s="1002" t="s">
        <v>737</v>
      </c>
      <c r="B42" s="997"/>
      <c r="C42" s="997"/>
      <c r="D42" s="997"/>
      <c r="E42" s="997"/>
      <c r="F42" s="997"/>
      <c r="G42" s="997"/>
      <c r="H42" s="997"/>
    </row>
    <row r="43" spans="1:8">
      <c r="A43" s="1002" t="s">
        <v>738</v>
      </c>
      <c r="B43" s="997"/>
      <c r="C43" s="997"/>
      <c r="D43" s="997"/>
      <c r="E43" s="997"/>
      <c r="F43" s="997"/>
      <c r="G43" s="997"/>
      <c r="H43" s="997"/>
    </row>
    <row r="44" spans="1:8">
      <c r="A44" s="1002" t="s">
        <v>739</v>
      </c>
      <c r="B44" s="997"/>
      <c r="C44" s="997"/>
      <c r="D44" s="997"/>
      <c r="E44" s="997"/>
      <c r="F44" s="997"/>
      <c r="G44" s="997"/>
      <c r="H44" s="997"/>
    </row>
    <row r="45" spans="1:8">
      <c r="A45" s="1002" t="s">
        <v>740</v>
      </c>
      <c r="B45" s="997"/>
      <c r="C45" s="997"/>
      <c r="D45" s="997"/>
      <c r="E45" s="997"/>
      <c r="F45" s="997"/>
      <c r="G45" s="997"/>
      <c r="H45" s="997"/>
    </row>
    <row r="46" spans="1:8">
      <c r="A46" s="997"/>
      <c r="B46" s="997"/>
      <c r="C46" s="997"/>
      <c r="D46" s="997"/>
      <c r="E46" s="997"/>
      <c r="F46" s="997"/>
      <c r="G46" s="997"/>
      <c r="H46" s="997"/>
    </row>
    <row r="47" spans="1:8" ht="15.75">
      <c r="A47" s="1003" t="s">
        <v>476</v>
      </c>
      <c r="B47" s="997"/>
      <c r="C47" s="997"/>
      <c r="D47" s="997"/>
      <c r="E47" s="997"/>
      <c r="F47" s="997"/>
      <c r="G47" s="997"/>
      <c r="H47" s="997"/>
    </row>
    <row r="48" spans="1:8">
      <c r="A48" s="997"/>
      <c r="B48" s="997"/>
      <c r="C48" s="997"/>
      <c r="D48" s="997"/>
      <c r="E48" s="997"/>
      <c r="F48" s="997"/>
      <c r="G48" s="997"/>
      <c r="H48" s="997"/>
    </row>
    <row r="49" spans="1:8">
      <c r="A49" s="1002" t="s">
        <v>731</v>
      </c>
      <c r="B49" s="997"/>
      <c r="C49" s="997"/>
      <c r="D49" s="997"/>
      <c r="E49" s="997"/>
      <c r="F49" s="997"/>
      <c r="G49" s="997"/>
      <c r="H49" s="997"/>
    </row>
    <row r="50" spans="1:8">
      <c r="A50" s="1002" t="s">
        <v>732</v>
      </c>
      <c r="B50" s="997"/>
      <c r="C50" s="997"/>
      <c r="D50" s="997"/>
      <c r="E50" s="997"/>
      <c r="F50" s="997"/>
      <c r="G50" s="997"/>
      <c r="H50" s="997"/>
    </row>
    <row r="51" spans="1:8">
      <c r="A51" s="1002" t="s">
        <v>733</v>
      </c>
      <c r="B51" s="997"/>
      <c r="C51" s="997"/>
      <c r="D51" s="997"/>
      <c r="E51" s="997"/>
      <c r="F51" s="997"/>
      <c r="G51" s="997"/>
      <c r="H51" s="997"/>
    </row>
    <row r="52" spans="1:8">
      <c r="A52" s="1002" t="s">
        <v>734</v>
      </c>
      <c r="B52" s="997"/>
      <c r="C52" s="997"/>
      <c r="D52" s="997"/>
      <c r="E52" s="997"/>
      <c r="F52" s="997"/>
      <c r="G52" s="997"/>
      <c r="H52" s="997"/>
    </row>
    <row r="53" spans="1:8">
      <c r="A53" s="997"/>
      <c r="B53" s="997"/>
      <c r="C53" s="997"/>
      <c r="D53" s="997"/>
      <c r="E53" s="997"/>
      <c r="F53" s="997"/>
      <c r="G53" s="997"/>
      <c r="H53" s="997"/>
    </row>
    <row r="54" spans="1:8">
      <c r="A54" s="1002" t="s">
        <v>477</v>
      </c>
      <c r="B54" s="997"/>
      <c r="C54" s="997"/>
      <c r="D54" s="997"/>
      <c r="E54" s="997"/>
      <c r="F54" s="997"/>
      <c r="G54" s="997"/>
      <c r="H54" s="997"/>
    </row>
    <row r="55" spans="1:8">
      <c r="A55" s="997"/>
      <c r="B55" s="997"/>
      <c r="C55" s="997"/>
      <c r="D55" s="997"/>
      <c r="E55" s="997"/>
      <c r="F55" s="997"/>
      <c r="G55" s="997"/>
      <c r="H55" s="997"/>
    </row>
    <row r="56" spans="1:8" ht="15.75">
      <c r="A56" s="1003" t="s">
        <v>478</v>
      </c>
      <c r="B56" s="997"/>
      <c r="C56" s="997"/>
      <c r="D56" s="997"/>
      <c r="E56" s="997"/>
      <c r="F56" s="997"/>
      <c r="G56" s="997"/>
      <c r="H56" s="997"/>
    </row>
    <row r="57" spans="1:8">
      <c r="A57" s="997"/>
      <c r="B57" s="997"/>
      <c r="C57" s="997"/>
      <c r="D57" s="997"/>
      <c r="E57" s="997"/>
      <c r="F57" s="997"/>
      <c r="G57" s="997"/>
      <c r="H57" s="997"/>
    </row>
    <row r="58" spans="1:8">
      <c r="A58" s="1002" t="s">
        <v>729</v>
      </c>
      <c r="B58" s="997"/>
      <c r="C58" s="997"/>
      <c r="D58" s="997"/>
      <c r="E58" s="997"/>
      <c r="F58" s="997"/>
      <c r="G58" s="997"/>
      <c r="H58" s="997"/>
    </row>
    <row r="59" spans="1:8">
      <c r="A59" s="1002" t="s">
        <v>730</v>
      </c>
      <c r="B59" s="997"/>
      <c r="C59" s="997"/>
      <c r="D59" s="997"/>
      <c r="E59" s="997"/>
      <c r="F59" s="997"/>
      <c r="G59" s="997"/>
      <c r="H59" s="997"/>
    </row>
    <row r="60" spans="1:8">
      <c r="A60" s="997"/>
      <c r="B60" s="997"/>
      <c r="C60" s="997"/>
      <c r="D60" s="997"/>
      <c r="E60" s="997"/>
      <c r="F60" s="997"/>
      <c r="G60" s="997"/>
      <c r="H60" s="997"/>
    </row>
    <row r="61" spans="1:8" ht="15.75">
      <c r="A61" s="1003" t="s">
        <v>479</v>
      </c>
      <c r="B61" s="997"/>
      <c r="C61" s="997"/>
      <c r="D61" s="997"/>
      <c r="E61" s="997"/>
      <c r="F61" s="997"/>
      <c r="G61" s="997"/>
      <c r="H61" s="997"/>
    </row>
    <row r="62" spans="1:8">
      <c r="A62" s="997"/>
      <c r="B62" s="997"/>
      <c r="C62" s="997"/>
      <c r="D62" s="997"/>
      <c r="E62" s="997"/>
      <c r="F62" s="997"/>
      <c r="G62" s="997"/>
      <c r="H62" s="997"/>
    </row>
    <row r="63" spans="1:8">
      <c r="A63" s="1002" t="s">
        <v>727</v>
      </c>
      <c r="B63" s="997"/>
      <c r="C63" s="997"/>
      <c r="D63" s="997"/>
      <c r="E63" s="997"/>
      <c r="F63" s="997"/>
      <c r="G63" s="997"/>
      <c r="H63" s="997"/>
    </row>
    <row r="64" spans="1:8">
      <c r="A64" s="1002" t="s">
        <v>728</v>
      </c>
      <c r="B64" s="997"/>
      <c r="C64" s="997"/>
      <c r="D64" s="997"/>
      <c r="E64" s="997"/>
      <c r="F64" s="997"/>
      <c r="G64" s="997"/>
      <c r="H64" s="997"/>
    </row>
    <row r="65" spans="1:8">
      <c r="A65" s="997"/>
      <c r="B65" s="997"/>
      <c r="C65" s="997"/>
      <c r="D65" s="997"/>
      <c r="E65" s="997"/>
      <c r="F65" s="997"/>
      <c r="G65" s="997"/>
      <c r="H65" s="997"/>
    </row>
    <row r="66" spans="1:8">
      <c r="A66" s="1002" t="s">
        <v>725</v>
      </c>
      <c r="B66" s="997"/>
      <c r="C66" s="997"/>
      <c r="D66" s="997"/>
      <c r="E66" s="997"/>
      <c r="F66" s="997"/>
      <c r="G66" s="997"/>
      <c r="H66" s="997"/>
    </row>
    <row r="67" spans="1:8">
      <c r="A67" s="1002" t="s">
        <v>726</v>
      </c>
      <c r="B67" s="997"/>
      <c r="C67" s="997"/>
      <c r="D67" s="997"/>
      <c r="E67" s="997"/>
      <c r="F67" s="997"/>
      <c r="G67" s="997"/>
      <c r="H67" s="997"/>
    </row>
    <row r="68" spans="1:8">
      <c r="A68" s="997"/>
      <c r="B68" s="997"/>
      <c r="C68" s="997"/>
      <c r="D68" s="997"/>
      <c r="E68" s="997"/>
      <c r="F68" s="997"/>
      <c r="G68" s="997"/>
      <c r="H68" s="997"/>
    </row>
    <row r="69" spans="1:8">
      <c r="A69" s="1002" t="s">
        <v>723</v>
      </c>
      <c r="B69" s="997"/>
      <c r="C69" s="997"/>
      <c r="D69" s="997"/>
      <c r="E69" s="997"/>
      <c r="F69" s="997"/>
      <c r="G69" s="997"/>
      <c r="H69" s="997"/>
    </row>
    <row r="70" spans="1:8">
      <c r="A70" s="1002" t="s">
        <v>724</v>
      </c>
      <c r="B70" s="997"/>
      <c r="C70" s="997"/>
      <c r="D70" s="997"/>
      <c r="E70" s="997"/>
      <c r="F70" s="997"/>
      <c r="G70" s="997"/>
      <c r="H70" s="997"/>
    </row>
    <row r="71" spans="1:8">
      <c r="A71" s="997"/>
      <c r="B71" s="997"/>
      <c r="C71" s="997"/>
      <c r="D71" s="997"/>
      <c r="E71" s="997"/>
      <c r="F71" s="997"/>
      <c r="G71" s="997"/>
      <c r="H71" s="997"/>
    </row>
    <row r="72" spans="1:8">
      <c r="A72" s="1002" t="s">
        <v>480</v>
      </c>
      <c r="B72" s="997"/>
      <c r="C72" s="997"/>
      <c r="D72" s="997"/>
      <c r="E72" s="997"/>
      <c r="F72" s="997"/>
      <c r="G72" s="997"/>
      <c r="H72" s="997"/>
    </row>
    <row r="73" spans="1:8">
      <c r="A73" s="997"/>
      <c r="B73" s="997"/>
      <c r="C73" s="997"/>
      <c r="D73" s="997"/>
      <c r="E73" s="997"/>
      <c r="F73" s="997"/>
      <c r="G73" s="997"/>
      <c r="H73" s="997"/>
    </row>
    <row r="74" spans="1:8">
      <c r="A74" s="1002" t="s">
        <v>718</v>
      </c>
      <c r="B74" s="997"/>
      <c r="C74" s="997"/>
      <c r="D74" s="997"/>
      <c r="E74" s="997"/>
      <c r="F74" s="997"/>
      <c r="G74" s="997"/>
      <c r="H74" s="997"/>
    </row>
    <row r="75" spans="1:8">
      <c r="A75" s="1002" t="s">
        <v>719</v>
      </c>
      <c r="B75" s="997"/>
      <c r="C75" s="997"/>
      <c r="D75" s="997"/>
      <c r="E75" s="997"/>
      <c r="F75" s="997"/>
      <c r="G75" s="997"/>
      <c r="H75" s="997"/>
    </row>
    <row r="76" spans="1:8">
      <c r="A76" s="1002" t="s">
        <v>720</v>
      </c>
      <c r="B76" s="997"/>
      <c r="C76" s="997"/>
      <c r="D76" s="997"/>
      <c r="E76" s="997"/>
      <c r="F76" s="997"/>
      <c r="G76" s="997"/>
      <c r="H76" s="997"/>
    </row>
    <row r="77" spans="1:8">
      <c r="A77" s="1002" t="s">
        <v>721</v>
      </c>
      <c r="B77" s="997"/>
      <c r="C77" s="997"/>
      <c r="D77" s="997"/>
      <c r="E77" s="997"/>
      <c r="F77" s="997"/>
      <c r="G77" s="997"/>
      <c r="H77" s="997"/>
    </row>
    <row r="78" spans="1:8">
      <c r="A78" s="1002" t="s">
        <v>722</v>
      </c>
      <c r="B78" s="997"/>
      <c r="C78" s="997"/>
      <c r="D78" s="997"/>
      <c r="E78" s="997"/>
      <c r="F78" s="997"/>
      <c r="G78" s="997"/>
      <c r="H78" s="997"/>
    </row>
    <row r="79" spans="1:8">
      <c r="A79" s="1002" t="s">
        <v>605</v>
      </c>
      <c r="B79" s="997"/>
      <c r="C79" s="997"/>
      <c r="D79" s="997"/>
      <c r="E79" s="997"/>
      <c r="F79" s="997"/>
      <c r="G79" s="997"/>
      <c r="H79" s="997"/>
    </row>
    <row r="80" spans="1:8">
      <c r="A80" s="997"/>
      <c r="B80" s="997"/>
      <c r="C80" s="997"/>
      <c r="D80" s="997"/>
      <c r="E80" s="997"/>
      <c r="F80" s="997"/>
      <c r="G80" s="997"/>
      <c r="H80" s="997"/>
    </row>
    <row r="81" spans="1:8">
      <c r="A81" s="1002" t="s">
        <v>711</v>
      </c>
      <c r="B81" s="997"/>
      <c r="C81" s="997"/>
      <c r="D81" s="997"/>
      <c r="E81" s="997"/>
      <c r="F81" s="997"/>
      <c r="G81" s="997"/>
      <c r="H81" s="997"/>
    </row>
    <row r="82" spans="1:8">
      <c r="A82" s="1002" t="s">
        <v>712</v>
      </c>
      <c r="B82" s="997"/>
      <c r="C82" s="997"/>
      <c r="D82" s="997"/>
      <c r="E82" s="997"/>
      <c r="F82" s="997"/>
      <c r="G82" s="997"/>
      <c r="H82" s="997"/>
    </row>
    <row r="83" spans="1:8">
      <c r="A83" s="1002" t="s">
        <v>713</v>
      </c>
      <c r="B83" s="997"/>
      <c r="C83" s="997"/>
      <c r="D83" s="997"/>
      <c r="E83" s="997"/>
      <c r="F83" s="997"/>
      <c r="G83" s="997"/>
      <c r="H83" s="997"/>
    </row>
    <row r="84" spans="1:8">
      <c r="A84" s="1002" t="s">
        <v>714</v>
      </c>
      <c r="B84" s="997"/>
      <c r="C84" s="997"/>
      <c r="D84" s="997"/>
      <c r="E84" s="997"/>
      <c r="F84" s="997"/>
      <c r="G84" s="997"/>
      <c r="H84" s="997"/>
    </row>
    <row r="85" spans="1:8">
      <c r="A85" s="1002" t="s">
        <v>715</v>
      </c>
      <c r="B85" s="997"/>
      <c r="C85" s="997"/>
      <c r="D85" s="997"/>
      <c r="E85" s="997"/>
      <c r="F85" s="997"/>
      <c r="G85" s="997"/>
      <c r="H85" s="997"/>
    </row>
    <row r="86" spans="1:8">
      <c r="A86" s="1002" t="s">
        <v>716</v>
      </c>
      <c r="B86" s="997"/>
      <c r="C86" s="997"/>
      <c r="D86" s="997"/>
      <c r="E86" s="997"/>
      <c r="F86" s="997"/>
      <c r="G86" s="997"/>
      <c r="H86" s="997"/>
    </row>
    <row r="87" spans="1:8">
      <c r="A87" s="1002" t="s">
        <v>717</v>
      </c>
      <c r="B87" s="997"/>
      <c r="C87" s="997"/>
      <c r="D87" s="997"/>
      <c r="E87" s="997"/>
      <c r="F87" s="997"/>
      <c r="G87" s="997"/>
      <c r="H87" s="997"/>
    </row>
    <row r="88" spans="1:8">
      <c r="A88" s="997"/>
      <c r="B88" s="997"/>
      <c r="C88" s="997"/>
      <c r="D88" s="997"/>
      <c r="E88" s="997"/>
      <c r="F88" s="997"/>
      <c r="G88" s="997"/>
      <c r="H88" s="997"/>
    </row>
    <row r="89" spans="1:8">
      <c r="A89" s="1002" t="s">
        <v>709</v>
      </c>
      <c r="B89" s="997"/>
      <c r="C89" s="997"/>
      <c r="D89" s="997"/>
      <c r="E89" s="997"/>
      <c r="F89" s="997"/>
      <c r="G89" s="997"/>
      <c r="H89" s="997"/>
    </row>
    <row r="90" spans="1:8">
      <c r="A90" s="1002" t="s">
        <v>710</v>
      </c>
      <c r="B90" s="997"/>
      <c r="C90" s="997"/>
      <c r="D90" s="997"/>
      <c r="E90" s="997"/>
      <c r="F90" s="997"/>
      <c r="G90" s="997"/>
      <c r="H90" s="997"/>
    </row>
    <row r="91" spans="1:8">
      <c r="A91" s="997"/>
      <c r="B91" s="997"/>
      <c r="C91" s="997"/>
      <c r="D91" s="997"/>
      <c r="E91" s="997"/>
      <c r="F91" s="997"/>
      <c r="G91" s="997"/>
      <c r="H91" s="997"/>
    </row>
    <row r="92" spans="1:8" ht="15.75">
      <c r="A92" s="1003" t="s">
        <v>481</v>
      </c>
      <c r="B92" s="997"/>
      <c r="C92" s="997"/>
      <c r="D92" s="997"/>
      <c r="E92" s="997"/>
      <c r="F92" s="997"/>
      <c r="G92" s="997"/>
      <c r="H92" s="997"/>
    </row>
    <row r="93" spans="1:8">
      <c r="A93" s="997"/>
      <c r="B93" s="997"/>
      <c r="C93" s="997"/>
      <c r="D93" s="997"/>
      <c r="E93" s="997"/>
      <c r="F93" s="997"/>
      <c r="G93" s="997"/>
      <c r="H93" s="997"/>
    </row>
    <row r="94" spans="1:8">
      <c r="A94" s="1002" t="s">
        <v>700</v>
      </c>
      <c r="B94" s="997"/>
      <c r="C94" s="997"/>
      <c r="D94" s="997"/>
      <c r="E94" s="997"/>
      <c r="F94" s="997"/>
      <c r="G94" s="997"/>
      <c r="H94" s="997"/>
    </row>
    <row r="95" spans="1:8">
      <c r="A95" s="1002" t="s">
        <v>701</v>
      </c>
      <c r="B95" s="997"/>
      <c r="C95" s="997"/>
      <c r="D95" s="997"/>
      <c r="E95" s="997"/>
      <c r="F95" s="997"/>
      <c r="G95" s="997"/>
      <c r="H95" s="997"/>
    </row>
    <row r="96" spans="1:8">
      <c r="A96" s="1002" t="s">
        <v>702</v>
      </c>
      <c r="B96" s="997"/>
      <c r="C96" s="997"/>
      <c r="D96" s="997"/>
      <c r="E96" s="997"/>
      <c r="F96" s="997"/>
      <c r="G96" s="997"/>
      <c r="H96" s="997"/>
    </row>
    <row r="97" spans="1:8">
      <c r="A97" s="1002" t="s">
        <v>703</v>
      </c>
      <c r="B97" s="997"/>
      <c r="C97" s="997"/>
      <c r="D97" s="997"/>
      <c r="E97" s="997"/>
      <c r="F97" s="997"/>
      <c r="G97" s="997"/>
      <c r="H97" s="997"/>
    </row>
    <row r="98" spans="1:8">
      <c r="A98" s="1002" t="s">
        <v>704</v>
      </c>
      <c r="B98" s="997"/>
      <c r="C98" s="997"/>
      <c r="D98" s="997"/>
      <c r="E98" s="997"/>
      <c r="F98" s="997"/>
      <c r="G98" s="997"/>
      <c r="H98" s="997"/>
    </row>
    <row r="99" spans="1:8">
      <c r="A99" s="1002" t="s">
        <v>705</v>
      </c>
      <c r="B99" s="997"/>
      <c r="C99" s="997"/>
      <c r="D99" s="997"/>
      <c r="E99" s="997"/>
      <c r="F99" s="997"/>
      <c r="G99" s="997"/>
      <c r="H99" s="997"/>
    </row>
    <row r="100" spans="1:8">
      <c r="A100" s="1002" t="s">
        <v>706</v>
      </c>
      <c r="B100" s="997"/>
      <c r="C100" s="997"/>
      <c r="D100" s="997"/>
      <c r="E100" s="997"/>
      <c r="F100" s="997"/>
      <c r="G100" s="997"/>
      <c r="H100" s="997"/>
    </row>
    <row r="101" spans="1:8">
      <c r="A101" s="1002" t="s">
        <v>707</v>
      </c>
      <c r="B101" s="997"/>
      <c r="C101" s="997"/>
      <c r="D101" s="997"/>
      <c r="E101" s="997"/>
      <c r="F101" s="997"/>
      <c r="G101" s="997"/>
      <c r="H101" s="997"/>
    </row>
    <row r="102" spans="1:8">
      <c r="A102" s="1002" t="s">
        <v>708</v>
      </c>
      <c r="B102" s="997"/>
      <c r="C102" s="997"/>
      <c r="D102" s="997"/>
      <c r="E102" s="997"/>
      <c r="F102" s="997"/>
      <c r="G102" s="997"/>
      <c r="H102" s="997"/>
    </row>
    <row r="103" spans="1:8">
      <c r="A103" s="997"/>
      <c r="B103" s="997"/>
      <c r="C103" s="997"/>
      <c r="D103" s="997"/>
      <c r="E103" s="997"/>
      <c r="F103" s="997"/>
      <c r="G103" s="997"/>
      <c r="H103" s="997"/>
    </row>
    <row r="104" spans="1:8" ht="15.75">
      <c r="A104" s="1004" t="s">
        <v>482</v>
      </c>
      <c r="B104" s="1004"/>
      <c r="C104" s="1004"/>
      <c r="D104" s="1004"/>
      <c r="E104" s="1004"/>
      <c r="F104" s="1004"/>
      <c r="G104" s="1004"/>
      <c r="H104" s="1004"/>
    </row>
    <row r="105" spans="1:8">
      <c r="A105" s="1005" t="s">
        <v>483</v>
      </c>
      <c r="B105" s="1005"/>
      <c r="C105" s="1005"/>
      <c r="D105" s="1005"/>
      <c r="E105" s="1005"/>
      <c r="F105" s="1005"/>
      <c r="G105" s="1005"/>
      <c r="H105" s="1005"/>
    </row>
    <row r="106" spans="1:8">
      <c r="A106" s="1006"/>
      <c r="B106" s="1006"/>
      <c r="C106" s="1006"/>
      <c r="D106" s="1006"/>
      <c r="E106" s="1006"/>
      <c r="F106" s="1006"/>
      <c r="G106" s="1006"/>
      <c r="H106" s="1006"/>
    </row>
    <row r="107" spans="1:8">
      <c r="A107" s="1005" t="s">
        <v>698</v>
      </c>
      <c r="B107" s="1005"/>
      <c r="C107" s="1005"/>
      <c r="D107" s="1005"/>
      <c r="E107" s="1005"/>
      <c r="F107" s="1005"/>
      <c r="G107" s="1005"/>
      <c r="H107" s="1005"/>
    </row>
    <row r="108" spans="1:8">
      <c r="A108" s="1002" t="s">
        <v>699</v>
      </c>
      <c r="B108" s="1002"/>
      <c r="C108" s="1002"/>
      <c r="D108" s="1002"/>
      <c r="E108" s="1002"/>
      <c r="F108" s="1002"/>
      <c r="G108" s="1002"/>
      <c r="H108" s="1002"/>
    </row>
    <row r="109" spans="1:8">
      <c r="A109" s="1006"/>
      <c r="B109" s="1006"/>
      <c r="C109" s="1006"/>
      <c r="D109" s="1006"/>
      <c r="E109" s="1006"/>
      <c r="F109" s="1006"/>
      <c r="G109" s="1006"/>
      <c r="H109" s="1006"/>
    </row>
    <row r="110" spans="1:8">
      <c r="A110" s="1005" t="s">
        <v>691</v>
      </c>
      <c r="B110" s="1005"/>
      <c r="C110" s="1005"/>
      <c r="D110" s="1005"/>
      <c r="E110" s="1005"/>
      <c r="F110" s="1005"/>
      <c r="G110" s="1005"/>
      <c r="H110" s="1005"/>
    </row>
    <row r="111" spans="1:8">
      <c r="A111" s="1002" t="s">
        <v>692</v>
      </c>
      <c r="B111" s="1002"/>
      <c r="C111" s="1002"/>
      <c r="D111" s="1002"/>
      <c r="E111" s="1002"/>
      <c r="F111" s="1002"/>
      <c r="G111" s="1002"/>
      <c r="H111" s="1002"/>
    </row>
    <row r="112" spans="1:8">
      <c r="A112" s="1002" t="s">
        <v>693</v>
      </c>
      <c r="B112" s="1002"/>
      <c r="C112" s="1002"/>
      <c r="D112" s="1002"/>
      <c r="E112" s="1002"/>
      <c r="F112" s="1002"/>
      <c r="G112" s="1002"/>
      <c r="H112" s="1002"/>
    </row>
    <row r="113" spans="1:8">
      <c r="A113" s="1002" t="s">
        <v>694</v>
      </c>
      <c r="B113" s="1002"/>
      <c r="C113" s="1002"/>
      <c r="D113" s="1002"/>
      <c r="E113" s="1002"/>
      <c r="F113" s="1002"/>
      <c r="G113" s="1002"/>
      <c r="H113" s="1002"/>
    </row>
    <row r="114" spans="1:8">
      <c r="A114" s="1002" t="s">
        <v>695</v>
      </c>
      <c r="B114" s="1002"/>
      <c r="C114" s="1002"/>
      <c r="D114" s="1002"/>
      <c r="E114" s="1002"/>
      <c r="F114" s="1002"/>
      <c r="G114" s="1002"/>
      <c r="H114" s="1002"/>
    </row>
    <row r="115" spans="1:8">
      <c r="A115" s="1002" t="s">
        <v>696</v>
      </c>
      <c r="B115" s="1002"/>
      <c r="C115" s="1002"/>
      <c r="D115" s="1002"/>
      <c r="E115" s="1002"/>
      <c r="F115" s="1002"/>
      <c r="G115" s="1002"/>
      <c r="H115" s="1002"/>
    </row>
    <row r="116" spans="1:8">
      <c r="A116" s="1002" t="s">
        <v>697</v>
      </c>
      <c r="B116" s="1002"/>
      <c r="C116" s="1002"/>
      <c r="D116" s="1002"/>
      <c r="E116" s="1002"/>
      <c r="F116" s="1002"/>
      <c r="G116" s="1002"/>
      <c r="H116" s="1002"/>
    </row>
    <row r="117" spans="1:8">
      <c r="A117" s="1007"/>
      <c r="B117" s="1007"/>
      <c r="C117" s="1007"/>
      <c r="D117" s="1007"/>
      <c r="E117" s="1007"/>
      <c r="F117" s="1007"/>
      <c r="G117" s="1007"/>
      <c r="H117" s="1007"/>
    </row>
    <row r="118" spans="1:8">
      <c r="A118" s="1008"/>
      <c r="B118" s="1009" t="s">
        <v>484</v>
      </c>
      <c r="C118" s="1010"/>
      <c r="D118" s="1009" t="s">
        <v>485</v>
      </c>
      <c r="E118" s="1011"/>
      <c r="F118" s="1010"/>
      <c r="G118" s="1009" t="s">
        <v>486</v>
      </c>
      <c r="H118" s="1010"/>
    </row>
    <row r="119" spans="1:8">
      <c r="A119" s="1008" t="s">
        <v>487</v>
      </c>
      <c r="B119" s="1008" t="s">
        <v>437</v>
      </c>
      <c r="C119" s="1008" t="s">
        <v>488</v>
      </c>
      <c r="D119" s="1008" t="s">
        <v>437</v>
      </c>
      <c r="E119" s="1008" t="s">
        <v>489</v>
      </c>
      <c r="F119" s="1008" t="s">
        <v>490</v>
      </c>
      <c r="G119" s="1008" t="s">
        <v>437</v>
      </c>
      <c r="H119" s="1008" t="s">
        <v>491</v>
      </c>
    </row>
    <row r="120" spans="1:8">
      <c r="A120" s="1008" t="s">
        <v>492</v>
      </c>
      <c r="B120" s="1008">
        <v>1149</v>
      </c>
      <c r="C120" s="1012">
        <v>0.36</v>
      </c>
      <c r="D120" s="1008">
        <v>313</v>
      </c>
      <c r="E120" s="1012">
        <v>0.41</v>
      </c>
      <c r="F120" s="1012">
        <v>0.27</v>
      </c>
      <c r="G120" s="1008">
        <v>559</v>
      </c>
      <c r="H120" s="1012">
        <v>0.38</v>
      </c>
    </row>
    <row r="121" spans="1:8">
      <c r="A121" s="1008" t="s">
        <v>493</v>
      </c>
      <c r="B121" s="1008">
        <v>1400</v>
      </c>
      <c r="C121" s="1012">
        <v>0.44</v>
      </c>
      <c r="D121" s="1008">
        <v>363</v>
      </c>
      <c r="E121" s="1012">
        <v>0.47</v>
      </c>
      <c r="F121" s="1012">
        <v>0.26</v>
      </c>
      <c r="G121" s="1008">
        <v>669</v>
      </c>
      <c r="H121" s="1012">
        <v>0.45</v>
      </c>
    </row>
    <row r="122" spans="1:8">
      <c r="A122" s="1008" t="s">
        <v>494</v>
      </c>
      <c r="B122" s="1008">
        <v>56</v>
      </c>
      <c r="C122" s="1012">
        <v>0.02</v>
      </c>
      <c r="D122" s="1008">
        <v>5</v>
      </c>
      <c r="E122" s="1012">
        <v>0.01</v>
      </c>
      <c r="F122" s="1012">
        <v>0.09</v>
      </c>
      <c r="G122" s="1008">
        <v>9</v>
      </c>
      <c r="H122" s="1012">
        <v>0.01</v>
      </c>
    </row>
    <row r="123" spans="1:8">
      <c r="A123" s="1008" t="s">
        <v>495</v>
      </c>
      <c r="B123" s="1008">
        <v>587</v>
      </c>
      <c r="C123" s="1012">
        <v>0.18</v>
      </c>
      <c r="D123" s="1008">
        <v>91</v>
      </c>
      <c r="E123" s="1012">
        <v>0.12</v>
      </c>
      <c r="F123" s="1012">
        <v>0.16</v>
      </c>
      <c r="G123" s="1008">
        <v>235</v>
      </c>
      <c r="H123" s="1012">
        <v>0.16</v>
      </c>
    </row>
    <row r="124" spans="1:8">
      <c r="A124" s="1008" t="s">
        <v>276</v>
      </c>
      <c r="B124" s="1013">
        <v>3192</v>
      </c>
      <c r="C124" s="1008"/>
      <c r="D124" s="1008">
        <v>772</v>
      </c>
      <c r="E124" s="1008"/>
      <c r="F124" s="1008"/>
      <c r="G124" s="1008">
        <v>1472</v>
      </c>
      <c r="H124" s="1008"/>
    </row>
    <row r="125" spans="1:8">
      <c r="A125" s="1014"/>
      <c r="B125" s="1014"/>
      <c r="C125" s="1014"/>
      <c r="D125" s="1014"/>
      <c r="E125" s="1014"/>
      <c r="F125" s="1014"/>
      <c r="G125" s="1014"/>
      <c r="H125" s="1014"/>
    </row>
    <row r="126" spans="1:8">
      <c r="A126" s="1005" t="s">
        <v>687</v>
      </c>
      <c r="B126" s="1005"/>
      <c r="C126" s="1005"/>
      <c r="D126" s="1005"/>
      <c r="E126" s="1005"/>
      <c r="F126" s="1005"/>
      <c r="G126" s="1005"/>
      <c r="H126" s="1005"/>
    </row>
    <row r="127" spans="1:8">
      <c r="A127" s="1002" t="s">
        <v>688</v>
      </c>
      <c r="B127" s="1002"/>
      <c r="C127" s="1002"/>
      <c r="D127" s="1002"/>
      <c r="E127" s="1002"/>
      <c r="F127" s="1002"/>
      <c r="G127" s="1002"/>
      <c r="H127" s="1002"/>
    </row>
    <row r="128" spans="1:8">
      <c r="A128" s="1002" t="s">
        <v>689</v>
      </c>
      <c r="B128" s="1002"/>
      <c r="C128" s="1002"/>
      <c r="D128" s="1002"/>
      <c r="E128" s="1002"/>
      <c r="F128" s="1002"/>
      <c r="G128" s="1002"/>
      <c r="H128" s="1002"/>
    </row>
    <row r="129" spans="1:8">
      <c r="A129" s="1002" t="s">
        <v>690</v>
      </c>
      <c r="B129" s="1002"/>
      <c r="C129" s="1002"/>
      <c r="D129" s="1002"/>
      <c r="E129" s="1002"/>
      <c r="F129" s="1002"/>
      <c r="G129" s="1002"/>
      <c r="H129" s="1002"/>
    </row>
    <row r="130" spans="1:8">
      <c r="A130" s="997"/>
      <c r="B130" s="997"/>
      <c r="C130" s="997"/>
      <c r="D130" s="997"/>
      <c r="E130" s="997"/>
      <c r="F130" s="997"/>
      <c r="G130" s="997"/>
      <c r="H130" s="997"/>
    </row>
    <row r="131" spans="1:8" ht="15.75">
      <c r="A131" s="1003" t="s">
        <v>496</v>
      </c>
      <c r="B131" s="997"/>
      <c r="C131" s="997"/>
      <c r="D131" s="997"/>
      <c r="E131" s="997"/>
      <c r="F131" s="997"/>
      <c r="G131" s="997"/>
      <c r="H131" s="997"/>
    </row>
    <row r="132" spans="1:8">
      <c r="A132" s="997"/>
      <c r="B132" s="997"/>
      <c r="C132" s="997"/>
      <c r="D132" s="997"/>
      <c r="E132" s="997"/>
      <c r="F132" s="997"/>
      <c r="G132" s="997"/>
      <c r="H132" s="997"/>
    </row>
    <row r="133" spans="1:8">
      <c r="A133" s="1002" t="s">
        <v>685</v>
      </c>
      <c r="B133" s="997"/>
      <c r="C133" s="997"/>
      <c r="D133" s="997"/>
      <c r="E133" s="997"/>
      <c r="F133" s="997"/>
      <c r="G133" s="997"/>
      <c r="H133" s="997"/>
    </row>
    <row r="134" spans="1:8">
      <c r="A134" s="1002" t="s">
        <v>686</v>
      </c>
      <c r="B134" s="997"/>
      <c r="C134" s="997"/>
      <c r="D134" s="997"/>
      <c r="E134" s="997"/>
      <c r="F134" s="997"/>
      <c r="G134" s="997"/>
      <c r="H134" s="997"/>
    </row>
    <row r="135" spans="1:8">
      <c r="A135" s="997"/>
      <c r="B135" s="997"/>
      <c r="C135" s="997"/>
      <c r="D135" s="997"/>
      <c r="E135" s="997"/>
      <c r="F135" s="997"/>
      <c r="G135" s="997"/>
      <c r="H135" s="997"/>
    </row>
    <row r="136" spans="1:8">
      <c r="A136" s="1002" t="s">
        <v>682</v>
      </c>
      <c r="B136" s="997"/>
      <c r="C136" s="997"/>
      <c r="D136" s="997"/>
      <c r="E136" s="997"/>
      <c r="F136" s="997"/>
      <c r="G136" s="997"/>
      <c r="H136" s="997"/>
    </row>
    <row r="137" spans="1:8">
      <c r="A137" s="1002" t="s">
        <v>683</v>
      </c>
      <c r="B137" s="997"/>
      <c r="C137" s="997"/>
      <c r="D137" s="997"/>
      <c r="E137" s="997"/>
      <c r="F137" s="997"/>
      <c r="G137" s="997"/>
      <c r="H137" s="997"/>
    </row>
    <row r="138" spans="1:8">
      <c r="A138" s="1002" t="s">
        <v>684</v>
      </c>
      <c r="B138" s="997"/>
      <c r="C138" s="997"/>
      <c r="D138" s="997"/>
      <c r="E138" s="997"/>
      <c r="F138" s="997"/>
      <c r="G138" s="997"/>
      <c r="H138" s="997"/>
    </row>
    <row r="139" spans="1:8">
      <c r="A139" s="997"/>
      <c r="B139" s="997"/>
      <c r="C139" s="997"/>
      <c r="D139" s="997"/>
      <c r="E139" s="997"/>
      <c r="F139" s="997"/>
      <c r="G139" s="997"/>
      <c r="H139" s="997"/>
    </row>
    <row r="140" spans="1:8">
      <c r="A140" s="1002" t="s">
        <v>679</v>
      </c>
      <c r="B140" s="997"/>
      <c r="C140" s="997"/>
      <c r="D140" s="997"/>
      <c r="E140" s="997"/>
      <c r="F140" s="997"/>
      <c r="G140" s="997"/>
      <c r="H140" s="997"/>
    </row>
    <row r="141" spans="1:8">
      <c r="A141" s="1002" t="s">
        <v>680</v>
      </c>
      <c r="B141" s="997"/>
      <c r="C141" s="997"/>
      <c r="D141" s="997"/>
      <c r="E141" s="997"/>
      <c r="F141" s="997"/>
      <c r="G141" s="997"/>
      <c r="H141" s="997"/>
    </row>
    <row r="142" spans="1:8">
      <c r="A142" s="1002" t="s">
        <v>681</v>
      </c>
      <c r="B142" s="997"/>
      <c r="C142" s="997"/>
      <c r="D142" s="997"/>
      <c r="E142" s="997"/>
      <c r="F142" s="997"/>
      <c r="G142" s="997"/>
      <c r="H142" s="997"/>
    </row>
    <row r="143" spans="1:8">
      <c r="A143" s="997"/>
      <c r="B143" s="997"/>
      <c r="C143" s="997"/>
      <c r="D143" s="997"/>
      <c r="E143" s="997"/>
      <c r="F143" s="997"/>
      <c r="G143" s="997"/>
      <c r="H143" s="997"/>
    </row>
    <row r="144" spans="1:8">
      <c r="A144" s="1002" t="s">
        <v>676</v>
      </c>
      <c r="B144" s="997"/>
      <c r="C144" s="997"/>
      <c r="D144" s="997"/>
      <c r="E144" s="997"/>
      <c r="F144" s="997"/>
      <c r="G144" s="997"/>
      <c r="H144" s="997"/>
    </row>
    <row r="145" spans="1:8">
      <c r="A145" s="1002" t="s">
        <v>677</v>
      </c>
      <c r="B145" s="997"/>
      <c r="C145" s="997"/>
      <c r="D145" s="997"/>
      <c r="E145" s="997"/>
      <c r="F145" s="997"/>
      <c r="G145" s="997"/>
      <c r="H145" s="997"/>
    </row>
    <row r="146" spans="1:8">
      <c r="A146" s="1002" t="s">
        <v>678</v>
      </c>
      <c r="B146" s="997"/>
      <c r="C146" s="997"/>
      <c r="D146" s="997"/>
      <c r="E146" s="997"/>
      <c r="F146" s="997"/>
      <c r="G146" s="997"/>
      <c r="H146" s="997"/>
    </row>
    <row r="147" spans="1:8">
      <c r="A147" s="997"/>
      <c r="B147" s="997"/>
      <c r="C147" s="997"/>
      <c r="D147" s="997"/>
      <c r="E147" s="997"/>
      <c r="F147" s="997"/>
      <c r="G147" s="997"/>
      <c r="H147" s="997"/>
    </row>
    <row r="148" spans="1:8">
      <c r="A148" s="1002" t="s">
        <v>674</v>
      </c>
      <c r="B148" s="997"/>
      <c r="C148" s="997"/>
      <c r="D148" s="997"/>
      <c r="E148" s="997"/>
      <c r="F148" s="997"/>
      <c r="G148" s="997"/>
      <c r="H148" s="997"/>
    </row>
    <row r="149" spans="1:8">
      <c r="A149" s="1002" t="s">
        <v>675</v>
      </c>
      <c r="B149" s="997"/>
      <c r="C149" s="997"/>
      <c r="D149" s="997"/>
      <c r="E149" s="997"/>
      <c r="F149" s="997"/>
      <c r="G149" s="997"/>
      <c r="H149" s="997"/>
    </row>
    <row r="150" spans="1:8">
      <c r="A150" s="997"/>
      <c r="B150" s="997"/>
      <c r="C150" s="997"/>
      <c r="D150" s="997"/>
      <c r="E150" s="997"/>
      <c r="F150" s="997"/>
      <c r="G150" s="997"/>
      <c r="H150" s="997"/>
    </row>
    <row r="151" spans="1:8" ht="15.75">
      <c r="A151" s="1003" t="s">
        <v>497</v>
      </c>
      <c r="B151" s="997"/>
      <c r="C151" s="997"/>
      <c r="D151" s="997"/>
      <c r="E151" s="997"/>
      <c r="F151" s="997"/>
      <c r="G151" s="997"/>
      <c r="H151" s="997"/>
    </row>
    <row r="152" spans="1:8">
      <c r="A152" s="997"/>
      <c r="B152" s="997"/>
      <c r="C152" s="997"/>
      <c r="D152" s="997"/>
      <c r="E152" s="997"/>
      <c r="F152" s="997"/>
      <c r="G152" s="997"/>
      <c r="H152" s="997"/>
    </row>
    <row r="153" spans="1:8">
      <c r="A153" s="1002" t="s">
        <v>672</v>
      </c>
      <c r="B153" s="997"/>
      <c r="C153" s="997"/>
      <c r="D153" s="997"/>
      <c r="E153" s="997"/>
      <c r="F153" s="997"/>
      <c r="G153" s="997"/>
      <c r="H153" s="997"/>
    </row>
    <row r="154" spans="1:8">
      <c r="A154" s="1002" t="s">
        <v>673</v>
      </c>
      <c r="B154" s="997"/>
      <c r="C154" s="997"/>
      <c r="D154" s="997"/>
      <c r="E154" s="997"/>
      <c r="F154" s="997"/>
      <c r="G154" s="997"/>
      <c r="H154" s="997"/>
    </row>
    <row r="155" spans="1:8">
      <c r="A155" s="997"/>
      <c r="B155" s="997"/>
      <c r="C155" s="997"/>
      <c r="D155" s="997"/>
      <c r="E155" s="997"/>
      <c r="F155" s="997"/>
      <c r="G155" s="997"/>
      <c r="H155" s="997"/>
    </row>
    <row r="156" spans="1:8">
      <c r="A156" s="1002" t="s">
        <v>670</v>
      </c>
      <c r="B156" s="997"/>
      <c r="C156" s="997"/>
      <c r="D156" s="997"/>
      <c r="E156" s="997"/>
      <c r="F156" s="997"/>
      <c r="G156" s="997"/>
      <c r="H156" s="997"/>
    </row>
    <row r="157" spans="1:8">
      <c r="A157" s="1002" t="s">
        <v>671</v>
      </c>
      <c r="B157" s="997"/>
      <c r="C157" s="997"/>
      <c r="D157" s="997"/>
      <c r="E157" s="997"/>
      <c r="F157" s="997"/>
      <c r="G157" s="997"/>
      <c r="H157" s="997"/>
    </row>
    <row r="158" spans="1:8">
      <c r="A158" s="997"/>
      <c r="B158" s="997"/>
      <c r="C158" s="997"/>
      <c r="D158" s="997"/>
      <c r="E158" s="997"/>
      <c r="F158" s="997"/>
      <c r="G158" s="997"/>
      <c r="H158" s="997"/>
    </row>
    <row r="159" spans="1:8">
      <c r="A159" s="1002" t="s">
        <v>668</v>
      </c>
      <c r="B159" s="997"/>
      <c r="C159" s="997"/>
      <c r="D159" s="997"/>
      <c r="E159" s="997"/>
      <c r="F159" s="997"/>
      <c r="G159" s="997"/>
      <c r="H159" s="997"/>
    </row>
    <row r="160" spans="1:8">
      <c r="A160" s="1002" t="s">
        <v>669</v>
      </c>
      <c r="B160" s="997"/>
      <c r="C160" s="997"/>
      <c r="D160" s="997"/>
      <c r="E160" s="997"/>
      <c r="F160" s="997"/>
      <c r="G160" s="997"/>
      <c r="H160" s="997"/>
    </row>
    <row r="161" spans="1:8">
      <c r="A161" s="997"/>
      <c r="B161" s="997"/>
      <c r="C161" s="997"/>
      <c r="D161" s="997"/>
      <c r="E161" s="997"/>
      <c r="F161" s="997"/>
      <c r="G161" s="997"/>
      <c r="H161" s="997"/>
    </row>
    <row r="162" spans="1:8">
      <c r="A162" s="1002" t="s">
        <v>665</v>
      </c>
      <c r="B162" s="997"/>
      <c r="C162" s="997"/>
      <c r="D162" s="997"/>
      <c r="E162" s="997"/>
      <c r="F162" s="997"/>
      <c r="G162" s="997"/>
      <c r="H162" s="997"/>
    </row>
    <row r="163" spans="1:8">
      <c r="A163" s="1002" t="s">
        <v>666</v>
      </c>
      <c r="B163" s="997"/>
      <c r="C163" s="997"/>
      <c r="D163" s="997"/>
      <c r="E163" s="997"/>
      <c r="F163" s="997"/>
      <c r="G163" s="997"/>
      <c r="H163" s="997"/>
    </row>
    <row r="164" spans="1:8">
      <c r="A164" s="1002" t="s">
        <v>667</v>
      </c>
      <c r="B164" s="997"/>
      <c r="C164" s="997"/>
      <c r="D164" s="997"/>
      <c r="E164" s="997"/>
      <c r="F164" s="997"/>
      <c r="G164" s="997"/>
      <c r="H164" s="997"/>
    </row>
    <row r="165" spans="1:8">
      <c r="A165" s="997"/>
      <c r="B165" s="997"/>
      <c r="C165" s="997"/>
      <c r="D165" s="997"/>
      <c r="E165" s="997"/>
      <c r="F165" s="997"/>
      <c r="G165" s="997"/>
      <c r="H165" s="997"/>
    </row>
    <row r="166" spans="1:8">
      <c r="A166" s="997"/>
      <c r="B166" s="997"/>
      <c r="C166" s="997"/>
      <c r="D166" s="997"/>
      <c r="E166" s="997"/>
      <c r="F166" s="997"/>
      <c r="G166" s="997"/>
      <c r="H166" s="997"/>
    </row>
    <row r="167" spans="1:8">
      <c r="A167" s="1002" t="s">
        <v>430</v>
      </c>
      <c r="B167" s="997"/>
      <c r="C167" s="997"/>
      <c r="D167" s="997"/>
      <c r="E167" s="997"/>
      <c r="F167" s="997"/>
      <c r="G167" s="997"/>
      <c r="H167" s="997"/>
    </row>
    <row r="168" spans="1:8">
      <c r="A168" s="997"/>
      <c r="B168" s="997"/>
      <c r="C168" s="997"/>
      <c r="D168" s="997"/>
      <c r="E168" s="997"/>
      <c r="F168" s="997"/>
      <c r="G168" s="997"/>
      <c r="H168" s="997"/>
    </row>
    <row r="169" spans="1:8" ht="15.75">
      <c r="A169" s="1003" t="s">
        <v>498</v>
      </c>
      <c r="B169" s="997"/>
      <c r="C169" s="997"/>
      <c r="D169" s="997"/>
      <c r="E169" s="997"/>
      <c r="F169" s="997"/>
      <c r="G169" s="997"/>
      <c r="H169" s="997"/>
    </row>
    <row r="170" spans="1:8">
      <c r="A170" s="997"/>
      <c r="B170" s="997"/>
      <c r="C170" s="997"/>
      <c r="D170" s="997"/>
      <c r="E170" s="997"/>
      <c r="F170" s="997"/>
      <c r="G170" s="997"/>
      <c r="H170" s="997"/>
    </row>
    <row r="171" spans="1:8">
      <c r="A171" s="997"/>
      <c r="B171" s="997"/>
      <c r="C171" s="997"/>
      <c r="D171" s="997"/>
      <c r="E171" s="997"/>
      <c r="F171" s="997"/>
      <c r="G171" s="997"/>
      <c r="H171" s="997"/>
    </row>
    <row r="172" spans="1:8">
      <c r="A172" s="997"/>
      <c r="B172" s="997"/>
      <c r="C172" s="997"/>
      <c r="D172" s="997"/>
      <c r="E172" s="997"/>
      <c r="F172" s="997"/>
      <c r="G172" s="997"/>
      <c r="H172" s="997"/>
    </row>
    <row r="173" spans="1:8">
      <c r="A173" s="997"/>
      <c r="B173" s="997"/>
      <c r="C173" s="997"/>
      <c r="D173" s="997"/>
      <c r="E173" s="997"/>
      <c r="F173" s="997"/>
      <c r="G173" s="997"/>
      <c r="H173" s="997"/>
    </row>
    <row r="174" spans="1:8">
      <c r="A174" s="997"/>
      <c r="B174" s="997"/>
      <c r="C174" s="997"/>
      <c r="D174" s="997"/>
      <c r="E174" s="997"/>
      <c r="F174" s="997"/>
      <c r="G174" s="997"/>
      <c r="H174" s="997"/>
    </row>
    <row r="175" spans="1:8">
      <c r="A175" s="997"/>
      <c r="B175" s="997"/>
      <c r="C175" s="997"/>
      <c r="D175" s="997"/>
      <c r="E175" s="997"/>
      <c r="F175" s="997"/>
      <c r="G175" s="997"/>
      <c r="H175" s="997"/>
    </row>
    <row r="176" spans="1:8">
      <c r="A176" s="997"/>
      <c r="B176" s="997"/>
      <c r="C176" s="997"/>
      <c r="D176" s="997"/>
      <c r="E176" s="997"/>
      <c r="F176" s="997"/>
      <c r="G176" s="997"/>
      <c r="H176" s="997"/>
    </row>
    <row r="177" spans="1:8">
      <c r="A177" s="997"/>
      <c r="B177" s="997"/>
      <c r="C177" s="997"/>
      <c r="D177" s="997"/>
      <c r="E177" s="997"/>
      <c r="F177" s="997"/>
      <c r="G177" s="997"/>
      <c r="H177" s="997"/>
    </row>
    <row r="178" spans="1:8">
      <c r="A178" s="997"/>
      <c r="B178" s="997"/>
      <c r="C178" s="997"/>
      <c r="D178" s="997"/>
      <c r="E178" s="997"/>
      <c r="F178" s="997"/>
      <c r="G178" s="997"/>
      <c r="H178" s="997"/>
    </row>
    <row r="179" spans="1:8">
      <c r="A179" s="997"/>
      <c r="B179" s="997"/>
      <c r="C179" s="997"/>
      <c r="D179" s="997"/>
      <c r="E179" s="997"/>
      <c r="F179" s="997"/>
      <c r="G179" s="997"/>
      <c r="H179" s="997"/>
    </row>
    <row r="180" spans="1:8">
      <c r="A180" s="997"/>
      <c r="B180" s="997"/>
      <c r="C180" s="997"/>
      <c r="D180" s="997"/>
      <c r="E180" s="997"/>
      <c r="F180" s="997"/>
      <c r="G180" s="997"/>
      <c r="H180" s="997"/>
    </row>
    <row r="181" spans="1:8">
      <c r="A181" s="997"/>
      <c r="B181" s="997"/>
      <c r="C181" s="997"/>
      <c r="D181" s="997"/>
      <c r="E181" s="997"/>
      <c r="F181" s="997"/>
      <c r="G181" s="997"/>
      <c r="H181" s="997"/>
    </row>
    <row r="182" spans="1:8">
      <c r="A182" s="997"/>
      <c r="B182" s="997"/>
      <c r="C182" s="997"/>
      <c r="D182" s="997"/>
      <c r="E182" s="997"/>
      <c r="F182" s="997"/>
      <c r="G182" s="997"/>
      <c r="H182" s="997"/>
    </row>
    <row r="183" spans="1:8">
      <c r="A183" s="997"/>
      <c r="B183" s="997"/>
      <c r="C183" s="997"/>
      <c r="D183" s="997"/>
      <c r="E183" s="997"/>
      <c r="F183" s="997"/>
      <c r="G183" s="997"/>
      <c r="H183" s="997"/>
    </row>
    <row r="184" spans="1:8">
      <c r="A184" s="997"/>
      <c r="B184" s="997"/>
      <c r="C184" s="997"/>
      <c r="D184" s="997"/>
      <c r="E184" s="997"/>
      <c r="F184" s="997"/>
      <c r="G184" s="997"/>
      <c r="H184" s="997"/>
    </row>
    <row r="185" spans="1:8">
      <c r="A185" s="997"/>
      <c r="B185" s="997"/>
      <c r="C185" s="997"/>
      <c r="D185" s="997"/>
      <c r="E185" s="997"/>
      <c r="F185" s="997"/>
      <c r="G185" s="997"/>
      <c r="H185" s="997"/>
    </row>
    <row r="186" spans="1:8">
      <c r="A186" s="997"/>
      <c r="B186" s="997"/>
      <c r="C186" s="997"/>
      <c r="D186" s="997"/>
      <c r="E186" s="997"/>
      <c r="F186" s="997"/>
      <c r="G186" s="997"/>
      <c r="H186" s="997"/>
    </row>
    <row r="187" spans="1:8">
      <c r="A187" s="997"/>
      <c r="B187" s="997"/>
      <c r="C187" s="997"/>
      <c r="D187" s="997"/>
      <c r="E187" s="997"/>
      <c r="F187" s="997"/>
      <c r="G187" s="997"/>
      <c r="H187" s="997"/>
    </row>
    <row r="188" spans="1:8">
      <c r="A188" s="997"/>
      <c r="B188" s="997"/>
      <c r="C188" s="997"/>
      <c r="D188" s="997"/>
      <c r="E188" s="997"/>
      <c r="F188" s="997"/>
      <c r="G188" s="997"/>
      <c r="H188" s="997"/>
    </row>
    <row r="189" spans="1:8">
      <c r="A189" s="997"/>
      <c r="B189" s="997"/>
      <c r="C189" s="997"/>
      <c r="D189" s="997"/>
      <c r="E189" s="997"/>
      <c r="F189" s="997"/>
      <c r="G189" s="997"/>
      <c r="H189" s="997"/>
    </row>
    <row r="190" spans="1:8">
      <c r="A190" s="997"/>
      <c r="B190" s="997"/>
      <c r="C190" s="997"/>
      <c r="D190" s="997"/>
      <c r="E190" s="997"/>
      <c r="F190" s="997"/>
      <c r="G190" s="997"/>
      <c r="H190" s="997"/>
    </row>
    <row r="191" spans="1:8">
      <c r="A191" s="997"/>
      <c r="B191" s="997"/>
      <c r="C191" s="997"/>
      <c r="D191" s="997"/>
      <c r="E191" s="997"/>
      <c r="F191" s="997"/>
      <c r="G191" s="997"/>
      <c r="H191" s="997"/>
    </row>
    <row r="192" spans="1:8">
      <c r="A192" s="997"/>
      <c r="B192" s="997"/>
      <c r="C192" s="997"/>
      <c r="D192" s="997"/>
      <c r="E192" s="997"/>
      <c r="F192" s="997"/>
      <c r="G192" s="997"/>
      <c r="H192" s="997"/>
    </row>
    <row r="193" spans="1:8">
      <c r="A193" s="997"/>
      <c r="B193" s="997"/>
      <c r="C193" s="997"/>
      <c r="D193" s="997"/>
      <c r="E193" s="997"/>
      <c r="F193" s="997"/>
      <c r="G193" s="997"/>
      <c r="H193" s="997"/>
    </row>
    <row r="194" spans="1:8">
      <c r="A194" s="997"/>
      <c r="B194" s="997"/>
      <c r="C194" s="997"/>
      <c r="D194" s="997"/>
      <c r="E194" s="997"/>
      <c r="F194" s="997"/>
      <c r="G194" s="997"/>
      <c r="H194" s="997"/>
    </row>
    <row r="195" spans="1:8">
      <c r="A195" s="997"/>
      <c r="B195" s="997"/>
      <c r="C195" s="997"/>
      <c r="D195" s="997"/>
      <c r="E195" s="997"/>
      <c r="F195" s="997"/>
      <c r="G195" s="997"/>
      <c r="H195" s="997"/>
    </row>
    <row r="196" spans="1:8" ht="15.75">
      <c r="A196" s="1003" t="s">
        <v>499</v>
      </c>
      <c r="B196" s="997"/>
      <c r="C196" s="997"/>
      <c r="D196" s="997"/>
      <c r="E196" s="997"/>
      <c r="F196" s="997"/>
      <c r="G196" s="997"/>
      <c r="H196" s="997"/>
    </row>
    <row r="197" spans="1:8">
      <c r="A197" s="997"/>
      <c r="B197" s="997"/>
      <c r="C197" s="997"/>
      <c r="D197" s="997"/>
      <c r="E197" s="997"/>
      <c r="F197" s="997"/>
      <c r="G197" s="997"/>
      <c r="H197" s="997"/>
    </row>
    <row r="198" spans="1:8">
      <c r="A198" s="1002" t="s">
        <v>660</v>
      </c>
      <c r="B198" s="997"/>
      <c r="C198" s="997"/>
      <c r="D198" s="997"/>
      <c r="E198" s="997"/>
      <c r="F198" s="997"/>
      <c r="G198" s="997"/>
      <c r="H198" s="997"/>
    </row>
    <row r="199" spans="1:8">
      <c r="A199" s="1002" t="s">
        <v>661</v>
      </c>
      <c r="B199" s="997"/>
      <c r="C199" s="997"/>
      <c r="D199" s="997"/>
      <c r="E199" s="997"/>
      <c r="F199" s="997"/>
      <c r="G199" s="997"/>
      <c r="H199" s="997"/>
    </row>
    <row r="200" spans="1:8">
      <c r="A200" s="1002" t="s">
        <v>662</v>
      </c>
      <c r="B200" s="997"/>
      <c r="C200" s="997"/>
      <c r="D200" s="997"/>
      <c r="E200" s="997"/>
      <c r="F200" s="997"/>
      <c r="G200" s="997"/>
      <c r="H200" s="997"/>
    </row>
    <row r="201" spans="1:8">
      <c r="A201" s="1002" t="s">
        <v>663</v>
      </c>
      <c r="B201" s="997"/>
      <c r="C201" s="997"/>
      <c r="D201" s="997"/>
      <c r="E201" s="997"/>
      <c r="F201" s="997"/>
      <c r="G201" s="997"/>
      <c r="H201" s="997"/>
    </row>
    <row r="202" spans="1:8">
      <c r="A202" s="1002" t="s">
        <v>664</v>
      </c>
      <c r="B202" s="997"/>
      <c r="C202" s="997"/>
      <c r="D202" s="997"/>
      <c r="E202" s="997"/>
      <c r="F202" s="997"/>
      <c r="G202" s="997"/>
      <c r="H202" s="997"/>
    </row>
    <row r="203" spans="1:8">
      <c r="A203" s="997"/>
      <c r="B203" s="997"/>
      <c r="C203" s="997"/>
      <c r="D203" s="997"/>
      <c r="E203" s="997"/>
      <c r="F203" s="997"/>
      <c r="G203" s="997"/>
      <c r="H203" s="997"/>
    </row>
    <row r="204" spans="1:8">
      <c r="A204" s="1002" t="s">
        <v>657</v>
      </c>
      <c r="B204" s="997"/>
      <c r="C204" s="997"/>
      <c r="D204" s="997"/>
      <c r="E204" s="997"/>
      <c r="F204" s="997"/>
      <c r="G204" s="997"/>
      <c r="H204" s="997"/>
    </row>
    <row r="205" spans="1:8">
      <c r="A205" s="1002" t="s">
        <v>658</v>
      </c>
      <c r="B205" s="997"/>
      <c r="C205" s="997"/>
      <c r="D205" s="997"/>
      <c r="E205" s="997"/>
      <c r="F205" s="997"/>
      <c r="G205" s="997"/>
      <c r="H205" s="997"/>
    </row>
    <row r="206" spans="1:8">
      <c r="A206" s="1002" t="s">
        <v>659</v>
      </c>
      <c r="B206" s="997"/>
      <c r="C206" s="997"/>
      <c r="D206" s="997"/>
      <c r="E206" s="997"/>
      <c r="F206" s="997"/>
      <c r="G206" s="997"/>
      <c r="H206" s="997"/>
    </row>
    <row r="207" spans="1:8" ht="15.75">
      <c r="A207" s="1003" t="s">
        <v>500</v>
      </c>
      <c r="B207" s="997"/>
      <c r="C207" s="997"/>
      <c r="D207" s="997"/>
      <c r="E207" s="997"/>
      <c r="F207" s="997"/>
      <c r="G207" s="997"/>
      <c r="H207" s="997"/>
    </row>
    <row r="208" spans="1:8">
      <c r="A208" s="997"/>
      <c r="B208" s="997"/>
      <c r="C208" s="997"/>
      <c r="D208" s="997"/>
      <c r="E208" s="997"/>
      <c r="F208" s="997"/>
      <c r="G208" s="997"/>
      <c r="H208" s="997"/>
    </row>
    <row r="209" spans="1:8">
      <c r="A209" s="1002" t="s">
        <v>655</v>
      </c>
      <c r="B209" s="997"/>
      <c r="C209" s="997"/>
      <c r="D209" s="997"/>
      <c r="E209" s="997"/>
      <c r="F209" s="997"/>
      <c r="G209" s="997"/>
      <c r="H209" s="997"/>
    </row>
    <row r="210" spans="1:8">
      <c r="A210" s="1002" t="s">
        <v>656</v>
      </c>
      <c r="B210" s="997"/>
      <c r="C210" s="997"/>
      <c r="D210" s="997"/>
      <c r="E210" s="997"/>
      <c r="F210" s="997"/>
      <c r="G210" s="997"/>
      <c r="H210" s="997"/>
    </row>
    <row r="211" spans="1:8">
      <c r="A211" s="997"/>
      <c r="B211" s="997"/>
      <c r="C211" s="997"/>
      <c r="D211" s="997"/>
      <c r="E211" s="997"/>
      <c r="F211" s="997"/>
      <c r="G211" s="997"/>
      <c r="H211" s="997"/>
    </row>
    <row r="212" spans="1:8">
      <c r="A212" s="1002" t="s">
        <v>648</v>
      </c>
      <c r="B212" s="997"/>
      <c r="C212" s="997"/>
      <c r="D212" s="997"/>
      <c r="E212" s="997"/>
      <c r="F212" s="997"/>
      <c r="G212" s="997"/>
      <c r="H212" s="997"/>
    </row>
    <row r="213" spans="1:8">
      <c r="A213" s="1002" t="s">
        <v>649</v>
      </c>
      <c r="B213" s="997"/>
      <c r="C213" s="997"/>
      <c r="D213" s="997"/>
      <c r="E213" s="997"/>
      <c r="F213" s="997"/>
      <c r="G213" s="997"/>
      <c r="H213" s="997"/>
    </row>
    <row r="214" spans="1:8">
      <c r="A214" s="1002" t="s">
        <v>650</v>
      </c>
      <c r="B214" s="997"/>
      <c r="C214" s="997"/>
      <c r="D214" s="997"/>
      <c r="E214" s="997"/>
      <c r="F214" s="997"/>
      <c r="G214" s="997"/>
      <c r="H214" s="997"/>
    </row>
    <row r="215" spans="1:8">
      <c r="A215" s="1002" t="s">
        <v>651</v>
      </c>
      <c r="B215" s="997"/>
      <c r="C215" s="997"/>
      <c r="D215" s="997"/>
      <c r="E215" s="997"/>
      <c r="F215" s="997"/>
      <c r="G215" s="997"/>
      <c r="H215" s="997"/>
    </row>
    <row r="216" spans="1:8">
      <c r="A216" s="1002" t="s">
        <v>652</v>
      </c>
      <c r="B216" s="997"/>
      <c r="C216" s="997"/>
      <c r="D216" s="997"/>
      <c r="E216" s="997"/>
      <c r="F216" s="997"/>
      <c r="G216" s="997"/>
      <c r="H216" s="997"/>
    </row>
    <row r="217" spans="1:8">
      <c r="A217" s="1002" t="s">
        <v>653</v>
      </c>
      <c r="B217" s="997"/>
      <c r="C217" s="997"/>
      <c r="D217" s="997"/>
      <c r="E217" s="997"/>
      <c r="F217" s="997"/>
      <c r="G217" s="997"/>
      <c r="H217" s="997"/>
    </row>
    <row r="218" spans="1:8">
      <c r="A218" s="1002" t="s">
        <v>654</v>
      </c>
      <c r="B218" s="997"/>
      <c r="C218" s="997"/>
      <c r="D218" s="997"/>
      <c r="E218" s="997"/>
      <c r="F218" s="997"/>
      <c r="G218" s="997"/>
      <c r="H218" s="997"/>
    </row>
    <row r="219" spans="1:8">
      <c r="A219" s="997"/>
      <c r="B219" s="997"/>
      <c r="C219" s="997"/>
      <c r="D219" s="997"/>
      <c r="E219" s="997"/>
      <c r="F219" s="997"/>
      <c r="G219" s="997"/>
      <c r="H219" s="997"/>
    </row>
    <row r="220" spans="1:8">
      <c r="A220" s="1002" t="s">
        <v>645</v>
      </c>
      <c r="B220" s="997"/>
      <c r="C220" s="997"/>
      <c r="D220" s="997"/>
      <c r="E220" s="997"/>
      <c r="F220" s="997"/>
      <c r="G220" s="997"/>
      <c r="H220" s="997"/>
    </row>
    <row r="221" spans="1:8">
      <c r="A221" s="1002" t="s">
        <v>646</v>
      </c>
      <c r="B221" s="997"/>
      <c r="C221" s="997"/>
      <c r="D221" s="997"/>
      <c r="E221" s="997"/>
      <c r="F221" s="997"/>
      <c r="G221" s="997"/>
      <c r="H221" s="997"/>
    </row>
    <row r="222" spans="1:8">
      <c r="A222" s="1002" t="s">
        <v>647</v>
      </c>
      <c r="B222" s="997"/>
      <c r="C222" s="997"/>
      <c r="D222" s="997"/>
      <c r="E222" s="997"/>
      <c r="F222" s="997"/>
      <c r="G222" s="997"/>
      <c r="H222" s="997"/>
    </row>
    <row r="223" spans="1:8">
      <c r="A223" s="997"/>
      <c r="B223" s="997"/>
      <c r="C223" s="997"/>
      <c r="D223" s="997"/>
      <c r="E223" s="997"/>
      <c r="F223" s="997"/>
      <c r="G223" s="997"/>
      <c r="H223" s="997"/>
    </row>
    <row r="224" spans="1:8">
      <c r="A224" s="1002" t="s">
        <v>640</v>
      </c>
      <c r="B224" s="997"/>
      <c r="C224" s="997"/>
      <c r="D224" s="997"/>
      <c r="E224" s="997"/>
      <c r="F224" s="997"/>
      <c r="G224" s="997"/>
      <c r="H224" s="997"/>
    </row>
    <row r="225" spans="1:8">
      <c r="A225" s="1002" t="s">
        <v>641</v>
      </c>
      <c r="B225" s="997"/>
      <c r="C225" s="997"/>
      <c r="D225" s="997"/>
      <c r="E225" s="997"/>
      <c r="F225" s="997"/>
      <c r="G225" s="997"/>
      <c r="H225" s="997"/>
    </row>
    <row r="226" spans="1:8">
      <c r="A226" s="1002" t="s">
        <v>642</v>
      </c>
      <c r="B226" s="997"/>
      <c r="C226" s="997"/>
      <c r="D226" s="997"/>
      <c r="E226" s="997"/>
      <c r="F226" s="997"/>
      <c r="G226" s="997"/>
      <c r="H226" s="997"/>
    </row>
    <row r="227" spans="1:8">
      <c r="A227" s="1002" t="s">
        <v>643</v>
      </c>
      <c r="B227" s="997"/>
      <c r="C227" s="997"/>
      <c r="D227" s="997"/>
      <c r="E227" s="997"/>
      <c r="F227" s="997"/>
      <c r="G227" s="997"/>
      <c r="H227" s="997"/>
    </row>
    <row r="228" spans="1:8">
      <c r="A228" s="1002" t="s">
        <v>644</v>
      </c>
      <c r="B228" s="997"/>
      <c r="C228" s="997"/>
      <c r="D228" s="997"/>
      <c r="E228" s="997"/>
      <c r="F228" s="997"/>
      <c r="G228" s="997"/>
      <c r="H228" s="997"/>
    </row>
    <row r="229" spans="1:8">
      <c r="A229" s="997"/>
      <c r="B229" s="997"/>
      <c r="C229" s="997"/>
      <c r="D229" s="997"/>
      <c r="E229" s="997"/>
      <c r="F229" s="997"/>
      <c r="G229" s="997"/>
      <c r="H229" s="997"/>
    </row>
    <row r="230" spans="1:8">
      <c r="A230" s="1002" t="s">
        <v>634</v>
      </c>
      <c r="B230" s="997"/>
      <c r="C230" s="997"/>
      <c r="D230" s="997"/>
      <c r="E230" s="997"/>
      <c r="F230" s="997"/>
      <c r="G230" s="997"/>
      <c r="H230" s="997"/>
    </row>
    <row r="231" spans="1:8">
      <c r="A231" s="1002" t="s">
        <v>635</v>
      </c>
      <c r="B231" s="997"/>
      <c r="C231" s="997"/>
      <c r="D231" s="997"/>
      <c r="E231" s="997"/>
      <c r="F231" s="997"/>
      <c r="G231" s="997"/>
      <c r="H231" s="997"/>
    </row>
    <row r="232" spans="1:8">
      <c r="A232" s="1002" t="s">
        <v>636</v>
      </c>
      <c r="B232" s="997"/>
      <c r="C232" s="997"/>
      <c r="D232" s="997"/>
      <c r="E232" s="997"/>
      <c r="F232" s="997"/>
      <c r="G232" s="997"/>
      <c r="H232" s="997"/>
    </row>
    <row r="233" spans="1:8">
      <c r="A233" s="1002" t="s">
        <v>637</v>
      </c>
      <c r="B233" s="997"/>
      <c r="C233" s="997"/>
      <c r="D233" s="997"/>
      <c r="E233" s="997"/>
      <c r="F233" s="997"/>
      <c r="G233" s="997"/>
      <c r="H233" s="997"/>
    </row>
    <row r="234" spans="1:8">
      <c r="A234" s="1002" t="s">
        <v>638</v>
      </c>
      <c r="B234" s="997"/>
      <c r="C234" s="997"/>
      <c r="D234" s="997"/>
      <c r="E234" s="997"/>
      <c r="F234" s="997"/>
      <c r="G234" s="997"/>
      <c r="H234" s="997"/>
    </row>
    <row r="235" spans="1:8">
      <c r="A235" s="1002" t="s">
        <v>639</v>
      </c>
      <c r="B235" s="997"/>
      <c r="C235" s="997"/>
      <c r="D235" s="997"/>
      <c r="E235" s="997"/>
      <c r="F235" s="997"/>
      <c r="G235" s="997"/>
      <c r="H235" s="997"/>
    </row>
    <row r="236" spans="1:8">
      <c r="A236" s="997"/>
      <c r="B236" s="997"/>
      <c r="C236" s="997"/>
      <c r="D236" s="997"/>
      <c r="E236" s="997"/>
      <c r="F236" s="997"/>
      <c r="G236" s="997"/>
      <c r="H236" s="997"/>
    </row>
    <row r="237" spans="1:8">
      <c r="A237" s="1002" t="s">
        <v>624</v>
      </c>
      <c r="B237" s="997"/>
      <c r="C237" s="997"/>
      <c r="D237" s="997"/>
      <c r="E237" s="997"/>
      <c r="F237" s="997"/>
      <c r="G237" s="997"/>
      <c r="H237" s="997"/>
    </row>
    <row r="238" spans="1:8">
      <c r="A238" s="1002" t="s">
        <v>625</v>
      </c>
      <c r="B238" s="997"/>
      <c r="C238" s="997"/>
      <c r="D238" s="997"/>
      <c r="E238" s="997"/>
      <c r="F238" s="997"/>
      <c r="G238" s="997"/>
      <c r="H238" s="997"/>
    </row>
    <row r="239" spans="1:8">
      <c r="A239" s="1002" t="s">
        <v>626</v>
      </c>
      <c r="B239" s="997"/>
      <c r="C239" s="997"/>
      <c r="D239" s="997"/>
      <c r="E239" s="997"/>
      <c r="F239" s="997"/>
      <c r="G239" s="997"/>
      <c r="H239" s="997"/>
    </row>
    <row r="240" spans="1:8">
      <c r="A240" s="1002" t="s">
        <v>627</v>
      </c>
      <c r="B240" s="997"/>
      <c r="C240" s="997"/>
      <c r="D240" s="997"/>
      <c r="E240" s="997"/>
      <c r="F240" s="997"/>
      <c r="G240" s="997"/>
      <c r="H240" s="997"/>
    </row>
    <row r="241" spans="1:8">
      <c r="A241" s="1002" t="s">
        <v>628</v>
      </c>
      <c r="B241" s="997"/>
      <c r="C241" s="997"/>
      <c r="D241" s="997"/>
      <c r="E241" s="997"/>
      <c r="F241" s="997"/>
      <c r="G241" s="997"/>
      <c r="H241" s="997"/>
    </row>
    <row r="242" spans="1:8">
      <c r="A242" s="1002" t="s">
        <v>629</v>
      </c>
      <c r="B242" s="997"/>
      <c r="C242" s="997"/>
      <c r="D242" s="997"/>
      <c r="E242" s="997"/>
      <c r="F242" s="997"/>
      <c r="G242" s="997"/>
      <c r="H242" s="997"/>
    </row>
    <row r="243" spans="1:8">
      <c r="A243" s="1002" t="s">
        <v>630</v>
      </c>
      <c r="B243" s="997"/>
      <c r="C243" s="997"/>
      <c r="D243" s="997"/>
      <c r="E243" s="997"/>
      <c r="F243" s="997"/>
      <c r="G243" s="997"/>
      <c r="H243" s="997"/>
    </row>
    <row r="244" spans="1:8">
      <c r="A244" s="1002" t="s">
        <v>631</v>
      </c>
      <c r="B244" s="997"/>
      <c r="C244" s="997"/>
      <c r="D244" s="997"/>
      <c r="E244" s="997"/>
      <c r="F244" s="997"/>
      <c r="G244" s="997"/>
      <c r="H244" s="997"/>
    </row>
    <row r="245" spans="1:8">
      <c r="A245" s="1002" t="s">
        <v>632</v>
      </c>
      <c r="B245" s="997"/>
      <c r="C245" s="997"/>
      <c r="D245" s="997"/>
      <c r="E245" s="997"/>
      <c r="F245" s="997"/>
      <c r="G245" s="997"/>
      <c r="H245" s="997"/>
    </row>
    <row r="246" spans="1:8">
      <c r="A246" s="1002" t="s">
        <v>633</v>
      </c>
      <c r="B246" s="997"/>
      <c r="C246" s="997"/>
      <c r="D246" s="997"/>
      <c r="E246" s="997"/>
      <c r="F246" s="997"/>
      <c r="G246" s="997"/>
      <c r="H246" s="997"/>
    </row>
    <row r="247" spans="1:8">
      <c r="A247" s="997"/>
      <c r="B247" s="997"/>
      <c r="C247" s="997"/>
      <c r="D247" s="997"/>
      <c r="E247" s="997"/>
      <c r="F247" s="997"/>
      <c r="G247" s="997"/>
      <c r="H247" s="997"/>
    </row>
    <row r="248" spans="1:8">
      <c r="A248" s="1002" t="s">
        <v>622</v>
      </c>
      <c r="B248" s="997"/>
      <c r="C248" s="997"/>
      <c r="D248" s="997"/>
      <c r="E248" s="997"/>
      <c r="F248" s="997"/>
      <c r="G248" s="997"/>
      <c r="H248" s="997"/>
    </row>
    <row r="249" spans="1:8">
      <c r="A249" s="1002" t="s">
        <v>623</v>
      </c>
      <c r="B249" s="997"/>
      <c r="C249" s="997"/>
      <c r="D249" s="997"/>
      <c r="E249" s="997"/>
      <c r="F249" s="997"/>
      <c r="G249" s="997"/>
      <c r="H249" s="997"/>
    </row>
    <row r="250" spans="1:8">
      <c r="A250" s="997"/>
      <c r="B250" s="997"/>
      <c r="C250" s="997"/>
      <c r="D250" s="997"/>
      <c r="E250" s="997"/>
      <c r="F250" s="997"/>
      <c r="G250" s="997"/>
      <c r="H250" s="997"/>
    </row>
    <row r="251" spans="1:8">
      <c r="A251" s="1002" t="s">
        <v>606</v>
      </c>
      <c r="B251" s="997"/>
      <c r="C251" s="997"/>
      <c r="D251" s="997"/>
      <c r="E251" s="997"/>
      <c r="F251" s="997"/>
      <c r="G251" s="997"/>
      <c r="H251" s="997"/>
    </row>
    <row r="252" spans="1:8">
      <c r="A252" s="1002" t="s">
        <v>607</v>
      </c>
      <c r="B252" s="997"/>
      <c r="C252" s="997"/>
      <c r="D252" s="997"/>
      <c r="E252" s="997"/>
      <c r="F252" s="997"/>
      <c r="G252" s="997"/>
      <c r="H252" s="997"/>
    </row>
    <row r="253" spans="1:8">
      <c r="A253" s="1002" t="s">
        <v>608</v>
      </c>
      <c r="B253" s="997"/>
      <c r="C253" s="997"/>
      <c r="D253" s="997"/>
      <c r="E253" s="997"/>
      <c r="F253" s="997"/>
      <c r="G253" s="997"/>
      <c r="H253" s="997"/>
    </row>
    <row r="254" spans="1:8">
      <c r="A254" s="1002" t="s">
        <v>609</v>
      </c>
      <c r="B254" s="997"/>
      <c r="C254" s="997"/>
      <c r="D254" s="997"/>
      <c r="E254" s="997"/>
      <c r="F254" s="997"/>
      <c r="G254" s="997"/>
      <c r="H254" s="997"/>
    </row>
    <row r="255" spans="1:8">
      <c r="A255" s="1002" t="s">
        <v>610</v>
      </c>
      <c r="B255" s="997"/>
      <c r="C255" s="997"/>
      <c r="D255" s="997"/>
      <c r="E255" s="997"/>
      <c r="F255" s="997"/>
      <c r="G255" s="997"/>
      <c r="H255" s="997"/>
    </row>
    <row r="256" spans="1:8">
      <c r="A256" s="1002" t="s">
        <v>611</v>
      </c>
      <c r="B256" s="997"/>
      <c r="C256" s="997"/>
      <c r="D256" s="997"/>
      <c r="E256" s="997"/>
      <c r="F256" s="997"/>
      <c r="G256" s="997"/>
      <c r="H256" s="997"/>
    </row>
    <row r="257" spans="1:8">
      <c r="A257" s="1002" t="s">
        <v>612</v>
      </c>
      <c r="B257" s="997"/>
      <c r="C257" s="997"/>
      <c r="D257" s="997"/>
      <c r="E257" s="997"/>
      <c r="F257" s="997"/>
      <c r="G257" s="997"/>
      <c r="H257" s="997"/>
    </row>
    <row r="258" spans="1:8">
      <c r="A258" s="1002" t="s">
        <v>613</v>
      </c>
      <c r="B258" s="997"/>
      <c r="C258" s="997"/>
      <c r="D258" s="997"/>
      <c r="E258" s="997"/>
      <c r="F258" s="997"/>
      <c r="G258" s="997"/>
      <c r="H258" s="997"/>
    </row>
    <row r="259" spans="1:8">
      <c r="A259" s="1002" t="s">
        <v>614</v>
      </c>
      <c r="B259" s="997"/>
      <c r="C259" s="997"/>
      <c r="D259" s="997"/>
      <c r="E259" s="997"/>
      <c r="F259" s="997"/>
      <c r="G259" s="997"/>
      <c r="H259" s="997"/>
    </row>
    <row r="260" spans="1:8">
      <c r="A260" s="1002" t="s">
        <v>615</v>
      </c>
      <c r="B260" s="997"/>
      <c r="C260" s="997"/>
      <c r="D260" s="997"/>
      <c r="E260" s="997"/>
      <c r="F260" s="997"/>
      <c r="G260" s="997"/>
      <c r="H260" s="997"/>
    </row>
    <row r="261" spans="1:8">
      <c r="A261" s="1002" t="s">
        <v>616</v>
      </c>
      <c r="B261" s="997"/>
      <c r="C261" s="997"/>
      <c r="D261" s="997"/>
      <c r="E261" s="997"/>
      <c r="F261" s="997"/>
      <c r="G261" s="997"/>
      <c r="H261" s="997"/>
    </row>
    <row r="262" spans="1:8">
      <c r="A262" s="1002" t="s">
        <v>617</v>
      </c>
      <c r="B262" s="997"/>
      <c r="C262" s="997"/>
      <c r="D262" s="997"/>
      <c r="E262" s="997"/>
      <c r="F262" s="997"/>
      <c r="G262" s="997"/>
      <c r="H262" s="997"/>
    </row>
    <row r="263" spans="1:8">
      <c r="A263" s="1002" t="s">
        <v>618</v>
      </c>
      <c r="B263" s="997"/>
      <c r="C263" s="997"/>
      <c r="D263" s="997"/>
      <c r="E263" s="997"/>
      <c r="F263" s="997"/>
      <c r="G263" s="997"/>
      <c r="H263" s="997"/>
    </row>
    <row r="264" spans="1:8">
      <c r="A264" s="1002" t="s">
        <v>619</v>
      </c>
      <c r="B264" s="997"/>
      <c r="C264" s="997"/>
      <c r="D264" s="997"/>
      <c r="E264" s="997"/>
      <c r="F264" s="997"/>
      <c r="G264" s="997"/>
      <c r="H264" s="997"/>
    </row>
    <row r="265" spans="1:8">
      <c r="A265" s="1002" t="s">
        <v>620</v>
      </c>
      <c r="B265" s="997"/>
      <c r="C265" s="997"/>
      <c r="D265" s="997"/>
      <c r="E265" s="997"/>
      <c r="F265" s="997"/>
      <c r="G265" s="997"/>
      <c r="H265" s="997"/>
    </row>
    <row r="266" spans="1:8">
      <c r="A266" s="1002" t="s">
        <v>621</v>
      </c>
      <c r="B266" s="997"/>
      <c r="C266" s="997"/>
      <c r="D266" s="997"/>
      <c r="E266" s="997"/>
      <c r="F266" s="997"/>
      <c r="G266" s="997"/>
      <c r="H266" s="997"/>
    </row>
    <row r="267" spans="1:8">
      <c r="A267" s="997"/>
      <c r="B267" s="997"/>
      <c r="C267" s="997"/>
      <c r="D267" s="997"/>
      <c r="E267" s="997"/>
      <c r="F267" s="997"/>
      <c r="G267" s="997"/>
      <c r="H267" s="997"/>
    </row>
    <row r="268" spans="1:8">
      <c r="A268" s="1002" t="s">
        <v>599</v>
      </c>
      <c r="B268" s="997"/>
      <c r="C268" s="997"/>
      <c r="D268" s="997"/>
      <c r="E268" s="997"/>
      <c r="F268" s="997"/>
      <c r="G268" s="997"/>
      <c r="H268" s="997"/>
    </row>
    <row r="269" spans="1:8">
      <c r="A269" s="1002" t="s">
        <v>600</v>
      </c>
      <c r="B269" s="997"/>
      <c r="C269" s="997"/>
      <c r="D269" s="997"/>
      <c r="E269" s="997"/>
      <c r="F269" s="997"/>
      <c r="G269" s="997"/>
      <c r="H269" s="997"/>
    </row>
    <row r="270" spans="1:8">
      <c r="A270" s="1002" t="s">
        <v>601</v>
      </c>
      <c r="B270" s="997"/>
      <c r="C270" s="997"/>
      <c r="D270" s="997"/>
      <c r="E270" s="997"/>
      <c r="F270" s="997"/>
      <c r="G270" s="997"/>
      <c r="H270" s="997"/>
    </row>
    <row r="271" spans="1:8">
      <c r="A271" s="1002" t="s">
        <v>602</v>
      </c>
      <c r="B271" s="997"/>
      <c r="C271" s="997"/>
      <c r="D271" s="997"/>
      <c r="E271" s="997"/>
      <c r="F271" s="997"/>
      <c r="G271" s="997"/>
      <c r="H271" s="997"/>
    </row>
    <row r="272" spans="1:8">
      <c r="A272" s="1002" t="s">
        <v>603</v>
      </c>
      <c r="B272" s="997"/>
      <c r="C272" s="997"/>
      <c r="D272" s="997"/>
      <c r="E272" s="997"/>
      <c r="F272" s="997"/>
      <c r="G272" s="997"/>
      <c r="H272" s="997"/>
    </row>
    <row r="273" spans="1:8">
      <c r="A273" s="1002" t="s">
        <v>604</v>
      </c>
      <c r="B273" s="997"/>
      <c r="C273" s="997"/>
      <c r="D273" s="997"/>
      <c r="E273" s="997"/>
      <c r="F273" s="997"/>
      <c r="G273" s="997"/>
      <c r="H273" s="997"/>
    </row>
    <row r="274" spans="1:8">
      <c r="A274" s="1002" t="s">
        <v>605</v>
      </c>
      <c r="B274" s="997"/>
      <c r="C274" s="997"/>
      <c r="D274" s="997"/>
      <c r="E274" s="997"/>
      <c r="F274" s="997"/>
      <c r="G274" s="997"/>
      <c r="H274" s="997"/>
    </row>
    <row r="275" spans="1:8">
      <c r="A275" s="997"/>
      <c r="B275" s="997"/>
      <c r="C275" s="997"/>
      <c r="D275" s="997"/>
      <c r="E275" s="997"/>
      <c r="F275" s="997"/>
      <c r="G275" s="997"/>
      <c r="H275" s="997"/>
    </row>
    <row r="276" spans="1:8">
      <c r="A276" s="1002" t="s">
        <v>590</v>
      </c>
      <c r="B276" s="997"/>
      <c r="C276" s="997"/>
      <c r="D276" s="997"/>
      <c r="E276" s="997"/>
      <c r="F276" s="997"/>
      <c r="G276" s="997"/>
      <c r="H276" s="997"/>
    </row>
    <row r="277" spans="1:8">
      <c r="A277" s="1002" t="s">
        <v>591</v>
      </c>
      <c r="B277" s="997"/>
      <c r="C277" s="997"/>
      <c r="D277" s="997"/>
      <c r="E277" s="997"/>
      <c r="F277" s="997"/>
      <c r="G277" s="997"/>
      <c r="H277" s="997"/>
    </row>
    <row r="278" spans="1:8">
      <c r="A278" s="1002" t="s">
        <v>592</v>
      </c>
      <c r="B278" s="997"/>
      <c r="C278" s="997"/>
      <c r="D278" s="997"/>
      <c r="E278" s="997"/>
      <c r="F278" s="997"/>
      <c r="G278" s="997"/>
      <c r="H278" s="997"/>
    </row>
    <row r="279" spans="1:8">
      <c r="A279" s="1002" t="s">
        <v>593</v>
      </c>
      <c r="B279" s="997"/>
      <c r="C279" s="997"/>
      <c r="D279" s="997"/>
      <c r="E279" s="997"/>
      <c r="F279" s="997"/>
      <c r="G279" s="997"/>
      <c r="H279" s="997"/>
    </row>
    <row r="280" spans="1:8">
      <c r="A280" s="1002" t="s">
        <v>594</v>
      </c>
      <c r="B280" s="997"/>
      <c r="C280" s="997"/>
      <c r="D280" s="997"/>
      <c r="E280" s="997"/>
      <c r="F280" s="997"/>
      <c r="G280" s="997"/>
      <c r="H280" s="997"/>
    </row>
    <row r="281" spans="1:8">
      <c r="A281" s="1002" t="s">
        <v>595</v>
      </c>
      <c r="B281" s="997"/>
      <c r="C281" s="997"/>
      <c r="D281" s="997"/>
      <c r="E281" s="997"/>
      <c r="F281" s="997"/>
      <c r="G281" s="997"/>
      <c r="H281" s="997"/>
    </row>
    <row r="282" spans="1:8">
      <c r="A282" s="1002" t="s">
        <v>596</v>
      </c>
      <c r="B282" s="997"/>
      <c r="C282" s="997"/>
      <c r="D282" s="997"/>
      <c r="E282" s="997"/>
      <c r="F282" s="997"/>
      <c r="G282" s="997"/>
      <c r="H282" s="997"/>
    </row>
    <row r="283" spans="1:8">
      <c r="A283" s="1002" t="s">
        <v>597</v>
      </c>
      <c r="B283" s="997"/>
      <c r="C283" s="997"/>
      <c r="D283" s="997"/>
      <c r="E283" s="997"/>
      <c r="F283" s="997"/>
      <c r="G283" s="997"/>
      <c r="H283" s="997"/>
    </row>
    <row r="284" spans="1:8">
      <c r="A284" s="1002" t="s">
        <v>598</v>
      </c>
      <c r="B284" s="997"/>
      <c r="C284" s="997"/>
      <c r="D284" s="997"/>
      <c r="E284" s="997"/>
      <c r="F284" s="997"/>
      <c r="G284" s="997"/>
      <c r="H284" s="997"/>
    </row>
    <row r="285" spans="1:8">
      <c r="A285" s="997"/>
      <c r="B285" s="997"/>
      <c r="C285" s="997"/>
      <c r="D285" s="997"/>
      <c r="E285" s="997"/>
      <c r="F285" s="997"/>
      <c r="G285" s="997"/>
      <c r="H285" s="997"/>
    </row>
    <row r="286" spans="1:8">
      <c r="A286" s="1002" t="s">
        <v>583</v>
      </c>
      <c r="B286" s="997"/>
      <c r="C286" s="997"/>
      <c r="D286" s="997"/>
      <c r="E286" s="997"/>
      <c r="F286" s="997"/>
      <c r="G286" s="997"/>
      <c r="H286" s="997"/>
    </row>
    <row r="287" spans="1:8">
      <c r="A287" s="1002" t="s">
        <v>584</v>
      </c>
      <c r="B287" s="997"/>
      <c r="C287" s="997"/>
      <c r="D287" s="997"/>
      <c r="E287" s="997"/>
      <c r="F287" s="997"/>
      <c r="G287" s="997"/>
      <c r="H287" s="997"/>
    </row>
    <row r="288" spans="1:8">
      <c r="A288" s="1002" t="s">
        <v>585</v>
      </c>
      <c r="B288" s="997"/>
      <c r="C288" s="997"/>
      <c r="D288" s="997"/>
      <c r="E288" s="997"/>
      <c r="F288" s="997"/>
      <c r="G288" s="997"/>
      <c r="H288" s="997"/>
    </row>
    <row r="289" spans="1:8">
      <c r="A289" s="1002" t="s">
        <v>586</v>
      </c>
      <c r="B289" s="997"/>
      <c r="C289" s="997"/>
      <c r="D289" s="997"/>
      <c r="E289" s="997"/>
      <c r="F289" s="997"/>
      <c r="G289" s="997"/>
      <c r="H289" s="997"/>
    </row>
    <row r="290" spans="1:8">
      <c r="A290" s="1002" t="s">
        <v>587</v>
      </c>
      <c r="B290" s="997"/>
      <c r="C290" s="997"/>
      <c r="D290" s="997"/>
      <c r="E290" s="997"/>
      <c r="F290" s="997"/>
      <c r="G290" s="997"/>
      <c r="H290" s="997"/>
    </row>
    <row r="291" spans="1:8">
      <c r="A291" s="1002" t="s">
        <v>588</v>
      </c>
      <c r="B291" s="997"/>
      <c r="C291" s="997"/>
      <c r="D291" s="997"/>
      <c r="E291" s="997"/>
      <c r="F291" s="997"/>
      <c r="G291" s="997"/>
      <c r="H291" s="997"/>
    </row>
    <row r="292" spans="1:8">
      <c r="A292" s="1002" t="s">
        <v>589</v>
      </c>
      <c r="B292" s="997"/>
      <c r="C292" s="997"/>
      <c r="D292" s="997"/>
      <c r="E292" s="997"/>
      <c r="F292" s="997"/>
      <c r="G292" s="997"/>
      <c r="H292" s="997"/>
    </row>
    <row r="293" spans="1:8">
      <c r="A293" s="997"/>
      <c r="B293" s="997"/>
      <c r="C293" s="997"/>
      <c r="D293" s="997"/>
      <c r="E293" s="997"/>
      <c r="F293" s="997"/>
      <c r="G293" s="997"/>
      <c r="H293" s="997"/>
    </row>
    <row r="294" spans="1:8">
      <c r="A294" s="1002" t="s">
        <v>580</v>
      </c>
      <c r="B294" s="997"/>
      <c r="C294" s="997"/>
      <c r="D294" s="997"/>
      <c r="E294" s="997"/>
      <c r="F294" s="997"/>
      <c r="G294" s="997"/>
      <c r="H294" s="997"/>
    </row>
    <row r="295" spans="1:8">
      <c r="A295" s="1002" t="s">
        <v>581</v>
      </c>
      <c r="B295" s="997"/>
      <c r="C295" s="997"/>
      <c r="D295" s="997"/>
      <c r="E295" s="997"/>
      <c r="F295" s="997"/>
      <c r="G295" s="997"/>
      <c r="H295" s="997"/>
    </row>
    <row r="296" spans="1:8">
      <c r="A296" s="1002" t="s">
        <v>582</v>
      </c>
      <c r="B296" s="997"/>
      <c r="C296" s="997"/>
      <c r="D296" s="997"/>
      <c r="E296" s="997"/>
      <c r="F296" s="997"/>
      <c r="G296" s="997"/>
      <c r="H296" s="997"/>
    </row>
    <row r="297" spans="1:8">
      <c r="A297" s="997"/>
      <c r="B297" s="997"/>
      <c r="C297" s="997"/>
      <c r="D297" s="997"/>
      <c r="E297" s="997"/>
      <c r="F297" s="997"/>
      <c r="G297" s="997"/>
      <c r="H297" s="997"/>
    </row>
    <row r="298" spans="1:8">
      <c r="A298" s="1002" t="s">
        <v>578</v>
      </c>
      <c r="B298" s="997"/>
      <c r="C298" s="997"/>
      <c r="D298" s="997"/>
      <c r="E298" s="997"/>
      <c r="F298" s="997"/>
      <c r="G298" s="997"/>
      <c r="H298" s="997"/>
    </row>
    <row r="299" spans="1:8">
      <c r="A299" s="1002" t="s">
        <v>579</v>
      </c>
      <c r="B299" s="997"/>
      <c r="C299" s="997"/>
      <c r="D299" s="997"/>
      <c r="E299" s="997"/>
      <c r="F299" s="997"/>
      <c r="G299" s="997"/>
      <c r="H299" s="997"/>
    </row>
    <row r="300" spans="1:8">
      <c r="A300" s="997"/>
      <c r="B300" s="997"/>
      <c r="C300" s="997"/>
      <c r="D300" s="997"/>
      <c r="E300" s="997"/>
      <c r="F300" s="997"/>
      <c r="G300" s="997"/>
      <c r="H300" s="997"/>
    </row>
    <row r="301" spans="1:8">
      <c r="A301" s="1002" t="s">
        <v>565</v>
      </c>
      <c r="B301" s="997"/>
      <c r="C301" s="997"/>
      <c r="D301" s="997"/>
      <c r="E301" s="997"/>
      <c r="F301" s="997"/>
      <c r="G301" s="997"/>
      <c r="H301" s="997"/>
    </row>
    <row r="302" spans="1:8">
      <c r="A302" s="1002" t="s">
        <v>566</v>
      </c>
      <c r="B302" s="997"/>
      <c r="C302" s="997"/>
      <c r="D302" s="997"/>
      <c r="E302" s="997"/>
      <c r="F302" s="997"/>
      <c r="G302" s="997"/>
      <c r="H302" s="997"/>
    </row>
    <row r="303" spans="1:8">
      <c r="A303" s="1002" t="s">
        <v>567</v>
      </c>
      <c r="B303" s="997"/>
      <c r="C303" s="997"/>
      <c r="D303" s="997"/>
      <c r="E303" s="997"/>
      <c r="F303" s="997"/>
      <c r="G303" s="997"/>
      <c r="H303" s="997"/>
    </row>
    <row r="304" spans="1:8">
      <c r="A304" s="1002" t="s">
        <v>568</v>
      </c>
      <c r="B304" s="997"/>
      <c r="C304" s="997"/>
      <c r="D304" s="997"/>
      <c r="E304" s="997"/>
      <c r="F304" s="997"/>
      <c r="G304" s="997"/>
      <c r="H304" s="997"/>
    </row>
    <row r="305" spans="1:8">
      <c r="A305" s="1002" t="s">
        <v>569</v>
      </c>
      <c r="B305" s="997"/>
      <c r="C305" s="997"/>
      <c r="D305" s="997"/>
      <c r="E305" s="997"/>
      <c r="F305" s="997"/>
      <c r="G305" s="997"/>
      <c r="H305" s="997"/>
    </row>
    <row r="306" spans="1:8">
      <c r="A306" s="1002" t="s">
        <v>570</v>
      </c>
      <c r="B306" s="997"/>
      <c r="C306" s="997"/>
      <c r="D306" s="997"/>
      <c r="E306" s="997"/>
      <c r="F306" s="997"/>
      <c r="G306" s="997"/>
      <c r="H306" s="997"/>
    </row>
    <row r="307" spans="1:8">
      <c r="A307" s="1002" t="s">
        <v>571</v>
      </c>
      <c r="B307" s="997"/>
      <c r="C307" s="997"/>
      <c r="D307" s="997"/>
      <c r="E307" s="997"/>
      <c r="F307" s="997"/>
      <c r="G307" s="997"/>
      <c r="H307" s="997"/>
    </row>
    <row r="308" spans="1:8">
      <c r="A308" s="1002" t="s">
        <v>572</v>
      </c>
      <c r="B308" s="997"/>
      <c r="C308" s="997"/>
      <c r="D308" s="997"/>
      <c r="E308" s="997"/>
      <c r="F308" s="997"/>
      <c r="G308" s="997"/>
      <c r="H308" s="997"/>
    </row>
    <row r="309" spans="1:8">
      <c r="A309" s="1002" t="s">
        <v>573</v>
      </c>
      <c r="B309" s="997"/>
      <c r="C309" s="997"/>
      <c r="D309" s="997"/>
      <c r="E309" s="997"/>
      <c r="F309" s="997"/>
      <c r="G309" s="997"/>
      <c r="H309" s="997"/>
    </row>
    <row r="310" spans="1:8">
      <c r="A310" s="1002" t="s">
        <v>574</v>
      </c>
      <c r="B310" s="997"/>
      <c r="C310" s="997"/>
      <c r="D310" s="997"/>
      <c r="E310" s="997"/>
      <c r="F310" s="997"/>
      <c r="G310" s="997"/>
      <c r="H310" s="997"/>
    </row>
    <row r="311" spans="1:8">
      <c r="A311" s="1002" t="s">
        <v>575</v>
      </c>
      <c r="B311" s="997"/>
      <c r="C311" s="997"/>
      <c r="D311" s="997"/>
      <c r="E311" s="997"/>
      <c r="F311" s="997"/>
      <c r="G311" s="997"/>
      <c r="H311" s="997"/>
    </row>
    <row r="312" spans="1:8">
      <c r="A312" s="1002" t="s">
        <v>576</v>
      </c>
      <c r="B312" s="997"/>
      <c r="C312" s="997"/>
      <c r="D312" s="997"/>
      <c r="E312" s="997"/>
      <c r="F312" s="997"/>
      <c r="G312" s="997"/>
      <c r="H312" s="997"/>
    </row>
    <row r="313" spans="1:8">
      <c r="A313" s="1002" t="s">
        <v>577</v>
      </c>
      <c r="B313" s="997"/>
      <c r="C313" s="997"/>
      <c r="D313" s="997"/>
      <c r="E313" s="997"/>
      <c r="F313" s="997"/>
      <c r="G313" s="997"/>
      <c r="H313" s="997"/>
    </row>
    <row r="314" spans="1:8">
      <c r="A314" s="997"/>
      <c r="B314" s="997"/>
      <c r="C314" s="997"/>
      <c r="D314" s="997"/>
      <c r="E314" s="997"/>
      <c r="F314" s="997"/>
      <c r="G314" s="997"/>
      <c r="H314" s="997"/>
    </row>
    <row r="315" spans="1:8">
      <c r="A315" s="1002" t="s">
        <v>557</v>
      </c>
      <c r="B315" s="997"/>
      <c r="C315" s="997"/>
      <c r="D315" s="997"/>
      <c r="E315" s="997"/>
      <c r="F315" s="997"/>
      <c r="G315" s="997"/>
      <c r="H315" s="997"/>
    </row>
    <row r="316" spans="1:8">
      <c r="A316" s="1002" t="s">
        <v>558</v>
      </c>
      <c r="B316" s="997"/>
      <c r="C316" s="997"/>
      <c r="D316" s="997"/>
      <c r="E316" s="997"/>
      <c r="F316" s="997"/>
      <c r="G316" s="997"/>
      <c r="H316" s="997"/>
    </row>
    <row r="317" spans="1:8">
      <c r="A317" s="1002" t="s">
        <v>559</v>
      </c>
      <c r="B317" s="997"/>
      <c r="C317" s="997"/>
      <c r="D317" s="997"/>
      <c r="E317" s="997"/>
      <c r="F317" s="997"/>
      <c r="G317" s="997"/>
      <c r="H317" s="997"/>
    </row>
    <row r="318" spans="1:8">
      <c r="A318" s="1002" t="s">
        <v>560</v>
      </c>
      <c r="B318" s="997"/>
      <c r="C318" s="997"/>
      <c r="D318" s="997"/>
      <c r="E318" s="997"/>
      <c r="F318" s="997"/>
      <c r="G318" s="997"/>
      <c r="H318" s="997"/>
    </row>
    <row r="319" spans="1:8">
      <c r="A319" s="1002" t="s">
        <v>561</v>
      </c>
      <c r="B319" s="997"/>
      <c r="C319" s="997"/>
      <c r="D319" s="997"/>
      <c r="E319" s="997"/>
      <c r="F319" s="997"/>
      <c r="G319" s="997"/>
      <c r="H319" s="997"/>
    </row>
    <row r="320" spans="1:8">
      <c r="A320" s="1002" t="s">
        <v>562</v>
      </c>
      <c r="B320" s="997"/>
      <c r="C320" s="997"/>
      <c r="D320" s="997"/>
      <c r="E320" s="997"/>
      <c r="F320" s="997"/>
      <c r="G320" s="997"/>
      <c r="H320" s="997"/>
    </row>
    <row r="321" spans="1:8">
      <c r="A321" s="1002" t="s">
        <v>563</v>
      </c>
      <c r="B321" s="997"/>
      <c r="C321" s="997"/>
      <c r="D321" s="997"/>
      <c r="E321" s="997"/>
      <c r="F321" s="997"/>
      <c r="G321" s="997"/>
      <c r="H321" s="997"/>
    </row>
    <row r="322" spans="1:8">
      <c r="A322" s="1002" t="s">
        <v>564</v>
      </c>
      <c r="B322" s="997"/>
      <c r="C322" s="997"/>
      <c r="D322" s="997"/>
      <c r="E322" s="997"/>
      <c r="F322" s="997"/>
      <c r="G322" s="997"/>
      <c r="H322" s="997"/>
    </row>
    <row r="323" spans="1:8">
      <c r="A323" s="997"/>
      <c r="B323" s="997"/>
      <c r="C323" s="997"/>
      <c r="D323" s="997"/>
      <c r="E323" s="997"/>
      <c r="F323" s="997"/>
      <c r="G323" s="997"/>
      <c r="H323" s="997"/>
    </row>
    <row r="324" spans="1:8">
      <c r="A324" s="1002" t="s">
        <v>522</v>
      </c>
      <c r="B324" s="997"/>
      <c r="C324" s="997"/>
      <c r="D324" s="997"/>
      <c r="E324" s="997"/>
      <c r="F324" s="997"/>
      <c r="G324" s="997"/>
      <c r="H324" s="997"/>
    </row>
    <row r="325" spans="1:8">
      <c r="A325" s="1002" t="s">
        <v>523</v>
      </c>
      <c r="B325" s="997"/>
      <c r="C325" s="997"/>
      <c r="D325" s="997"/>
      <c r="E325" s="997"/>
      <c r="F325" s="997"/>
      <c r="G325" s="997"/>
      <c r="H325" s="997"/>
    </row>
    <row r="326" spans="1:8">
      <c r="A326" s="1002" t="s">
        <v>524</v>
      </c>
      <c r="B326" s="997"/>
      <c r="C326" s="997"/>
      <c r="D326" s="997"/>
      <c r="E326" s="997"/>
      <c r="F326" s="997"/>
      <c r="G326" s="997"/>
      <c r="H326" s="997"/>
    </row>
    <row r="327" spans="1:8">
      <c r="A327" s="1002" t="s">
        <v>525</v>
      </c>
      <c r="B327" s="997"/>
      <c r="C327" s="997"/>
      <c r="D327" s="997"/>
      <c r="E327" s="997"/>
      <c r="F327" s="997"/>
      <c r="G327" s="997"/>
      <c r="H327" s="997"/>
    </row>
    <row r="328" spans="1:8">
      <c r="A328" s="1002" t="s">
        <v>526</v>
      </c>
      <c r="B328" s="997"/>
      <c r="C328" s="997"/>
      <c r="D328" s="997"/>
      <c r="E328" s="997"/>
      <c r="F328" s="997"/>
      <c r="G328" s="997"/>
      <c r="H328" s="997"/>
    </row>
    <row r="329" spans="1:8">
      <c r="A329" s="1002" t="s">
        <v>527</v>
      </c>
      <c r="B329" s="997"/>
      <c r="C329" s="997"/>
      <c r="D329" s="997"/>
      <c r="E329" s="997"/>
      <c r="F329" s="997"/>
      <c r="G329" s="997"/>
      <c r="H329" s="997"/>
    </row>
    <row r="330" spans="1:8">
      <c r="A330" s="1002" t="s">
        <v>528</v>
      </c>
      <c r="B330" s="997"/>
      <c r="C330" s="997"/>
      <c r="D330" s="997"/>
      <c r="E330" s="997"/>
      <c r="F330" s="997"/>
      <c r="G330" s="997"/>
      <c r="H330" s="997"/>
    </row>
    <row r="331" spans="1:8">
      <c r="A331" s="1002" t="s">
        <v>529</v>
      </c>
      <c r="B331" s="997"/>
      <c r="C331" s="997"/>
      <c r="D331" s="997"/>
      <c r="E331" s="997"/>
      <c r="F331" s="997"/>
      <c r="G331" s="997"/>
      <c r="H331" s="997"/>
    </row>
    <row r="332" spans="1:8">
      <c r="A332" s="1002" t="s">
        <v>530</v>
      </c>
      <c r="B332" s="997"/>
      <c r="C332" s="997"/>
      <c r="D332" s="997"/>
      <c r="E332" s="997"/>
      <c r="F332" s="997"/>
      <c r="G332" s="997"/>
      <c r="H332" s="997"/>
    </row>
    <row r="333" spans="1:8">
      <c r="A333" s="1002" t="s">
        <v>531</v>
      </c>
      <c r="B333" s="997"/>
      <c r="C333" s="997"/>
      <c r="D333" s="997"/>
      <c r="E333" s="997"/>
      <c r="F333" s="997"/>
      <c r="G333" s="997"/>
      <c r="H333" s="997"/>
    </row>
    <row r="334" spans="1:8">
      <c r="A334" s="1002" t="s">
        <v>532</v>
      </c>
      <c r="B334" s="997"/>
      <c r="C334" s="997"/>
      <c r="D334" s="997"/>
      <c r="E334" s="997"/>
      <c r="F334" s="997"/>
      <c r="G334" s="997"/>
      <c r="H334" s="997"/>
    </row>
    <row r="335" spans="1:8">
      <c r="A335" s="1002" t="s">
        <v>533</v>
      </c>
      <c r="B335" s="997"/>
      <c r="C335" s="997"/>
      <c r="D335" s="997"/>
      <c r="E335" s="997"/>
      <c r="F335" s="997"/>
      <c r="G335" s="997"/>
      <c r="H335" s="997"/>
    </row>
    <row r="336" spans="1:8">
      <c r="A336" s="1002" t="s">
        <v>534</v>
      </c>
      <c r="B336" s="997"/>
      <c r="C336" s="997"/>
      <c r="D336" s="997"/>
      <c r="E336" s="997"/>
      <c r="F336" s="997"/>
      <c r="G336" s="997"/>
      <c r="H336" s="997"/>
    </row>
    <row r="337" spans="1:8">
      <c r="A337" s="1002" t="s">
        <v>535</v>
      </c>
      <c r="B337" s="997"/>
      <c r="C337" s="997"/>
      <c r="D337" s="997"/>
      <c r="E337" s="997"/>
      <c r="F337" s="997"/>
      <c r="G337" s="997"/>
      <c r="H337" s="997"/>
    </row>
    <row r="338" spans="1:8">
      <c r="A338" s="1002" t="s">
        <v>536</v>
      </c>
      <c r="B338" s="997"/>
      <c r="C338" s="997"/>
      <c r="D338" s="997"/>
      <c r="E338" s="997"/>
      <c r="F338" s="997"/>
      <c r="G338" s="997"/>
      <c r="H338" s="997"/>
    </row>
    <row r="339" spans="1:8">
      <c r="A339" s="1002" t="s">
        <v>537</v>
      </c>
      <c r="B339" s="997"/>
      <c r="C339" s="997"/>
      <c r="D339" s="997"/>
      <c r="E339" s="997"/>
      <c r="F339" s="997"/>
      <c r="G339" s="997"/>
      <c r="H339" s="997"/>
    </row>
    <row r="340" spans="1:8">
      <c r="A340" s="1002" t="s">
        <v>538</v>
      </c>
      <c r="B340" s="997"/>
      <c r="C340" s="997"/>
      <c r="D340" s="997"/>
      <c r="E340" s="997"/>
      <c r="F340" s="997"/>
      <c r="G340" s="997"/>
      <c r="H340" s="997"/>
    </row>
    <row r="341" spans="1:8">
      <c r="A341" s="1002" t="s">
        <v>539</v>
      </c>
      <c r="B341" s="997"/>
      <c r="C341" s="997"/>
      <c r="D341" s="997"/>
      <c r="E341" s="997"/>
      <c r="F341" s="997"/>
      <c r="G341" s="997"/>
      <c r="H341" s="997"/>
    </row>
    <row r="342" spans="1:8">
      <c r="A342" s="1002" t="s">
        <v>540</v>
      </c>
      <c r="B342" s="997"/>
      <c r="C342" s="997"/>
      <c r="D342" s="997"/>
      <c r="E342" s="997"/>
      <c r="F342" s="997"/>
      <c r="G342" s="997"/>
      <c r="H342" s="997"/>
    </row>
    <row r="343" spans="1:8">
      <c r="A343" s="1002" t="s">
        <v>541</v>
      </c>
      <c r="B343" s="997"/>
      <c r="C343" s="997"/>
      <c r="D343" s="997"/>
      <c r="E343" s="997"/>
      <c r="F343" s="997"/>
      <c r="G343" s="997"/>
      <c r="H343" s="997"/>
    </row>
    <row r="344" spans="1:8">
      <c r="A344" s="1002" t="s">
        <v>542</v>
      </c>
      <c r="B344" s="997"/>
      <c r="C344" s="997"/>
      <c r="D344" s="997"/>
      <c r="E344" s="997"/>
      <c r="F344" s="997"/>
      <c r="G344" s="997"/>
      <c r="H344" s="997"/>
    </row>
    <row r="345" spans="1:8">
      <c r="A345" s="1002" t="s">
        <v>543</v>
      </c>
      <c r="B345" s="997"/>
      <c r="C345" s="997"/>
      <c r="D345" s="997"/>
      <c r="E345" s="997"/>
      <c r="F345" s="997"/>
      <c r="G345" s="997"/>
      <c r="H345" s="997"/>
    </row>
    <row r="346" spans="1:8">
      <c r="A346" s="1002" t="s">
        <v>544</v>
      </c>
      <c r="B346" s="997"/>
      <c r="C346" s="997"/>
      <c r="D346" s="997"/>
      <c r="E346" s="997"/>
      <c r="F346" s="997"/>
      <c r="G346" s="997"/>
      <c r="H346" s="997"/>
    </row>
    <row r="347" spans="1:8">
      <c r="A347" s="1002" t="s">
        <v>545</v>
      </c>
      <c r="B347" s="997"/>
      <c r="C347" s="997"/>
      <c r="D347" s="997"/>
      <c r="E347" s="997"/>
      <c r="F347" s="997"/>
      <c r="G347" s="997"/>
      <c r="H347" s="997"/>
    </row>
    <row r="348" spans="1:8">
      <c r="A348" s="1002" t="s">
        <v>546</v>
      </c>
      <c r="B348" s="997"/>
      <c r="C348" s="997"/>
      <c r="D348" s="997"/>
      <c r="E348" s="997"/>
      <c r="F348" s="997"/>
      <c r="G348" s="997"/>
      <c r="H348" s="997"/>
    </row>
    <row r="349" spans="1:8">
      <c r="A349" s="1002" t="s">
        <v>547</v>
      </c>
      <c r="B349" s="997"/>
      <c r="C349" s="997"/>
      <c r="D349" s="997"/>
      <c r="E349" s="997"/>
      <c r="F349" s="997"/>
      <c r="G349" s="997"/>
      <c r="H349" s="997"/>
    </row>
    <row r="350" spans="1:8">
      <c r="A350" s="1002" t="s">
        <v>548</v>
      </c>
      <c r="B350" s="997"/>
      <c r="C350" s="997"/>
      <c r="D350" s="997"/>
      <c r="E350" s="997"/>
      <c r="F350" s="997"/>
      <c r="G350" s="997"/>
      <c r="H350" s="997"/>
    </row>
    <row r="351" spans="1:8">
      <c r="A351" s="1002" t="s">
        <v>549</v>
      </c>
      <c r="B351" s="997"/>
      <c r="C351" s="997"/>
      <c r="D351" s="997"/>
      <c r="E351" s="997"/>
      <c r="F351" s="997"/>
      <c r="G351" s="997"/>
      <c r="H351" s="997"/>
    </row>
    <row r="352" spans="1:8">
      <c r="A352" s="1002" t="s">
        <v>550</v>
      </c>
      <c r="B352" s="997"/>
      <c r="C352" s="997"/>
      <c r="D352" s="997"/>
      <c r="E352" s="997"/>
      <c r="F352" s="997"/>
      <c r="G352" s="997"/>
      <c r="H352" s="997"/>
    </row>
    <row r="353" spans="1:8">
      <c r="A353" s="1002" t="s">
        <v>551</v>
      </c>
      <c r="B353" s="997"/>
      <c r="C353" s="997"/>
      <c r="D353" s="997"/>
      <c r="E353" s="997"/>
      <c r="F353" s="997"/>
      <c r="G353" s="997"/>
      <c r="H353" s="997"/>
    </row>
    <row r="354" spans="1:8">
      <c r="A354" s="1002" t="s">
        <v>552</v>
      </c>
      <c r="B354" s="997"/>
      <c r="C354" s="997"/>
      <c r="D354" s="997"/>
      <c r="E354" s="997"/>
      <c r="F354" s="997"/>
      <c r="G354" s="997"/>
      <c r="H354" s="997"/>
    </row>
    <row r="355" spans="1:8">
      <c r="A355" s="1002" t="s">
        <v>553</v>
      </c>
      <c r="B355" s="997"/>
      <c r="C355" s="997"/>
      <c r="D355" s="997"/>
      <c r="E355" s="997"/>
      <c r="F355" s="997"/>
      <c r="G355" s="997"/>
      <c r="H355" s="997"/>
    </row>
    <row r="356" spans="1:8">
      <c r="A356" s="1002" t="s">
        <v>554</v>
      </c>
      <c r="B356" s="997"/>
      <c r="C356" s="997"/>
      <c r="D356" s="997"/>
      <c r="E356" s="997"/>
      <c r="F356" s="997"/>
      <c r="G356" s="997"/>
      <c r="H356" s="997"/>
    </row>
    <row r="357" spans="1:8">
      <c r="A357" s="1002" t="s">
        <v>555</v>
      </c>
      <c r="B357" s="997"/>
      <c r="C357" s="997"/>
      <c r="D357" s="997"/>
      <c r="E357" s="997"/>
      <c r="F357" s="997"/>
      <c r="G357" s="997"/>
      <c r="H357" s="997"/>
    </row>
    <row r="358" spans="1:8">
      <c r="A358" s="1002" t="s">
        <v>556</v>
      </c>
      <c r="B358" s="997"/>
      <c r="C358" s="997"/>
      <c r="D358" s="997"/>
      <c r="E358" s="997"/>
      <c r="F358" s="997"/>
      <c r="G358" s="997"/>
      <c r="H358" s="997"/>
    </row>
    <row r="359" spans="1:8">
      <c r="A359" s="997"/>
      <c r="B359" s="997"/>
      <c r="C359" s="997"/>
      <c r="D359" s="997"/>
      <c r="E359" s="997"/>
      <c r="F359" s="997"/>
      <c r="G359" s="997"/>
      <c r="H359" s="997"/>
    </row>
    <row r="360" spans="1:8">
      <c r="A360" s="1002" t="s">
        <v>514</v>
      </c>
      <c r="B360" s="997"/>
      <c r="C360" s="997"/>
      <c r="D360" s="997"/>
      <c r="E360" s="997"/>
      <c r="F360" s="997"/>
      <c r="G360" s="997"/>
      <c r="H360" s="997"/>
    </row>
    <row r="361" spans="1:8">
      <c r="A361" s="1002" t="s">
        <v>518</v>
      </c>
      <c r="B361" s="997"/>
      <c r="C361" s="997"/>
      <c r="D361" s="997"/>
      <c r="E361" s="997"/>
      <c r="F361" s="997"/>
      <c r="G361" s="997"/>
      <c r="H361" s="997"/>
    </row>
    <row r="362" spans="1:8">
      <c r="A362" s="1002" t="s">
        <v>519</v>
      </c>
      <c r="B362" s="997"/>
      <c r="C362" s="997"/>
      <c r="D362" s="997"/>
      <c r="E362" s="997"/>
      <c r="F362" s="997"/>
      <c r="G362" s="997"/>
      <c r="H362" s="997"/>
    </row>
    <row r="363" spans="1:8">
      <c r="A363" s="1002" t="s">
        <v>520</v>
      </c>
      <c r="B363" s="997"/>
      <c r="C363" s="997"/>
      <c r="D363" s="997"/>
      <c r="E363" s="997"/>
      <c r="F363" s="997"/>
      <c r="G363" s="997"/>
      <c r="H363" s="997"/>
    </row>
    <row r="364" spans="1:8">
      <c r="A364" s="1002" t="s">
        <v>521</v>
      </c>
      <c r="B364" s="997"/>
      <c r="C364" s="997"/>
      <c r="D364" s="997"/>
      <c r="E364" s="997"/>
      <c r="F364" s="997"/>
      <c r="G364" s="997"/>
      <c r="H364" s="997"/>
    </row>
    <row r="365" spans="1:8">
      <c r="A365" s="997"/>
      <c r="B365" s="997"/>
      <c r="C365" s="997"/>
      <c r="D365" s="997"/>
      <c r="E365" s="997"/>
      <c r="F365" s="997"/>
      <c r="G365" s="997"/>
      <c r="H365" s="997"/>
    </row>
    <row r="366" spans="1:8">
      <c r="A366" s="1002" t="s">
        <v>514</v>
      </c>
      <c r="B366" s="997"/>
      <c r="C366" s="997"/>
      <c r="D366" s="997"/>
      <c r="E366" s="997"/>
      <c r="F366" s="997"/>
      <c r="G366" s="997"/>
      <c r="H366" s="997"/>
    </row>
    <row r="367" spans="1:8">
      <c r="A367" s="1002" t="s">
        <v>515</v>
      </c>
      <c r="B367" s="997"/>
      <c r="C367" s="997"/>
      <c r="D367" s="997"/>
      <c r="E367" s="997"/>
      <c r="F367" s="997"/>
      <c r="G367" s="997"/>
      <c r="H367" s="997"/>
    </row>
    <row r="368" spans="1:8">
      <c r="A368" s="1002" t="s">
        <v>516</v>
      </c>
      <c r="B368" s="997"/>
      <c r="C368" s="997"/>
      <c r="D368" s="997"/>
      <c r="E368" s="997"/>
      <c r="F368" s="997"/>
      <c r="G368" s="997"/>
      <c r="H368" s="997"/>
    </row>
    <row r="369" spans="1:8">
      <c r="A369" s="1002" t="s">
        <v>517</v>
      </c>
      <c r="B369" s="997"/>
      <c r="C369" s="997"/>
      <c r="D369" s="997"/>
      <c r="E369" s="997"/>
      <c r="F369" s="997"/>
      <c r="G369" s="997"/>
      <c r="H369" s="997"/>
    </row>
    <row r="370" spans="1:8">
      <c r="A370" s="997"/>
      <c r="B370" s="997"/>
      <c r="C370" s="997"/>
      <c r="D370" s="997"/>
      <c r="E370" s="997"/>
      <c r="F370" s="997"/>
      <c r="G370" s="997"/>
      <c r="H370" s="997"/>
    </row>
    <row r="371" spans="1:8">
      <c r="A371" s="1002" t="s">
        <v>508</v>
      </c>
      <c r="B371" s="997"/>
      <c r="C371" s="997"/>
      <c r="D371" s="997"/>
      <c r="E371" s="997"/>
      <c r="F371" s="997"/>
      <c r="G371" s="997"/>
      <c r="H371" s="997"/>
    </row>
    <row r="372" spans="1:8">
      <c r="A372" s="1002" t="s">
        <v>509</v>
      </c>
      <c r="B372" s="997"/>
      <c r="C372" s="997"/>
      <c r="D372" s="997"/>
      <c r="E372" s="997"/>
      <c r="F372" s="997"/>
      <c r="G372" s="997"/>
      <c r="H372" s="997"/>
    </row>
    <row r="373" spans="1:8">
      <c r="A373" s="1002" t="s">
        <v>510</v>
      </c>
      <c r="B373" s="997"/>
      <c r="C373" s="997"/>
      <c r="D373" s="997"/>
      <c r="E373" s="997"/>
      <c r="F373" s="997"/>
      <c r="G373" s="997"/>
      <c r="H373" s="997"/>
    </row>
    <row r="374" spans="1:8">
      <c r="A374" s="1002" t="s">
        <v>511</v>
      </c>
      <c r="B374" s="997"/>
      <c r="C374" s="997"/>
      <c r="D374" s="997"/>
      <c r="E374" s="997"/>
      <c r="F374" s="997"/>
      <c r="G374" s="997"/>
      <c r="H374" s="997"/>
    </row>
    <row r="375" spans="1:8">
      <c r="A375" s="1002" t="s">
        <v>512</v>
      </c>
      <c r="B375" s="997"/>
      <c r="C375" s="997"/>
      <c r="D375" s="997"/>
      <c r="E375" s="997"/>
      <c r="F375" s="997"/>
      <c r="G375" s="997"/>
      <c r="H375" s="997"/>
    </row>
    <row r="376" spans="1:8">
      <c r="A376" s="1002" t="s">
        <v>513</v>
      </c>
      <c r="B376" s="997"/>
      <c r="C376" s="997"/>
      <c r="D376" s="997"/>
      <c r="E376" s="997"/>
      <c r="F376" s="997"/>
      <c r="G376" s="997"/>
      <c r="H376" s="997"/>
    </row>
    <row r="377" spans="1:8">
      <c r="A377" s="997"/>
      <c r="B377" s="997"/>
      <c r="C377" s="997"/>
      <c r="D377" s="997"/>
      <c r="E377" s="997"/>
      <c r="F377" s="997"/>
      <c r="G377" s="997"/>
      <c r="H377" s="997"/>
    </row>
    <row r="378" spans="1:8">
      <c r="A378" s="1002" t="s">
        <v>503</v>
      </c>
      <c r="B378" s="997"/>
      <c r="C378" s="997"/>
      <c r="D378" s="997"/>
      <c r="E378" s="997"/>
      <c r="F378" s="997"/>
      <c r="G378" s="997"/>
      <c r="H378" s="997"/>
    </row>
    <row r="379" spans="1:8">
      <c r="A379" s="1002" t="s">
        <v>504</v>
      </c>
      <c r="B379" s="997"/>
      <c r="C379" s="997"/>
      <c r="D379" s="997"/>
      <c r="E379" s="997"/>
      <c r="F379" s="997"/>
      <c r="G379" s="997"/>
      <c r="H379" s="997"/>
    </row>
    <row r="380" spans="1:8">
      <c r="A380" s="1002" t="s">
        <v>505</v>
      </c>
      <c r="B380" s="997"/>
      <c r="C380" s="997"/>
      <c r="D380" s="997"/>
      <c r="E380" s="997"/>
      <c r="F380" s="997"/>
      <c r="G380" s="997"/>
      <c r="H380" s="997"/>
    </row>
    <row r="381" spans="1:8">
      <c r="A381" s="1002" t="s">
        <v>506</v>
      </c>
      <c r="B381" s="997"/>
      <c r="C381" s="997"/>
      <c r="D381" s="997"/>
      <c r="E381" s="997"/>
      <c r="F381" s="997"/>
      <c r="G381" s="997"/>
      <c r="H381" s="997"/>
    </row>
    <row r="382" spans="1:8">
      <c r="A382" s="1002" t="s">
        <v>507</v>
      </c>
      <c r="B382" s="997"/>
      <c r="C382" s="997"/>
      <c r="D382" s="997"/>
      <c r="E382" s="997"/>
      <c r="F382" s="997"/>
      <c r="G382" s="997"/>
      <c r="H382" s="997"/>
    </row>
    <row r="383" spans="1:8">
      <c r="A383" s="997"/>
      <c r="B383" s="997"/>
      <c r="C383" s="997"/>
      <c r="D383" s="997"/>
      <c r="E383" s="997"/>
      <c r="F383" s="997"/>
      <c r="G383" s="997"/>
      <c r="H383" s="997"/>
    </row>
    <row r="384" spans="1:8">
      <c r="A384" s="1002" t="s">
        <v>501</v>
      </c>
      <c r="B384" s="997"/>
      <c r="C384" s="997"/>
      <c r="D384" s="997"/>
      <c r="E384" s="997"/>
      <c r="F384" s="997"/>
      <c r="G384" s="997"/>
      <c r="H384" s="997"/>
    </row>
    <row r="385" spans="1:8">
      <c r="A385" s="1002" t="s">
        <v>502</v>
      </c>
      <c r="B385" s="997"/>
      <c r="C385" s="997"/>
      <c r="D385" s="997"/>
      <c r="E385" s="997"/>
      <c r="F385" s="997"/>
      <c r="G385" s="997"/>
      <c r="H385" s="997"/>
    </row>
    <row r="387" spans="1:8">
      <c r="A387" s="998" t="s">
        <v>754</v>
      </c>
    </row>
  </sheetData>
  <mergeCells count="12">
    <mergeCell ref="A125:H125"/>
    <mergeCell ref="A126:H126"/>
    <mergeCell ref="B118:C118"/>
    <mergeCell ref="D118:F118"/>
    <mergeCell ref="G118:H118"/>
    <mergeCell ref="A104:H104"/>
    <mergeCell ref="A105:H105"/>
    <mergeCell ref="A106:H106"/>
    <mergeCell ref="A107:H107"/>
    <mergeCell ref="A109:H109"/>
    <mergeCell ref="A110:H110"/>
    <mergeCell ref="A117:H117"/>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pageSetUpPr fitToPage="1"/>
  </sheetPr>
  <dimension ref="A2:L54"/>
  <sheetViews>
    <sheetView showGridLines="0" zoomScale="85" workbookViewId="0">
      <selection activeCell="J41" sqref="J41"/>
    </sheetView>
  </sheetViews>
  <sheetFormatPr defaultRowHeight="12.75"/>
  <cols>
    <col min="1" max="1" width="2.140625" customWidth="1"/>
    <col min="2" max="2" width="43.140625" customWidth="1"/>
    <col min="3" max="6" width="10.42578125" customWidth="1"/>
    <col min="7" max="7" width="8.140625" customWidth="1"/>
    <col min="8" max="8" width="17.7109375" customWidth="1"/>
    <col min="9" max="12" width="10.7109375" customWidth="1"/>
  </cols>
  <sheetData>
    <row r="2" spans="1:12" ht="15">
      <c r="B2" s="1" t="s">
        <v>0</v>
      </c>
      <c r="C2" s="2"/>
      <c r="D2" s="2"/>
      <c r="E2" s="3"/>
      <c r="F2" s="4"/>
      <c r="G2" s="5"/>
      <c r="H2" s="5" t="s">
        <v>1</v>
      </c>
      <c r="I2" s="6"/>
      <c r="J2" s="7"/>
      <c r="K2" s="7"/>
      <c r="L2" s="5" t="s">
        <v>2</v>
      </c>
    </row>
    <row r="3" spans="1:12" ht="15">
      <c r="B3" s="8" t="s">
        <v>3</v>
      </c>
      <c r="C3" s="2"/>
      <c r="D3" s="2"/>
      <c r="E3" s="3"/>
      <c r="F3" s="4"/>
      <c r="G3" s="5"/>
      <c r="H3" s="5" t="s">
        <v>4</v>
      </c>
      <c r="I3" s="6"/>
      <c r="J3" s="7"/>
      <c r="K3" s="7"/>
      <c r="L3" s="5" t="s">
        <v>5</v>
      </c>
    </row>
    <row r="4" spans="1:12" ht="15">
      <c r="B4" s="1" t="s">
        <v>6</v>
      </c>
      <c r="C4" s="2"/>
      <c r="D4" s="2"/>
      <c r="E4" s="3"/>
      <c r="F4" s="4"/>
      <c r="G4" s="5"/>
      <c r="H4" s="5" t="s">
        <v>7</v>
      </c>
      <c r="I4" s="6"/>
      <c r="J4" s="7"/>
      <c r="K4" s="7"/>
      <c r="L4" s="5" t="s">
        <v>8</v>
      </c>
    </row>
    <row r="5" spans="1:12" ht="15">
      <c r="B5" s="8" t="s">
        <v>9</v>
      </c>
      <c r="C5" s="2"/>
      <c r="D5" s="2"/>
      <c r="E5" s="3"/>
      <c r="F5" s="4"/>
      <c r="G5" s="5"/>
      <c r="H5" s="5" t="s">
        <v>10</v>
      </c>
      <c r="I5" s="6"/>
      <c r="J5" s="7"/>
      <c r="K5" s="7"/>
      <c r="L5" s="9" t="s">
        <v>11</v>
      </c>
    </row>
    <row r="6" spans="1:12" ht="15.75">
      <c r="B6" s="10"/>
      <c r="C6" s="7"/>
      <c r="D6" s="7"/>
      <c r="E6" s="11"/>
      <c r="F6" s="11"/>
      <c r="G6" s="11"/>
      <c r="H6" s="11"/>
      <c r="I6" s="7"/>
      <c r="J6" s="7"/>
      <c r="K6" s="7"/>
      <c r="L6" s="12"/>
    </row>
    <row r="7" spans="1:12" ht="28.5" customHeight="1">
      <c r="A7" s="13"/>
      <c r="B7" s="14" t="s">
        <v>12</v>
      </c>
      <c r="C7" s="15"/>
      <c r="D7" s="15"/>
      <c r="E7" s="16"/>
      <c r="F7" s="16"/>
      <c r="G7" s="16"/>
      <c r="I7" s="13"/>
      <c r="J7" s="13"/>
      <c r="K7" s="13"/>
      <c r="L7" s="17"/>
    </row>
    <row r="8" spans="1:12" ht="15.75">
      <c r="B8" s="18"/>
      <c r="C8" s="7"/>
      <c r="D8" s="7"/>
      <c r="E8" s="11"/>
      <c r="F8" s="11"/>
      <c r="G8" s="11"/>
      <c r="H8" s="11"/>
      <c r="I8" s="7"/>
      <c r="J8" s="7"/>
      <c r="K8" s="7"/>
      <c r="L8" s="19"/>
    </row>
    <row r="9" spans="1:12" ht="18">
      <c r="B9" s="20" t="s">
        <v>13</v>
      </c>
      <c r="C9" s="20"/>
      <c r="D9" s="20"/>
      <c r="E9" s="20"/>
      <c r="F9" s="20"/>
      <c r="G9" s="20"/>
      <c r="H9" s="20"/>
      <c r="I9" s="20"/>
      <c r="J9" s="20"/>
      <c r="K9" s="20"/>
      <c r="L9" s="20"/>
    </row>
    <row r="10" spans="1:12" ht="6.75" customHeight="1">
      <c r="A10" s="21"/>
      <c r="B10" s="22"/>
      <c r="C10" s="22"/>
      <c r="D10" s="22"/>
      <c r="E10" s="22"/>
      <c r="F10" s="22"/>
      <c r="G10" s="22"/>
      <c r="H10" s="22"/>
      <c r="I10" s="22"/>
      <c r="J10" s="22"/>
      <c r="K10" s="22"/>
      <c r="L10" s="22"/>
    </row>
    <row r="11" spans="1:12">
      <c r="B11" s="23" t="s">
        <v>14</v>
      </c>
      <c r="C11" s="24"/>
      <c r="D11" s="24"/>
      <c r="E11" s="22"/>
      <c r="F11" s="22"/>
      <c r="G11" s="22"/>
      <c r="H11" s="25" t="s">
        <v>15</v>
      </c>
      <c r="I11" s="22"/>
      <c r="J11" s="22"/>
      <c r="K11" s="22"/>
      <c r="L11" s="22"/>
    </row>
    <row r="12" spans="1:12">
      <c r="B12" s="26"/>
      <c r="C12" s="27" t="s">
        <v>16</v>
      </c>
      <c r="D12" s="27" t="s">
        <v>17</v>
      </c>
      <c r="E12" s="27" t="s">
        <v>18</v>
      </c>
      <c r="F12" s="27" t="s">
        <v>19</v>
      </c>
      <c r="G12" s="22"/>
      <c r="H12" s="28" t="s">
        <v>20</v>
      </c>
      <c r="I12" s="29" t="s">
        <v>21</v>
      </c>
      <c r="J12" s="30" t="s">
        <v>22</v>
      </c>
      <c r="K12" s="30"/>
      <c r="L12" s="30"/>
    </row>
    <row r="13" spans="1:12">
      <c r="B13" s="31" t="s">
        <v>23</v>
      </c>
      <c r="C13" s="32"/>
      <c r="D13" s="33"/>
      <c r="E13" s="33"/>
      <c r="F13" s="33"/>
      <c r="G13" s="24"/>
      <c r="H13" s="34"/>
      <c r="I13" s="35"/>
      <c r="J13" s="36"/>
      <c r="K13" s="37"/>
      <c r="L13" s="38"/>
    </row>
    <row r="14" spans="1:12">
      <c r="B14" s="34" t="s">
        <v>24</v>
      </c>
      <c r="C14" s="39">
        <f>+'Segment Detail'!N7</f>
        <v>1050.4449999999999</v>
      </c>
      <c r="D14" s="39">
        <f>+'Segment Detail'!S7</f>
        <v>1456.1599999999999</v>
      </c>
      <c r="E14" s="39">
        <f>+'Segment Detail'!X7</f>
        <v>1910.0048540156445</v>
      </c>
      <c r="F14" s="39">
        <f>+'Segment Detail'!AC7</f>
        <v>2451.3189338151815</v>
      </c>
      <c r="G14" s="24"/>
      <c r="H14" s="40" t="s">
        <v>25</v>
      </c>
      <c r="I14" s="41">
        <f>'Quarterly Model'!X26</f>
        <v>967.30282038111068</v>
      </c>
      <c r="J14" s="42" t="s">
        <v>428</v>
      </c>
      <c r="K14" s="43"/>
      <c r="L14" s="44"/>
    </row>
    <row r="15" spans="1:12">
      <c r="B15" s="45" t="s">
        <v>26</v>
      </c>
      <c r="C15" s="46">
        <f>+'Segment Detail'!N8</f>
        <v>0.48410071220784423</v>
      </c>
      <c r="D15" s="46">
        <f>+'Segment Detail'!S8</f>
        <v>0.38623154948617011</v>
      </c>
      <c r="E15" s="46">
        <f>+'Segment Detail'!X8</f>
        <v>0.31167238079307547</v>
      </c>
      <c r="F15" s="46">
        <f>+'Segment Detail'!AC8</f>
        <v>0.2834097927350625</v>
      </c>
      <c r="G15" s="24"/>
      <c r="H15" s="34" t="s">
        <v>27</v>
      </c>
      <c r="I15" s="47">
        <f>'Quarterly Model'!X27</f>
        <v>0.4087932742530942</v>
      </c>
      <c r="J15" s="48"/>
      <c r="K15" s="37"/>
      <c r="L15" s="49"/>
    </row>
    <row r="16" spans="1:12">
      <c r="B16" s="45" t="s">
        <v>28</v>
      </c>
      <c r="C16" s="46">
        <f>+'Segment Detail'!N49</f>
        <v>0.82900329724619171</v>
      </c>
      <c r="D16" s="46">
        <f>+'Segment Detail'!S49</f>
        <v>0.85219295601798073</v>
      </c>
      <c r="E16" s="46">
        <f>+'Segment Detail'!X49</f>
        <v>0.86967193281585164</v>
      </c>
      <c r="F16" s="46">
        <f>+'Segment Detail'!AC49</f>
        <v>0.83952285489987799</v>
      </c>
      <c r="G16" s="24"/>
      <c r="H16" s="34"/>
      <c r="I16" s="50"/>
      <c r="J16" s="51"/>
      <c r="K16" s="37"/>
      <c r="L16" s="38"/>
    </row>
    <row r="17" spans="2:12">
      <c r="B17" s="34"/>
      <c r="C17" s="52"/>
      <c r="D17" s="52"/>
      <c r="E17" s="52"/>
      <c r="F17" s="52"/>
      <c r="G17" s="24"/>
      <c r="H17" s="40" t="s">
        <v>29</v>
      </c>
      <c r="I17" s="41">
        <f>+'Quarterly Model'!X115</f>
        <v>131.15551464241827</v>
      </c>
      <c r="J17" s="42" t="s">
        <v>429</v>
      </c>
      <c r="K17" s="43"/>
      <c r="L17" s="44"/>
    </row>
    <row r="18" spans="2:12">
      <c r="B18" s="34" t="s">
        <v>30</v>
      </c>
      <c r="C18" s="39">
        <f>+'Segment Detail'!N23</f>
        <v>142.28300000000002</v>
      </c>
      <c r="D18" s="39"/>
      <c r="E18" s="39"/>
      <c r="F18" s="39"/>
      <c r="G18" s="24"/>
      <c r="H18" s="34" t="s">
        <v>31</v>
      </c>
      <c r="I18" s="53">
        <f>+'Quarterly Model'!X118</f>
        <v>0.1355888888970094</v>
      </c>
      <c r="J18" s="54"/>
      <c r="K18" s="55"/>
      <c r="L18" s="56"/>
    </row>
    <row r="19" spans="2:12">
      <c r="B19" s="45" t="s">
        <v>26</v>
      </c>
      <c r="C19" s="46">
        <f>+'Segment Detail'!N24</f>
        <v>0.15654669007673316</v>
      </c>
      <c r="D19" s="46"/>
      <c r="E19" s="46"/>
      <c r="F19" s="46"/>
      <c r="G19" s="24"/>
      <c r="H19" s="57"/>
      <c r="I19" s="58"/>
      <c r="J19" s="59"/>
      <c r="K19" s="60"/>
      <c r="L19" s="61"/>
    </row>
    <row r="20" spans="2:12">
      <c r="B20" s="45" t="s">
        <v>28</v>
      </c>
      <c r="C20" s="46">
        <f>+'Segment Detail'!N50</f>
        <v>0.11228867398300713</v>
      </c>
      <c r="D20" s="46"/>
      <c r="E20" s="46"/>
      <c r="F20" s="46"/>
      <c r="G20" s="24"/>
    </row>
    <row r="21" spans="2:12">
      <c r="B21" s="45"/>
      <c r="C21" s="62"/>
      <c r="D21" s="62"/>
      <c r="E21" s="62"/>
      <c r="F21" s="62"/>
      <c r="G21" s="24"/>
      <c r="H21" s="23" t="s">
        <v>32</v>
      </c>
      <c r="I21" s="24"/>
      <c r="J21" s="24"/>
      <c r="K21" s="24"/>
      <c r="L21" s="24"/>
    </row>
    <row r="22" spans="2:12">
      <c r="B22" s="34" t="s">
        <v>33</v>
      </c>
      <c r="C22" s="39">
        <f>+'Segment Detail'!N30</f>
        <v>58.013000000000005</v>
      </c>
      <c r="D22" s="39">
        <f>+'Segment Detail'!S30</f>
        <v>129.351</v>
      </c>
      <c r="E22" s="39">
        <f>+'Segment Detail'!X30</f>
        <v>246.1944</v>
      </c>
      <c r="F22" s="39">
        <f>+'Segment Detail'!AC30</f>
        <v>418.53048000000001</v>
      </c>
      <c r="G22" s="24"/>
      <c r="H22" s="63"/>
      <c r="I22" s="64" t="s">
        <v>34</v>
      </c>
      <c r="J22" s="64" t="s">
        <v>35</v>
      </c>
      <c r="K22" s="64" t="s">
        <v>36</v>
      </c>
      <c r="L22" s="64" t="s">
        <v>37</v>
      </c>
    </row>
    <row r="23" spans="2:12">
      <c r="B23" s="45" t="s">
        <v>26</v>
      </c>
      <c r="C23" s="46">
        <f>+'Segment Detail'!N32</f>
        <v>3.8159555039017112</v>
      </c>
      <c r="D23" s="46">
        <f>+'Segment Detail'!S32</f>
        <v>1.2296898970920309</v>
      </c>
      <c r="E23" s="46">
        <f>+'Segment Detail'!X32</f>
        <v>0.90330496092028678</v>
      </c>
      <c r="F23" s="46">
        <f>+'Segment Detail'!AC32</f>
        <v>0.7</v>
      </c>
      <c r="G23" s="24"/>
      <c r="H23" s="65"/>
      <c r="I23" s="66"/>
      <c r="J23" s="66"/>
      <c r="K23" s="66"/>
      <c r="L23" s="66"/>
    </row>
    <row r="24" spans="2:12">
      <c r="B24" s="45" t="s">
        <v>28</v>
      </c>
      <c r="C24" s="46">
        <f>+'Segment Detail'!N51</f>
        <v>4.5783423485421255E-2</v>
      </c>
      <c r="D24" s="46">
        <f>+'Segment Detail'!S51</f>
        <v>7.5700480066669754E-2</v>
      </c>
      <c r="E24" s="46">
        <f>+'Segment Detail'!X51</f>
        <v>0.11209833275883664</v>
      </c>
      <c r="F24" s="46">
        <f>+'Segment Detail'!AC51</f>
        <v>0.14333749011001101</v>
      </c>
      <c r="G24" s="24"/>
      <c r="H24" s="34" t="s">
        <v>38</v>
      </c>
      <c r="I24" s="67">
        <f>'Segment Detail'!R10</f>
        <v>13694</v>
      </c>
      <c r="J24" s="67">
        <f>'Segment Detail'!T10</f>
        <v>13647</v>
      </c>
      <c r="K24" s="67">
        <f>'Segment Detail'!U10</f>
        <v>16421</v>
      </c>
      <c r="L24" s="67">
        <f>'Segment Detail'!V10</f>
        <v>17386</v>
      </c>
    </row>
    <row r="25" spans="2:12">
      <c r="B25" s="45"/>
      <c r="C25" s="46"/>
      <c r="D25" s="46"/>
      <c r="E25" s="46"/>
      <c r="F25" s="46"/>
      <c r="G25" s="24"/>
      <c r="H25" s="45" t="s">
        <v>26</v>
      </c>
      <c r="I25" s="47">
        <f>'Segment Detail'!R12</f>
        <v>0.34347100951633469</v>
      </c>
      <c r="J25" s="47">
        <f>'Segment Detail'!T12</f>
        <v>0.32623906705539363</v>
      </c>
      <c r="K25" s="47">
        <f>'Segment Detail'!U12</f>
        <v>0.31884989157497379</v>
      </c>
      <c r="L25" s="47">
        <f>'Segment Detail'!V12</f>
        <v>0.3123490338164252</v>
      </c>
    </row>
    <row r="26" spans="2:12">
      <c r="B26" s="34" t="s">
        <v>39</v>
      </c>
      <c r="C26" s="39">
        <f>+'Segment Detail'!N39</f>
        <v>16.376999999999999</v>
      </c>
      <c r="D26" s="39">
        <f>+'Segment Detail'!S39</f>
        <v>44.307000000000002</v>
      </c>
      <c r="E26" s="39">
        <f>+'Segment Detail'!X39</f>
        <v>40.036799999999999</v>
      </c>
      <c r="F26" s="39">
        <f>+'Segment Detail'!AC39</f>
        <v>50.045999999999999</v>
      </c>
      <c r="G26" s="24"/>
      <c r="H26" s="68"/>
      <c r="I26" s="69"/>
      <c r="J26" s="69"/>
      <c r="K26" s="69"/>
      <c r="L26" s="69"/>
    </row>
    <row r="27" spans="2:12">
      <c r="B27" s="45" t="s">
        <v>26</v>
      </c>
      <c r="C27" s="46">
        <f>+'Segment Detail'!N40</f>
        <v>1.2363785333879553</v>
      </c>
      <c r="D27" s="46">
        <f>+'Segment Detail'!S40</f>
        <v>1.7054405568785493</v>
      </c>
      <c r="E27" s="46">
        <f>+'Segment Detail'!X40</f>
        <v>-9.6377547565847488E-2</v>
      </c>
      <c r="F27" s="46">
        <f>+'Segment Detail'!AC40</f>
        <v>0.25</v>
      </c>
      <c r="G27" s="24"/>
    </row>
    <row r="28" spans="2:12">
      <c r="B28" s="45" t="s">
        <v>28</v>
      </c>
      <c r="C28" s="46">
        <f>+'Segment Detail'!N52</f>
        <v>1.2924605285379894E-2</v>
      </c>
      <c r="D28" s="46">
        <f>+'Segment Detail'!S52</f>
        <v>2.5929920683364929E-2</v>
      </c>
      <c r="E28" s="46">
        <f>+'Segment Detail'!X52</f>
        <v>1.8229734425311828E-2</v>
      </c>
      <c r="F28" s="46">
        <f>+'Segment Detail'!AC52</f>
        <v>1.713965499011114E-2</v>
      </c>
      <c r="G28" s="24"/>
    </row>
    <row r="29" spans="2:12">
      <c r="B29" s="45"/>
      <c r="C29" s="70"/>
      <c r="D29" s="70"/>
      <c r="E29" s="70"/>
      <c r="F29" s="70"/>
      <c r="G29" s="24"/>
    </row>
    <row r="30" spans="2:12">
      <c r="B30" s="71" t="s">
        <v>40</v>
      </c>
      <c r="C30" s="72">
        <f>+'Quarterly Model'!N16</f>
        <v>1267.1179999999999</v>
      </c>
      <c r="D30" s="72">
        <f>+'Quarterly Model'!S16</f>
        <v>1708.7209999999998</v>
      </c>
      <c r="E30" s="72">
        <f>+'Quarterly Model'!X16</f>
        <v>2196.2360540156442</v>
      </c>
      <c r="F30" s="72">
        <f>+'Quarterly Model'!AC16</f>
        <v>2919.8954138151812</v>
      </c>
      <c r="G30" s="24"/>
    </row>
    <row r="31" spans="2:12">
      <c r="B31" s="73" t="s">
        <v>26</v>
      </c>
      <c r="C31" s="74">
        <f>+'Quarterly Model'!N17</f>
        <v>0.49039040593183647</v>
      </c>
      <c r="D31" s="74">
        <f>+'Quarterly Model'!S17</f>
        <v>0.34850976783535548</v>
      </c>
      <c r="E31" s="74">
        <f>+'Quarterly Model'!X17</f>
        <v>0.28530992128945831</v>
      </c>
      <c r="F31" s="74">
        <f>+'Quarterly Model'!AC17</f>
        <v>0.32949980876435525</v>
      </c>
      <c r="G31" s="24"/>
    </row>
    <row r="32" spans="2:12">
      <c r="B32" s="34"/>
      <c r="C32" s="75"/>
      <c r="D32" s="75"/>
      <c r="E32" s="75"/>
      <c r="F32" s="75"/>
      <c r="G32" s="24"/>
    </row>
    <row r="33" spans="2:8">
      <c r="B33" s="34" t="s">
        <v>41</v>
      </c>
      <c r="C33" s="39">
        <f>+'Quarterly Model'!N110</f>
        <v>-146.83199999999997</v>
      </c>
      <c r="D33" s="39">
        <f>+'Quarterly Model'!S110</f>
        <v>-84.50000000000027</v>
      </c>
      <c r="E33" s="39">
        <f>+'Quarterly Model'!X110</f>
        <v>-21.203485357581755</v>
      </c>
      <c r="F33" s="39">
        <f>+'Quarterly Model'!AC110</f>
        <v>80.613924995370652</v>
      </c>
      <c r="G33" s="24"/>
    </row>
    <row r="34" spans="2:8">
      <c r="B34" s="76" t="s">
        <v>42</v>
      </c>
      <c r="C34" s="46">
        <f>+'Quarterly Model'!N112</f>
        <v>-0.11587871058575443</v>
      </c>
      <c r="D34" s="46">
        <f>+'Quarterly Model'!S112</f>
        <v>-4.9452192604878313E-2</v>
      </c>
      <c r="E34" s="46">
        <f>+'Quarterly Model'!X112</f>
        <v>-9.6544655656721681E-3</v>
      </c>
      <c r="F34" s="46">
        <f>+'Quarterly Model'!AC112</f>
        <v>2.7608497418761733E-2</v>
      </c>
      <c r="G34" s="24"/>
    </row>
    <row r="35" spans="2:8">
      <c r="B35" s="76" t="s">
        <v>31</v>
      </c>
      <c r="C35" s="46">
        <f>+'Quarterly Model'!N113</f>
        <v>-0.32544644935068956</v>
      </c>
      <c r="D35" s="46">
        <f>+'Quarterly Model'!S113</f>
        <v>-0.12306697464966009</v>
      </c>
      <c r="E35" s="46">
        <f>+'Quarterly Model'!X113</f>
        <v>-2.1920214550007956E-2</v>
      </c>
      <c r="F35" s="46">
        <f>+'Quarterly Model'!AC113</f>
        <v>6.0057294679100419E-2</v>
      </c>
      <c r="G35" s="24"/>
    </row>
    <row r="36" spans="2:8">
      <c r="B36" s="76"/>
      <c r="C36" s="46"/>
      <c r="D36" s="46"/>
      <c r="E36" s="46"/>
      <c r="F36" s="46"/>
      <c r="G36" s="24"/>
    </row>
    <row r="37" spans="2:8">
      <c r="B37" s="71" t="s">
        <v>43</v>
      </c>
      <c r="C37" s="72">
        <f>+'Quarterly Model'!N115</f>
        <v>-41.144999999999996</v>
      </c>
      <c r="D37" s="72">
        <f>+'Quarterly Model'!S115</f>
        <v>44.92499999999972</v>
      </c>
      <c r="E37" s="72">
        <f>+'Quarterly Model'!X115</f>
        <v>131.15551464241827</v>
      </c>
      <c r="F37" s="72">
        <f>+'Quarterly Model'!AC115</f>
        <v>254.80592499537067</v>
      </c>
      <c r="G37" s="24"/>
    </row>
    <row r="38" spans="2:8">
      <c r="B38" s="77" t="s">
        <v>42</v>
      </c>
      <c r="C38" s="78">
        <f>+'Quarterly Model'!N117</f>
        <v>-3.2471324691149522E-2</v>
      </c>
      <c r="D38" s="78">
        <f>+'Quarterly Model'!S117</f>
        <v>2.6291594707386241E-2</v>
      </c>
      <c r="E38" s="78">
        <f>+'Quarterly Model'!X117</f>
        <v>5.9718314159632691E-2</v>
      </c>
      <c r="F38" s="78">
        <f>+'Quarterly Model'!AC117</f>
        <v>8.726542868274767E-2</v>
      </c>
      <c r="G38" s="24"/>
    </row>
    <row r="39" spans="2:8">
      <c r="B39" s="79" t="s">
        <v>31</v>
      </c>
      <c r="C39" s="80">
        <f>+'Quarterly Model'!N118</f>
        <v>-9.1196021020854598E-2</v>
      </c>
      <c r="D39" s="80">
        <f>+'Quarterly Model'!S118</f>
        <v>6.5429394510484337E-2</v>
      </c>
      <c r="E39" s="80">
        <f>+'Quarterly Model'!X118</f>
        <v>0.1355888888970094</v>
      </c>
      <c r="F39" s="80">
        <f>+'Quarterly Model'!AC118</f>
        <v>0.18983016301844285</v>
      </c>
      <c r="G39" s="24"/>
    </row>
    <row r="40" spans="2:8">
      <c r="B40" s="76"/>
      <c r="C40" s="46"/>
      <c r="D40" s="46"/>
      <c r="E40" s="46"/>
      <c r="F40" s="46"/>
      <c r="G40" s="24"/>
    </row>
    <row r="41" spans="2:8">
      <c r="B41" s="34" t="s">
        <v>44</v>
      </c>
      <c r="C41" s="39">
        <f>+'Quarterly Model'!N98</f>
        <v>-174.45799999999997</v>
      </c>
      <c r="D41" s="39">
        <f>+'Quarterly Model'!S98</f>
        <v>-122.24500000000027</v>
      </c>
      <c r="E41" s="39">
        <f>+'Quarterly Model'!X98</f>
        <v>-59.487398172826204</v>
      </c>
      <c r="F41" s="39">
        <f>+'Quarterly Model'!AC98</f>
        <v>34.640076897791076</v>
      </c>
      <c r="G41" s="24"/>
      <c r="H41" s="81"/>
    </row>
    <row r="42" spans="2:8">
      <c r="B42" s="76" t="s">
        <v>45</v>
      </c>
      <c r="C42" s="46">
        <f>+'Quarterly Model'!N100</f>
        <v>-0.13768094210641785</v>
      </c>
      <c r="D42" s="46">
        <f>+'Quarterly Model'!S100</f>
        <v>-7.1541814023471526E-2</v>
      </c>
      <c r="E42" s="46">
        <f>+'Quarterly Model'!X100</f>
        <v>-2.7086067576414744E-2</v>
      </c>
      <c r="F42" s="46">
        <f>+'Quarterly Model'!AC100</f>
        <v>1.1863464949427695E-2</v>
      </c>
      <c r="G42" s="24"/>
    </row>
    <row r="43" spans="2:8">
      <c r="B43" s="34"/>
      <c r="C43" s="75"/>
      <c r="D43" s="75"/>
      <c r="E43" s="75"/>
      <c r="F43" s="75"/>
      <c r="G43" s="24"/>
    </row>
    <row r="44" spans="2:8">
      <c r="B44" s="71" t="s">
        <v>46</v>
      </c>
      <c r="C44" s="72">
        <f>+'Quarterly Model'!N141</f>
        <v>-66.97399999999999</v>
      </c>
      <c r="D44" s="72">
        <f>+'Quarterly Model'!S141</f>
        <v>15.139999999999716</v>
      </c>
      <c r="E44" s="72">
        <f>+'Quarterly Model'!X141</f>
        <v>107.7277800175698</v>
      </c>
      <c r="F44" s="72">
        <f>+'Quarterly Model'!AC141</f>
        <v>224.82923232167985</v>
      </c>
      <c r="G44" s="82"/>
    </row>
    <row r="45" spans="2:8">
      <c r="B45" s="83" t="s">
        <v>26</v>
      </c>
      <c r="C45" s="84">
        <f>+'Quarterly Model'!N142</f>
        <v>-0.23207025750153529</v>
      </c>
      <c r="D45" s="85">
        <f>+'Quarterly Model'!S142</f>
        <v>3.937581274382241E-2</v>
      </c>
      <c r="E45" s="85">
        <f>+'Quarterly Model'!X142</f>
        <v>0.24983902025773402</v>
      </c>
      <c r="F45" s="85">
        <f>+'Quarterly Model'!AC142</f>
        <v>0.49397361705189036</v>
      </c>
    </row>
    <row r="46" spans="2:8">
      <c r="B46" s="34"/>
      <c r="C46" s="75"/>
      <c r="D46" s="75"/>
      <c r="E46" s="75"/>
      <c r="F46" s="75"/>
    </row>
    <row r="47" spans="2:8">
      <c r="B47" s="34" t="s">
        <v>47</v>
      </c>
      <c r="C47" s="39">
        <f>+'Quarterly Model'!N190</f>
        <v>-37.432000000000002</v>
      </c>
      <c r="D47" s="39">
        <f>+'Quarterly Model'!S190</f>
        <v>-25.433</v>
      </c>
      <c r="E47" s="39">
        <f>+'Quarterly Model'!X190</f>
        <v>-25.565351765850203</v>
      </c>
      <c r="F47" s="39">
        <f>+'Quarterly Model'!AC190</f>
        <v>-46.979927915731352</v>
      </c>
    </row>
    <row r="48" spans="2:8">
      <c r="B48" s="45" t="s">
        <v>48</v>
      </c>
      <c r="C48" s="46">
        <f>+'Portfolio Manager''s Snapshot'!C47/'Portfolio Manager''s Snapshot'!C30</f>
        <v>-2.9541053003745512E-2</v>
      </c>
      <c r="D48" s="46">
        <f>+'Portfolio Manager''s Snapshot'!D47/'Portfolio Manager''s Snapshot'!D30</f>
        <v>-1.4884232124495458E-2</v>
      </c>
      <c r="E48" s="46">
        <f>+'Portfolio Manager''s Snapshot'!E47/'Portfolio Manager''s Snapshot'!E30</f>
        <v>-1.1640530041889611E-2</v>
      </c>
      <c r="F48" s="46">
        <f>+'Portfolio Manager''s Snapshot'!F47/'Portfolio Manager''s Snapshot'!F30</f>
        <v>-1.6089592693440565E-2</v>
      </c>
    </row>
    <row r="49" spans="2:6">
      <c r="B49" s="86" t="s">
        <v>49</v>
      </c>
      <c r="C49" s="87">
        <f>+'DCF Analysis'!F109</f>
        <v>-90.952256583991741</v>
      </c>
      <c r="D49" s="87">
        <f>+'DCF Analysis'!G109</f>
        <v>-102.5728351047628</v>
      </c>
      <c r="E49" s="87">
        <f>+'DCF Analysis'!H109</f>
        <v>-97.529392869435995</v>
      </c>
      <c r="F49" s="87">
        <f>+'DCF Analysis'!I109</f>
        <v>-71.416090008163906</v>
      </c>
    </row>
    <row r="50" spans="2:6">
      <c r="B50" s="34" t="s">
        <v>50</v>
      </c>
      <c r="C50" s="88">
        <f>+C49/'Quarterly Model'!N147</f>
        <v>-0.31515683109553971</v>
      </c>
      <c r="D50" s="88">
        <f>+D49/'Quarterly Model'!S147</f>
        <v>-0.2667694020930112</v>
      </c>
      <c r="E50" s="88">
        <f>+E49/'Quarterly Model'!X147</f>
        <v>-0.22618722818624365</v>
      </c>
      <c r="F50" s="88">
        <f>+F49/'Quarterly Model'!AC147</f>
        <v>-0.15690870770114856</v>
      </c>
    </row>
    <row r="51" spans="2:6">
      <c r="B51" s="34"/>
      <c r="C51" s="75"/>
      <c r="D51" s="75"/>
      <c r="E51" s="75"/>
      <c r="F51" s="75"/>
    </row>
    <row r="52" spans="2:6">
      <c r="B52" s="86" t="s">
        <v>51</v>
      </c>
      <c r="C52" s="87">
        <f>+'Quarterly Model'!N233</f>
        <v>894.77199999999993</v>
      </c>
      <c r="D52" s="87">
        <f>+'Quarterly Model'!S233</f>
        <v>1211.3619999999999</v>
      </c>
      <c r="E52" s="87">
        <f>+'Quarterly Model'!X233</f>
        <v>1832.3541088103398</v>
      </c>
      <c r="F52" s="87">
        <f>+'Quarterly Model'!AC233</f>
        <v>2078.541951652664</v>
      </c>
    </row>
    <row r="53" spans="2:6">
      <c r="B53" s="31" t="s">
        <v>52</v>
      </c>
      <c r="C53" s="89">
        <f>+'Quarterly Model'!N244</f>
        <v>386.72399999999999</v>
      </c>
      <c r="D53" s="89">
        <f>+'Quarterly Model'!S244</f>
        <v>635.20899999999995</v>
      </c>
      <c r="E53" s="89">
        <f>+'Quarterly Model'!X244</f>
        <v>1078.6869975653258</v>
      </c>
      <c r="F53" s="89">
        <f>+'Quarterly Model'!AC244</f>
        <v>1128.2285673547481</v>
      </c>
    </row>
    <row r="54" spans="2:6">
      <c r="B54" s="90" t="s">
        <v>53</v>
      </c>
      <c r="C54" s="91">
        <f>+'Quarterly Model'!N252</f>
        <v>508.04800000000012</v>
      </c>
      <c r="D54" s="91">
        <f>+'Quarterly Model'!S252</f>
        <v>576.15300000000002</v>
      </c>
      <c r="E54" s="91">
        <f>+'Quarterly Model'!X252</f>
        <v>753.67011124501403</v>
      </c>
      <c r="F54" s="91">
        <f>+'Quarterly Model'!AC252</f>
        <v>950.31638429791587</v>
      </c>
    </row>
  </sheetData>
  <hyperlinks>
    <hyperlink ref="B5" r:id="rId1" display="vasundhara.govil@morganstanley.com"/>
  </hyperlinks>
  <printOptions horizontalCentered="1" verticalCentered="1"/>
  <pageMargins left="0.5" right="0.5" top="0.5" bottom="0.5" header="0.5" footer="0.5"/>
  <pageSetup scale="76" orientation="landscape" r:id="rId2"/>
  <headerFooter alignWithMargins="0"/>
  <drawing r:id="rId3"/>
  <legacyDrawing r:id="rId4"/>
  <controls>
    <mc:AlternateContent xmlns:mc="http://schemas.openxmlformats.org/markup-compatibility/2006">
      <mc:Choice Requires="x14">
        <control shapeId="1025" r:id="rId5" name="ComboBox1">
          <controlPr defaultSize="0" autoLine="0" linkedCell="'DCF Analysis'!$A$5" listFillRange="'DCF Analysis'!$A$2:$A$4" r:id="rId6">
            <anchor moveWithCells="1">
              <from>
                <xdr:col>2</xdr:col>
                <xdr:colOff>0</xdr:colOff>
                <xdr:row>6</xdr:row>
                <xdr:rowOff>47625</xdr:rowOff>
              </from>
              <to>
                <xdr:col>4</xdr:col>
                <xdr:colOff>266700</xdr:colOff>
                <xdr:row>6</xdr:row>
                <xdr:rowOff>323850</xdr:rowOff>
              </to>
            </anchor>
          </controlPr>
        </control>
      </mc:Choice>
      <mc:Fallback>
        <control shapeId="1025" r:id="rId5" name="ComboBox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3"/>
    <pageSetUpPr fitToPage="1"/>
  </sheetPr>
  <dimension ref="A1:BR316"/>
  <sheetViews>
    <sheetView showGridLines="0" zoomScale="85" zoomScaleNormal="85" zoomScaleSheetLayoutView="75" workbookViewId="0">
      <pane xSplit="2" ySplit="5" topLeftCell="D6" activePane="bottomRight" state="frozen"/>
      <selection activeCell="J35" sqref="J35"/>
      <selection pane="topRight" activeCell="J35" sqref="J35"/>
      <selection pane="bottomLeft" activeCell="J35" sqref="J35"/>
      <selection pane="bottomRight" activeCell="AN10" sqref="AN10"/>
    </sheetView>
  </sheetViews>
  <sheetFormatPr defaultColWidth="7.42578125" defaultRowHeight="13.5" customHeight="1" outlineLevelRow="1" outlineLevelCol="1"/>
  <cols>
    <col min="1" max="1" width="2.42578125" customWidth="1"/>
    <col min="2" max="2" width="54.85546875" customWidth="1"/>
    <col min="3" max="3" width="9.140625" hidden="1" customWidth="1"/>
    <col min="4" max="4" width="9.140625" customWidth="1"/>
    <col min="5" max="8" width="9.140625" hidden="1" customWidth="1" outlineLevel="1"/>
    <col min="9" max="9" width="9.140625" customWidth="1" collapsed="1"/>
    <col min="10" max="13" width="9.140625" hidden="1" customWidth="1" outlineLevel="1"/>
    <col min="14" max="14" width="8.7109375" customWidth="1" collapsed="1"/>
    <col min="15" max="18" width="9.140625" hidden="1" customWidth="1" outlineLevel="1"/>
    <col min="19" max="19" width="8.7109375" customWidth="1" collapsed="1"/>
    <col min="20" max="23" width="9.140625" customWidth="1" outlineLevel="1"/>
    <col min="24" max="24" width="8.7109375" customWidth="1"/>
    <col min="25" max="28" width="9.140625" customWidth="1" outlineLevel="1"/>
    <col min="29" max="29" width="9.7109375" customWidth="1"/>
    <col min="30" max="33" width="9.140625" hidden="1" customWidth="1" outlineLevel="1"/>
    <col min="34" max="34" width="8.7109375" customWidth="1" collapsed="1"/>
    <col min="35" max="38" width="9.140625" hidden="1" customWidth="1" outlineLevel="1"/>
    <col min="39" max="39" width="8.7109375" customWidth="1" collapsed="1"/>
    <col min="40" max="40" width="14.140625" customWidth="1"/>
    <col min="41" max="53" width="2.85546875" hidden="1" customWidth="1"/>
    <col min="54" max="54" width="43.7109375" hidden="1" customWidth="1" outlineLevel="1"/>
    <col min="55" max="55" width="5" hidden="1" customWidth="1" outlineLevel="1"/>
    <col min="56" max="56" width="18.140625" hidden="1" customWidth="1" outlineLevel="1"/>
    <col min="57" max="57" width="8.140625" hidden="1" customWidth="1" outlineLevel="1"/>
    <col min="58" max="59" width="3" hidden="1" customWidth="1" outlineLevel="1"/>
    <col min="60" max="60" width="8" bestFit="1" customWidth="1" collapsed="1"/>
    <col min="61" max="61" width="8.140625" customWidth="1"/>
  </cols>
  <sheetData>
    <row r="1" spans="1:53" ht="15.75" customHeight="1">
      <c r="A1" s="92"/>
      <c r="B1" s="93" t="s">
        <v>54</v>
      </c>
      <c r="C1" s="92"/>
      <c r="D1" s="92"/>
      <c r="E1" s="92"/>
      <c r="F1" s="92"/>
      <c r="G1" s="92"/>
      <c r="H1" s="92"/>
      <c r="I1" s="92"/>
      <c r="J1" s="92"/>
      <c r="K1" s="92"/>
      <c r="L1" s="92"/>
      <c r="M1" s="92"/>
      <c r="N1" s="94"/>
      <c r="O1" s="94"/>
      <c r="P1" s="94"/>
      <c r="Q1" s="94"/>
      <c r="R1" s="94"/>
      <c r="S1" s="92"/>
      <c r="T1" s="94"/>
      <c r="U1" s="94"/>
      <c r="V1" s="94"/>
      <c r="W1" s="92"/>
      <c r="X1" s="92"/>
      <c r="Y1" s="92"/>
      <c r="Z1" s="92"/>
      <c r="AA1" s="92"/>
      <c r="AB1" s="92"/>
      <c r="AC1" s="92"/>
      <c r="AD1" s="92"/>
      <c r="AE1" s="92"/>
      <c r="AF1" s="92"/>
      <c r="AG1" s="92"/>
      <c r="AH1" s="92"/>
      <c r="AI1" s="92"/>
      <c r="AJ1" s="92"/>
      <c r="AK1" s="92"/>
      <c r="AL1" s="92"/>
      <c r="AM1" s="92"/>
      <c r="AN1" s="92"/>
      <c r="AO1" s="92"/>
      <c r="AP1" s="92"/>
      <c r="AQ1" s="92"/>
      <c r="AR1" s="92"/>
      <c r="AS1" s="92"/>
      <c r="AT1" s="92"/>
      <c r="AU1" s="92"/>
      <c r="AV1" s="92"/>
      <c r="AW1" s="92"/>
      <c r="AX1" s="92"/>
      <c r="AY1" s="92"/>
      <c r="AZ1" s="92"/>
      <c r="BA1" s="92"/>
    </row>
    <row r="2" spans="1:53" ht="15.75" customHeight="1">
      <c r="A2" s="92"/>
      <c r="B2" s="95" t="s">
        <v>55</v>
      </c>
      <c r="C2" s="92"/>
      <c r="D2" s="92"/>
      <c r="E2" s="92"/>
      <c r="F2" s="92"/>
      <c r="G2" s="92"/>
      <c r="H2" s="92"/>
      <c r="I2" s="96"/>
      <c r="J2" s="92"/>
      <c r="K2" s="92"/>
      <c r="L2" s="94"/>
      <c r="M2" s="94"/>
      <c r="N2" s="97"/>
      <c r="O2" s="94"/>
      <c r="P2" s="94"/>
      <c r="Q2" s="94"/>
      <c r="R2" s="94"/>
      <c r="S2" s="98"/>
      <c r="T2" s="94"/>
      <c r="U2" s="94"/>
      <c r="V2" s="94"/>
      <c r="W2" s="92"/>
      <c r="X2" s="98">
        <f>+X118-S118</f>
        <v>7.0159494386525065E-2</v>
      </c>
      <c r="Y2" s="94"/>
      <c r="Z2" s="92"/>
      <c r="AA2" s="92"/>
      <c r="AB2" s="92"/>
      <c r="AC2" s="98">
        <f>+AC118-X118</f>
        <v>5.4241274121433453E-2</v>
      </c>
      <c r="AD2" s="94"/>
      <c r="AE2" s="92"/>
      <c r="AF2" s="92"/>
      <c r="AG2" s="92"/>
      <c r="AH2" s="98">
        <f>+AH118-AC118</f>
        <v>5.457484580080002E-2</v>
      </c>
      <c r="AI2" s="94"/>
      <c r="AJ2" s="92"/>
      <c r="AK2" s="92"/>
      <c r="AL2" s="92"/>
      <c r="AM2" s="98">
        <f>+AM118-AH118</f>
        <v>4.0585068401519764E-2</v>
      </c>
      <c r="AN2" s="92"/>
      <c r="AO2" s="92"/>
      <c r="AP2" s="92"/>
      <c r="AQ2" s="92"/>
      <c r="AR2" s="92"/>
      <c r="AS2" s="92"/>
      <c r="AT2" s="92"/>
      <c r="AU2" s="92"/>
      <c r="AV2" s="92"/>
      <c r="AW2" s="92"/>
      <c r="AX2" s="92"/>
      <c r="AY2" s="92"/>
      <c r="AZ2" s="92"/>
      <c r="BA2" s="92"/>
    </row>
    <row r="3" spans="1:53" ht="15" customHeight="1">
      <c r="A3" s="99"/>
      <c r="B3" s="100" t="s">
        <v>12</v>
      </c>
      <c r="C3" s="101"/>
      <c r="D3" s="101"/>
      <c r="E3" s="102"/>
      <c r="F3" s="103"/>
      <c r="G3" s="103"/>
      <c r="H3" s="104"/>
      <c r="I3" s="102"/>
      <c r="J3" s="102"/>
      <c r="K3" s="104"/>
      <c r="L3" s="104"/>
      <c r="M3" s="105"/>
      <c r="N3" s="105"/>
      <c r="O3" s="102"/>
      <c r="P3" s="102"/>
      <c r="Q3" s="94"/>
      <c r="R3" s="94"/>
      <c r="S3" s="104"/>
      <c r="T3" s="102"/>
      <c r="U3" s="102"/>
      <c r="V3" s="102"/>
      <c r="W3" s="104"/>
      <c r="X3" s="104"/>
      <c r="Y3" s="104"/>
      <c r="Z3" s="104"/>
      <c r="AA3" s="104"/>
      <c r="AB3" s="104"/>
      <c r="AC3" s="104"/>
      <c r="AD3" s="104"/>
      <c r="AE3" s="104"/>
      <c r="AF3" s="104"/>
      <c r="AG3" s="104"/>
      <c r="AH3" s="104"/>
      <c r="AI3" s="104"/>
      <c r="AJ3" s="104"/>
      <c r="AK3" s="104"/>
      <c r="AL3" s="104"/>
      <c r="AM3" s="104"/>
      <c r="AN3" s="99"/>
      <c r="AO3" s="99"/>
      <c r="AP3" s="99"/>
      <c r="AQ3" s="99"/>
      <c r="AR3" s="99"/>
      <c r="AS3" s="99"/>
      <c r="AT3" s="99"/>
      <c r="AU3" s="99"/>
      <c r="AV3" s="99"/>
      <c r="AW3" s="99"/>
      <c r="AX3" s="99"/>
      <c r="AY3" s="99"/>
      <c r="AZ3" s="99"/>
      <c r="BA3" s="99"/>
    </row>
    <row r="4" spans="1:53" ht="12.75" customHeight="1">
      <c r="A4" s="104"/>
      <c r="B4" s="104"/>
      <c r="C4" s="101"/>
      <c r="D4" s="101"/>
      <c r="E4" s="102"/>
      <c r="F4" s="103"/>
      <c r="G4" s="103"/>
      <c r="H4" s="104"/>
      <c r="I4" s="102"/>
      <c r="J4" s="102"/>
      <c r="K4" s="104"/>
      <c r="L4" s="104"/>
      <c r="M4" s="104"/>
      <c r="N4" s="104"/>
      <c r="O4" s="102"/>
      <c r="P4" s="102"/>
      <c r="Q4" s="104"/>
      <c r="R4" s="104"/>
      <c r="S4" s="104"/>
      <c r="T4" s="102"/>
      <c r="U4" s="102"/>
      <c r="V4" s="102"/>
      <c r="W4" s="104"/>
      <c r="X4" s="104"/>
      <c r="Y4" s="104"/>
      <c r="Z4" s="104"/>
      <c r="AA4" s="104"/>
      <c r="AB4" s="104"/>
      <c r="AC4" s="104"/>
      <c r="AD4" s="104"/>
      <c r="AE4" s="104"/>
      <c r="AF4" s="104"/>
      <c r="AG4" s="104"/>
      <c r="AH4" s="104"/>
      <c r="AI4" s="104"/>
      <c r="AJ4" s="104"/>
      <c r="AK4" s="104"/>
      <c r="AL4" s="104"/>
      <c r="AM4" s="366">
        <f>AM12-AM19</f>
        <v>1402.3479839526772</v>
      </c>
      <c r="AN4" s="104"/>
      <c r="AO4" s="104"/>
      <c r="AP4" s="104"/>
      <c r="AQ4" s="104"/>
      <c r="AR4" s="104"/>
      <c r="AS4" s="104"/>
      <c r="AT4" s="104"/>
      <c r="AU4" s="104"/>
      <c r="AV4" s="104"/>
      <c r="AW4" s="104"/>
      <c r="AX4" s="104"/>
      <c r="AY4" s="104"/>
      <c r="AZ4" s="104"/>
      <c r="BA4" s="104"/>
    </row>
    <row r="5" spans="1:53" ht="13.5" customHeight="1">
      <c r="A5" s="104"/>
      <c r="B5" s="106"/>
      <c r="C5" s="27" t="s">
        <v>56</v>
      </c>
      <c r="D5" s="27" t="s">
        <v>57</v>
      </c>
      <c r="E5" s="107" t="s">
        <v>58</v>
      </c>
      <c r="F5" s="107" t="s">
        <v>59</v>
      </c>
      <c r="G5" s="107" t="s">
        <v>60</v>
      </c>
      <c r="H5" s="107" t="s">
        <v>61</v>
      </c>
      <c r="I5" s="27" t="s">
        <v>62</v>
      </c>
      <c r="J5" s="107" t="s">
        <v>63</v>
      </c>
      <c r="K5" s="107" t="s">
        <v>64</v>
      </c>
      <c r="L5" s="107" t="s">
        <v>65</v>
      </c>
      <c r="M5" s="107" t="s">
        <v>66</v>
      </c>
      <c r="N5" s="27" t="s">
        <v>16</v>
      </c>
      <c r="O5" s="107" t="s">
        <v>67</v>
      </c>
      <c r="P5" s="107" t="s">
        <v>68</v>
      </c>
      <c r="Q5" s="107" t="s">
        <v>69</v>
      </c>
      <c r="R5" s="107" t="s">
        <v>70</v>
      </c>
      <c r="S5" s="27" t="s">
        <v>17</v>
      </c>
      <c r="T5" s="107" t="s">
        <v>71</v>
      </c>
      <c r="U5" s="107" t="s">
        <v>72</v>
      </c>
      <c r="V5" s="107" t="s">
        <v>73</v>
      </c>
      <c r="W5" s="107" t="s">
        <v>74</v>
      </c>
      <c r="X5" s="27" t="s">
        <v>18</v>
      </c>
      <c r="Y5" s="107" t="s">
        <v>75</v>
      </c>
      <c r="Z5" s="107" t="s">
        <v>76</v>
      </c>
      <c r="AA5" s="107" t="s">
        <v>77</v>
      </c>
      <c r="AB5" s="107" t="s">
        <v>78</v>
      </c>
      <c r="AC5" s="27" t="s">
        <v>19</v>
      </c>
      <c r="AD5" s="107" t="s">
        <v>79</v>
      </c>
      <c r="AE5" s="107" t="s">
        <v>80</v>
      </c>
      <c r="AF5" s="107" t="s">
        <v>81</v>
      </c>
      <c r="AG5" s="107" t="s">
        <v>82</v>
      </c>
      <c r="AH5" s="27" t="s">
        <v>83</v>
      </c>
      <c r="AI5" s="107" t="s">
        <v>84</v>
      </c>
      <c r="AJ5" s="107" t="s">
        <v>85</v>
      </c>
      <c r="AK5" s="107" t="s">
        <v>86</v>
      </c>
      <c r="AL5" s="107" t="s">
        <v>87</v>
      </c>
      <c r="AM5" s="27" t="s">
        <v>88</v>
      </c>
      <c r="AN5" s="108" t="s">
        <v>89</v>
      </c>
      <c r="AO5" s="109"/>
      <c r="AP5" s="109"/>
      <c r="AQ5" s="109"/>
      <c r="AR5" s="109"/>
      <c r="AS5" s="109"/>
      <c r="AT5" s="109"/>
      <c r="AU5" s="109"/>
      <c r="AV5" s="109"/>
      <c r="AW5" s="109"/>
      <c r="AX5" s="109"/>
      <c r="AY5" s="109"/>
      <c r="AZ5" s="109"/>
      <c r="BA5" s="109"/>
    </row>
    <row r="6" spans="1:53" ht="18">
      <c r="A6" s="104"/>
      <c r="B6" s="110" t="s">
        <v>90</v>
      </c>
      <c r="C6" s="109"/>
      <c r="D6" s="109"/>
      <c r="E6" s="109"/>
      <c r="F6" s="109"/>
      <c r="G6" s="109"/>
      <c r="H6" s="109"/>
      <c r="I6" s="109"/>
      <c r="J6" s="109"/>
      <c r="K6" s="109"/>
      <c r="L6" s="109"/>
      <c r="M6" s="109"/>
      <c r="N6" s="109"/>
      <c r="O6" s="109"/>
      <c r="P6" s="109"/>
      <c r="Q6" s="109"/>
      <c r="R6" s="109"/>
      <c r="S6" s="109"/>
      <c r="T6" s="109"/>
      <c r="U6" s="109"/>
      <c r="V6" s="109"/>
      <c r="W6" s="109"/>
      <c r="X6" s="109"/>
      <c r="Y6" s="109"/>
      <c r="Z6" s="109"/>
      <c r="AA6" s="109"/>
      <c r="AB6" s="109"/>
      <c r="AC6" s="109"/>
      <c r="AD6" s="109"/>
      <c r="AE6" s="109"/>
      <c r="AF6" s="109"/>
      <c r="AG6" s="109"/>
      <c r="AH6" s="109"/>
      <c r="AI6" s="109"/>
      <c r="AJ6" s="109"/>
      <c r="AK6" s="109"/>
      <c r="AL6" s="109"/>
      <c r="AM6" s="109"/>
      <c r="AN6" s="104"/>
      <c r="AO6" s="109"/>
      <c r="AP6" s="109"/>
      <c r="AQ6" s="109"/>
      <c r="AR6" s="109"/>
      <c r="AS6" s="109"/>
      <c r="AT6" s="109"/>
      <c r="AU6" s="109"/>
      <c r="AV6" s="109"/>
      <c r="AW6" s="109"/>
      <c r="AX6" s="109"/>
      <c r="AY6" s="109"/>
      <c r="AZ6" s="109"/>
      <c r="BA6" s="109"/>
    </row>
    <row r="7" spans="1:53" ht="12.75">
      <c r="A7" s="104"/>
      <c r="B7" s="95" t="s">
        <v>91</v>
      </c>
      <c r="C7" s="109"/>
      <c r="D7" s="109"/>
      <c r="E7" s="109"/>
      <c r="F7" s="109"/>
      <c r="G7" s="109"/>
      <c r="H7" s="109"/>
      <c r="I7" s="109"/>
      <c r="J7" s="109"/>
      <c r="K7" s="109"/>
      <c r="L7" s="109"/>
      <c r="M7" s="109"/>
      <c r="N7" s="109"/>
      <c r="O7" s="111"/>
      <c r="P7" s="111"/>
      <c r="Q7" s="109"/>
      <c r="R7" s="109"/>
      <c r="S7" s="109"/>
      <c r="T7" s="111"/>
      <c r="U7" s="111"/>
      <c r="V7" s="111"/>
      <c r="W7" s="109"/>
      <c r="X7" s="109"/>
      <c r="Y7" s="109"/>
      <c r="Z7" s="109"/>
      <c r="AA7" s="109"/>
      <c r="AB7" s="109"/>
      <c r="AC7" s="109"/>
      <c r="AD7" s="109"/>
      <c r="AE7" s="109"/>
      <c r="AF7" s="109"/>
      <c r="AG7" s="109"/>
      <c r="AH7" s="109"/>
      <c r="AI7" s="109"/>
      <c r="AJ7" s="109"/>
      <c r="AK7" s="109"/>
      <c r="AL7" s="109"/>
      <c r="AM7" s="109"/>
      <c r="AN7" s="104"/>
      <c r="AO7" s="109"/>
      <c r="AP7" s="109"/>
      <c r="AQ7" s="109"/>
      <c r="AR7" s="109"/>
      <c r="AS7" s="109"/>
      <c r="AT7" s="109"/>
      <c r="AU7" s="109"/>
      <c r="AV7" s="109"/>
      <c r="AW7" s="109"/>
      <c r="AX7" s="109"/>
      <c r="AY7" s="109"/>
      <c r="AZ7" s="109"/>
      <c r="BA7" s="109"/>
    </row>
    <row r="8" spans="1:53" ht="13.5" customHeight="1">
      <c r="A8" s="104"/>
      <c r="B8" s="95"/>
      <c r="C8" s="112"/>
      <c r="D8" s="112"/>
      <c r="E8" s="112"/>
      <c r="F8" s="113"/>
      <c r="G8" s="113"/>
      <c r="H8" s="113"/>
      <c r="I8" s="113"/>
      <c r="J8" s="113"/>
      <c r="K8" s="109"/>
      <c r="L8" s="109"/>
      <c r="M8" s="109"/>
      <c r="N8" s="109"/>
      <c r="O8" s="113"/>
      <c r="P8" s="113"/>
      <c r="Q8" s="109"/>
      <c r="R8" s="109"/>
      <c r="S8" s="109"/>
      <c r="T8" s="113"/>
      <c r="U8" s="113"/>
      <c r="V8" s="113"/>
      <c r="W8" s="109"/>
      <c r="X8" s="109"/>
      <c r="Y8" s="109"/>
      <c r="Z8" s="109"/>
      <c r="AA8" s="109"/>
      <c r="AB8" s="109"/>
      <c r="AC8" s="109"/>
      <c r="AD8" s="109"/>
      <c r="AE8" s="109"/>
      <c r="AF8" s="109"/>
      <c r="AG8" s="109"/>
      <c r="AH8" s="109"/>
      <c r="AI8" s="109"/>
      <c r="AJ8" s="109"/>
      <c r="AK8" s="109"/>
      <c r="AL8" s="109"/>
      <c r="AM8" s="109"/>
      <c r="AN8" s="104"/>
      <c r="AO8" s="109"/>
      <c r="AP8" s="109"/>
      <c r="AQ8" s="109"/>
      <c r="AR8" s="109"/>
      <c r="AS8" s="109"/>
      <c r="AT8" s="109"/>
      <c r="AU8" s="109"/>
      <c r="AV8" s="109"/>
      <c r="AW8" s="109"/>
      <c r="AX8" s="109"/>
      <c r="AY8" s="109"/>
      <c r="AZ8" s="109"/>
      <c r="BA8" s="109"/>
    </row>
    <row r="9" spans="1:53" ht="12.75">
      <c r="A9" s="114"/>
      <c r="B9" s="115"/>
      <c r="C9" s="116"/>
      <c r="D9" s="116"/>
      <c r="E9" s="117"/>
      <c r="F9" s="117"/>
      <c r="G9" s="118"/>
      <c r="H9" s="117"/>
      <c r="I9" s="119"/>
      <c r="J9" s="117"/>
      <c r="K9" s="117"/>
      <c r="L9" s="118"/>
      <c r="M9" s="118"/>
      <c r="N9" s="119"/>
      <c r="O9" s="117"/>
      <c r="P9" s="117"/>
      <c r="Q9" s="118"/>
      <c r="R9" s="118"/>
      <c r="S9" s="119"/>
      <c r="T9" s="117"/>
      <c r="U9" s="117"/>
      <c r="V9" s="117"/>
      <c r="W9" s="117"/>
      <c r="X9" s="119"/>
      <c r="Y9" s="117"/>
      <c r="Z9" s="117"/>
      <c r="AA9" s="118"/>
      <c r="AB9" s="117"/>
      <c r="AC9" s="119"/>
      <c r="AD9" s="117"/>
      <c r="AE9" s="117"/>
      <c r="AF9" s="118"/>
      <c r="AG9" s="117"/>
      <c r="AH9" s="119"/>
      <c r="AI9" s="117"/>
      <c r="AJ9" s="117"/>
      <c r="AK9" s="118"/>
      <c r="AL9" s="117"/>
      <c r="AM9" s="119"/>
      <c r="AN9" s="120"/>
      <c r="AO9" s="121"/>
      <c r="AP9" s="121"/>
      <c r="AQ9" s="121"/>
      <c r="AR9" s="121"/>
      <c r="AS9" s="121"/>
      <c r="AT9" s="121"/>
      <c r="AU9" s="121"/>
      <c r="AV9" s="121"/>
      <c r="AW9" s="121"/>
      <c r="AX9" s="121"/>
      <c r="AY9" s="121"/>
      <c r="AZ9" s="121"/>
      <c r="BA9" s="121"/>
    </row>
    <row r="10" spans="1:53" ht="12.75">
      <c r="A10" s="114"/>
      <c r="B10" s="122" t="s">
        <v>92</v>
      </c>
      <c r="C10" s="123">
        <f>'Segment Detail'!C10</f>
        <v>6518</v>
      </c>
      <c r="D10" s="123">
        <f>'Segment Detail'!D10</f>
        <v>14819</v>
      </c>
      <c r="E10" s="124">
        <f>'Segment Detail'!E10</f>
        <v>4605</v>
      </c>
      <c r="F10" s="124">
        <f>'Segment Detail'!F10</f>
        <v>5789</v>
      </c>
      <c r="G10" s="124">
        <f>'Segment Detail'!G10</f>
        <v>6430</v>
      </c>
      <c r="H10" s="124">
        <f>'Segment Detail'!H10</f>
        <v>6955</v>
      </c>
      <c r="I10" s="125">
        <f>'Segment Detail'!I10</f>
        <v>23779</v>
      </c>
      <c r="J10" s="124">
        <f>'Segment Detail'!J10</f>
        <v>7116</v>
      </c>
      <c r="K10" s="126">
        <f>'Segment Detail'!K10</f>
        <v>8782</v>
      </c>
      <c r="L10" s="126">
        <f>'Segment Detail'!L10</f>
        <v>9540</v>
      </c>
      <c r="M10" s="126">
        <f>'Segment Detail'!M10</f>
        <v>10193</v>
      </c>
      <c r="N10" s="123">
        <f>'Segment Detail'!N10</f>
        <v>35631</v>
      </c>
      <c r="O10" s="124">
        <f>'Segment Detail'!O10</f>
        <v>10290</v>
      </c>
      <c r="P10" s="124">
        <f>'Segment Detail'!P10</f>
        <v>12451</v>
      </c>
      <c r="Q10" s="124">
        <f>'Segment Detail'!Q10</f>
        <v>13248</v>
      </c>
      <c r="R10" s="124">
        <f>'Segment Detail'!R10</f>
        <v>13694</v>
      </c>
      <c r="S10" s="123">
        <f>'Segment Detail'!S10</f>
        <v>49683</v>
      </c>
      <c r="T10" s="124">
        <f>'Segment Detail'!T10</f>
        <v>13647</v>
      </c>
      <c r="U10" s="124">
        <f>'Segment Detail'!U10</f>
        <v>16421</v>
      </c>
      <c r="V10" s="124">
        <f>'Segment Detail'!V10</f>
        <v>17386</v>
      </c>
      <c r="W10" s="124">
        <f>'Segment Detail'!W10</f>
        <v>17596.789999999997</v>
      </c>
      <c r="X10" s="123">
        <f>'Segment Detail'!X10</f>
        <v>65050.789999999994</v>
      </c>
      <c r="Y10" s="124">
        <f>'Segment Detail'!Y10</f>
        <v>17604.63</v>
      </c>
      <c r="Z10" s="124">
        <f>'Segment Detail'!Z10</f>
        <v>21183.09</v>
      </c>
      <c r="AA10" s="124">
        <f>'Segment Detail'!AA10</f>
        <v>22427.940000000002</v>
      </c>
      <c r="AB10" s="124">
        <f>'Segment Detail'!AB10</f>
        <v>22699.859099999998</v>
      </c>
      <c r="AC10" s="123">
        <f>'Segment Detail'!AC10</f>
        <v>83915.519100000005</v>
      </c>
      <c r="AD10" s="124">
        <f>'Segment Detail'!AD10</f>
        <v>22533.9264</v>
      </c>
      <c r="AE10" s="124">
        <f>'Segment Detail'!AE10</f>
        <v>27114.355200000002</v>
      </c>
      <c r="AF10" s="124">
        <f>'Segment Detail'!AF10</f>
        <v>28707.763200000005</v>
      </c>
      <c r="AG10" s="124">
        <f>'Segment Detail'!AG10</f>
        <v>29055.819647999997</v>
      </c>
      <c r="AH10" s="123">
        <f>'Segment Detail'!AH10</f>
        <v>107411.86444800001</v>
      </c>
      <c r="AI10" s="124">
        <f>'Segment Detail'!AI10</f>
        <v>28392.747264000001</v>
      </c>
      <c r="AJ10" s="124">
        <f>'Segment Detail'!AJ10</f>
        <v>34164.087552000005</v>
      </c>
      <c r="AK10" s="124">
        <f>'Segment Detail'!AK10</f>
        <v>36171.781632000006</v>
      </c>
      <c r="AL10" s="124">
        <f>'Segment Detail'!AL10</f>
        <v>36610.332756479998</v>
      </c>
      <c r="AM10" s="123">
        <f>'Segment Detail'!AM10</f>
        <v>135338.94920448001</v>
      </c>
      <c r="AN10" s="127">
        <f>(AH10/S10)^0.333-1</f>
        <v>0.29271622463815006</v>
      </c>
      <c r="AO10" s="121"/>
      <c r="AP10" s="121"/>
      <c r="AQ10" s="121"/>
      <c r="AR10" s="121"/>
      <c r="AS10" s="121"/>
      <c r="AT10" s="121"/>
      <c r="AU10" s="121"/>
      <c r="AV10" s="121"/>
      <c r="AW10" s="121"/>
      <c r="AX10" s="121"/>
      <c r="AY10" s="121"/>
      <c r="AZ10" s="121"/>
      <c r="BA10" s="121"/>
    </row>
    <row r="11" spans="1:53" ht="12.75">
      <c r="A11" s="114"/>
      <c r="B11" s="122"/>
      <c r="C11" s="128"/>
      <c r="D11" s="128"/>
      <c r="E11" s="129"/>
      <c r="F11" s="129"/>
      <c r="G11" s="129"/>
      <c r="H11" s="129"/>
      <c r="I11" s="130"/>
      <c r="J11" s="129"/>
      <c r="K11" s="131"/>
      <c r="L11" s="131"/>
      <c r="M11" s="131"/>
      <c r="N11" s="128"/>
      <c r="O11" s="129"/>
      <c r="P11" s="129"/>
      <c r="Q11" s="129"/>
      <c r="R11" s="129"/>
      <c r="S11" s="128"/>
      <c r="T11" s="129"/>
      <c r="U11" s="129"/>
      <c r="V11" s="129"/>
      <c r="W11" s="129"/>
      <c r="X11" s="128"/>
      <c r="Y11" s="129"/>
      <c r="Z11" s="129"/>
      <c r="AA11" s="129"/>
      <c r="AB11" s="129"/>
      <c r="AC11" s="128"/>
      <c r="AD11" s="129"/>
      <c r="AE11" s="129"/>
      <c r="AF11" s="129"/>
      <c r="AG11" s="129"/>
      <c r="AH11" s="128"/>
      <c r="AI11" s="129"/>
      <c r="AJ11" s="129"/>
      <c r="AK11" s="129"/>
      <c r="AL11" s="129"/>
      <c r="AM11" s="128"/>
      <c r="AN11" s="127"/>
      <c r="AO11" s="121"/>
      <c r="AP11" s="121"/>
      <c r="AQ11" s="121"/>
      <c r="AR11" s="121"/>
      <c r="AS11" s="121"/>
      <c r="AT11" s="121"/>
      <c r="AU11" s="121"/>
      <c r="AV11" s="121"/>
      <c r="AW11" s="121"/>
      <c r="AX11" s="121"/>
      <c r="AY11" s="121"/>
      <c r="AZ11" s="121"/>
      <c r="BA11" s="121"/>
    </row>
    <row r="12" spans="1:53" ht="12.75" customHeight="1">
      <c r="A12" s="132"/>
      <c r="B12" s="122" t="s">
        <v>24</v>
      </c>
      <c r="C12" s="128">
        <f>'Segment Detail'!C7</f>
        <v>193.97800000000001</v>
      </c>
      <c r="D12" s="128">
        <f>'Segment Detail'!D7</f>
        <v>433.73700000000002</v>
      </c>
      <c r="E12" s="129">
        <f>'Segment Detail'!E7</f>
        <v>137.01400000000001</v>
      </c>
      <c r="F12" s="129">
        <f>'Segment Detail'!F7</f>
        <v>172.89400000000001</v>
      </c>
      <c r="G12" s="129">
        <f>'Segment Detail'!G7</f>
        <v>191.56</v>
      </c>
      <c r="H12" s="129">
        <f>'Segment Detail'!H7</f>
        <v>206.33099999999999</v>
      </c>
      <c r="I12" s="130">
        <f>'Segment Detail'!I7</f>
        <v>707.79899999999998</v>
      </c>
      <c r="J12" s="129">
        <f>'Segment Detail'!J7</f>
        <v>211.11</v>
      </c>
      <c r="K12" s="131">
        <f>'Segment Detail'!K7</f>
        <v>259.86399999999998</v>
      </c>
      <c r="L12" s="131">
        <f>'Segment Detail'!L7</f>
        <v>280.95499999999998</v>
      </c>
      <c r="M12" s="131">
        <f>'Segment Detail'!M7</f>
        <v>298.51600000000002</v>
      </c>
      <c r="N12" s="128">
        <f>'Segment Detail'!N7</f>
        <v>1050.4449999999999</v>
      </c>
      <c r="O12" s="129">
        <f>'Segment Detail'!O7</f>
        <v>300.45299999999997</v>
      </c>
      <c r="P12" s="129">
        <f>'Segment Detail'!P7</f>
        <v>364.86399999999998</v>
      </c>
      <c r="Q12" s="129">
        <f>'Segment Detail'!Q7</f>
        <v>388.34699999999998</v>
      </c>
      <c r="R12" s="129">
        <f>'Segment Detail'!R7</f>
        <v>402.49599999999998</v>
      </c>
      <c r="S12" s="128">
        <f>'Segment Detail'!S7</f>
        <v>1456.1599999999999</v>
      </c>
      <c r="T12" s="129">
        <f>'Segment Detail'!T7</f>
        <v>403.47800000000001</v>
      </c>
      <c r="U12" s="129">
        <f>'Segment Detail'!U7</f>
        <v>482.065</v>
      </c>
      <c r="V12" s="129">
        <f>'Segment Detail'!V7</f>
        <v>510.01900000000001</v>
      </c>
      <c r="W12" s="129">
        <f>'Segment Detail'!W7</f>
        <v>514.44285401564468</v>
      </c>
      <c r="X12" s="128">
        <f>'Segment Detail'!X7</f>
        <v>1910.0048540156445</v>
      </c>
      <c r="Y12" s="129">
        <f>'Segment Detail'!Y7</f>
        <v>514.26200188769087</v>
      </c>
      <c r="Z12" s="129">
        <f>'Segment Detail'!Z7</f>
        <v>618.79507093117695</v>
      </c>
      <c r="AA12" s="129">
        <f>'Segment Detail'!AA7</f>
        <v>655.15931448812148</v>
      </c>
      <c r="AB12" s="129">
        <f>'Segment Detail'!AB7</f>
        <v>663.10254650819218</v>
      </c>
      <c r="AC12" s="128">
        <f>'Segment Detail'!AC7</f>
        <v>2451.3189338151815</v>
      </c>
      <c r="AD12" s="129">
        <f>'Segment Detail'!AD7</f>
        <v>653.74857713624442</v>
      </c>
      <c r="AE12" s="129">
        <f>'Segment Detail'!AE7</f>
        <v>786.63481975190655</v>
      </c>
      <c r="AF12" s="129">
        <f>'Segment Detail'!AF7</f>
        <v>832.86236990479563</v>
      </c>
      <c r="AG12" s="129">
        <f>'Segment Detail'!AG7</f>
        <v>842.96009560088612</v>
      </c>
      <c r="AH12" s="128">
        <f>'Segment Detail'!AH7</f>
        <v>3116.2058623938328</v>
      </c>
      <c r="AI12" s="129">
        <f>'Segment Detail'!AI7</f>
        <v>818.04465773886795</v>
      </c>
      <c r="AJ12" s="129">
        <f>'Segment Detail'!AJ7</f>
        <v>984.32705537700247</v>
      </c>
      <c r="AK12" s="129">
        <f>'Segment Detail'!AK7</f>
        <v>1042.1722297536426</v>
      </c>
      <c r="AL12" s="129">
        <f>'Segment Detail'!AL7</f>
        <v>1054.8076539058206</v>
      </c>
      <c r="AM12" s="128">
        <f>'Segment Detail'!AM7</f>
        <v>3899.3515967753337</v>
      </c>
      <c r="AN12" s="127">
        <f t="shared" ref="AN12:AN19" si="0">(AH12/S12)^0.333-1</f>
        <v>0.28833520774978538</v>
      </c>
      <c r="AO12" s="133"/>
      <c r="AP12" s="133"/>
      <c r="AQ12" s="133"/>
      <c r="AR12" s="133"/>
      <c r="AS12" s="133"/>
      <c r="AT12" s="133"/>
      <c r="AU12" s="133"/>
      <c r="AV12" s="133"/>
      <c r="AW12" s="133"/>
      <c r="AX12" s="133"/>
      <c r="AY12" s="133"/>
      <c r="AZ12" s="133"/>
      <c r="BA12" s="133"/>
    </row>
    <row r="13" spans="1:53" ht="12.75" customHeight="1">
      <c r="A13" s="132"/>
      <c r="B13" s="122" t="s">
        <v>30</v>
      </c>
      <c r="C13" s="128">
        <f>'Segment Detail'!C23</f>
        <v>9.4710000000000001</v>
      </c>
      <c r="D13" s="128">
        <f>'Segment Detail'!D23</f>
        <v>114.456</v>
      </c>
      <c r="E13" s="129">
        <f>'Segment Detail'!E23</f>
        <v>26.466000000000001</v>
      </c>
      <c r="F13" s="129">
        <f>'Segment Detail'!F23</f>
        <v>30.146999999999998</v>
      </c>
      <c r="G13" s="129">
        <f>'Segment Detail'!G23</f>
        <v>29.895</v>
      </c>
      <c r="H13" s="129">
        <f>'Segment Detail'!H23</f>
        <v>36.515999999999998</v>
      </c>
      <c r="I13" s="130">
        <f>'Segment Detail'!I23</f>
        <v>123.024</v>
      </c>
      <c r="J13" s="129">
        <f>'Segment Detail'!J23</f>
        <v>29.236999999999998</v>
      </c>
      <c r="K13" s="131">
        <f>'Segment Detail'!K23</f>
        <v>33.630000000000003</v>
      </c>
      <c r="L13" s="131">
        <f>'Segment Detail'!L23</f>
        <v>32.332000000000001</v>
      </c>
      <c r="M13" s="131">
        <f>'Segment Detail'!M23</f>
        <v>47.084000000000003</v>
      </c>
      <c r="N13" s="128">
        <f>'Segment Detail'!N23</f>
        <v>142.28300000000002</v>
      </c>
      <c r="O13" s="129">
        <f>'Segment Detail'!O23</f>
        <v>38.838000000000001</v>
      </c>
      <c r="P13" s="129">
        <f>'Segment Detail'!P23</f>
        <v>32.866999999999997</v>
      </c>
      <c r="Q13" s="129">
        <f>'Segment Detail'!Q23</f>
        <v>7.1639999999999997</v>
      </c>
      <c r="R13" s="129">
        <f>'Segment Detail'!R23</f>
        <v>3.4000000000000002E-2</v>
      </c>
      <c r="S13" s="128">
        <f>'Segment Detail'!S23</f>
        <v>78.903000000000006</v>
      </c>
      <c r="T13" s="129">
        <f>'Segment Detail'!T23</f>
        <v>0</v>
      </c>
      <c r="U13" s="129">
        <f>'Segment Detail'!U23</f>
        <v>0</v>
      </c>
      <c r="V13" s="129">
        <f>'Segment Detail'!V23</f>
        <v>0</v>
      </c>
      <c r="W13" s="129">
        <f>'Segment Detail'!W23</f>
        <v>0</v>
      </c>
      <c r="X13" s="128">
        <f>'Segment Detail'!X23</f>
        <v>0</v>
      </c>
      <c r="Y13" s="129">
        <f>'Segment Detail'!Y23</f>
        <v>0</v>
      </c>
      <c r="Z13" s="129">
        <f>'Segment Detail'!Z23</f>
        <v>0</v>
      </c>
      <c r="AA13" s="129">
        <f>'Segment Detail'!AA23</f>
        <v>0</v>
      </c>
      <c r="AB13" s="129">
        <f>'Segment Detail'!AB23</f>
        <v>0</v>
      </c>
      <c r="AC13" s="128">
        <f>'Segment Detail'!AC23</f>
        <v>0</v>
      </c>
      <c r="AD13" s="129">
        <f>'Segment Detail'!AD23</f>
        <v>0</v>
      </c>
      <c r="AE13" s="129">
        <f>'Segment Detail'!AE23</f>
        <v>0</v>
      </c>
      <c r="AF13" s="129">
        <f>'Segment Detail'!AF23</f>
        <v>0</v>
      </c>
      <c r="AG13" s="129">
        <f>'Segment Detail'!AG23</f>
        <v>0</v>
      </c>
      <c r="AH13" s="128">
        <f>'Segment Detail'!AH23</f>
        <v>0</v>
      </c>
      <c r="AI13" s="129">
        <f>'Segment Detail'!AI23</f>
        <v>0</v>
      </c>
      <c r="AJ13" s="129">
        <f>'Segment Detail'!AJ23</f>
        <v>0</v>
      </c>
      <c r="AK13" s="129">
        <f>'Segment Detail'!AK23</f>
        <v>0</v>
      </c>
      <c r="AL13" s="129">
        <f>'Segment Detail'!AL23</f>
        <v>0</v>
      </c>
      <c r="AM13" s="128">
        <f>'Segment Detail'!AM23</f>
        <v>0</v>
      </c>
      <c r="AN13" s="127"/>
      <c r="AO13" s="133"/>
      <c r="AP13" s="133"/>
      <c r="AQ13" s="133"/>
      <c r="AR13" s="133"/>
      <c r="AS13" s="133"/>
      <c r="AT13" s="133"/>
      <c r="AU13" s="133"/>
      <c r="AV13" s="133"/>
      <c r="AW13" s="133"/>
      <c r="AX13" s="133"/>
      <c r="AY13" s="133"/>
      <c r="AZ13" s="133"/>
      <c r="BA13" s="133"/>
    </row>
    <row r="14" spans="1:53" ht="12.75" customHeight="1">
      <c r="A14" s="132"/>
      <c r="B14" s="122" t="s">
        <v>33</v>
      </c>
      <c r="C14" s="128">
        <f>'Segment Detail'!C30</f>
        <v>0</v>
      </c>
      <c r="D14" s="128">
        <f>'Segment Detail'!D30</f>
        <v>0</v>
      </c>
      <c r="E14" s="129">
        <f>'Segment Detail'!E30</f>
        <v>0.52300000000000002</v>
      </c>
      <c r="F14" s="129">
        <f>'Segment Detail'!F30</f>
        <v>1.766</v>
      </c>
      <c r="G14" s="129">
        <f>'Segment Detail'!G30</f>
        <v>3.7330000000000001</v>
      </c>
      <c r="H14" s="129">
        <f>'Segment Detail'!H30</f>
        <v>6.024</v>
      </c>
      <c r="I14" s="130">
        <f>'Segment Detail'!I30</f>
        <v>12.045999999999999</v>
      </c>
      <c r="J14" s="129">
        <f>'Segment Detail'!J30</f>
        <v>8.0060000000000002</v>
      </c>
      <c r="K14" s="131">
        <f>'Segment Detail'!K30</f>
        <v>12.928000000000001</v>
      </c>
      <c r="L14" s="131">
        <f>'Segment Detail'!L30</f>
        <v>14.694000000000001</v>
      </c>
      <c r="M14" s="131">
        <f>'Segment Detail'!M30</f>
        <v>22.385000000000002</v>
      </c>
      <c r="N14" s="128">
        <f>'Segment Detail'!N30</f>
        <v>58.013000000000005</v>
      </c>
      <c r="O14" s="129">
        <f>'Segment Detail'!O30</f>
        <v>23.795999999999999</v>
      </c>
      <c r="P14" s="129">
        <f>'Segment Detail'!P30</f>
        <v>29.716999999999999</v>
      </c>
      <c r="Q14" s="129">
        <f>'Segment Detail'!Q30</f>
        <v>35.32</v>
      </c>
      <c r="R14" s="129">
        <f>'Segment Detail'!R30</f>
        <v>40.518000000000001</v>
      </c>
      <c r="S14" s="128">
        <f>'Segment Detail'!S30</f>
        <v>129.351</v>
      </c>
      <c r="T14" s="129">
        <f>'Segment Detail'!T30</f>
        <v>49.06</v>
      </c>
      <c r="U14" s="129">
        <f>'Segment Detail'!U30</f>
        <v>59.151000000000003</v>
      </c>
      <c r="V14" s="129">
        <f>'Segment Detail'!V30</f>
        <v>65.051000000000002</v>
      </c>
      <c r="W14" s="129">
        <f>'Segment Detail'!W30</f>
        <v>72.932400000000001</v>
      </c>
      <c r="X14" s="128">
        <f>'Segment Detail'!X30</f>
        <v>246.1944</v>
      </c>
      <c r="Y14" s="129">
        <f>'Segment Detail'!Y30</f>
        <v>83.402000000000001</v>
      </c>
      <c r="Z14" s="129">
        <f>'Segment Detail'!Z30</f>
        <v>100.55670000000001</v>
      </c>
      <c r="AA14" s="129">
        <f>'Segment Detail'!AA30</f>
        <v>110.58669999999999</v>
      </c>
      <c r="AB14" s="129">
        <f>'Segment Detail'!AB30</f>
        <v>123.98508</v>
      </c>
      <c r="AC14" s="128">
        <f>'Segment Detail'!AC30</f>
        <v>418.53048000000001</v>
      </c>
      <c r="AD14" s="129">
        <f>'Segment Detail'!AD30</f>
        <v>130.10712000000001</v>
      </c>
      <c r="AE14" s="129">
        <f>'Segment Detail'!AE30</f>
        <v>156.86845200000002</v>
      </c>
      <c r="AF14" s="129">
        <f>'Segment Detail'!AF30</f>
        <v>172.515252</v>
      </c>
      <c r="AG14" s="129">
        <f>'Segment Detail'!AG30</f>
        <v>193.4167248</v>
      </c>
      <c r="AH14" s="128">
        <f>'Segment Detail'!AH30</f>
        <v>652.90754880000009</v>
      </c>
      <c r="AI14" s="129">
        <f>'Segment Detail'!AI30</f>
        <v>192.55853760000002</v>
      </c>
      <c r="AJ14" s="129">
        <f>'Segment Detail'!AJ30</f>
        <v>232.16530896000003</v>
      </c>
      <c r="AK14" s="129">
        <f>'Segment Detail'!AK30</f>
        <v>255.32257296</v>
      </c>
      <c r="AL14" s="129">
        <f>'Segment Detail'!AL30</f>
        <v>286.25675270400001</v>
      </c>
      <c r="AM14" s="128">
        <f>'Segment Detail'!AM30</f>
        <v>966.30317222400004</v>
      </c>
      <c r="AN14" s="127">
        <f t="shared" si="0"/>
        <v>0.71445571838151323</v>
      </c>
      <c r="AO14" s="133"/>
      <c r="AP14" s="133"/>
      <c r="AQ14" s="133"/>
      <c r="AR14" s="133"/>
      <c r="AS14" s="133"/>
      <c r="AT14" s="133"/>
      <c r="AU14" s="133"/>
      <c r="AV14" s="133"/>
      <c r="AW14" s="133"/>
      <c r="AX14" s="133"/>
      <c r="AY14" s="133"/>
      <c r="AZ14" s="133"/>
      <c r="BA14" s="133"/>
    </row>
    <row r="15" spans="1:53" ht="12.75" customHeight="1">
      <c r="A15" s="132"/>
      <c r="B15" s="122" t="s">
        <v>39</v>
      </c>
      <c r="C15" s="128">
        <f>'Segment Detail'!C39</f>
        <v>0</v>
      </c>
      <c r="D15" s="128">
        <f>'Segment Detail'!D39</f>
        <v>4.24</v>
      </c>
      <c r="E15" s="129">
        <f>'Segment Detail'!E39</f>
        <v>1.079</v>
      </c>
      <c r="F15" s="129">
        <f>'Segment Detail'!F39</f>
        <v>1.9890000000000001</v>
      </c>
      <c r="G15" s="129">
        <f>'Segment Detail'!G39</f>
        <v>2.2320000000000002</v>
      </c>
      <c r="H15" s="129">
        <f>'Segment Detail'!H39</f>
        <v>2.0230000000000001</v>
      </c>
      <c r="I15" s="130">
        <f>'Segment Detail'!I39</f>
        <v>7.3230000000000004</v>
      </c>
      <c r="J15" s="129">
        <f>'Segment Detail'!J39</f>
        <v>2.2040000000000002</v>
      </c>
      <c r="K15" s="131">
        <f>'Segment Detail'!K39</f>
        <v>3.5910000000000002</v>
      </c>
      <c r="L15" s="131">
        <f>'Segment Detail'!L39</f>
        <v>4.2069999999999999</v>
      </c>
      <c r="M15" s="131">
        <f>'Segment Detail'!M39</f>
        <v>6.375</v>
      </c>
      <c r="N15" s="128">
        <f>'Segment Detail'!N39</f>
        <v>16.376999999999999</v>
      </c>
      <c r="O15" s="129">
        <f>'Segment Detail'!O39</f>
        <v>16.181999999999999</v>
      </c>
      <c r="P15" s="129">
        <f>'Segment Detail'!P39</f>
        <v>11.085000000000001</v>
      </c>
      <c r="Q15" s="129">
        <f>'Segment Detail'!Q39</f>
        <v>8.1709999999999994</v>
      </c>
      <c r="R15" s="129">
        <f>'Segment Detail'!R39</f>
        <v>8.8689999999999998</v>
      </c>
      <c r="S15" s="128">
        <f>'Segment Detail'!S39</f>
        <v>44.307000000000002</v>
      </c>
      <c r="T15" s="129">
        <f>'Segment Detail'!T39</f>
        <v>9.016</v>
      </c>
      <c r="U15" s="129">
        <f>'Segment Detail'!U39</f>
        <v>10.289</v>
      </c>
      <c r="V15" s="129">
        <f>'Segment Detail'!V39</f>
        <v>10.089</v>
      </c>
      <c r="W15" s="129">
        <f>'Segment Detail'!W39</f>
        <v>10.642799999999999</v>
      </c>
      <c r="X15" s="128">
        <f>'Segment Detail'!X39</f>
        <v>40.036799999999999</v>
      </c>
      <c r="Y15" s="129">
        <f>'Segment Detail'!Y39</f>
        <v>11.27</v>
      </c>
      <c r="Z15" s="129">
        <f>'Segment Detail'!Z39</f>
        <v>12.86125</v>
      </c>
      <c r="AA15" s="129">
        <f>'Segment Detail'!AA39</f>
        <v>12.61125</v>
      </c>
      <c r="AB15" s="129">
        <f>'Segment Detail'!AB39</f>
        <v>13.3035</v>
      </c>
      <c r="AC15" s="128">
        <f>'Segment Detail'!AC39</f>
        <v>50.045999999999999</v>
      </c>
      <c r="AD15" s="129">
        <f>'Segment Detail'!AD39</f>
        <v>14.087499999999999</v>
      </c>
      <c r="AE15" s="129">
        <f>'Segment Detail'!AE39</f>
        <v>16.076562500000001</v>
      </c>
      <c r="AF15" s="129">
        <f>'Segment Detail'!AF39</f>
        <v>15.7640625</v>
      </c>
      <c r="AG15" s="129">
        <f>'Segment Detail'!AG39</f>
        <v>16.629375</v>
      </c>
      <c r="AH15" s="128">
        <f>'Segment Detail'!AH39</f>
        <v>62.557500000000005</v>
      </c>
      <c r="AI15" s="129">
        <f>'Segment Detail'!AI39</f>
        <v>16.904999999999998</v>
      </c>
      <c r="AJ15" s="129">
        <f>'Segment Detail'!AJ39</f>
        <v>19.291875000000001</v>
      </c>
      <c r="AK15" s="129">
        <f>'Segment Detail'!AK39</f>
        <v>18.916874999999997</v>
      </c>
      <c r="AL15" s="129">
        <f>'Segment Detail'!AL39</f>
        <v>19.955249999999999</v>
      </c>
      <c r="AM15" s="128">
        <f>'Segment Detail'!AM39</f>
        <v>75.068999999999988</v>
      </c>
      <c r="AN15" s="127">
        <f t="shared" si="0"/>
        <v>0.12172330813120258</v>
      </c>
      <c r="AO15" s="133"/>
      <c r="AP15" s="133"/>
      <c r="AQ15" s="133"/>
      <c r="AR15" s="133"/>
      <c r="AS15" s="133"/>
      <c r="AT15" s="133"/>
      <c r="AU15" s="133"/>
      <c r="AV15" s="133"/>
      <c r="AW15" s="133"/>
      <c r="AX15" s="133"/>
      <c r="AY15" s="133"/>
      <c r="AZ15" s="133"/>
      <c r="BA15" s="133"/>
    </row>
    <row r="16" spans="1:53" ht="12.75" customHeight="1">
      <c r="A16" s="135"/>
      <c r="B16" s="136" t="s">
        <v>93</v>
      </c>
      <c r="C16" s="137">
        <f>SUM(C12:C15)</f>
        <v>203.44900000000001</v>
      </c>
      <c r="D16" s="137">
        <f t="shared" ref="D16:AM16" si="1">SUM(D12:D15)</f>
        <v>552.43299999999999</v>
      </c>
      <c r="E16" s="138">
        <f t="shared" si="1"/>
        <v>165.08200000000002</v>
      </c>
      <c r="F16" s="138">
        <f t="shared" si="1"/>
        <v>206.79599999999999</v>
      </c>
      <c r="G16" s="138">
        <f t="shared" si="1"/>
        <v>227.42000000000002</v>
      </c>
      <c r="H16" s="138">
        <f t="shared" si="1"/>
        <v>250.89399999999998</v>
      </c>
      <c r="I16" s="137">
        <f t="shared" si="1"/>
        <v>850.19200000000001</v>
      </c>
      <c r="J16" s="138">
        <f t="shared" si="1"/>
        <v>250.55700000000002</v>
      </c>
      <c r="K16" s="138">
        <f t="shared" si="1"/>
        <v>310.01299999999998</v>
      </c>
      <c r="L16" s="138">
        <f>SUM(L12:L15)</f>
        <v>332.18799999999999</v>
      </c>
      <c r="M16" s="138">
        <f t="shared" si="1"/>
        <v>374.36</v>
      </c>
      <c r="N16" s="137">
        <f t="shared" si="1"/>
        <v>1267.1179999999999</v>
      </c>
      <c r="O16" s="138">
        <f t="shared" si="1"/>
        <v>379.26900000000001</v>
      </c>
      <c r="P16" s="138">
        <f t="shared" si="1"/>
        <v>438.53299999999996</v>
      </c>
      <c r="Q16" s="138">
        <f t="shared" si="1"/>
        <v>439.00199999999995</v>
      </c>
      <c r="R16" s="138">
        <f t="shared" si="1"/>
        <v>451.91700000000003</v>
      </c>
      <c r="S16" s="137">
        <f t="shared" si="1"/>
        <v>1708.7209999999998</v>
      </c>
      <c r="T16" s="138">
        <f t="shared" si="1"/>
        <v>461.55400000000003</v>
      </c>
      <c r="U16" s="138">
        <f t="shared" si="1"/>
        <v>551.505</v>
      </c>
      <c r="V16" s="138">
        <f t="shared" si="1"/>
        <v>585.15900000000011</v>
      </c>
      <c r="W16" s="138">
        <f t="shared" si="1"/>
        <v>598.01805401564468</v>
      </c>
      <c r="X16" s="137">
        <f t="shared" si="1"/>
        <v>2196.2360540156442</v>
      </c>
      <c r="Y16" s="138">
        <f t="shared" si="1"/>
        <v>608.9340018876909</v>
      </c>
      <c r="Z16" s="138">
        <f t="shared" si="1"/>
        <v>732.21302093117697</v>
      </c>
      <c r="AA16" s="138">
        <f t="shared" si="1"/>
        <v>778.35726448812147</v>
      </c>
      <c r="AB16" s="138">
        <f t="shared" si="1"/>
        <v>800.3911265081922</v>
      </c>
      <c r="AC16" s="137">
        <f t="shared" si="1"/>
        <v>2919.8954138151812</v>
      </c>
      <c r="AD16" s="138">
        <f t="shared" si="1"/>
        <v>797.94319713624441</v>
      </c>
      <c r="AE16" s="138">
        <f t="shared" si="1"/>
        <v>959.57983425190662</v>
      </c>
      <c r="AF16" s="138">
        <f t="shared" si="1"/>
        <v>1021.1416844047957</v>
      </c>
      <c r="AG16" s="138">
        <f t="shared" si="1"/>
        <v>1053.0061954008861</v>
      </c>
      <c r="AH16" s="137">
        <f t="shared" si="1"/>
        <v>3831.6709111938326</v>
      </c>
      <c r="AI16" s="138">
        <f t="shared" si="1"/>
        <v>1027.5081953388681</v>
      </c>
      <c r="AJ16" s="138">
        <f t="shared" si="1"/>
        <v>1235.7842393370024</v>
      </c>
      <c r="AK16" s="138">
        <f t="shared" si="1"/>
        <v>1316.4116777136423</v>
      </c>
      <c r="AL16" s="138">
        <f t="shared" si="1"/>
        <v>1361.0196566098207</v>
      </c>
      <c r="AM16" s="137">
        <f t="shared" si="1"/>
        <v>4940.7237689993344</v>
      </c>
      <c r="AN16" s="127">
        <f t="shared" si="0"/>
        <v>0.30854534251337884</v>
      </c>
      <c r="AO16" s="139">
        <f>+(AC16/N16)^(0.333333333333333)-1</f>
        <v>0.32083959253869154</v>
      </c>
      <c r="AP16" s="140"/>
      <c r="AQ16" s="140"/>
      <c r="AR16" s="140"/>
      <c r="AS16" s="141"/>
      <c r="AT16" s="141"/>
      <c r="AU16" s="141"/>
      <c r="AV16" s="141"/>
      <c r="AW16" s="141"/>
      <c r="AX16" s="141"/>
      <c r="AY16" s="141"/>
      <c r="AZ16" s="141"/>
      <c r="BA16" s="142"/>
    </row>
    <row r="17" spans="1:53" ht="12.75" customHeight="1">
      <c r="A17" s="143"/>
      <c r="B17" s="144" t="s">
        <v>26</v>
      </c>
      <c r="C17" s="145"/>
      <c r="D17" s="145">
        <f>D16/C16-1</f>
        <v>1.7153389793019378</v>
      </c>
      <c r="E17" s="146"/>
      <c r="F17" s="146"/>
      <c r="G17" s="146"/>
      <c r="H17" s="146"/>
      <c r="I17" s="145">
        <f t="shared" ref="I17:AM17" si="2">+I16/D16-1</f>
        <v>0.53899567911402824</v>
      </c>
      <c r="J17" s="146">
        <f t="shared" si="2"/>
        <v>0.51777298554657669</v>
      </c>
      <c r="K17" s="146">
        <f t="shared" si="2"/>
        <v>0.49912474129093409</v>
      </c>
      <c r="L17" s="146">
        <f t="shared" si="2"/>
        <v>0.46068067892005971</v>
      </c>
      <c r="M17" s="146">
        <f t="shared" si="2"/>
        <v>0.49210423525472935</v>
      </c>
      <c r="N17" s="145">
        <f t="shared" si="2"/>
        <v>0.49039040593183647</v>
      </c>
      <c r="O17" s="146">
        <f t="shared" si="2"/>
        <v>0.51370346867179917</v>
      </c>
      <c r="P17" s="146">
        <f t="shared" si="2"/>
        <v>0.4145632602503766</v>
      </c>
      <c r="Q17" s="146">
        <f t="shared" si="2"/>
        <v>0.32154683492480163</v>
      </c>
      <c r="R17" s="146">
        <f t="shared" si="2"/>
        <v>0.20717224062399842</v>
      </c>
      <c r="S17" s="145">
        <f t="shared" si="2"/>
        <v>0.34850976783535548</v>
      </c>
      <c r="T17" s="146">
        <f t="shared" si="2"/>
        <v>0.21695683011266409</v>
      </c>
      <c r="U17" s="146">
        <f t="shared" si="2"/>
        <v>0.25761345212332953</v>
      </c>
      <c r="V17" s="146">
        <f t="shared" si="2"/>
        <v>0.33293014610411831</v>
      </c>
      <c r="W17" s="146">
        <f t="shared" si="2"/>
        <v>0.32329178591565411</v>
      </c>
      <c r="X17" s="145">
        <f t="shared" si="2"/>
        <v>0.28530992128945831</v>
      </c>
      <c r="Y17" s="146">
        <f t="shared" si="2"/>
        <v>0.31931258723289324</v>
      </c>
      <c r="Z17" s="146">
        <f t="shared" si="2"/>
        <v>0.32766343175705925</v>
      </c>
      <c r="AA17" s="146">
        <f t="shared" si="2"/>
        <v>0.33016370676708617</v>
      </c>
      <c r="AB17" s="146">
        <f t="shared" si="2"/>
        <v>0.3384062924749982</v>
      </c>
      <c r="AC17" s="145">
        <f t="shared" si="2"/>
        <v>0.32949980876435525</v>
      </c>
      <c r="AD17" s="146">
        <f t="shared" si="2"/>
        <v>0.31039356426579312</v>
      </c>
      <c r="AE17" s="146">
        <f t="shared" si="2"/>
        <v>0.31052003559234787</v>
      </c>
      <c r="AF17" s="146">
        <f t="shared" si="2"/>
        <v>0.31191900043014154</v>
      </c>
      <c r="AG17" s="146">
        <f t="shared" si="2"/>
        <v>0.31561452960474368</v>
      </c>
      <c r="AH17" s="145">
        <f t="shared" si="2"/>
        <v>0.31226306704845674</v>
      </c>
      <c r="AI17" s="146">
        <f t="shared" si="2"/>
        <v>0.28769591498055802</v>
      </c>
      <c r="AJ17" s="146">
        <f t="shared" si="2"/>
        <v>0.28783890117952105</v>
      </c>
      <c r="AK17" s="146">
        <f t="shared" si="2"/>
        <v>0.28915673291797317</v>
      </c>
      <c r="AL17" s="146">
        <f t="shared" si="2"/>
        <v>0.29250868850935108</v>
      </c>
      <c r="AM17" s="145">
        <f t="shared" si="2"/>
        <v>0.28944366139730793</v>
      </c>
      <c r="AN17" s="127"/>
      <c r="AO17" s="147"/>
      <c r="AP17" s="147"/>
      <c r="AQ17" s="147"/>
      <c r="AR17" s="147"/>
      <c r="AS17" s="147"/>
      <c r="AT17" s="147"/>
      <c r="AU17" s="147"/>
      <c r="AV17" s="147"/>
      <c r="AW17" s="147"/>
      <c r="AX17" s="147"/>
      <c r="AY17" s="147"/>
      <c r="AZ17" s="147"/>
      <c r="BA17" s="147"/>
    </row>
    <row r="18" spans="1:53" ht="12.75" customHeight="1">
      <c r="A18" s="143"/>
      <c r="B18" s="148"/>
      <c r="C18" s="145"/>
      <c r="D18" s="145"/>
      <c r="E18" s="146"/>
      <c r="F18" s="146"/>
      <c r="G18" s="146"/>
      <c r="H18" s="146"/>
      <c r="I18" s="145"/>
      <c r="J18" s="146"/>
      <c r="K18" s="146"/>
      <c r="L18" s="146"/>
      <c r="M18" s="146"/>
      <c r="N18" s="145"/>
      <c r="O18" s="146"/>
      <c r="P18" s="146"/>
      <c r="Q18" s="146"/>
      <c r="R18" s="146"/>
      <c r="S18" s="145"/>
      <c r="T18" s="146"/>
      <c r="U18" s="146"/>
      <c r="V18" s="146"/>
      <c r="W18" s="146"/>
      <c r="X18" s="145"/>
      <c r="Y18" s="146"/>
      <c r="Z18" s="146"/>
      <c r="AA18" s="146"/>
      <c r="AB18" s="146"/>
      <c r="AC18" s="145"/>
      <c r="AD18" s="146"/>
      <c r="AE18" s="146"/>
      <c r="AF18" s="146"/>
      <c r="AG18" s="146"/>
      <c r="AH18" s="145"/>
      <c r="AI18" s="146"/>
      <c r="AJ18" s="146"/>
      <c r="AK18" s="146"/>
      <c r="AL18" s="146"/>
      <c r="AM18" s="145"/>
      <c r="AN18" s="127"/>
      <c r="AO18" s="147"/>
      <c r="AP18" s="147"/>
      <c r="AQ18" s="147"/>
      <c r="AR18" s="147"/>
      <c r="AS18" s="147"/>
      <c r="AT18" s="147"/>
      <c r="AU18" s="147"/>
      <c r="AV18" s="147"/>
      <c r="AW18" s="147"/>
      <c r="AX18" s="147"/>
      <c r="AY18" s="147"/>
      <c r="AZ18" s="147"/>
      <c r="BA18" s="147"/>
    </row>
    <row r="19" spans="1:53" ht="12.75" customHeight="1">
      <c r="A19" s="132"/>
      <c r="B19" s="149" t="s">
        <v>94</v>
      </c>
      <c r="C19" s="150">
        <v>126.351</v>
      </c>
      <c r="D19" s="150">
        <v>277.83300000000003</v>
      </c>
      <c r="E19" s="97">
        <v>86.275000000000006</v>
      </c>
      <c r="F19" s="97">
        <v>109.801</v>
      </c>
      <c r="G19" s="97">
        <v>122.425</v>
      </c>
      <c r="H19" s="97">
        <v>132.357</v>
      </c>
      <c r="I19" s="151">
        <f>SUM(E19:H19)</f>
        <v>450.85800000000006</v>
      </c>
      <c r="J19" s="97">
        <v>132.16399999999999</v>
      </c>
      <c r="K19" s="97">
        <v>166.76300000000001</v>
      </c>
      <c r="L19" s="97">
        <v>182.00700000000001</v>
      </c>
      <c r="M19" s="97">
        <v>192.73</v>
      </c>
      <c r="N19" s="151">
        <f>SUM(J19:M19)</f>
        <v>673.66399999999999</v>
      </c>
      <c r="O19" s="97">
        <v>194.27600000000001</v>
      </c>
      <c r="P19" s="97">
        <v>234.857</v>
      </c>
      <c r="Q19" s="97">
        <v>254.06100000000001</v>
      </c>
      <c r="R19" s="97">
        <v>260.00599999999997</v>
      </c>
      <c r="S19" s="151">
        <f>SUM(O19:R19)</f>
        <v>943.2</v>
      </c>
      <c r="T19" s="97">
        <v>257.77800000000002</v>
      </c>
      <c r="U19" s="97">
        <v>311.09199999999998</v>
      </c>
      <c r="V19" s="97">
        <v>328.04300000000001</v>
      </c>
      <c r="W19" s="152">
        <f>W20*'Segment Detail'!W10</f>
        <v>332.02023363453344</v>
      </c>
      <c r="X19" s="151">
        <f>SUM(T19:W19)</f>
        <v>1228.9332336345335</v>
      </c>
      <c r="Y19" s="152">
        <f>Y20*'Segment Detail'!Y10</f>
        <v>330.96704400000004</v>
      </c>
      <c r="Z19" s="152">
        <f>Z20*'Segment Detail'!Z10</f>
        <v>398.24209200000001</v>
      </c>
      <c r="AA19" s="152">
        <f>AA20*'Segment Detail'!AA10</f>
        <v>421.64527200000003</v>
      </c>
      <c r="AB19" s="152">
        <f>AB20*'Segment Detail'!AB10</f>
        <v>426.75735107999998</v>
      </c>
      <c r="AC19" s="151">
        <f>SUM(Y19:AB19)</f>
        <v>1577.6117590800002</v>
      </c>
      <c r="AD19" s="152">
        <f>AD20*'Segment Detail'!AD10</f>
        <v>420.25772735999999</v>
      </c>
      <c r="AE19" s="152">
        <f>AE20*'Segment Detail'!AE10</f>
        <v>505.68272448000005</v>
      </c>
      <c r="AF19" s="152">
        <f>AF20*'Segment Detail'!AF10</f>
        <v>535.39978368000004</v>
      </c>
      <c r="AG19" s="152">
        <f>AG20*'Segment Detail'!AG10</f>
        <v>541.89103643519991</v>
      </c>
      <c r="AH19" s="151">
        <f>SUM(AD19:AG19)</f>
        <v>2003.2312719552001</v>
      </c>
      <c r="AI19" s="152">
        <f>AI20*'Segment Detail'!AI10</f>
        <v>523.84618702080002</v>
      </c>
      <c r="AJ19" s="152">
        <f>AJ20*'Segment Detail'!AJ10</f>
        <v>630.32741533440014</v>
      </c>
      <c r="AK19" s="152">
        <f>AK20*'Segment Detail'!AK10</f>
        <v>667.36937111040015</v>
      </c>
      <c r="AL19" s="152">
        <f>AL20*'Segment Detail'!AL10</f>
        <v>675.46063935705604</v>
      </c>
      <c r="AM19" s="151">
        <f>SUM(AI19:AL19)</f>
        <v>2497.0036128226566</v>
      </c>
      <c r="AN19" s="127">
        <f t="shared" si="0"/>
        <v>0.28508954580771029</v>
      </c>
      <c r="AO19" s="133"/>
      <c r="AP19" s="133"/>
      <c r="AQ19" s="133"/>
      <c r="AR19" s="133"/>
      <c r="AS19" s="133"/>
      <c r="AT19" s="133"/>
      <c r="AU19" s="133"/>
      <c r="AV19" s="133"/>
      <c r="AW19" s="133"/>
      <c r="AX19" s="133"/>
      <c r="AY19" s="133"/>
      <c r="AZ19" s="133"/>
      <c r="BA19" s="133"/>
    </row>
    <row r="20" spans="1:53" ht="12.75" customHeight="1">
      <c r="A20" s="153"/>
      <c r="B20" s="144" t="s">
        <v>95</v>
      </c>
      <c r="C20" s="154">
        <f>C19/'Segment Detail'!C10</f>
        <v>1.9384934028843202E-2</v>
      </c>
      <c r="D20" s="154">
        <f>D19/'Segment Detail'!D10</f>
        <v>1.8748431068223229E-2</v>
      </c>
      <c r="E20" s="155">
        <f>E19/'Segment Detail'!E10</f>
        <v>1.8735070575461456E-2</v>
      </c>
      <c r="F20" s="155">
        <f>F19/'Segment Detail'!F10</f>
        <v>1.896717913283814E-2</v>
      </c>
      <c r="G20" s="155">
        <f>G19/'Segment Detail'!G10</f>
        <v>1.9039657853810264E-2</v>
      </c>
      <c r="H20" s="155">
        <f>H19/'Segment Detail'!H10</f>
        <v>1.9030481667864845E-2</v>
      </c>
      <c r="I20" s="156">
        <f>I19/'Segment Detail'!I10</f>
        <v>1.8960343159931035E-2</v>
      </c>
      <c r="J20" s="155">
        <f>J19/'Segment Detail'!J10</f>
        <v>1.8572793704328273E-2</v>
      </c>
      <c r="K20" s="155">
        <f>K19/'Segment Detail'!K10</f>
        <v>1.8989182418583467E-2</v>
      </c>
      <c r="L20" s="155">
        <f>L19/'Segment Detail'!L10</f>
        <v>1.9078301886792454E-2</v>
      </c>
      <c r="M20" s="155">
        <f>M19/'Segment Detail'!M10</f>
        <v>1.8908074168547041E-2</v>
      </c>
      <c r="N20" s="156">
        <f>N19/'Segment Detail'!N10</f>
        <v>1.8906682383317896E-2</v>
      </c>
      <c r="O20" s="155">
        <f>O19/'Segment Detail'!O10</f>
        <v>1.8880077745383868E-2</v>
      </c>
      <c r="P20" s="155">
        <f>P19/'Segment Detail'!P10</f>
        <v>1.8862501003935425E-2</v>
      </c>
      <c r="Q20" s="155">
        <f>Q19/'Segment Detail'!Q10</f>
        <v>1.9177309782608697E-2</v>
      </c>
      <c r="R20" s="155">
        <f>R19/'Segment Detail'!R10</f>
        <v>1.8986855557178325E-2</v>
      </c>
      <c r="S20" s="156">
        <f>S19/'Segment Detail'!S10</f>
        <v>1.8984360847774894E-2</v>
      </c>
      <c r="T20" s="155">
        <f>T19/'Segment Detail'!T10</f>
        <v>1.8888986590459442E-2</v>
      </c>
      <c r="U20" s="155">
        <f>U19/'Segment Detail'!U10</f>
        <v>1.8944765848608488E-2</v>
      </c>
      <c r="V20" s="155">
        <f>V19/'Segment Detail'!V10</f>
        <v>1.8868227309329345E-2</v>
      </c>
      <c r="W20" s="157">
        <f>CHOOSE(_Switch,W21,W22,W23)</f>
        <v>1.8868227309329345E-2</v>
      </c>
      <c r="X20" s="156">
        <f>X19/'Segment Detail'!X10</f>
        <v>1.8891903290252643E-2</v>
      </c>
      <c r="Y20" s="157">
        <f>CHOOSE(_Switch,Y21,Y22,Y23)</f>
        <v>1.8800000000000001E-2</v>
      </c>
      <c r="Z20" s="157">
        <f>CHOOSE(_Switch,Z21,Z22,Z23)</f>
        <v>1.8800000000000001E-2</v>
      </c>
      <c r="AA20" s="157">
        <f>CHOOSE(_Switch,AA21,AA22,AA23)</f>
        <v>1.8800000000000001E-2</v>
      </c>
      <c r="AB20" s="157">
        <f>CHOOSE(_Switch,AB21,AB22,AB23)</f>
        <v>1.8800000000000001E-2</v>
      </c>
      <c r="AC20" s="156">
        <f>AC19/'Segment Detail'!AC10</f>
        <v>1.8800000000000001E-2</v>
      </c>
      <c r="AD20" s="157">
        <f>CHOOSE(_Switch,AD21,AD22,AD23)</f>
        <v>1.865E-2</v>
      </c>
      <c r="AE20" s="157">
        <f>CHOOSE(_Switch,AE21,AE22,AE23)</f>
        <v>1.865E-2</v>
      </c>
      <c r="AF20" s="157">
        <f>CHOOSE(_Switch,AF21,AF22,AF23)</f>
        <v>1.865E-2</v>
      </c>
      <c r="AG20" s="157">
        <f>CHOOSE(_Switch,AG21,AG22,AG23)</f>
        <v>1.865E-2</v>
      </c>
      <c r="AH20" s="156">
        <f>AH19/'Segment Detail'!AH10</f>
        <v>1.865E-2</v>
      </c>
      <c r="AI20" s="157">
        <f>CHOOSE(_Switch,AI21,AI22,AI23)</f>
        <v>1.8450000000000001E-2</v>
      </c>
      <c r="AJ20" s="157">
        <f>CHOOSE(_Switch,AJ21,AJ22,AJ23)</f>
        <v>1.8450000000000001E-2</v>
      </c>
      <c r="AK20" s="157">
        <f>CHOOSE(_Switch,AK21,AK22,AK23)</f>
        <v>1.8450000000000001E-2</v>
      </c>
      <c r="AL20" s="157">
        <f>CHOOSE(_Switch,AL21,AL22,AL23)</f>
        <v>1.8450000000000001E-2</v>
      </c>
      <c r="AM20" s="156">
        <f>AM19/'Segment Detail'!AM10</f>
        <v>1.8450000000000001E-2</v>
      </c>
      <c r="AN20" s="158"/>
      <c r="AO20" s="159"/>
      <c r="AP20" s="159"/>
      <c r="AQ20" s="159"/>
      <c r="AR20" s="159"/>
      <c r="AS20" s="159"/>
      <c r="AT20" s="159"/>
      <c r="AU20" s="159"/>
      <c r="AV20" s="159"/>
      <c r="AW20" s="159"/>
      <c r="AX20" s="159"/>
      <c r="AY20" s="159"/>
      <c r="AZ20" s="159"/>
      <c r="BA20" s="159"/>
    </row>
    <row r="21" spans="1:53" ht="12.75" hidden="1" customHeight="1" outlineLevel="1">
      <c r="A21" s="153"/>
      <c r="B21" s="160" t="s">
        <v>96</v>
      </c>
      <c r="C21" s="161"/>
      <c r="D21" s="161"/>
      <c r="E21" s="162"/>
      <c r="F21" s="162"/>
      <c r="G21" s="162"/>
      <c r="H21" s="162"/>
      <c r="I21" s="163"/>
      <c r="J21" s="162"/>
      <c r="K21" s="162"/>
      <c r="L21" s="162"/>
      <c r="M21" s="162"/>
      <c r="N21" s="164"/>
      <c r="O21" s="162"/>
      <c r="P21" s="162"/>
      <c r="Q21" s="162"/>
      <c r="R21" s="162"/>
      <c r="S21" s="164"/>
      <c r="T21" s="162"/>
      <c r="U21" s="162"/>
      <c r="V21" s="162"/>
      <c r="W21" s="165">
        <f t="shared" ref="W21" si="3">+W22-0.0003</f>
        <v>1.8568227309329343E-2</v>
      </c>
      <c r="X21" s="164"/>
      <c r="Y21" s="165">
        <f>+Y22-0.0003</f>
        <v>1.8499999999999999E-2</v>
      </c>
      <c r="Z21" s="165">
        <f t="shared" ref="Z21:AB21" si="4">+Z22-0.0003</f>
        <v>1.8499999999999999E-2</v>
      </c>
      <c r="AA21" s="165">
        <f t="shared" si="4"/>
        <v>1.8499999999999999E-2</v>
      </c>
      <c r="AB21" s="165">
        <f t="shared" si="4"/>
        <v>1.8499999999999999E-2</v>
      </c>
      <c r="AC21" s="164"/>
      <c r="AD21" s="165">
        <f>+AD22-0.0003</f>
        <v>1.8349999999999998E-2</v>
      </c>
      <c r="AE21" s="165">
        <f t="shared" ref="AE21:AG21" si="5">+AE22-0.0003</f>
        <v>1.8349999999999998E-2</v>
      </c>
      <c r="AF21" s="165">
        <f t="shared" si="5"/>
        <v>1.8349999999999998E-2</v>
      </c>
      <c r="AG21" s="165">
        <f t="shared" si="5"/>
        <v>1.8349999999999998E-2</v>
      </c>
      <c r="AH21" s="164"/>
      <c r="AI21" s="165">
        <f>+AI22-0.0003</f>
        <v>1.8149999999999999E-2</v>
      </c>
      <c r="AJ21" s="165">
        <f t="shared" ref="AJ21:AL21" si="6">+AJ22-0.0003</f>
        <v>1.8149999999999999E-2</v>
      </c>
      <c r="AK21" s="165">
        <f t="shared" si="6"/>
        <v>1.8149999999999999E-2</v>
      </c>
      <c r="AL21" s="165">
        <f t="shared" si="6"/>
        <v>1.8149999999999999E-2</v>
      </c>
      <c r="AM21" s="164"/>
      <c r="AN21" s="158"/>
      <c r="AO21" s="159"/>
      <c r="AP21" s="159"/>
      <c r="AQ21" s="159"/>
      <c r="AR21" s="159"/>
      <c r="AS21" s="159"/>
      <c r="AT21" s="159"/>
      <c r="AU21" s="159"/>
      <c r="AV21" s="159"/>
      <c r="AW21" s="159"/>
      <c r="AX21" s="159"/>
      <c r="AY21" s="159"/>
      <c r="AZ21" s="159"/>
      <c r="BA21" s="159"/>
    </row>
    <row r="22" spans="1:53" ht="12.75" hidden="1" customHeight="1" outlineLevel="1">
      <c r="A22" s="153"/>
      <c r="B22" s="160" t="s">
        <v>97</v>
      </c>
      <c r="C22" s="161"/>
      <c r="D22" s="161"/>
      <c r="E22" s="162"/>
      <c r="F22" s="162"/>
      <c r="G22" s="162"/>
      <c r="H22" s="162"/>
      <c r="I22" s="163"/>
      <c r="J22" s="162"/>
      <c r="K22" s="162"/>
      <c r="L22" s="162"/>
      <c r="M22" s="162"/>
      <c r="N22" s="164"/>
      <c r="O22" s="162"/>
      <c r="P22" s="162"/>
      <c r="Q22" s="162"/>
      <c r="R22" s="162"/>
      <c r="S22" s="164"/>
      <c r="T22" s="162"/>
      <c r="U22" s="162"/>
      <c r="V22" s="162"/>
      <c r="W22" s="165">
        <f>+V20</f>
        <v>1.8868227309329345E-2</v>
      </c>
      <c r="X22" s="164"/>
      <c r="Y22" s="165">
        <v>1.8800000000000001E-2</v>
      </c>
      <c r="Z22" s="165">
        <f>+Y22</f>
        <v>1.8800000000000001E-2</v>
      </c>
      <c r="AA22" s="165">
        <f t="shared" ref="AA22:AB22" si="7">+Z22</f>
        <v>1.8800000000000001E-2</v>
      </c>
      <c r="AB22" s="165">
        <f t="shared" si="7"/>
        <v>1.8800000000000001E-2</v>
      </c>
      <c r="AC22" s="164"/>
      <c r="AD22" s="165">
        <f>AB22-0.00015</f>
        <v>1.865E-2</v>
      </c>
      <c r="AE22" s="165">
        <f>+AD22</f>
        <v>1.865E-2</v>
      </c>
      <c r="AF22" s="165">
        <f t="shared" ref="AF22:AG22" si="8">+AE22</f>
        <v>1.865E-2</v>
      </c>
      <c r="AG22" s="165">
        <f t="shared" si="8"/>
        <v>1.865E-2</v>
      </c>
      <c r="AH22" s="164"/>
      <c r="AI22" s="165">
        <f>AG22-0.0002</f>
        <v>1.8450000000000001E-2</v>
      </c>
      <c r="AJ22" s="165">
        <f>+AI22</f>
        <v>1.8450000000000001E-2</v>
      </c>
      <c r="AK22" s="165">
        <f t="shared" ref="AK22:AL22" si="9">+AJ22</f>
        <v>1.8450000000000001E-2</v>
      </c>
      <c r="AL22" s="165">
        <f t="shared" si="9"/>
        <v>1.8450000000000001E-2</v>
      </c>
      <c r="AM22" s="164"/>
      <c r="AN22" s="158"/>
      <c r="AO22" s="159"/>
      <c r="AP22" s="159"/>
      <c r="AQ22" s="159"/>
      <c r="AR22" s="159"/>
      <c r="AS22" s="159"/>
      <c r="AT22" s="159"/>
      <c r="AU22" s="159"/>
      <c r="AV22" s="159"/>
      <c r="AW22" s="159"/>
      <c r="AX22" s="159"/>
      <c r="AY22" s="159"/>
      <c r="AZ22" s="159"/>
      <c r="BA22" s="159"/>
    </row>
    <row r="23" spans="1:53" ht="12.75" hidden="1" customHeight="1" outlineLevel="1">
      <c r="A23" s="153"/>
      <c r="B23" s="160" t="s">
        <v>98</v>
      </c>
      <c r="C23" s="161"/>
      <c r="D23" s="161"/>
      <c r="E23" s="162"/>
      <c r="F23" s="162"/>
      <c r="G23" s="162"/>
      <c r="H23" s="162"/>
      <c r="I23" s="163"/>
      <c r="J23" s="162"/>
      <c r="K23" s="162"/>
      <c r="L23" s="162"/>
      <c r="M23" s="162"/>
      <c r="N23" s="164"/>
      <c r="O23" s="162"/>
      <c r="P23" s="162"/>
      <c r="Q23" s="162"/>
      <c r="R23" s="162"/>
      <c r="S23" s="164"/>
      <c r="T23" s="162"/>
      <c r="U23" s="162"/>
      <c r="V23" s="162"/>
      <c r="W23" s="165">
        <f t="shared" ref="W23" si="10">+W22+0.0004</f>
        <v>1.9268227309329346E-2</v>
      </c>
      <c r="X23" s="164"/>
      <c r="Y23" s="165">
        <f>+Y22+0.0004</f>
        <v>1.9200000000000002E-2</v>
      </c>
      <c r="Z23" s="165">
        <f t="shared" ref="Z23:AB23" si="11">+Z22+0.0004</f>
        <v>1.9200000000000002E-2</v>
      </c>
      <c r="AA23" s="165">
        <f t="shared" si="11"/>
        <v>1.9200000000000002E-2</v>
      </c>
      <c r="AB23" s="165">
        <f t="shared" si="11"/>
        <v>1.9200000000000002E-2</v>
      </c>
      <c r="AC23" s="164"/>
      <c r="AD23" s="165">
        <f>+AD22+0.0004</f>
        <v>1.9050000000000001E-2</v>
      </c>
      <c r="AE23" s="165">
        <f t="shared" ref="AE23:AG23" si="12">+AE22+0.0004</f>
        <v>1.9050000000000001E-2</v>
      </c>
      <c r="AF23" s="165">
        <f t="shared" si="12"/>
        <v>1.9050000000000001E-2</v>
      </c>
      <c r="AG23" s="165">
        <f t="shared" si="12"/>
        <v>1.9050000000000001E-2</v>
      </c>
      <c r="AH23" s="164"/>
      <c r="AI23" s="165">
        <f>+AI22+0.0004</f>
        <v>1.8850000000000002E-2</v>
      </c>
      <c r="AJ23" s="165">
        <f t="shared" ref="AJ23:AL23" si="13">+AJ22+0.0004</f>
        <v>1.8850000000000002E-2</v>
      </c>
      <c r="AK23" s="165">
        <f t="shared" si="13"/>
        <v>1.8850000000000002E-2</v>
      </c>
      <c r="AL23" s="165">
        <f t="shared" si="13"/>
        <v>1.8850000000000002E-2</v>
      </c>
      <c r="AM23" s="164"/>
      <c r="AN23" s="158"/>
      <c r="AO23" s="159"/>
      <c r="AP23" s="159"/>
      <c r="AQ23" s="159"/>
      <c r="AR23" s="159"/>
      <c r="AS23" s="159"/>
      <c r="AT23" s="159"/>
      <c r="AU23" s="159"/>
      <c r="AV23" s="159"/>
      <c r="AW23" s="159"/>
      <c r="AX23" s="159"/>
      <c r="AY23" s="159"/>
      <c r="AZ23" s="159"/>
      <c r="BA23" s="159"/>
    </row>
    <row r="24" spans="1:53" ht="12.75" hidden="1" customHeight="1" outlineLevel="1">
      <c r="A24" s="153"/>
      <c r="B24" s="144" t="s">
        <v>99</v>
      </c>
      <c r="C24" s="154">
        <f>(C12-C19)/'Segment Detail'!C10</f>
        <v>1.037542190856091E-2</v>
      </c>
      <c r="D24" s="154">
        <f>(D12-D19)/'Segment Detail'!D10</f>
        <v>1.052054794520548E-2</v>
      </c>
      <c r="E24" s="155">
        <f>(E12-E19)/'Segment Detail'!E10</f>
        <v>1.1018241042345278E-2</v>
      </c>
      <c r="F24" s="155">
        <f>(F12-F19)/'Segment Detail'!F10</f>
        <v>1.0898773536016584E-2</v>
      </c>
      <c r="G24" s="155">
        <f>(G12-G19)/'Segment Detail'!G10</f>
        <v>1.0751944012441681E-2</v>
      </c>
      <c r="H24" s="155">
        <f>(H12-H19)/'Segment Detail'!H10</f>
        <v>1.0636089144500357E-2</v>
      </c>
      <c r="I24" s="156">
        <f>(I12-I19)/'Segment Detail'!I10</f>
        <v>1.08053744900963E-2</v>
      </c>
      <c r="J24" s="155">
        <f>(J12-J19)/'Segment Detail'!J10</f>
        <v>1.1094154019111865E-2</v>
      </c>
      <c r="K24" s="155">
        <f>(K12-K19)/'Segment Detail'!K10</f>
        <v>1.0601343657481208E-2</v>
      </c>
      <c r="L24" s="155">
        <f>(L12-L19)/'Segment Detail'!L10</f>
        <v>1.0371907756813415E-2</v>
      </c>
      <c r="M24" s="155">
        <f>(M12-M19)/'Segment Detail'!M10</f>
        <v>1.0378298832532133E-2</v>
      </c>
      <c r="N24" s="156">
        <f>(N12-N19)/'Segment Detail'!N10</f>
        <v>1.0574527798826863E-2</v>
      </c>
      <c r="O24" s="155">
        <f>(O12-O19)/'Segment Detail'!O10</f>
        <v>1.0318464528668607E-2</v>
      </c>
      <c r="P24" s="155">
        <f>(P12-P19)/'Segment Detail'!P10</f>
        <v>1.0441490643321819E-2</v>
      </c>
      <c r="Q24" s="155">
        <f>(Q12-Q19)/'Segment Detail'!Q10</f>
        <v>1.0136322463768114E-2</v>
      </c>
      <c r="R24" s="155">
        <f>(R12-R19)/'Segment Detail'!R10</f>
        <v>1.0405286987001607E-2</v>
      </c>
      <c r="S24" s="156">
        <f>(S12-S19)/'Segment Detail'!S10</f>
        <v>1.032465833383652E-2</v>
      </c>
      <c r="T24" s="155">
        <f>(T12-T19)/'Segment Detail'!T10</f>
        <v>1.0676339122151388E-2</v>
      </c>
      <c r="U24" s="155">
        <f>(U12-U19)/'Segment Detail'!U10</f>
        <v>1.0411850679008587E-2</v>
      </c>
      <c r="V24" s="155">
        <f>(V12-V19)/'Segment Detail'!V10</f>
        <v>1.0466812377775222E-2</v>
      </c>
      <c r="W24" s="166">
        <f>(W12-W19)/'Segment Detail'!W10</f>
        <v>1.0366812377775224E-2</v>
      </c>
      <c r="X24" s="156">
        <f>(X12-X19)/'Segment Detail'!X10</f>
        <v>1.0469843953949075E-2</v>
      </c>
      <c r="Y24" s="166">
        <f>(Y12-Y19)/'Segment Detail'!Y10</f>
        <v>1.0411747244201713E-2</v>
      </c>
      <c r="Z24" s="166">
        <f>(Z12-Z19)/'Segment Detail'!Z10</f>
        <v>1.0411747244201717E-2</v>
      </c>
      <c r="AA24" s="166">
        <f>(AA12-AA19)/'Segment Detail'!AA10</f>
        <v>1.0411747244201715E-2</v>
      </c>
      <c r="AB24" s="166">
        <f>(AB12-AB19)/'Segment Detail'!AB10</f>
        <v>1.0411747244201715E-2</v>
      </c>
      <c r="AC24" s="156">
        <f>(AC12-AC19)/'Segment Detail'!AC10</f>
        <v>1.0411747244201713E-2</v>
      </c>
      <c r="AD24" s="166">
        <f>(AD12-AD19)/'Segment Detail'!AD10</f>
        <v>1.0361747244201722E-2</v>
      </c>
      <c r="AE24" s="166">
        <f>(AE12-AE19)/'Segment Detail'!AE10</f>
        <v>1.0361747244201717E-2</v>
      </c>
      <c r="AF24" s="166">
        <f>(AF12-AF19)/'Segment Detail'!AF10</f>
        <v>1.0361747244201719E-2</v>
      </c>
      <c r="AG24" s="166">
        <f>(AG12-AG19)/'Segment Detail'!AG10</f>
        <v>1.0361747244201722E-2</v>
      </c>
      <c r="AH24" s="156">
        <f>(AH12-AH19)/'Segment Detail'!AH10</f>
        <v>1.0361747244201719E-2</v>
      </c>
      <c r="AI24" s="166">
        <f>(AI12-AI19)/'Segment Detail'!AI10</f>
        <v>1.0361747244201721E-2</v>
      </c>
      <c r="AJ24" s="166">
        <f>(AJ12-AJ19)/'Segment Detail'!AJ10</f>
        <v>1.0361747244201719E-2</v>
      </c>
      <c r="AK24" s="166">
        <f>(AK12-AK19)/'Segment Detail'!AK10</f>
        <v>1.0361747244201719E-2</v>
      </c>
      <c r="AL24" s="166">
        <f>(AL12-AL19)/'Segment Detail'!AL10</f>
        <v>1.0361747244201721E-2</v>
      </c>
      <c r="AM24" s="156">
        <f>(AM12-AM19)/'Segment Detail'!AM10</f>
        <v>1.0361747244201719E-2</v>
      </c>
      <c r="AN24" s="158"/>
      <c r="AO24" s="159"/>
      <c r="AP24" s="159"/>
      <c r="AQ24" s="159"/>
      <c r="AR24" s="159"/>
      <c r="AS24" s="159"/>
      <c r="AT24" s="159"/>
      <c r="AU24" s="159"/>
      <c r="AV24" s="159"/>
      <c r="AW24" s="159"/>
      <c r="AX24" s="159"/>
      <c r="AY24" s="159"/>
      <c r="AZ24" s="159"/>
      <c r="BA24" s="159"/>
    </row>
    <row r="25" spans="1:53" ht="12.75" customHeight="1" collapsed="1">
      <c r="A25" s="153"/>
      <c r="B25" s="122"/>
      <c r="C25" s="150"/>
      <c r="D25" s="150"/>
      <c r="E25" s="97"/>
      <c r="F25" s="97"/>
      <c r="G25" s="97"/>
      <c r="H25" s="97"/>
      <c r="I25" s="151"/>
      <c r="J25" s="97"/>
      <c r="K25" s="97"/>
      <c r="L25" s="97"/>
      <c r="M25" s="97"/>
      <c r="N25" s="151"/>
      <c r="O25" s="97"/>
      <c r="P25" s="97"/>
      <c r="Q25" s="97"/>
      <c r="R25" s="97"/>
      <c r="S25" s="151"/>
      <c r="T25" s="97"/>
      <c r="U25" s="97"/>
      <c r="V25" s="97"/>
      <c r="W25" s="97"/>
      <c r="X25" s="151"/>
      <c r="Y25" s="97"/>
      <c r="Z25" s="97"/>
      <c r="AA25" s="97"/>
      <c r="AB25" s="97"/>
      <c r="AC25" s="151"/>
      <c r="AD25" s="97"/>
      <c r="AE25" s="97"/>
      <c r="AF25" s="97"/>
      <c r="AG25" s="97"/>
      <c r="AH25" s="151"/>
      <c r="AI25" s="97"/>
      <c r="AJ25" s="97"/>
      <c r="AK25" s="97"/>
      <c r="AL25" s="97"/>
      <c r="AM25" s="151"/>
      <c r="AN25" s="158"/>
      <c r="AO25" s="159"/>
      <c r="AP25" s="159"/>
      <c r="AQ25" s="159"/>
      <c r="AR25" s="159"/>
      <c r="AS25" s="159"/>
      <c r="AT25" s="159"/>
      <c r="AU25" s="159"/>
      <c r="AV25" s="159"/>
      <c r="AW25" s="159"/>
      <c r="AX25" s="159"/>
      <c r="AY25" s="159"/>
      <c r="AZ25" s="159"/>
      <c r="BA25" s="159"/>
    </row>
    <row r="26" spans="1:53" ht="12.75" customHeight="1">
      <c r="A26" s="153"/>
      <c r="B26" s="167" t="s">
        <v>100</v>
      </c>
      <c r="C26" s="168">
        <f t="shared" ref="C26:AM26" si="14">C16-C13-C19</f>
        <v>67.62700000000001</v>
      </c>
      <c r="D26" s="168">
        <f t="shared" si="14"/>
        <v>160.14399999999995</v>
      </c>
      <c r="E26" s="169">
        <f>E16-E13-E19</f>
        <v>52.341000000000008</v>
      </c>
      <c r="F26" s="169">
        <f t="shared" si="14"/>
        <v>66.847999999999999</v>
      </c>
      <c r="G26" s="169">
        <f t="shared" si="14"/>
        <v>75.100000000000009</v>
      </c>
      <c r="H26" s="169">
        <f t="shared" si="14"/>
        <v>82.020999999999987</v>
      </c>
      <c r="I26" s="168">
        <f t="shared" si="14"/>
        <v>276.30999999999995</v>
      </c>
      <c r="J26" s="169">
        <f t="shared" si="14"/>
        <v>89.156000000000034</v>
      </c>
      <c r="K26" s="169">
        <f t="shared" si="14"/>
        <v>109.61999999999998</v>
      </c>
      <c r="L26" s="169">
        <f t="shared" si="14"/>
        <v>117.84899999999999</v>
      </c>
      <c r="M26" s="169">
        <f t="shared" si="14"/>
        <v>134.54600000000002</v>
      </c>
      <c r="N26" s="168">
        <f t="shared" si="14"/>
        <v>451.17100000000005</v>
      </c>
      <c r="O26" s="169">
        <f t="shared" si="14"/>
        <v>146.15499999999997</v>
      </c>
      <c r="P26" s="169">
        <f t="shared" si="14"/>
        <v>170.80899999999994</v>
      </c>
      <c r="Q26" s="169">
        <f t="shared" si="14"/>
        <v>177.77699999999996</v>
      </c>
      <c r="R26" s="169">
        <f t="shared" si="14"/>
        <v>191.87700000000007</v>
      </c>
      <c r="S26" s="168">
        <f t="shared" si="14"/>
        <v>686.61799999999971</v>
      </c>
      <c r="T26" s="169">
        <f t="shared" si="14"/>
        <v>203.77600000000001</v>
      </c>
      <c r="U26" s="169">
        <f t="shared" si="14"/>
        <v>240.41300000000001</v>
      </c>
      <c r="V26" s="169">
        <f t="shared" si="14"/>
        <v>257.1160000000001</v>
      </c>
      <c r="W26" s="169">
        <f t="shared" si="14"/>
        <v>265.99782038111124</v>
      </c>
      <c r="X26" s="168">
        <f t="shared" si="14"/>
        <v>967.30282038111068</v>
      </c>
      <c r="Y26" s="169">
        <f t="shared" si="14"/>
        <v>277.96695788769085</v>
      </c>
      <c r="Z26" s="169">
        <f t="shared" si="14"/>
        <v>333.97092893117696</v>
      </c>
      <c r="AA26" s="169">
        <f t="shared" si="14"/>
        <v>356.71199248812144</v>
      </c>
      <c r="AB26" s="169">
        <f t="shared" si="14"/>
        <v>373.63377542819222</v>
      </c>
      <c r="AC26" s="168">
        <f t="shared" si="14"/>
        <v>1342.283654735181</v>
      </c>
      <c r="AD26" s="169">
        <f t="shared" si="14"/>
        <v>377.68546977624442</v>
      </c>
      <c r="AE26" s="169">
        <f t="shared" si="14"/>
        <v>453.89710977190657</v>
      </c>
      <c r="AF26" s="169">
        <f t="shared" si="14"/>
        <v>485.74190072479564</v>
      </c>
      <c r="AG26" s="169">
        <f t="shared" si="14"/>
        <v>511.11515896568619</v>
      </c>
      <c r="AH26" s="168">
        <f t="shared" si="14"/>
        <v>1828.4396392386325</v>
      </c>
      <c r="AI26" s="169">
        <f t="shared" si="14"/>
        <v>503.66200831806805</v>
      </c>
      <c r="AJ26" s="169">
        <f t="shared" si="14"/>
        <v>605.45682400260227</v>
      </c>
      <c r="AK26" s="169">
        <f t="shared" si="14"/>
        <v>649.0423066032422</v>
      </c>
      <c r="AL26" s="169">
        <f t="shared" si="14"/>
        <v>685.55901725276465</v>
      </c>
      <c r="AM26" s="168">
        <f t="shared" si="14"/>
        <v>2443.7201561766778</v>
      </c>
      <c r="AN26" s="127">
        <f>(AH26/S26)^0.333-1</f>
        <v>0.38562813375696137</v>
      </c>
      <c r="AO26" s="139">
        <f>+(AC26/N26)^(0.333333333333333)-1</f>
        <v>0.43824997459530257</v>
      </c>
      <c r="AP26" s="140"/>
      <c r="AQ26" s="140"/>
      <c r="AR26" s="140"/>
      <c r="AS26" s="159"/>
      <c r="AT26" s="159"/>
      <c r="AU26" s="159"/>
      <c r="AV26" s="159"/>
      <c r="AW26" s="159"/>
      <c r="AX26" s="159"/>
      <c r="AY26" s="159"/>
      <c r="AZ26" s="159"/>
      <c r="BA26" s="159"/>
    </row>
    <row r="27" spans="1:53" ht="12.75" customHeight="1">
      <c r="A27" s="153"/>
      <c r="B27" s="170" t="s">
        <v>26</v>
      </c>
      <c r="C27" s="171"/>
      <c r="D27" s="171">
        <f>D26/C26-1</f>
        <v>1.3680482647463279</v>
      </c>
      <c r="E27" s="172"/>
      <c r="F27" s="172"/>
      <c r="G27" s="172"/>
      <c r="H27" s="172"/>
      <c r="I27" s="171">
        <f>I26/D26-1</f>
        <v>0.7253846538115698</v>
      </c>
      <c r="J27" s="172">
        <f t="shared" ref="J27:AM27" si="15">J26/E26-1</f>
        <v>0.70336829636422737</v>
      </c>
      <c r="K27" s="172">
        <f t="shared" si="15"/>
        <v>0.63983963618956397</v>
      </c>
      <c r="L27" s="172">
        <f t="shared" si="15"/>
        <v>0.56922769640479332</v>
      </c>
      <c r="M27" s="172">
        <f t="shared" si="15"/>
        <v>0.64038477950768757</v>
      </c>
      <c r="N27" s="171">
        <f t="shared" si="15"/>
        <v>0.63284354529333053</v>
      </c>
      <c r="O27" s="172">
        <f t="shared" si="15"/>
        <v>0.63931760061016552</v>
      </c>
      <c r="P27" s="172">
        <f t="shared" si="15"/>
        <v>0.55819193577814241</v>
      </c>
      <c r="Q27" s="172">
        <f t="shared" si="15"/>
        <v>0.5085151337728786</v>
      </c>
      <c r="R27" s="172">
        <f t="shared" si="15"/>
        <v>0.42610705632274493</v>
      </c>
      <c r="S27" s="171">
        <f t="shared" si="15"/>
        <v>0.52185756619995449</v>
      </c>
      <c r="T27" s="172">
        <f t="shared" si="15"/>
        <v>0.39424583490130383</v>
      </c>
      <c r="U27" s="172">
        <f t="shared" si="15"/>
        <v>0.40749609212629356</v>
      </c>
      <c r="V27" s="172">
        <f t="shared" si="15"/>
        <v>0.44628382749174622</v>
      </c>
      <c r="W27" s="172">
        <f t="shared" si="15"/>
        <v>0.38629340869990236</v>
      </c>
      <c r="X27" s="171">
        <f t="shared" si="15"/>
        <v>0.4087932742530942</v>
      </c>
      <c r="Y27" s="172">
        <f t="shared" si="15"/>
        <v>0.36408094126732715</v>
      </c>
      <c r="Z27" s="172">
        <f t="shared" si="15"/>
        <v>0.38915503292740805</v>
      </c>
      <c r="AA27" s="172">
        <f t="shared" si="15"/>
        <v>0.38735820597754045</v>
      </c>
      <c r="AB27" s="172">
        <f t="shared" si="15"/>
        <v>0.40464976326822688</v>
      </c>
      <c r="AC27" s="171">
        <f t="shared" si="15"/>
        <v>0.38765609533354861</v>
      </c>
      <c r="AD27" s="172">
        <f t="shared" si="15"/>
        <v>0.35874232191598687</v>
      </c>
      <c r="AE27" s="172">
        <f t="shared" si="15"/>
        <v>0.35909167670532005</v>
      </c>
      <c r="AF27" s="172">
        <f t="shared" si="15"/>
        <v>0.36172012983547486</v>
      </c>
      <c r="AG27" s="172">
        <f t="shared" si="15"/>
        <v>0.36795758996877992</v>
      </c>
      <c r="AH27" s="171">
        <f t="shared" si="15"/>
        <v>0.36218572936386173</v>
      </c>
      <c r="AI27" s="172">
        <f t="shared" si="15"/>
        <v>0.33354880879176263</v>
      </c>
      <c r="AJ27" s="172">
        <f t="shared" si="15"/>
        <v>0.33390764331338851</v>
      </c>
      <c r="AK27" s="172">
        <f t="shared" si="15"/>
        <v>0.33618760422928151</v>
      </c>
      <c r="AL27" s="172">
        <f t="shared" si="15"/>
        <v>0.34130049799362294</v>
      </c>
      <c r="AM27" s="171">
        <f t="shared" si="15"/>
        <v>0.33650578544351073</v>
      </c>
      <c r="AN27" s="158"/>
      <c r="AO27" s="159"/>
      <c r="AP27" s="159"/>
      <c r="AQ27" s="159"/>
      <c r="AR27" s="159"/>
      <c r="AS27" s="159"/>
      <c r="AT27" s="159"/>
      <c r="AU27" s="159"/>
      <c r="AV27" s="159"/>
      <c r="AW27" s="159"/>
      <c r="AX27" s="159"/>
      <c r="AY27" s="159"/>
      <c r="AZ27" s="159"/>
      <c r="BA27" s="159"/>
    </row>
    <row r="28" spans="1:53" ht="12.75" customHeight="1">
      <c r="A28" s="153"/>
      <c r="B28" s="122"/>
      <c r="C28" s="150"/>
      <c r="D28" s="150"/>
      <c r="E28" s="97"/>
      <c r="F28" s="97"/>
      <c r="G28" s="97"/>
      <c r="H28" s="97"/>
      <c r="I28" s="151"/>
      <c r="J28" s="97"/>
      <c r="K28" s="97"/>
      <c r="L28" s="97"/>
      <c r="M28" s="173"/>
      <c r="N28" s="151"/>
      <c r="O28" s="97"/>
      <c r="P28" s="97"/>
      <c r="Q28" s="97"/>
      <c r="R28" s="97"/>
      <c r="S28" s="174"/>
      <c r="T28" s="97"/>
      <c r="U28" s="97"/>
      <c r="V28" s="97"/>
      <c r="W28" s="173"/>
      <c r="X28" s="151"/>
      <c r="Y28" s="97"/>
      <c r="Z28" s="97"/>
      <c r="AA28" s="97"/>
      <c r="AB28" s="97"/>
      <c r="AC28" s="151"/>
      <c r="AD28" s="97"/>
      <c r="AE28" s="97"/>
      <c r="AF28" s="97"/>
      <c r="AG28" s="97"/>
      <c r="AH28" s="151"/>
      <c r="AI28" s="97"/>
      <c r="AJ28" s="97"/>
      <c r="AK28" s="97"/>
      <c r="AL28" s="97"/>
      <c r="AM28" s="151"/>
      <c r="AN28" s="158"/>
      <c r="AO28" s="159"/>
      <c r="AP28" s="159"/>
      <c r="AQ28" s="159"/>
      <c r="AR28" s="159"/>
      <c r="AS28" s="159"/>
      <c r="AT28" s="159"/>
      <c r="AU28" s="159"/>
      <c r="AV28" s="159"/>
      <c r="AW28" s="159"/>
      <c r="AX28" s="159"/>
      <c r="AY28" s="159"/>
      <c r="AZ28" s="159"/>
      <c r="BA28" s="159"/>
    </row>
    <row r="29" spans="1:53" ht="12.75" customHeight="1">
      <c r="A29" s="132"/>
      <c r="B29" s="122" t="s">
        <v>101</v>
      </c>
      <c r="C29" s="150">
        <v>12.547000000000001</v>
      </c>
      <c r="D29" s="150">
        <v>139.803</v>
      </c>
      <c r="E29" s="97">
        <v>33.015999999999998</v>
      </c>
      <c r="F29" s="97">
        <v>37.496000000000002</v>
      </c>
      <c r="G29" s="97">
        <v>37.377000000000002</v>
      </c>
      <c r="H29" s="97">
        <v>43.066000000000003</v>
      </c>
      <c r="I29" s="151">
        <f>SUM(E29:H29)</f>
        <v>150.95500000000001</v>
      </c>
      <c r="J29" s="97">
        <v>36.210999999999999</v>
      </c>
      <c r="K29" s="97">
        <v>40.920999999999999</v>
      </c>
      <c r="L29" s="97">
        <v>41.41</v>
      </c>
      <c r="M29" s="97">
        <v>46.896000000000001</v>
      </c>
      <c r="N29" s="151">
        <f>SUM(J29:M29)</f>
        <v>165.43799999999999</v>
      </c>
      <c r="O29" s="97">
        <v>36.61</v>
      </c>
      <c r="P29" s="97">
        <v>28.672000000000001</v>
      </c>
      <c r="Q29" s="97">
        <v>4.5279999999999996</v>
      </c>
      <c r="R29" s="97">
        <v>-4.9000000000000002E-2</v>
      </c>
      <c r="S29" s="151">
        <f>SUM(O29:R29)</f>
        <v>69.760999999999996</v>
      </c>
      <c r="T29" s="97"/>
      <c r="U29" s="97"/>
      <c r="V29" s="97"/>
      <c r="W29" s="152"/>
      <c r="X29" s="174"/>
      <c r="Y29" s="152"/>
      <c r="Z29" s="152"/>
      <c r="AA29" s="152"/>
      <c r="AB29" s="152"/>
      <c r="AC29" s="151"/>
      <c r="AD29" s="152"/>
      <c r="AE29" s="152"/>
      <c r="AF29" s="152"/>
      <c r="AG29" s="152"/>
      <c r="AH29" s="151"/>
      <c r="AI29" s="152"/>
      <c r="AJ29" s="152"/>
      <c r="AK29" s="152"/>
      <c r="AL29" s="152"/>
      <c r="AM29" s="151"/>
      <c r="AN29" s="175"/>
      <c r="AO29" s="133"/>
      <c r="AP29" s="133"/>
      <c r="AQ29" s="133"/>
      <c r="AR29" s="133"/>
      <c r="AS29" s="133"/>
      <c r="AT29" s="133"/>
      <c r="AU29" s="133"/>
      <c r="AV29" s="133"/>
      <c r="AW29" s="133"/>
      <c r="AX29" s="133"/>
      <c r="AY29" s="133"/>
      <c r="AZ29" s="133"/>
      <c r="BA29" s="133"/>
    </row>
    <row r="30" spans="1:53" ht="12.75" customHeight="1">
      <c r="A30" s="153"/>
      <c r="B30" s="144" t="s">
        <v>102</v>
      </c>
      <c r="C30" s="163">
        <f t="shared" ref="C30:S30" si="16">C29/C13</f>
        <v>1.3247809101467638</v>
      </c>
      <c r="D30" s="163">
        <f t="shared" si="16"/>
        <v>1.2214562801425874</v>
      </c>
      <c r="E30" s="176">
        <f t="shared" si="16"/>
        <v>1.2474873422504345</v>
      </c>
      <c r="F30" s="176">
        <f t="shared" si="16"/>
        <v>1.2437721829701132</v>
      </c>
      <c r="G30" s="176">
        <f t="shared" si="16"/>
        <v>1.2502759658805822</v>
      </c>
      <c r="H30" s="176">
        <f t="shared" si="16"/>
        <v>1.1793734253477928</v>
      </c>
      <c r="I30" s="163">
        <f t="shared" si="16"/>
        <v>1.2270370009103915</v>
      </c>
      <c r="J30" s="176">
        <f t="shared" si="16"/>
        <v>1.2385333652563533</v>
      </c>
      <c r="K30" s="176">
        <f t="shared" si="16"/>
        <v>1.2168004757656854</v>
      </c>
      <c r="L30" s="176">
        <f t="shared" si="16"/>
        <v>1.2807744649263886</v>
      </c>
      <c r="M30" s="176">
        <f t="shared" si="16"/>
        <v>0.99600713618214254</v>
      </c>
      <c r="N30" s="163">
        <f>N29/N13</f>
        <v>1.1627390482348556</v>
      </c>
      <c r="O30" s="176">
        <f t="shared" si="16"/>
        <v>0.94263350326999329</v>
      </c>
      <c r="P30" s="176">
        <f t="shared" si="16"/>
        <v>0.87236437764322883</v>
      </c>
      <c r="Q30" s="176">
        <f t="shared" si="16"/>
        <v>0.63204913456169731</v>
      </c>
      <c r="R30" s="176">
        <f t="shared" si="16"/>
        <v>-1.4411764705882353</v>
      </c>
      <c r="S30" s="163">
        <f t="shared" si="16"/>
        <v>0.88413621788778618</v>
      </c>
      <c r="T30" s="176"/>
      <c r="U30" s="176"/>
      <c r="V30" s="176"/>
      <c r="W30" s="177"/>
      <c r="X30" s="178"/>
      <c r="Y30" s="177"/>
      <c r="Z30" s="177"/>
      <c r="AA30" s="177"/>
      <c r="AB30" s="177"/>
      <c r="AC30" s="178"/>
      <c r="AD30" s="177"/>
      <c r="AE30" s="177"/>
      <c r="AF30" s="177"/>
      <c r="AG30" s="177"/>
      <c r="AH30" s="178"/>
      <c r="AI30" s="177"/>
      <c r="AJ30" s="177"/>
      <c r="AK30" s="177"/>
      <c r="AL30" s="177"/>
      <c r="AM30" s="178"/>
      <c r="AN30" s="158"/>
      <c r="AO30" s="159"/>
      <c r="AP30" s="159"/>
      <c r="AQ30" s="159"/>
      <c r="AR30" s="159"/>
      <c r="AS30" s="159"/>
      <c r="AT30" s="159"/>
      <c r="AU30" s="159"/>
      <c r="AV30" s="159"/>
      <c r="AW30" s="159"/>
      <c r="AX30" s="159"/>
      <c r="AY30" s="159"/>
      <c r="AZ30" s="159"/>
      <c r="BA30" s="159"/>
    </row>
    <row r="31" spans="1:53" ht="12.75" customHeight="1">
      <c r="A31" s="153"/>
      <c r="B31" s="122"/>
      <c r="C31" s="150"/>
      <c r="D31" s="150"/>
      <c r="E31" s="97"/>
      <c r="F31" s="97"/>
      <c r="G31" s="97"/>
      <c r="H31" s="97"/>
      <c r="I31" s="151"/>
      <c r="J31" s="97"/>
      <c r="K31" s="97"/>
      <c r="L31" s="97"/>
      <c r="M31" s="97"/>
      <c r="N31" s="151"/>
      <c r="O31" s="97"/>
      <c r="P31" s="97"/>
      <c r="Q31" s="97"/>
      <c r="R31" s="97"/>
      <c r="S31" s="151"/>
      <c r="T31" s="97"/>
      <c r="U31" s="97"/>
      <c r="V31" s="97"/>
      <c r="W31" s="97"/>
      <c r="X31" s="151"/>
      <c r="Y31" s="97"/>
      <c r="Z31" s="97"/>
      <c r="AA31" s="97"/>
      <c r="AB31" s="97"/>
      <c r="AC31" s="151"/>
      <c r="AD31" s="97"/>
      <c r="AE31" s="97"/>
      <c r="AF31" s="97"/>
      <c r="AG31" s="97"/>
      <c r="AH31" s="151"/>
      <c r="AI31" s="97"/>
      <c r="AJ31" s="97"/>
      <c r="AK31" s="97"/>
      <c r="AL31" s="97"/>
      <c r="AM31" s="151"/>
      <c r="AN31" s="158"/>
      <c r="AO31" s="159"/>
      <c r="AP31" s="159"/>
      <c r="AQ31" s="159"/>
      <c r="AR31" s="159"/>
      <c r="AS31" s="159"/>
      <c r="AT31" s="159"/>
      <c r="AU31" s="159"/>
      <c r="AV31" s="159"/>
      <c r="AW31" s="159"/>
      <c r="AX31" s="159"/>
      <c r="AY31" s="159"/>
      <c r="AZ31" s="159"/>
      <c r="BA31" s="159"/>
    </row>
    <row r="32" spans="1:53" ht="12.75" customHeight="1">
      <c r="A32" s="132"/>
      <c r="B32" s="122" t="s">
        <v>103</v>
      </c>
      <c r="C32" s="150">
        <v>0</v>
      </c>
      <c r="D32" s="150">
        <v>0</v>
      </c>
      <c r="E32" s="97">
        <v>1.4E-2</v>
      </c>
      <c r="F32" s="97">
        <v>3.1E-2</v>
      </c>
      <c r="G32" s="97">
        <v>0.98699999999999999</v>
      </c>
      <c r="H32" s="97">
        <v>1.9410000000000001</v>
      </c>
      <c r="I32" s="151">
        <f>SUM(E32:H32)</f>
        <v>2.9729999999999999</v>
      </c>
      <c r="J32" s="97">
        <v>3.0979999999999999</v>
      </c>
      <c r="K32" s="97">
        <v>4.1319999999999997</v>
      </c>
      <c r="L32" s="97">
        <v>5.593</v>
      </c>
      <c r="M32" s="97">
        <v>8.65</v>
      </c>
      <c r="N32" s="151">
        <f>SUM(J32:M32)</f>
        <v>21.472999999999999</v>
      </c>
      <c r="O32" s="97">
        <v>9.0329999999999995</v>
      </c>
      <c r="P32" s="97">
        <v>10.144</v>
      </c>
      <c r="Q32" s="97">
        <v>12.523999999999999</v>
      </c>
      <c r="R32" s="97">
        <v>11.430999999999999</v>
      </c>
      <c r="S32" s="151">
        <f>SUM(O32:R32)</f>
        <v>43.131999999999998</v>
      </c>
      <c r="T32" s="97">
        <v>15.875999999999999</v>
      </c>
      <c r="U32" s="97">
        <v>17.116</v>
      </c>
      <c r="V32" s="97">
        <v>18.169</v>
      </c>
      <c r="W32" s="152">
        <f>W14*W33</f>
        <v>20.370305999907764</v>
      </c>
      <c r="X32" s="151">
        <f>SUM(T32:W32)</f>
        <v>71.531305999907772</v>
      </c>
      <c r="Y32" s="152">
        <f>Y14*Y33</f>
        <v>25.321159999999995</v>
      </c>
      <c r="Z32" s="152">
        <f>Z14*Z33</f>
        <v>27.086065999999995</v>
      </c>
      <c r="AA32" s="152">
        <f>AA14*AA33</f>
        <v>28.675565999999996</v>
      </c>
      <c r="AB32" s="152">
        <f>AB14*AB33</f>
        <v>32.149818599843194</v>
      </c>
      <c r="AC32" s="151">
        <f>SUM(Y32:AB32)</f>
        <v>113.23261059984318</v>
      </c>
      <c r="AD32" s="152">
        <f>AD14*AD33</f>
        <v>36.248331599999993</v>
      </c>
      <c r="AE32" s="152">
        <f>AE14*AE33</f>
        <v>38.332551659999993</v>
      </c>
      <c r="AF32" s="152">
        <f>AF14*AF33</f>
        <v>40.421001659999995</v>
      </c>
      <c r="AG32" s="152">
        <f>AG14*AG33</f>
        <v>45.31829889575539</v>
      </c>
      <c r="AH32" s="151">
        <f>SUM(AD32:AG32)</f>
        <v>160.32018381575537</v>
      </c>
      <c r="AI32" s="152">
        <f>AI14*AI33</f>
        <v>48.833567327999987</v>
      </c>
      <c r="AJ32" s="152">
        <f>AJ14*AJ33</f>
        <v>50.928043732799992</v>
      </c>
      <c r="AK32" s="152">
        <f>AK14*AK33</f>
        <v>53.440018132799999</v>
      </c>
      <c r="AL32" s="152">
        <f>AL14*AL33</f>
        <v>59.914663548117979</v>
      </c>
      <c r="AM32" s="151">
        <f>SUM(AI32:AL32)</f>
        <v>213.11629274171796</v>
      </c>
      <c r="AN32" s="127">
        <f>(AH32/S32)^0.333-1</f>
        <v>0.54836307444684462</v>
      </c>
      <c r="AO32" s="133"/>
      <c r="AP32" s="133"/>
      <c r="AQ32" s="133"/>
      <c r="AR32" s="133"/>
      <c r="AS32" s="133"/>
      <c r="AT32" s="133"/>
      <c r="AU32" s="133"/>
      <c r="AV32" s="133"/>
      <c r="AW32" s="133"/>
      <c r="AX32" s="133"/>
      <c r="AY32" s="133"/>
      <c r="AZ32" s="133"/>
      <c r="BA32" s="133"/>
    </row>
    <row r="33" spans="1:53" ht="12.75" customHeight="1">
      <c r="A33" s="153"/>
      <c r="B33" s="144" t="s">
        <v>104</v>
      </c>
      <c r="C33" s="178" t="str">
        <f>IF(ISERROR(C32/C14),"NM",C32/C14)</f>
        <v>NM</v>
      </c>
      <c r="D33" s="178" t="str">
        <f>IF(ISERROR(D32/D14),"NM",D32/D14)</f>
        <v>NM</v>
      </c>
      <c r="E33" s="176">
        <f t="shared" ref="E33:V33" si="17">E32/E14</f>
        <v>2.6768642447418736E-2</v>
      </c>
      <c r="F33" s="176">
        <f t="shared" si="17"/>
        <v>1.7553793884484709E-2</v>
      </c>
      <c r="G33" s="176">
        <f t="shared" si="17"/>
        <v>0.26439860701848378</v>
      </c>
      <c r="H33" s="176">
        <f t="shared" si="17"/>
        <v>0.32221115537848605</v>
      </c>
      <c r="I33" s="163">
        <f t="shared" si="17"/>
        <v>0.246803918313133</v>
      </c>
      <c r="J33" s="176">
        <f t="shared" si="17"/>
        <v>0.38695978016487631</v>
      </c>
      <c r="K33" s="176">
        <f t="shared" si="17"/>
        <v>0.31961633663366334</v>
      </c>
      <c r="L33" s="176">
        <f t="shared" si="17"/>
        <v>0.3806315502926364</v>
      </c>
      <c r="M33" s="176">
        <f t="shared" si="17"/>
        <v>0.38641947732856824</v>
      </c>
      <c r="N33" s="163">
        <f t="shared" si="17"/>
        <v>0.37014117525382234</v>
      </c>
      <c r="O33" s="176">
        <f t="shared" si="17"/>
        <v>0.37960161371659101</v>
      </c>
      <c r="P33" s="176">
        <f t="shared" si="17"/>
        <v>0.34135343406131174</v>
      </c>
      <c r="Q33" s="176">
        <f t="shared" si="17"/>
        <v>0.35458663646659117</v>
      </c>
      <c r="R33" s="176">
        <f t="shared" si="17"/>
        <v>0.28212152623525344</v>
      </c>
      <c r="S33" s="163">
        <f t="shared" si="17"/>
        <v>0.33344929687439601</v>
      </c>
      <c r="T33" s="176">
        <f t="shared" si="17"/>
        <v>0.32360375050958007</v>
      </c>
      <c r="U33" s="176">
        <f t="shared" si="17"/>
        <v>0.28936112660817226</v>
      </c>
      <c r="V33" s="176">
        <f t="shared" si="17"/>
        <v>0.27930393076201748</v>
      </c>
      <c r="W33" s="179">
        <f>CHOOSE(_Switch,W34,W35,W36)</f>
        <v>0.27930393076201748</v>
      </c>
      <c r="X33" s="163">
        <f>X32/X14</f>
        <v>0.29054806283127388</v>
      </c>
      <c r="Y33" s="179">
        <f>CHOOSE(_Switch,Y34,Y35,Y36)</f>
        <v>0.30360375050958005</v>
      </c>
      <c r="Z33" s="179">
        <f>CHOOSE(_Switch,Z34,Z35,Z36)</f>
        <v>0.26936112660817224</v>
      </c>
      <c r="AA33" s="179">
        <f>CHOOSE(_Switch,AA34,AA35,AA36)</f>
        <v>0.25930393076201746</v>
      </c>
      <c r="AB33" s="179">
        <f>CHOOSE(_Switch,AB34,AB35,AB36)</f>
        <v>0.25930393076201746</v>
      </c>
      <c r="AC33" s="163">
        <f>AC32/AC14</f>
        <v>0.27054806283127381</v>
      </c>
      <c r="AD33" s="179">
        <f>CHOOSE(_Switch,AD34,AD35,AD36)</f>
        <v>0.27860375050958003</v>
      </c>
      <c r="AE33" s="179">
        <f>CHOOSE(_Switch,AE34,AE35,AE36)</f>
        <v>0.24436112660817225</v>
      </c>
      <c r="AF33" s="179">
        <f>CHOOSE(_Switch,AF34,AF35,AF36)</f>
        <v>0.23430393076201747</v>
      </c>
      <c r="AG33" s="179">
        <f>CHOOSE(_Switch,AG34,AG35,AG36)</f>
        <v>0.23430393076201747</v>
      </c>
      <c r="AH33" s="163">
        <f>AH32/AH14</f>
        <v>0.24554806283127378</v>
      </c>
      <c r="AI33" s="179">
        <f>CHOOSE(_Switch,AI34,AI35,AI36)</f>
        <v>0.25360375050958001</v>
      </c>
      <c r="AJ33" s="179">
        <f>CHOOSE(_Switch,AJ34,AJ35,AJ36)</f>
        <v>0.21936112660817225</v>
      </c>
      <c r="AK33" s="179">
        <f>CHOOSE(_Switch,AK34,AK35,AK36)</f>
        <v>0.20930393076201748</v>
      </c>
      <c r="AL33" s="179">
        <f>CHOOSE(_Switch,AL34,AL35,AL36)</f>
        <v>0.20930393076201748</v>
      </c>
      <c r="AM33" s="163">
        <f>AM32/AM14</f>
        <v>0.22054806283127382</v>
      </c>
      <c r="AN33" s="158"/>
      <c r="AO33" s="159"/>
      <c r="AP33" s="159"/>
      <c r="AQ33" s="159"/>
      <c r="AR33" s="159"/>
      <c r="AS33" s="159"/>
      <c r="AT33" s="159"/>
      <c r="AU33" s="159"/>
      <c r="AV33" s="159"/>
      <c r="AW33" s="159"/>
      <c r="AX33" s="159"/>
      <c r="AY33" s="159"/>
      <c r="AZ33" s="159"/>
      <c r="BA33" s="159"/>
    </row>
    <row r="34" spans="1:53" ht="12.75" hidden="1" customHeight="1" outlineLevel="1">
      <c r="A34" s="132"/>
      <c r="B34" s="160" t="s">
        <v>96</v>
      </c>
      <c r="C34" s="150"/>
      <c r="D34" s="150"/>
      <c r="E34" s="97"/>
      <c r="F34" s="97"/>
      <c r="G34" s="97"/>
      <c r="H34" s="97"/>
      <c r="I34" s="151"/>
      <c r="J34" s="97"/>
      <c r="K34" s="97"/>
      <c r="L34" s="97"/>
      <c r="M34" s="97"/>
      <c r="N34" s="180"/>
      <c r="O34" s="97"/>
      <c r="P34" s="97"/>
      <c r="Q34" s="97"/>
      <c r="R34" s="97"/>
      <c r="S34" s="180"/>
      <c r="T34" s="97"/>
      <c r="U34" s="97"/>
      <c r="V34" s="97"/>
      <c r="W34" s="181">
        <f t="shared" ref="W34" si="18">+W35-0.007</f>
        <v>0.27230393076201748</v>
      </c>
      <c r="X34" s="180"/>
      <c r="Y34" s="181">
        <f>+Y35-0.008</f>
        <v>0.29560375050958004</v>
      </c>
      <c r="Z34" s="181">
        <f t="shared" ref="Z34:AB34" si="19">+Z35-0.008</f>
        <v>0.26136112660817223</v>
      </c>
      <c r="AA34" s="181">
        <f t="shared" si="19"/>
        <v>0.25130393076201746</v>
      </c>
      <c r="AB34" s="181">
        <f t="shared" si="19"/>
        <v>0.25130393076201746</v>
      </c>
      <c r="AC34" s="180"/>
      <c r="AD34" s="181">
        <f>+AD35-0.008</f>
        <v>0.27060375050958002</v>
      </c>
      <c r="AE34" s="181">
        <f t="shared" ref="AE34:AG34" si="20">+AE35-0.008</f>
        <v>0.23636112660817224</v>
      </c>
      <c r="AF34" s="181">
        <f t="shared" si="20"/>
        <v>0.22630393076201746</v>
      </c>
      <c r="AG34" s="181">
        <f t="shared" si="20"/>
        <v>0.22630393076201746</v>
      </c>
      <c r="AH34" s="180"/>
      <c r="AI34" s="181">
        <f>+AI35-0.008</f>
        <v>0.24560375050958</v>
      </c>
      <c r="AJ34" s="181">
        <f t="shared" ref="AJ34:AL34" si="21">+AJ35-0.008</f>
        <v>0.21136112660817225</v>
      </c>
      <c r="AK34" s="181">
        <f t="shared" si="21"/>
        <v>0.20130393076201747</v>
      </c>
      <c r="AL34" s="181">
        <f t="shared" si="21"/>
        <v>0.20130393076201747</v>
      </c>
      <c r="AM34" s="180"/>
      <c r="AN34" s="175"/>
      <c r="AO34" s="133"/>
      <c r="AP34" s="133"/>
      <c r="AQ34" s="133"/>
      <c r="AR34" s="133"/>
      <c r="AS34" s="133"/>
      <c r="AT34" s="133"/>
      <c r="AU34" s="133"/>
      <c r="AV34" s="133"/>
      <c r="AW34" s="133"/>
      <c r="AX34" s="133"/>
      <c r="AY34" s="133"/>
      <c r="AZ34" s="133"/>
      <c r="BA34" s="133"/>
    </row>
    <row r="35" spans="1:53" ht="12.75" hidden="1" customHeight="1" outlineLevel="1">
      <c r="A35" s="132"/>
      <c r="B35" s="160" t="s">
        <v>97</v>
      </c>
      <c r="C35" s="150"/>
      <c r="D35" s="150"/>
      <c r="E35" s="97"/>
      <c r="F35" s="97"/>
      <c r="G35" s="97"/>
      <c r="H35" s="97"/>
      <c r="I35" s="151"/>
      <c r="J35" s="97"/>
      <c r="K35" s="97"/>
      <c r="L35" s="97"/>
      <c r="M35" s="97"/>
      <c r="N35" s="180"/>
      <c r="O35" s="97"/>
      <c r="P35" s="97"/>
      <c r="Q35" s="97"/>
      <c r="R35" s="97"/>
      <c r="S35" s="180"/>
      <c r="T35" s="97"/>
      <c r="U35" s="97"/>
      <c r="V35" s="97"/>
      <c r="W35" s="181">
        <f>+V33</f>
        <v>0.27930393076201748</v>
      </c>
      <c r="X35" s="180"/>
      <c r="Y35" s="181">
        <f>+T33-0.02</f>
        <v>0.30360375050958005</v>
      </c>
      <c r="Z35" s="181">
        <f>+U33-0.02</f>
        <v>0.26936112660817224</v>
      </c>
      <c r="AA35" s="181">
        <f>+V33-0.02</f>
        <v>0.25930393076201746</v>
      </c>
      <c r="AB35" s="181">
        <f t="shared" ref="AB35" si="22">+W35-0.02</f>
        <v>0.25930393076201746</v>
      </c>
      <c r="AC35" s="180"/>
      <c r="AD35" s="181">
        <f>+Y35-0.025</f>
        <v>0.27860375050958003</v>
      </c>
      <c r="AE35" s="181">
        <f t="shared" ref="AE35:AG35" si="23">+Z35-0.025</f>
        <v>0.24436112660817225</v>
      </c>
      <c r="AF35" s="181">
        <f t="shared" si="23"/>
        <v>0.23430393076201747</v>
      </c>
      <c r="AG35" s="181">
        <f t="shared" si="23"/>
        <v>0.23430393076201747</v>
      </c>
      <c r="AH35" s="180"/>
      <c r="AI35" s="181">
        <f>+AD35-0.025</f>
        <v>0.25360375050958001</v>
      </c>
      <c r="AJ35" s="181">
        <f t="shared" ref="AJ35:AL35" si="24">+AE35-0.025</f>
        <v>0.21936112660817225</v>
      </c>
      <c r="AK35" s="181">
        <f t="shared" si="24"/>
        <v>0.20930393076201748</v>
      </c>
      <c r="AL35" s="181">
        <f t="shared" si="24"/>
        <v>0.20930393076201748</v>
      </c>
      <c r="AM35" s="180"/>
      <c r="AN35" s="175"/>
      <c r="AO35" s="133"/>
      <c r="AP35" s="133"/>
      <c r="AQ35" s="133"/>
      <c r="AR35" s="133"/>
      <c r="AS35" s="133"/>
      <c r="AT35" s="133"/>
      <c r="AU35" s="133"/>
      <c r="AV35" s="133"/>
      <c r="AW35" s="133"/>
      <c r="AX35" s="133"/>
      <c r="AY35" s="133"/>
      <c r="AZ35" s="133"/>
      <c r="BA35" s="133"/>
    </row>
    <row r="36" spans="1:53" ht="12.75" hidden="1" customHeight="1" outlineLevel="1">
      <c r="A36" s="132"/>
      <c r="B36" s="160" t="s">
        <v>98</v>
      </c>
      <c r="C36" s="150"/>
      <c r="D36" s="150"/>
      <c r="E36" s="97"/>
      <c r="F36" s="97"/>
      <c r="G36" s="97"/>
      <c r="H36" s="97"/>
      <c r="I36" s="151"/>
      <c r="J36" s="97"/>
      <c r="K36" s="97"/>
      <c r="L36" s="97"/>
      <c r="M36" s="97"/>
      <c r="N36" s="180"/>
      <c r="O36" s="97"/>
      <c r="P36" s="97"/>
      <c r="Q36" s="97"/>
      <c r="R36" s="97"/>
      <c r="S36" s="180"/>
      <c r="T36" s="97"/>
      <c r="U36" s="97"/>
      <c r="V36" s="97"/>
      <c r="W36" s="181">
        <f>+W35+0.015</f>
        <v>0.2943039307620175</v>
      </c>
      <c r="X36" s="180"/>
      <c r="Y36" s="181">
        <f>+Y35+0.015</f>
        <v>0.31860375050958006</v>
      </c>
      <c r="Z36" s="181">
        <f>+Z35+0.015</f>
        <v>0.28436112660817225</v>
      </c>
      <c r="AA36" s="181">
        <f>+AA35+0.015</f>
        <v>0.27430393076201748</v>
      </c>
      <c r="AB36" s="181">
        <f>+AB35+0.015</f>
        <v>0.27430393076201748</v>
      </c>
      <c r="AC36" s="180"/>
      <c r="AD36" s="181">
        <f>+AD35+0.015</f>
        <v>0.29360375050958004</v>
      </c>
      <c r="AE36" s="181">
        <f>+AE35+0.015</f>
        <v>0.25936112660817223</v>
      </c>
      <c r="AF36" s="181">
        <f>+AF35+0.015</f>
        <v>0.24930393076201746</v>
      </c>
      <c r="AG36" s="181">
        <f>+AG35+0.015</f>
        <v>0.24930393076201746</v>
      </c>
      <c r="AH36" s="180"/>
      <c r="AI36" s="181">
        <f>+AI35+0.015</f>
        <v>0.26860375050958002</v>
      </c>
      <c r="AJ36" s="181">
        <f>+AJ35+0.015</f>
        <v>0.23436112660817227</v>
      </c>
      <c r="AK36" s="181">
        <f>+AK35+0.015</f>
        <v>0.22430393076201749</v>
      </c>
      <c r="AL36" s="181">
        <f>+AL35+0.015</f>
        <v>0.22430393076201749</v>
      </c>
      <c r="AM36" s="180"/>
      <c r="AN36" s="175"/>
      <c r="AO36" s="133"/>
      <c r="AP36" s="133"/>
      <c r="AQ36" s="133"/>
      <c r="AR36" s="133"/>
      <c r="AS36" s="133"/>
      <c r="AT36" s="133"/>
      <c r="AU36" s="133"/>
      <c r="AV36" s="133"/>
      <c r="AW36" s="133"/>
      <c r="AX36" s="133"/>
      <c r="AY36" s="133"/>
      <c r="AZ36" s="133"/>
      <c r="BA36" s="133"/>
    </row>
    <row r="37" spans="1:53" ht="12.75" customHeight="1" collapsed="1">
      <c r="A37" s="132"/>
      <c r="B37" s="122"/>
      <c r="C37" s="150"/>
      <c r="D37" s="150"/>
      <c r="E37" s="97"/>
      <c r="F37" s="97"/>
      <c r="G37" s="97"/>
      <c r="H37" s="97"/>
      <c r="I37" s="151"/>
      <c r="J37" s="97"/>
      <c r="K37" s="97"/>
      <c r="L37" s="97"/>
      <c r="M37" s="97"/>
      <c r="N37" s="151"/>
      <c r="O37" s="97"/>
      <c r="P37" s="97"/>
      <c r="Q37" s="97"/>
      <c r="R37" s="97"/>
      <c r="S37" s="151"/>
      <c r="T37" s="97"/>
      <c r="U37" s="97"/>
      <c r="V37" s="97"/>
      <c r="W37" s="97"/>
      <c r="X37" s="151"/>
      <c r="Y37" s="97"/>
      <c r="Z37" s="97"/>
      <c r="AA37" s="97"/>
      <c r="AB37" s="97"/>
      <c r="AC37" s="151"/>
      <c r="AD37" s="97"/>
      <c r="AE37" s="97"/>
      <c r="AF37" s="97"/>
      <c r="AG37" s="97"/>
      <c r="AH37" s="151"/>
      <c r="AI37" s="97"/>
      <c r="AJ37" s="97"/>
      <c r="AK37" s="97"/>
      <c r="AL37" s="97"/>
      <c r="AM37" s="151"/>
      <c r="AN37" s="175"/>
      <c r="AO37" s="133"/>
      <c r="AP37" s="133"/>
      <c r="AQ37" s="133"/>
      <c r="AR37" s="133"/>
      <c r="AS37" s="133"/>
      <c r="AT37" s="133"/>
      <c r="AU37" s="133"/>
      <c r="AV37" s="133"/>
      <c r="AW37" s="133"/>
      <c r="AX37" s="133"/>
      <c r="AY37" s="133"/>
      <c r="AZ37" s="133"/>
      <c r="BA37" s="133"/>
    </row>
    <row r="38" spans="1:53" ht="12.75" customHeight="1">
      <c r="A38" s="132"/>
      <c r="B38" s="122" t="s">
        <v>105</v>
      </c>
      <c r="C38" s="150">
        <v>0</v>
      </c>
      <c r="D38" s="150">
        <v>6.0119999999999996</v>
      </c>
      <c r="E38" s="97">
        <v>3.4409999999999998</v>
      </c>
      <c r="F38" s="97">
        <v>4.9240000000000004</v>
      </c>
      <c r="G38" s="97">
        <v>5.1619999999999999</v>
      </c>
      <c r="H38" s="97">
        <v>4.8029999999999999</v>
      </c>
      <c r="I38" s="151">
        <f>SUM(E38:H38)</f>
        <v>18.330000000000002</v>
      </c>
      <c r="J38" s="97">
        <v>4.1970000000000001</v>
      </c>
      <c r="K38" s="97">
        <v>6.7130000000000001</v>
      </c>
      <c r="L38" s="97">
        <v>5.726</v>
      </c>
      <c r="M38" s="97">
        <v>14.238</v>
      </c>
      <c r="N38" s="151">
        <f>SUM(J38:M38)</f>
        <v>30.873999999999999</v>
      </c>
      <c r="O38" s="97">
        <v>26.74</v>
      </c>
      <c r="P38" s="97">
        <v>14.015000000000001</v>
      </c>
      <c r="Q38" s="97">
        <v>15.689</v>
      </c>
      <c r="R38" s="97">
        <v>12.118</v>
      </c>
      <c r="S38" s="151">
        <f>SUM(O38:R38)</f>
        <v>68.561999999999998</v>
      </c>
      <c r="T38" s="97">
        <v>12.662000000000001</v>
      </c>
      <c r="U38" s="97">
        <v>14.173</v>
      </c>
      <c r="V38" s="97">
        <v>18.774999999999999</v>
      </c>
      <c r="W38" s="152">
        <f>W15*W39</f>
        <v>14.899919999999998</v>
      </c>
      <c r="X38" s="151">
        <f>SUM(T38:W38)</f>
        <v>60.509919999999994</v>
      </c>
      <c r="Y38" s="152">
        <f>Y15*Y39</f>
        <v>14.651</v>
      </c>
      <c r="Z38" s="152">
        <f>Z15*Z39</f>
        <v>16.719625000000001</v>
      </c>
      <c r="AA38" s="152">
        <f>AA15*AA39</f>
        <v>16.394625000000001</v>
      </c>
      <c r="AB38" s="152">
        <f>AB15*AB39</f>
        <v>17.294550000000001</v>
      </c>
      <c r="AC38" s="151">
        <f>SUM(Y38:AB38)</f>
        <v>65.059799999999996</v>
      </c>
      <c r="AD38" s="152">
        <f>AD15*AD39</f>
        <v>14.087499999999999</v>
      </c>
      <c r="AE38" s="152">
        <f>AE15*AE39</f>
        <v>16.076562500000001</v>
      </c>
      <c r="AF38" s="152">
        <f>AF15*AF39</f>
        <v>15.7640625</v>
      </c>
      <c r="AG38" s="152">
        <f>AG15*AG39</f>
        <v>16.629375</v>
      </c>
      <c r="AH38" s="151">
        <f>SUM(AD38:AG38)</f>
        <v>62.557500000000005</v>
      </c>
      <c r="AI38" s="152">
        <f>AI15*AI39</f>
        <v>16.904999999999998</v>
      </c>
      <c r="AJ38" s="152">
        <f>AJ15*AJ39</f>
        <v>19.291875000000001</v>
      </c>
      <c r="AK38" s="152">
        <f>AK15*AK39</f>
        <v>18.916874999999997</v>
      </c>
      <c r="AL38" s="152">
        <f>AL15*AL39</f>
        <v>19.955249999999999</v>
      </c>
      <c r="AM38" s="151">
        <f>SUM(AI38:AL38)</f>
        <v>75.068999999999988</v>
      </c>
      <c r="AN38" s="127">
        <f>(AH38/S38)^0.333-1</f>
        <v>-3.0059180101432048E-2</v>
      </c>
      <c r="AO38" s="133"/>
      <c r="AP38" s="133"/>
      <c r="AQ38" s="133"/>
      <c r="AR38" s="133"/>
      <c r="AS38" s="133"/>
      <c r="AT38" s="133"/>
      <c r="AU38" s="133"/>
      <c r="AV38" s="133"/>
      <c r="AW38" s="133"/>
      <c r="AX38" s="133"/>
      <c r="AY38" s="133"/>
      <c r="AZ38" s="133"/>
      <c r="BA38" s="133"/>
    </row>
    <row r="39" spans="1:53" ht="12.75" customHeight="1">
      <c r="A39" s="153"/>
      <c r="B39" s="144" t="s">
        <v>106</v>
      </c>
      <c r="C39" s="178" t="str">
        <f>IF(ISERROR(C38/C15),"NM",C38/C15)</f>
        <v>NM</v>
      </c>
      <c r="D39" s="163">
        <f t="shared" ref="D39:V39" si="25">D38/D15</f>
        <v>1.4179245283018866</v>
      </c>
      <c r="E39" s="176">
        <f t="shared" si="25"/>
        <v>3.1890639481000926</v>
      </c>
      <c r="F39" s="176">
        <f t="shared" si="25"/>
        <v>2.4756158873805933</v>
      </c>
      <c r="G39" s="176">
        <f t="shared" si="25"/>
        <v>2.3127240143369172</v>
      </c>
      <c r="H39" s="176">
        <f t="shared" si="25"/>
        <v>2.3741967375185364</v>
      </c>
      <c r="I39" s="163">
        <f t="shared" si="25"/>
        <v>2.5030725112658749</v>
      </c>
      <c r="J39" s="176">
        <f t="shared" si="25"/>
        <v>1.9042649727767693</v>
      </c>
      <c r="K39" s="176">
        <f t="shared" si="25"/>
        <v>1.8693957115009745</v>
      </c>
      <c r="L39" s="176">
        <f t="shared" si="25"/>
        <v>1.3610648918469219</v>
      </c>
      <c r="M39" s="176">
        <f t="shared" si="25"/>
        <v>2.2334117647058824</v>
      </c>
      <c r="N39" s="163">
        <f t="shared" si="25"/>
        <v>1.8852048604750566</v>
      </c>
      <c r="O39" s="176">
        <f t="shared" si="25"/>
        <v>1.6524533432208628</v>
      </c>
      <c r="P39" s="176">
        <f t="shared" si="25"/>
        <v>1.2643211547135769</v>
      </c>
      <c r="Q39" s="176">
        <f t="shared" si="25"/>
        <v>1.9200832211479624</v>
      </c>
      <c r="R39" s="176">
        <f t="shared" si="25"/>
        <v>1.3663321682264067</v>
      </c>
      <c r="S39" s="163">
        <f t="shared" si="25"/>
        <v>1.5474304286004468</v>
      </c>
      <c r="T39" s="176">
        <f t="shared" si="25"/>
        <v>1.4043921916592725</v>
      </c>
      <c r="U39" s="176">
        <f t="shared" si="25"/>
        <v>1.3774905238604336</v>
      </c>
      <c r="V39" s="176">
        <f t="shared" si="25"/>
        <v>1.8609376548716421</v>
      </c>
      <c r="W39" s="177">
        <f>CHOOSE(_Switch,W40,W41,W42)</f>
        <v>1.4</v>
      </c>
      <c r="X39" s="163">
        <f>X38/X15</f>
        <v>1.511357551053031</v>
      </c>
      <c r="Y39" s="177">
        <f>CHOOSE(_Switch,Y40,Y41,Y42)</f>
        <v>1.3</v>
      </c>
      <c r="Z39" s="177">
        <f>CHOOSE(_Switch,Z40,Z41,Z42)</f>
        <v>1.3</v>
      </c>
      <c r="AA39" s="177">
        <f>CHOOSE(_Switch,AA40,AA41,AA42)</f>
        <v>1.3</v>
      </c>
      <c r="AB39" s="177">
        <f>CHOOSE(_Switch,AB40,AB41,AB42)</f>
        <v>1.3</v>
      </c>
      <c r="AC39" s="163">
        <f>AC38/AC15</f>
        <v>1.2999999999999998</v>
      </c>
      <c r="AD39" s="177">
        <f>CHOOSE(_Switch,AD40,AD41,AD42)</f>
        <v>1</v>
      </c>
      <c r="AE39" s="177">
        <f>CHOOSE(_Switch,AE40,AE41,AE42)</f>
        <v>1</v>
      </c>
      <c r="AF39" s="177">
        <f>CHOOSE(_Switch,AF40,AF41,AF42)</f>
        <v>1</v>
      </c>
      <c r="AG39" s="177">
        <f>CHOOSE(_Switch,AG40,AG41,AG42)</f>
        <v>1</v>
      </c>
      <c r="AH39" s="163">
        <f>AH38/AH15</f>
        <v>1</v>
      </c>
      <c r="AI39" s="177">
        <f>CHOOSE(_Switch,AI40,AI41,AI42)</f>
        <v>1</v>
      </c>
      <c r="AJ39" s="177">
        <f>CHOOSE(_Switch,AJ40,AJ41,AJ42)</f>
        <v>1</v>
      </c>
      <c r="AK39" s="177">
        <f>CHOOSE(_Switch,AK40,AK41,AK42)</f>
        <v>1</v>
      </c>
      <c r="AL39" s="177">
        <f>CHOOSE(_Switch,AL40,AL41,AL42)</f>
        <v>1</v>
      </c>
      <c r="AM39" s="163">
        <f>AM38/AM15</f>
        <v>1</v>
      </c>
      <c r="AN39" s="158"/>
      <c r="AO39" s="182"/>
      <c r="AP39" s="182"/>
      <c r="AQ39" s="182"/>
      <c r="AR39" s="182"/>
      <c r="AS39" s="159"/>
      <c r="AT39" s="159"/>
      <c r="AU39" s="159"/>
      <c r="AV39" s="159"/>
      <c r="AW39" s="159"/>
      <c r="AX39" s="159"/>
      <c r="AY39" s="159"/>
      <c r="AZ39" s="159"/>
      <c r="BA39" s="159"/>
    </row>
    <row r="40" spans="1:53" ht="12.75" hidden="1" customHeight="1" outlineLevel="1">
      <c r="A40" s="132"/>
      <c r="B40" s="160" t="s">
        <v>96</v>
      </c>
      <c r="C40" s="150"/>
      <c r="D40" s="150"/>
      <c r="E40" s="97"/>
      <c r="F40" s="97"/>
      <c r="G40" s="97"/>
      <c r="H40" s="97"/>
      <c r="I40" s="151"/>
      <c r="J40" s="97"/>
      <c r="K40" s="97"/>
      <c r="L40" s="97"/>
      <c r="M40" s="97"/>
      <c r="N40" s="180"/>
      <c r="O40" s="97"/>
      <c r="P40" s="97"/>
      <c r="Q40" s="97"/>
      <c r="R40" s="97"/>
      <c r="S40" s="180"/>
      <c r="T40" s="97"/>
      <c r="U40" s="97"/>
      <c r="V40" s="97"/>
      <c r="W40" s="181">
        <f t="shared" ref="W40" si="26">+W41-0.05</f>
        <v>1.3499999999999999</v>
      </c>
      <c r="X40" s="180"/>
      <c r="Y40" s="181">
        <f>+Y41-0.075</f>
        <v>1.2250000000000001</v>
      </c>
      <c r="Z40" s="181">
        <f t="shared" ref="Z40:AB40" si="27">+Z41-0.075</f>
        <v>1.2250000000000001</v>
      </c>
      <c r="AA40" s="181">
        <f t="shared" si="27"/>
        <v>1.2250000000000001</v>
      </c>
      <c r="AB40" s="181">
        <f t="shared" si="27"/>
        <v>1.2250000000000001</v>
      </c>
      <c r="AC40" s="180"/>
      <c r="AD40" s="181">
        <f>+AD41-0.075</f>
        <v>0.92500000000000004</v>
      </c>
      <c r="AE40" s="181">
        <f t="shared" ref="AE40:AG40" si="28">+AE41-0.075</f>
        <v>0.92500000000000004</v>
      </c>
      <c r="AF40" s="181">
        <f t="shared" si="28"/>
        <v>0.92500000000000004</v>
      </c>
      <c r="AG40" s="181">
        <f t="shared" si="28"/>
        <v>0.92500000000000004</v>
      </c>
      <c r="AH40" s="180"/>
      <c r="AI40" s="181">
        <f>+AI41-0.075</f>
        <v>0.92500000000000004</v>
      </c>
      <c r="AJ40" s="181">
        <f t="shared" ref="AJ40:AL40" si="29">+AJ41-0.075</f>
        <v>0.92500000000000004</v>
      </c>
      <c r="AK40" s="181">
        <f t="shared" si="29"/>
        <v>0.92500000000000004</v>
      </c>
      <c r="AL40" s="181">
        <f t="shared" si="29"/>
        <v>0.92500000000000004</v>
      </c>
      <c r="AM40" s="180"/>
      <c r="AN40" s="175"/>
      <c r="AO40" s="133"/>
      <c r="AP40" s="133"/>
      <c r="AQ40" s="133"/>
      <c r="AR40" s="133"/>
      <c r="AS40" s="133"/>
      <c r="AT40" s="133"/>
      <c r="AU40" s="133"/>
      <c r="AV40" s="133"/>
      <c r="AW40" s="133"/>
      <c r="AX40" s="133"/>
      <c r="AY40" s="133"/>
      <c r="AZ40" s="133"/>
      <c r="BA40" s="133"/>
    </row>
    <row r="41" spans="1:53" ht="12.75" hidden="1" customHeight="1" outlineLevel="1">
      <c r="A41" s="132"/>
      <c r="B41" s="160" t="s">
        <v>97</v>
      </c>
      <c r="C41" s="150"/>
      <c r="D41" s="150"/>
      <c r="E41" s="97"/>
      <c r="F41" s="97"/>
      <c r="G41" s="97"/>
      <c r="H41" s="97"/>
      <c r="I41" s="151"/>
      <c r="J41" s="97"/>
      <c r="K41" s="97"/>
      <c r="L41" s="97"/>
      <c r="M41" s="97"/>
      <c r="N41" s="180"/>
      <c r="O41" s="97"/>
      <c r="P41" s="97"/>
      <c r="Q41" s="97"/>
      <c r="R41" s="97"/>
      <c r="S41" s="180"/>
      <c r="T41" s="97"/>
      <c r="U41" s="97"/>
      <c r="V41" s="97"/>
      <c r="W41" s="181">
        <v>1.4</v>
      </c>
      <c r="X41" s="180"/>
      <c r="Y41" s="181">
        <v>1.3</v>
      </c>
      <c r="Z41" s="181">
        <v>1.3</v>
      </c>
      <c r="AA41" s="181">
        <v>1.3</v>
      </c>
      <c r="AB41" s="181">
        <v>1.3</v>
      </c>
      <c r="AC41" s="180"/>
      <c r="AD41" s="181">
        <v>1</v>
      </c>
      <c r="AE41" s="181">
        <f>+AD41</f>
        <v>1</v>
      </c>
      <c r="AF41" s="181">
        <f t="shared" ref="AF41:AG41" si="30">+AE41</f>
        <v>1</v>
      </c>
      <c r="AG41" s="181">
        <f t="shared" si="30"/>
        <v>1</v>
      </c>
      <c r="AH41" s="180"/>
      <c r="AI41" s="181">
        <v>1</v>
      </c>
      <c r="AJ41" s="181">
        <f>+AI41</f>
        <v>1</v>
      </c>
      <c r="AK41" s="181">
        <f t="shared" ref="AK41:AL41" si="31">+AJ41</f>
        <v>1</v>
      </c>
      <c r="AL41" s="181">
        <f t="shared" si="31"/>
        <v>1</v>
      </c>
      <c r="AM41" s="180"/>
      <c r="AN41" s="175"/>
      <c r="AO41" s="133"/>
      <c r="AP41" s="133"/>
      <c r="AQ41" s="133"/>
      <c r="AR41" s="133"/>
      <c r="AS41" s="133"/>
      <c r="AT41" s="133"/>
      <c r="AU41" s="133"/>
      <c r="AV41" s="133"/>
      <c r="AW41" s="133"/>
      <c r="AX41" s="133"/>
      <c r="AY41" s="133"/>
      <c r="AZ41" s="133"/>
      <c r="BA41" s="133"/>
    </row>
    <row r="42" spans="1:53" ht="12.75" hidden="1" customHeight="1" outlineLevel="1">
      <c r="A42" s="132"/>
      <c r="B42" s="160" t="s">
        <v>98</v>
      </c>
      <c r="C42" s="150"/>
      <c r="D42" s="150"/>
      <c r="E42" s="97"/>
      <c r="F42" s="97"/>
      <c r="G42" s="97"/>
      <c r="H42" s="97"/>
      <c r="I42" s="151"/>
      <c r="J42" s="97"/>
      <c r="K42" s="97"/>
      <c r="L42" s="97"/>
      <c r="M42" s="97"/>
      <c r="N42" s="180"/>
      <c r="O42" s="97"/>
      <c r="P42" s="97"/>
      <c r="Q42" s="97"/>
      <c r="R42" s="97"/>
      <c r="S42" s="180"/>
      <c r="T42" s="97"/>
      <c r="U42" s="97"/>
      <c r="V42" s="97"/>
      <c r="W42" s="181">
        <f t="shared" ref="W42" si="32">+W41+0.05</f>
        <v>1.45</v>
      </c>
      <c r="X42" s="180"/>
      <c r="Y42" s="181">
        <v>0.01</v>
      </c>
      <c r="Z42" s="181">
        <f t="shared" ref="Z42:AB42" si="33">+Z41+0.05</f>
        <v>1.35</v>
      </c>
      <c r="AA42" s="181">
        <f t="shared" si="33"/>
        <v>1.35</v>
      </c>
      <c r="AB42" s="181">
        <f t="shared" si="33"/>
        <v>1.35</v>
      </c>
      <c r="AC42" s="180"/>
      <c r="AD42" s="181">
        <f>+AD41+0.05</f>
        <v>1.05</v>
      </c>
      <c r="AE42" s="181">
        <f t="shared" ref="AE42:AG42" si="34">+AE41+0.05</f>
        <v>1.05</v>
      </c>
      <c r="AF42" s="181">
        <f t="shared" si="34"/>
        <v>1.05</v>
      </c>
      <c r="AG42" s="181">
        <f t="shared" si="34"/>
        <v>1.05</v>
      </c>
      <c r="AH42" s="180"/>
      <c r="AI42" s="181">
        <f>+AI41+0.05</f>
        <v>1.05</v>
      </c>
      <c r="AJ42" s="181">
        <f t="shared" ref="AJ42:AL42" si="35">+AJ41+0.05</f>
        <v>1.05</v>
      </c>
      <c r="AK42" s="181">
        <f t="shared" si="35"/>
        <v>1.05</v>
      </c>
      <c r="AL42" s="181">
        <f t="shared" si="35"/>
        <v>1.05</v>
      </c>
      <c r="AM42" s="180"/>
      <c r="AN42" s="175"/>
      <c r="AO42" s="133"/>
      <c r="AP42" s="133"/>
      <c r="AQ42" s="133"/>
      <c r="AR42" s="133"/>
      <c r="AS42" s="133"/>
      <c r="AT42" s="133"/>
      <c r="AU42" s="133"/>
      <c r="AV42" s="133"/>
      <c r="AW42" s="133"/>
      <c r="AX42" s="133"/>
      <c r="AY42" s="133"/>
      <c r="AZ42" s="133"/>
      <c r="BA42" s="133"/>
    </row>
    <row r="43" spans="1:53" ht="12.75" customHeight="1" collapsed="1">
      <c r="A43" s="132"/>
      <c r="B43" s="122"/>
      <c r="C43" s="183"/>
      <c r="D43" s="150"/>
      <c r="E43" s="97"/>
      <c r="F43" s="97"/>
      <c r="G43" s="97"/>
      <c r="H43" s="97"/>
      <c r="I43" s="151"/>
      <c r="J43" s="97"/>
      <c r="K43" s="97"/>
      <c r="L43" s="97"/>
      <c r="M43" s="97"/>
      <c r="N43" s="151"/>
      <c r="O43" s="97"/>
      <c r="P43" s="97"/>
      <c r="Q43" s="97"/>
      <c r="R43" s="97"/>
      <c r="S43" s="151"/>
      <c r="T43" s="97"/>
      <c r="U43" s="97"/>
      <c r="V43" s="97"/>
      <c r="W43" s="97"/>
      <c r="X43" s="151"/>
      <c r="Y43" s="97"/>
      <c r="Z43" s="97"/>
      <c r="AA43" s="97"/>
      <c r="AB43" s="97"/>
      <c r="AC43" s="151"/>
      <c r="AD43" s="97"/>
      <c r="AE43" s="97"/>
      <c r="AF43" s="97"/>
      <c r="AG43" s="97"/>
      <c r="AH43" s="151"/>
      <c r="AI43" s="97"/>
      <c r="AJ43" s="97"/>
      <c r="AK43" s="97"/>
      <c r="AL43" s="97"/>
      <c r="AM43" s="151"/>
      <c r="AN43" s="175"/>
      <c r="AO43" s="133"/>
      <c r="AP43" s="133"/>
      <c r="AQ43" s="133"/>
      <c r="AR43" s="133"/>
      <c r="AS43" s="133"/>
      <c r="AT43" s="133"/>
      <c r="AU43" s="133"/>
      <c r="AV43" s="133"/>
      <c r="AW43" s="133"/>
      <c r="AX43" s="133"/>
      <c r="AY43" s="133"/>
      <c r="AZ43" s="133"/>
      <c r="BA43" s="133"/>
    </row>
    <row r="44" spans="1:53" ht="12.75" customHeight="1">
      <c r="A44" s="132"/>
      <c r="B44" s="122" t="s">
        <v>107</v>
      </c>
      <c r="C44" s="150">
        <v>0</v>
      </c>
      <c r="D44" s="150">
        <v>0</v>
      </c>
      <c r="E44" s="97">
        <v>0.08</v>
      </c>
      <c r="F44" s="97">
        <v>0.192</v>
      </c>
      <c r="G44" s="97">
        <v>0.33</v>
      </c>
      <c r="H44" s="97">
        <v>0.4</v>
      </c>
      <c r="I44" s="151">
        <f>SUM(E44:H44)</f>
        <v>1.0020000000000002</v>
      </c>
      <c r="J44" s="97">
        <v>0.60199999999999998</v>
      </c>
      <c r="K44" s="97">
        <v>1.1419999999999999</v>
      </c>
      <c r="L44" s="97">
        <v>1.1419999999999999</v>
      </c>
      <c r="M44" s="97">
        <v>2.7530000000000001</v>
      </c>
      <c r="N44" s="151">
        <f>SUM(J44:M44)</f>
        <v>5.6389999999999993</v>
      </c>
      <c r="O44" s="97">
        <v>2.37</v>
      </c>
      <c r="P44" s="97">
        <v>1.8859999999999999</v>
      </c>
      <c r="Q44" s="97">
        <v>1.8859999999999999</v>
      </c>
      <c r="R44" s="97">
        <v>1.8859999999999999</v>
      </c>
      <c r="S44" s="151">
        <f>SUM(O44:R44)</f>
        <v>8.0280000000000005</v>
      </c>
      <c r="T44" s="97">
        <v>1.8069999999999999</v>
      </c>
      <c r="U44" s="97">
        <v>1.6950000000000001</v>
      </c>
      <c r="V44" s="97">
        <v>1.556</v>
      </c>
      <c r="W44" s="97">
        <f>V44</f>
        <v>1.556</v>
      </c>
      <c r="X44" s="151">
        <f>SUM(T44:W44)</f>
        <v>6.6139999999999999</v>
      </c>
      <c r="Y44" s="97">
        <f>W44</f>
        <v>1.556</v>
      </c>
      <c r="Z44" s="97">
        <f>Y44</f>
        <v>1.556</v>
      </c>
      <c r="AA44" s="97">
        <f>Z44</f>
        <v>1.556</v>
      </c>
      <c r="AB44" s="97">
        <f>AA44</f>
        <v>1.556</v>
      </c>
      <c r="AC44" s="151">
        <f>SUM(Y44:AB44)</f>
        <v>6.2240000000000002</v>
      </c>
      <c r="AD44" s="97">
        <f>AB44</f>
        <v>1.556</v>
      </c>
      <c r="AE44" s="97">
        <f>AD44</f>
        <v>1.556</v>
      </c>
      <c r="AF44" s="97">
        <f>AE44</f>
        <v>1.556</v>
      </c>
      <c r="AG44" s="97">
        <f>AF44</f>
        <v>1.556</v>
      </c>
      <c r="AH44" s="151">
        <f>SUM(AD44:AG44)</f>
        <v>6.2240000000000002</v>
      </c>
      <c r="AI44" s="97">
        <f>AG44</f>
        <v>1.556</v>
      </c>
      <c r="AJ44" s="97">
        <f>AI44</f>
        <v>1.556</v>
      </c>
      <c r="AK44" s="97">
        <f>AJ44</f>
        <v>1.556</v>
      </c>
      <c r="AL44" s="97">
        <f>AK44</f>
        <v>1.556</v>
      </c>
      <c r="AM44" s="151">
        <f>SUM(AI44:AL44)</f>
        <v>6.2240000000000002</v>
      </c>
      <c r="AN44" s="175"/>
      <c r="AO44" s="133"/>
      <c r="AP44" s="133"/>
      <c r="AQ44" s="133"/>
      <c r="AR44" s="133"/>
      <c r="AS44" s="133"/>
      <c r="AT44" s="133"/>
      <c r="AU44" s="133"/>
      <c r="AV44" s="133"/>
      <c r="AW44" s="133"/>
      <c r="AX44" s="133"/>
      <c r="AY44" s="133"/>
      <c r="AZ44" s="133"/>
      <c r="BA44" s="133"/>
    </row>
    <row r="45" spans="1:53" ht="12.75" customHeight="1">
      <c r="A45" s="132"/>
      <c r="B45" s="122"/>
      <c r="C45" s="150"/>
      <c r="D45" s="150"/>
      <c r="E45" s="97"/>
      <c r="F45" s="97"/>
      <c r="G45" s="97"/>
      <c r="H45" s="97"/>
      <c r="I45" s="151"/>
      <c r="J45" s="97"/>
      <c r="K45" s="97"/>
      <c r="L45" s="97"/>
      <c r="M45" s="97"/>
      <c r="N45" s="151"/>
      <c r="O45" s="97"/>
      <c r="P45" s="97"/>
      <c r="Q45" s="97"/>
      <c r="R45" s="97"/>
      <c r="S45" s="151"/>
      <c r="T45" s="97"/>
      <c r="U45" s="97"/>
      <c r="V45" s="97"/>
      <c r="W45" s="97"/>
      <c r="X45" s="151"/>
      <c r="Y45" s="97"/>
      <c r="Z45" s="97"/>
      <c r="AA45" s="97"/>
      <c r="AB45" s="97"/>
      <c r="AC45" s="151"/>
      <c r="AD45" s="97"/>
      <c r="AE45" s="97"/>
      <c r="AF45" s="97"/>
      <c r="AG45" s="97"/>
      <c r="AH45" s="151"/>
      <c r="AI45" s="97"/>
      <c r="AJ45" s="97"/>
      <c r="AK45" s="97"/>
      <c r="AL45" s="97"/>
      <c r="AM45" s="151"/>
      <c r="AN45" s="175"/>
      <c r="AO45" s="133"/>
      <c r="AP45" s="133"/>
      <c r="AQ45" s="133"/>
      <c r="AR45" s="133"/>
      <c r="AS45" s="133"/>
      <c r="AT45" s="133"/>
      <c r="AU45" s="133"/>
      <c r="AV45" s="133"/>
      <c r="AW45" s="133"/>
      <c r="AX45" s="133"/>
      <c r="AY45" s="133"/>
      <c r="AZ45" s="133"/>
      <c r="BA45" s="133"/>
    </row>
    <row r="46" spans="1:53" ht="12.75" customHeight="1">
      <c r="A46" s="184"/>
      <c r="B46" s="185" t="s">
        <v>108</v>
      </c>
      <c r="C46" s="186">
        <f t="shared" ref="C46:AM46" si="36">C19+C29+C32+C38+C44</f>
        <v>138.898</v>
      </c>
      <c r="D46" s="186">
        <f t="shared" si="36"/>
        <v>423.64800000000002</v>
      </c>
      <c r="E46" s="187">
        <f t="shared" si="36"/>
        <v>122.82599999999999</v>
      </c>
      <c r="F46" s="187">
        <f t="shared" si="36"/>
        <v>152.44400000000002</v>
      </c>
      <c r="G46" s="187">
        <f t="shared" si="36"/>
        <v>166.28100000000001</v>
      </c>
      <c r="H46" s="187">
        <f t="shared" si="36"/>
        <v>182.56700000000001</v>
      </c>
      <c r="I46" s="186">
        <f t="shared" si="36"/>
        <v>624.11800000000005</v>
      </c>
      <c r="J46" s="187">
        <f t="shared" si="36"/>
        <v>176.27200000000002</v>
      </c>
      <c r="K46" s="187">
        <f t="shared" si="36"/>
        <v>219.67099999999999</v>
      </c>
      <c r="L46" s="187">
        <f t="shared" si="36"/>
        <v>235.87799999999999</v>
      </c>
      <c r="M46" s="187">
        <f t="shared" si="36"/>
        <v>265.267</v>
      </c>
      <c r="N46" s="186">
        <f t="shared" si="36"/>
        <v>897.08799999999997</v>
      </c>
      <c r="O46" s="187">
        <f t="shared" si="36"/>
        <v>269.029</v>
      </c>
      <c r="P46" s="187">
        <f t="shared" si="36"/>
        <v>289.57400000000001</v>
      </c>
      <c r="Q46" s="187">
        <f t="shared" si="36"/>
        <v>288.68800000000005</v>
      </c>
      <c r="R46" s="187">
        <f t="shared" si="36"/>
        <v>285.392</v>
      </c>
      <c r="S46" s="186">
        <f t="shared" si="36"/>
        <v>1132.683</v>
      </c>
      <c r="T46" s="187">
        <f t="shared" si="36"/>
        <v>288.12299999999999</v>
      </c>
      <c r="U46" s="187">
        <f t="shared" si="36"/>
        <v>344.07599999999996</v>
      </c>
      <c r="V46" s="187">
        <f t="shared" si="36"/>
        <v>366.54299999999995</v>
      </c>
      <c r="W46" s="187">
        <f t="shared" si="36"/>
        <v>368.8464596344412</v>
      </c>
      <c r="X46" s="186">
        <f t="shared" si="36"/>
        <v>1367.5884596344413</v>
      </c>
      <c r="Y46" s="187">
        <f t="shared" si="36"/>
        <v>372.49520400000006</v>
      </c>
      <c r="Z46" s="187">
        <f t="shared" si="36"/>
        <v>443.60378300000002</v>
      </c>
      <c r="AA46" s="187">
        <f t="shared" si="36"/>
        <v>468.27146300000004</v>
      </c>
      <c r="AB46" s="187">
        <f t="shared" si="36"/>
        <v>477.75771967984315</v>
      </c>
      <c r="AC46" s="186">
        <f t="shared" si="36"/>
        <v>1762.1281696798433</v>
      </c>
      <c r="AD46" s="187">
        <f t="shared" si="36"/>
        <v>472.14955895999992</v>
      </c>
      <c r="AE46" s="187">
        <f t="shared" si="36"/>
        <v>561.64783864000015</v>
      </c>
      <c r="AF46" s="187">
        <f t="shared" si="36"/>
        <v>593.14084784000011</v>
      </c>
      <c r="AG46" s="187">
        <f t="shared" si="36"/>
        <v>605.39471033095538</v>
      </c>
      <c r="AH46" s="186">
        <f t="shared" si="36"/>
        <v>2232.3329557709553</v>
      </c>
      <c r="AI46" s="187">
        <f t="shared" si="36"/>
        <v>591.14075434879999</v>
      </c>
      <c r="AJ46" s="187">
        <f t="shared" si="36"/>
        <v>702.10333406720019</v>
      </c>
      <c r="AK46" s="187">
        <f t="shared" si="36"/>
        <v>741.28226424320019</v>
      </c>
      <c r="AL46" s="187">
        <f t="shared" si="36"/>
        <v>756.88655290517409</v>
      </c>
      <c r="AM46" s="186">
        <f t="shared" si="36"/>
        <v>2791.4129055643748</v>
      </c>
      <c r="AN46" s="188"/>
      <c r="AO46" s="189"/>
      <c r="AP46" s="189"/>
      <c r="AQ46" s="189"/>
      <c r="AR46" s="189"/>
      <c r="AS46" s="189"/>
      <c r="AT46" s="189"/>
      <c r="AU46" s="189"/>
      <c r="AV46" s="189"/>
      <c r="AW46" s="189"/>
      <c r="AX46" s="189"/>
      <c r="AY46" s="189"/>
      <c r="AZ46" s="189"/>
      <c r="BA46" s="189"/>
    </row>
    <row r="47" spans="1:53" ht="12.75" customHeight="1">
      <c r="A47" s="143"/>
      <c r="B47" s="148"/>
      <c r="C47" s="145"/>
      <c r="D47" s="145"/>
      <c r="E47" s="146"/>
      <c r="F47" s="146"/>
      <c r="G47" s="146"/>
      <c r="H47" s="146"/>
      <c r="I47" s="145"/>
      <c r="J47" s="146"/>
      <c r="K47" s="146"/>
      <c r="L47" s="146"/>
      <c r="M47" s="146"/>
      <c r="N47" s="145"/>
      <c r="O47" s="146"/>
      <c r="P47" s="146"/>
      <c r="Q47" s="146"/>
      <c r="R47" s="146"/>
      <c r="S47" s="145"/>
      <c r="T47" s="146"/>
      <c r="U47" s="146"/>
      <c r="V47" s="146"/>
      <c r="W47" s="146"/>
      <c r="X47" s="145"/>
      <c r="Y47" s="146"/>
      <c r="Z47" s="146"/>
      <c r="AA47" s="146"/>
      <c r="AB47" s="146"/>
      <c r="AC47" s="145"/>
      <c r="AD47" s="146"/>
      <c r="AE47" s="146"/>
      <c r="AF47" s="146"/>
      <c r="AG47" s="146"/>
      <c r="AH47" s="145"/>
      <c r="AI47" s="146"/>
      <c r="AJ47" s="146"/>
      <c r="AK47" s="146"/>
      <c r="AL47" s="146"/>
      <c r="AM47" s="145"/>
      <c r="AN47" s="190"/>
      <c r="AO47" s="147"/>
      <c r="AP47" s="147"/>
      <c r="AQ47" s="147"/>
      <c r="AR47" s="147"/>
      <c r="AS47" s="147"/>
      <c r="AT47" s="147"/>
      <c r="AU47" s="147"/>
      <c r="AV47" s="147"/>
      <c r="AW47" s="147"/>
      <c r="AX47" s="147"/>
      <c r="AY47" s="147"/>
      <c r="AZ47" s="147"/>
      <c r="BA47" s="147"/>
    </row>
    <row r="48" spans="1:53" ht="12.75" customHeight="1">
      <c r="A48" s="143"/>
      <c r="B48" s="167" t="s">
        <v>109</v>
      </c>
      <c r="C48" s="191">
        <f t="shared" ref="C48:S48" si="37">+C13-C29</f>
        <v>-3.0760000000000005</v>
      </c>
      <c r="D48" s="191">
        <f t="shared" si="37"/>
        <v>-25.346999999999994</v>
      </c>
      <c r="E48" s="192">
        <f t="shared" si="37"/>
        <v>-6.5499999999999972</v>
      </c>
      <c r="F48" s="193">
        <f t="shared" si="37"/>
        <v>-7.3490000000000038</v>
      </c>
      <c r="G48" s="193">
        <f t="shared" si="37"/>
        <v>-7.4820000000000029</v>
      </c>
      <c r="H48" s="193">
        <f t="shared" si="37"/>
        <v>-6.5500000000000043</v>
      </c>
      <c r="I48" s="191">
        <f t="shared" si="37"/>
        <v>-27.931000000000012</v>
      </c>
      <c r="J48" s="193">
        <f t="shared" si="37"/>
        <v>-6.9740000000000002</v>
      </c>
      <c r="K48" s="193">
        <f t="shared" si="37"/>
        <v>-7.2909999999999968</v>
      </c>
      <c r="L48" s="193">
        <f t="shared" si="37"/>
        <v>-9.0779999999999959</v>
      </c>
      <c r="M48" s="193">
        <f t="shared" si="37"/>
        <v>0.18800000000000239</v>
      </c>
      <c r="N48" s="191">
        <f t="shared" si="37"/>
        <v>-23.154999999999973</v>
      </c>
      <c r="O48" s="193">
        <f t="shared" si="37"/>
        <v>2.2280000000000015</v>
      </c>
      <c r="P48" s="193">
        <f t="shared" si="37"/>
        <v>4.1949999999999967</v>
      </c>
      <c r="Q48" s="193">
        <f t="shared" si="37"/>
        <v>2.6360000000000001</v>
      </c>
      <c r="R48" s="193">
        <f t="shared" si="37"/>
        <v>8.3000000000000004E-2</v>
      </c>
      <c r="S48" s="191">
        <f t="shared" si="37"/>
        <v>9.1420000000000101</v>
      </c>
      <c r="T48" s="193"/>
      <c r="U48" s="193"/>
      <c r="V48" s="193"/>
      <c r="W48" s="193"/>
      <c r="X48" s="191"/>
      <c r="Y48" s="193"/>
      <c r="Z48" s="193"/>
      <c r="AA48" s="193"/>
      <c r="AB48" s="193"/>
      <c r="AC48" s="191"/>
      <c r="AD48" s="193"/>
      <c r="AE48" s="193"/>
      <c r="AF48" s="193"/>
      <c r="AG48" s="193"/>
      <c r="AH48" s="191"/>
      <c r="AI48" s="193"/>
      <c r="AJ48" s="193"/>
      <c r="AK48" s="193"/>
      <c r="AL48" s="193"/>
      <c r="AM48" s="191"/>
      <c r="AN48" s="190"/>
      <c r="AO48" s="140"/>
      <c r="AP48" s="140"/>
      <c r="AQ48" s="140"/>
      <c r="AR48" s="140"/>
      <c r="AS48" s="147"/>
      <c r="AT48" s="147"/>
      <c r="AU48" s="147"/>
      <c r="AV48" s="147"/>
      <c r="AW48" s="147"/>
      <c r="AX48" s="147"/>
      <c r="AY48" s="147"/>
      <c r="AZ48" s="147"/>
      <c r="BA48" s="147"/>
    </row>
    <row r="49" spans="1:53" ht="12.75" customHeight="1">
      <c r="A49" s="143"/>
      <c r="B49" s="194" t="s">
        <v>110</v>
      </c>
      <c r="C49" s="145">
        <f t="shared" ref="C49:S49" si="38">+C48/C16</f>
        <v>-1.5119268219553797E-2</v>
      </c>
      <c r="D49" s="145">
        <f t="shared" si="38"/>
        <v>-4.5882487107033784E-2</v>
      </c>
      <c r="E49" s="195">
        <f t="shared" si="38"/>
        <v>-3.9677251305411831E-2</v>
      </c>
      <c r="F49" s="195">
        <f t="shared" si="38"/>
        <v>-3.5537437861467361E-2</v>
      </c>
      <c r="G49" s="195">
        <f t="shared" si="38"/>
        <v>-3.2899481136223735E-2</v>
      </c>
      <c r="H49" s="195">
        <f t="shared" si="38"/>
        <v>-2.6106642645898286E-2</v>
      </c>
      <c r="I49" s="145">
        <f t="shared" si="38"/>
        <v>-3.2852579182114171E-2</v>
      </c>
      <c r="J49" s="195">
        <f t="shared" si="38"/>
        <v>-2.7833985879460562E-2</v>
      </c>
      <c r="K49" s="195">
        <f t="shared" si="38"/>
        <v>-2.3518368584543221E-2</v>
      </c>
      <c r="L49" s="195">
        <f t="shared" si="38"/>
        <v>-2.7327898659795045E-2</v>
      </c>
      <c r="M49" s="195">
        <f t="shared" si="38"/>
        <v>5.0219040495780103E-4</v>
      </c>
      <c r="N49" s="145">
        <f t="shared" si="38"/>
        <v>-1.8273751931548579E-2</v>
      </c>
      <c r="O49" s="195">
        <f t="shared" si="38"/>
        <v>5.8744584977944454E-3</v>
      </c>
      <c r="P49" s="195">
        <f t="shared" si="38"/>
        <v>9.5659847719555824E-3</v>
      </c>
      <c r="Q49" s="195">
        <f t="shared" si="38"/>
        <v>6.0045284531733351E-3</v>
      </c>
      <c r="R49" s="195">
        <f t="shared" si="38"/>
        <v>1.8366204413642327E-4</v>
      </c>
      <c r="S49" s="145">
        <f t="shared" si="38"/>
        <v>5.3502005301041024E-3</v>
      </c>
      <c r="T49" s="195"/>
      <c r="U49" s="195"/>
      <c r="V49" s="195"/>
      <c r="W49" s="195"/>
      <c r="X49" s="145"/>
      <c r="Y49" s="195"/>
      <c r="Z49" s="195"/>
      <c r="AA49" s="195"/>
      <c r="AB49" s="195"/>
      <c r="AC49" s="145"/>
      <c r="AD49" s="195"/>
      <c r="AE49" s="195"/>
      <c r="AF49" s="195"/>
      <c r="AG49" s="195"/>
      <c r="AH49" s="145"/>
      <c r="AI49" s="195"/>
      <c r="AJ49" s="195"/>
      <c r="AK49" s="195"/>
      <c r="AL49" s="195"/>
      <c r="AM49" s="145"/>
      <c r="AN49" s="190"/>
      <c r="AO49" s="147"/>
      <c r="AP49" s="147"/>
      <c r="AQ49" s="147"/>
      <c r="AR49" s="147"/>
      <c r="AS49" s="147"/>
      <c r="AT49" s="147"/>
      <c r="AU49" s="147"/>
      <c r="AV49" s="147"/>
      <c r="AW49" s="147"/>
      <c r="AX49" s="147"/>
      <c r="AY49" s="147"/>
      <c r="AZ49" s="147"/>
      <c r="BA49" s="147"/>
    </row>
    <row r="50" spans="1:53" ht="12.75" customHeight="1">
      <c r="A50" s="143"/>
      <c r="B50" s="170" t="s">
        <v>111</v>
      </c>
      <c r="C50" s="171">
        <f t="shared" ref="C50:S50" si="39">+C48/C26</f>
        <v>-4.5484791577328584E-2</v>
      </c>
      <c r="D50" s="171">
        <f t="shared" si="39"/>
        <v>-0.1582763013288041</v>
      </c>
      <c r="E50" s="172">
        <f t="shared" si="39"/>
        <v>-0.12514090292504912</v>
      </c>
      <c r="F50" s="172">
        <f t="shared" si="39"/>
        <v>-0.10993597415031121</v>
      </c>
      <c r="G50" s="172">
        <f t="shared" si="39"/>
        <v>-9.9627163781624534E-2</v>
      </c>
      <c r="H50" s="172">
        <f t="shared" si="39"/>
        <v>-7.9857597444556949E-2</v>
      </c>
      <c r="I50" s="171">
        <f t="shared" si="39"/>
        <v>-0.10108573703449031</v>
      </c>
      <c r="J50" s="172">
        <f t="shared" si="39"/>
        <v>-7.8222441563102846E-2</v>
      </c>
      <c r="K50" s="172">
        <f t="shared" si="39"/>
        <v>-6.6511585477102703E-2</v>
      </c>
      <c r="L50" s="172">
        <f t="shared" si="39"/>
        <v>-7.7030776671842757E-2</v>
      </c>
      <c r="M50" s="172">
        <f t="shared" si="39"/>
        <v>1.3972916326015069E-3</v>
      </c>
      <c r="N50" s="171">
        <f t="shared" si="39"/>
        <v>-5.1322004295488784E-2</v>
      </c>
      <c r="O50" s="172">
        <f t="shared" si="39"/>
        <v>1.5244090178235449E-2</v>
      </c>
      <c r="P50" s="172">
        <f t="shared" si="39"/>
        <v>2.4559595805841602E-2</v>
      </c>
      <c r="Q50" s="172">
        <f t="shared" si="39"/>
        <v>1.4827564870596313E-2</v>
      </c>
      <c r="R50" s="172">
        <f t="shared" si="39"/>
        <v>4.3256878104202157E-4</v>
      </c>
      <c r="S50" s="171">
        <f t="shared" si="39"/>
        <v>1.3314535884582132E-2</v>
      </c>
      <c r="T50" s="172"/>
      <c r="U50" s="172"/>
      <c r="V50" s="172"/>
      <c r="W50" s="172"/>
      <c r="X50" s="171"/>
      <c r="Y50" s="172"/>
      <c r="Z50" s="172"/>
      <c r="AA50" s="172"/>
      <c r="AB50" s="172"/>
      <c r="AC50" s="171"/>
      <c r="AD50" s="172"/>
      <c r="AE50" s="172"/>
      <c r="AF50" s="172"/>
      <c r="AG50" s="172"/>
      <c r="AH50" s="171"/>
      <c r="AI50" s="172"/>
      <c r="AJ50" s="172"/>
      <c r="AK50" s="172"/>
      <c r="AL50" s="172"/>
      <c r="AM50" s="171"/>
      <c r="AN50" s="190"/>
      <c r="AO50" s="147"/>
      <c r="AP50" s="147"/>
      <c r="AQ50" s="147"/>
      <c r="AR50" s="147"/>
      <c r="AS50" s="147"/>
      <c r="AT50" s="147"/>
      <c r="AU50" s="147"/>
      <c r="AV50" s="147"/>
      <c r="AW50" s="147"/>
      <c r="AX50" s="147"/>
      <c r="AY50" s="147"/>
      <c r="AZ50" s="147"/>
      <c r="BA50" s="147"/>
    </row>
    <row r="51" spans="1:53" ht="12.75" customHeight="1">
      <c r="A51" s="143"/>
      <c r="B51" s="148"/>
      <c r="C51" s="145"/>
      <c r="D51" s="145"/>
      <c r="E51" s="146"/>
      <c r="F51" s="146"/>
      <c r="G51" s="146"/>
      <c r="H51" s="146"/>
      <c r="I51" s="145"/>
      <c r="J51" s="146"/>
      <c r="K51" s="146"/>
      <c r="L51" s="146"/>
      <c r="M51" s="146"/>
      <c r="N51" s="145"/>
      <c r="O51" s="146"/>
      <c r="P51" s="146"/>
      <c r="Q51" s="146"/>
      <c r="R51" s="146"/>
      <c r="S51" s="145"/>
      <c r="T51" s="146"/>
      <c r="U51" s="146"/>
      <c r="V51" s="146"/>
      <c r="W51" s="146"/>
      <c r="X51" s="145"/>
      <c r="Y51" s="146"/>
      <c r="Z51" s="146"/>
      <c r="AA51" s="146"/>
      <c r="AB51" s="146"/>
      <c r="AC51" s="145"/>
      <c r="AD51" s="146"/>
      <c r="AE51" s="146"/>
      <c r="AF51" s="146"/>
      <c r="AG51" s="146"/>
      <c r="AH51" s="145"/>
      <c r="AI51" s="146"/>
      <c r="AJ51" s="146"/>
      <c r="AK51" s="146"/>
      <c r="AL51" s="146"/>
      <c r="AM51" s="145"/>
      <c r="AN51" s="190"/>
      <c r="AO51" s="147"/>
      <c r="AP51" s="147"/>
      <c r="AQ51" s="147"/>
      <c r="AR51" s="147"/>
      <c r="AS51" s="147"/>
      <c r="AT51" s="147"/>
      <c r="AU51" s="147"/>
      <c r="AV51" s="147"/>
      <c r="AW51" s="147"/>
      <c r="AX51" s="147"/>
      <c r="AY51" s="147"/>
      <c r="AZ51" s="147"/>
      <c r="BA51" s="147"/>
    </row>
    <row r="52" spans="1:53" ht="12.75" customHeight="1">
      <c r="A52" s="196"/>
      <c r="B52" s="167" t="s">
        <v>112</v>
      </c>
      <c r="C52" s="168">
        <f t="shared" ref="C52:AM52" si="40">C26-C32-C38-C44</f>
        <v>67.62700000000001</v>
      </c>
      <c r="D52" s="168">
        <f t="shared" si="40"/>
        <v>154.13199999999995</v>
      </c>
      <c r="E52" s="169">
        <f t="shared" si="40"/>
        <v>48.806000000000004</v>
      </c>
      <c r="F52" s="169">
        <f t="shared" si="40"/>
        <v>61.700999999999993</v>
      </c>
      <c r="G52" s="169">
        <f t="shared" si="40"/>
        <v>68.621000000000009</v>
      </c>
      <c r="H52" s="169">
        <f t="shared" si="40"/>
        <v>74.876999999999981</v>
      </c>
      <c r="I52" s="168">
        <f t="shared" si="40"/>
        <v>254.00499999999991</v>
      </c>
      <c r="J52" s="169">
        <f t="shared" si="40"/>
        <v>81.259000000000029</v>
      </c>
      <c r="K52" s="169">
        <f t="shared" si="40"/>
        <v>97.632999999999981</v>
      </c>
      <c r="L52" s="169">
        <f t="shared" si="40"/>
        <v>105.38799999999999</v>
      </c>
      <c r="M52" s="169">
        <f t="shared" si="40"/>
        <v>108.90500000000002</v>
      </c>
      <c r="N52" s="168">
        <f t="shared" si="40"/>
        <v>393.185</v>
      </c>
      <c r="O52" s="169">
        <f t="shared" si="40"/>
        <v>108.01199999999999</v>
      </c>
      <c r="P52" s="169">
        <f t="shared" si="40"/>
        <v>144.76399999999992</v>
      </c>
      <c r="Q52" s="169">
        <f t="shared" si="40"/>
        <v>147.67799999999997</v>
      </c>
      <c r="R52" s="169">
        <f t="shared" si="40"/>
        <v>166.44200000000006</v>
      </c>
      <c r="S52" s="168">
        <f t="shared" si="40"/>
        <v>566.89599999999973</v>
      </c>
      <c r="T52" s="169">
        <f t="shared" si="40"/>
        <v>173.43100000000001</v>
      </c>
      <c r="U52" s="169">
        <f t="shared" si="40"/>
        <v>207.42900000000003</v>
      </c>
      <c r="V52" s="169">
        <f t="shared" si="40"/>
        <v>218.61600000000007</v>
      </c>
      <c r="W52" s="169">
        <f t="shared" si="40"/>
        <v>229.17159438120345</v>
      </c>
      <c r="X52" s="168">
        <f t="shared" si="40"/>
        <v>828.64759438120291</v>
      </c>
      <c r="Y52" s="169">
        <f t="shared" si="40"/>
        <v>236.43879788769084</v>
      </c>
      <c r="Z52" s="169">
        <f t="shared" si="40"/>
        <v>288.60923793117695</v>
      </c>
      <c r="AA52" s="169">
        <f t="shared" si="40"/>
        <v>310.08580148812143</v>
      </c>
      <c r="AB52" s="169">
        <f t="shared" si="40"/>
        <v>322.63340682834905</v>
      </c>
      <c r="AC52" s="168">
        <f t="shared" si="40"/>
        <v>1157.7672441353379</v>
      </c>
      <c r="AD52" s="169">
        <f t="shared" si="40"/>
        <v>325.79363817624449</v>
      </c>
      <c r="AE52" s="169">
        <f t="shared" si="40"/>
        <v>397.93199561190659</v>
      </c>
      <c r="AF52" s="169">
        <f t="shared" si="40"/>
        <v>428.00083656479563</v>
      </c>
      <c r="AG52" s="169">
        <f t="shared" si="40"/>
        <v>447.61148506993084</v>
      </c>
      <c r="AH52" s="168">
        <f t="shared" si="40"/>
        <v>1599.337955422877</v>
      </c>
      <c r="AI52" s="169">
        <f t="shared" si="40"/>
        <v>436.36744099006813</v>
      </c>
      <c r="AJ52" s="169">
        <f t="shared" si="40"/>
        <v>533.68090526980222</v>
      </c>
      <c r="AK52" s="169">
        <f t="shared" si="40"/>
        <v>575.12941347044216</v>
      </c>
      <c r="AL52" s="169">
        <f t="shared" si="40"/>
        <v>604.1331037046466</v>
      </c>
      <c r="AM52" s="168">
        <f t="shared" si="40"/>
        <v>2149.3108634349596</v>
      </c>
      <c r="AN52" s="127">
        <f>(AH52/S52)^0.333-1</f>
        <v>0.4125228158520895</v>
      </c>
      <c r="AO52" s="197"/>
      <c r="AP52" s="197"/>
      <c r="AQ52" s="197"/>
      <c r="AR52" s="197"/>
      <c r="AS52" s="197"/>
      <c r="AT52" s="197"/>
      <c r="AU52" s="197"/>
      <c r="AV52" s="197"/>
      <c r="AW52" s="197"/>
      <c r="AX52" s="197"/>
      <c r="AY52" s="197"/>
      <c r="AZ52" s="197"/>
      <c r="BA52" s="197"/>
    </row>
    <row r="53" spans="1:53" ht="12.75" customHeight="1">
      <c r="A53" s="198"/>
      <c r="B53" s="194" t="s">
        <v>110</v>
      </c>
      <c r="C53" s="163">
        <f t="shared" ref="C53:AM53" si="41">C52/C16</f>
        <v>0.3324027151767765</v>
      </c>
      <c r="D53" s="163">
        <f t="shared" si="41"/>
        <v>0.27900577988642955</v>
      </c>
      <c r="E53" s="199">
        <f t="shared" si="41"/>
        <v>0.29564701178808106</v>
      </c>
      <c r="F53" s="199">
        <f t="shared" si="41"/>
        <v>0.29836650612197524</v>
      </c>
      <c r="G53" s="199">
        <f t="shared" si="41"/>
        <v>0.30173687450532055</v>
      </c>
      <c r="H53" s="199">
        <f t="shared" si="41"/>
        <v>0.29844077578578998</v>
      </c>
      <c r="I53" s="163">
        <f t="shared" si="41"/>
        <v>0.29876192671772955</v>
      </c>
      <c r="J53" s="199">
        <f t="shared" si="41"/>
        <v>0.32431342967867599</v>
      </c>
      <c r="K53" s="199">
        <f t="shared" si="41"/>
        <v>0.31493195446642558</v>
      </c>
      <c r="L53" s="199">
        <f t="shared" si="41"/>
        <v>0.3172540850361843</v>
      </c>
      <c r="M53" s="199">
        <f t="shared" si="41"/>
        <v>0.29090981942515232</v>
      </c>
      <c r="N53" s="163">
        <f t="shared" si="41"/>
        <v>0.3102986462192156</v>
      </c>
      <c r="O53" s="199">
        <f t="shared" si="41"/>
        <v>0.28478995119558936</v>
      </c>
      <c r="P53" s="199">
        <f t="shared" si="41"/>
        <v>0.33010970668113904</v>
      </c>
      <c r="Q53" s="199">
        <f t="shared" si="41"/>
        <v>0.33639482280262956</v>
      </c>
      <c r="R53" s="199">
        <f t="shared" si="41"/>
        <v>0.36830214397776595</v>
      </c>
      <c r="S53" s="163">
        <f t="shared" si="41"/>
        <v>0.33176627430692301</v>
      </c>
      <c r="T53" s="199">
        <f t="shared" si="41"/>
        <v>0.37575451626461909</v>
      </c>
      <c r="U53" s="199">
        <f t="shared" si="41"/>
        <v>0.37611445045829145</v>
      </c>
      <c r="V53" s="199">
        <f t="shared" si="41"/>
        <v>0.37360102126088812</v>
      </c>
      <c r="W53" s="199">
        <f t="shared" si="41"/>
        <v>0.38321852131776629</v>
      </c>
      <c r="X53" s="163">
        <f t="shared" si="41"/>
        <v>0.37730352020498265</v>
      </c>
      <c r="Y53" s="199">
        <f t="shared" si="41"/>
        <v>0.38828312617579624</v>
      </c>
      <c r="Z53" s="199">
        <f t="shared" si="41"/>
        <v>0.39416020977630806</v>
      </c>
      <c r="AA53" s="199">
        <f t="shared" si="41"/>
        <v>0.39838492635132805</v>
      </c>
      <c r="AB53" s="199">
        <f t="shared" si="41"/>
        <v>0.40309468226600437</v>
      </c>
      <c r="AC53" s="163">
        <f t="shared" si="41"/>
        <v>0.39650983341988305</v>
      </c>
      <c r="AD53" s="199">
        <f t="shared" si="41"/>
        <v>0.40829176731563388</v>
      </c>
      <c r="AE53" s="199">
        <f t="shared" si="41"/>
        <v>0.41469399565085319</v>
      </c>
      <c r="AF53" s="199">
        <f t="shared" si="41"/>
        <v>0.41913952108836816</v>
      </c>
      <c r="AG53" s="199">
        <f t="shared" si="41"/>
        <v>0.42507963108376806</v>
      </c>
      <c r="AH53" s="163">
        <f t="shared" si="41"/>
        <v>0.41739961298622374</v>
      </c>
      <c r="AI53" s="199">
        <f t="shared" si="41"/>
        <v>0.42468511975824769</v>
      </c>
      <c r="AJ53" s="199">
        <f t="shared" si="41"/>
        <v>0.43185605406015032</v>
      </c>
      <c r="AK53" s="199">
        <f t="shared" si="41"/>
        <v>0.43689175901974142</v>
      </c>
      <c r="AL53" s="199">
        <f t="shared" si="41"/>
        <v>0.44388271746896635</v>
      </c>
      <c r="AM53" s="163">
        <f t="shared" si="41"/>
        <v>0.43501943519304836</v>
      </c>
      <c r="AN53" s="200"/>
      <c r="AO53" s="201"/>
      <c r="AP53" s="201"/>
      <c r="AQ53" s="201"/>
      <c r="AR53" s="201"/>
      <c r="AS53" s="201"/>
      <c r="AT53" s="201"/>
      <c r="AU53" s="201"/>
      <c r="AV53" s="201"/>
      <c r="AW53" s="201"/>
      <c r="AX53" s="201"/>
      <c r="AY53" s="201"/>
      <c r="AZ53" s="201"/>
      <c r="BA53" s="201"/>
    </row>
    <row r="54" spans="1:53" ht="12.75" customHeight="1">
      <c r="A54" s="198"/>
      <c r="B54" s="170" t="s">
        <v>111</v>
      </c>
      <c r="C54" s="202">
        <f t="shared" ref="C54:AM54" si="42">C52/C26</f>
        <v>1</v>
      </c>
      <c r="D54" s="202">
        <f t="shared" si="42"/>
        <v>0.96245878709161758</v>
      </c>
      <c r="E54" s="203">
        <f t="shared" si="42"/>
        <v>0.93246212338319856</v>
      </c>
      <c r="F54" s="203">
        <f t="shared" si="42"/>
        <v>0.92300442795595972</v>
      </c>
      <c r="G54" s="203">
        <f t="shared" si="42"/>
        <v>0.91372836218375497</v>
      </c>
      <c r="H54" s="203">
        <f t="shared" si="42"/>
        <v>0.91290035478718856</v>
      </c>
      <c r="I54" s="202">
        <f t="shared" si="42"/>
        <v>0.91927545148565004</v>
      </c>
      <c r="J54" s="203">
        <f t="shared" si="42"/>
        <v>0.9114249181210462</v>
      </c>
      <c r="K54" s="203">
        <f t="shared" si="42"/>
        <v>0.89064951651158553</v>
      </c>
      <c r="L54" s="203">
        <f t="shared" si="42"/>
        <v>0.8942629975646802</v>
      </c>
      <c r="M54" s="203">
        <f t="shared" si="42"/>
        <v>0.80942577259821924</v>
      </c>
      <c r="N54" s="202">
        <f t="shared" si="42"/>
        <v>0.87147666849154748</v>
      </c>
      <c r="O54" s="203">
        <f t="shared" si="42"/>
        <v>0.73902363928705828</v>
      </c>
      <c r="P54" s="203">
        <f t="shared" si="42"/>
        <v>0.84751974427576982</v>
      </c>
      <c r="Q54" s="203">
        <f t="shared" si="42"/>
        <v>0.83069238427918124</v>
      </c>
      <c r="R54" s="203">
        <f t="shared" si="42"/>
        <v>0.86744112113489369</v>
      </c>
      <c r="S54" s="202">
        <f t="shared" si="42"/>
        <v>0.82563521492299941</v>
      </c>
      <c r="T54" s="203">
        <f t="shared" si="42"/>
        <v>0.85108648712311563</v>
      </c>
      <c r="U54" s="203">
        <f t="shared" si="42"/>
        <v>0.86280276025006974</v>
      </c>
      <c r="V54" s="203">
        <f t="shared" si="42"/>
        <v>0.85026213849001997</v>
      </c>
      <c r="W54" s="203">
        <f t="shared" si="42"/>
        <v>0.86155440692279128</v>
      </c>
      <c r="X54" s="202">
        <f t="shared" si="42"/>
        <v>0.85665789132582226</v>
      </c>
      <c r="Y54" s="203">
        <f t="shared" si="42"/>
        <v>0.85060037237670905</v>
      </c>
      <c r="Z54" s="203">
        <f t="shared" si="42"/>
        <v>0.86417473177928039</v>
      </c>
      <c r="AA54" s="203">
        <f t="shared" si="42"/>
        <v>0.86928897266734684</v>
      </c>
      <c r="AB54" s="203">
        <f t="shared" si="42"/>
        <v>0.86350171758054883</v>
      </c>
      <c r="AC54" s="202">
        <f t="shared" si="42"/>
        <v>0.86253545593815173</v>
      </c>
      <c r="AD54" s="203">
        <f t="shared" si="42"/>
        <v>0.86260569772318041</v>
      </c>
      <c r="AE54" s="203">
        <f t="shared" si="42"/>
        <v>0.87670088010006564</v>
      </c>
      <c r="AF54" s="203">
        <f t="shared" si="42"/>
        <v>0.88112809688881655</v>
      </c>
      <c r="AG54" s="203">
        <f t="shared" si="42"/>
        <v>0.87575466549600289</v>
      </c>
      <c r="AH54" s="202">
        <f t="shared" si="42"/>
        <v>0.87470098607621849</v>
      </c>
      <c r="AI54" s="203">
        <f t="shared" si="42"/>
        <v>0.86638943137139968</v>
      </c>
      <c r="AJ54" s="203">
        <f t="shared" si="42"/>
        <v>0.88145163141725269</v>
      </c>
      <c r="AK54" s="203">
        <f t="shared" si="42"/>
        <v>0.88612006893722761</v>
      </c>
      <c r="AL54" s="203">
        <f t="shared" si="42"/>
        <v>0.88122698192430537</v>
      </c>
      <c r="AM54" s="202">
        <f t="shared" si="42"/>
        <v>0.87952413782012739</v>
      </c>
      <c r="AN54" s="200"/>
      <c r="AO54" s="201"/>
      <c r="AP54" s="201"/>
      <c r="AQ54" s="201"/>
      <c r="AR54" s="201"/>
      <c r="AS54" s="201"/>
      <c r="AT54" s="201"/>
      <c r="AU54" s="201"/>
      <c r="AV54" s="201"/>
      <c r="AW54" s="201"/>
      <c r="AX54" s="201"/>
      <c r="AY54" s="201"/>
      <c r="AZ54" s="201"/>
      <c r="BA54" s="201"/>
    </row>
    <row r="55" spans="1:53" ht="12.75" customHeight="1">
      <c r="A55" s="143"/>
      <c r="B55" s="148"/>
      <c r="C55" s="145"/>
      <c r="D55" s="145"/>
      <c r="E55" s="146"/>
      <c r="F55" s="146"/>
      <c r="G55" s="146"/>
      <c r="H55" s="146"/>
      <c r="I55" s="145"/>
      <c r="J55" s="146"/>
      <c r="K55" s="146"/>
      <c r="L55" s="146"/>
      <c r="M55" s="146"/>
      <c r="N55" s="145"/>
      <c r="O55" s="146"/>
      <c r="P55" s="146"/>
      <c r="Q55" s="204"/>
      <c r="R55" s="204"/>
      <c r="S55" s="205"/>
      <c r="T55" s="146"/>
      <c r="U55" s="146"/>
      <c r="V55" s="146"/>
      <c r="W55" s="204"/>
      <c r="X55" s="205"/>
      <c r="Y55" s="204"/>
      <c r="Z55" s="204"/>
      <c r="AA55" s="204"/>
      <c r="AB55" s="204"/>
      <c r="AC55" s="205"/>
      <c r="AD55" s="204"/>
      <c r="AE55" s="204"/>
      <c r="AF55" s="204"/>
      <c r="AG55" s="204"/>
      <c r="AH55" s="205"/>
      <c r="AI55" s="204"/>
      <c r="AJ55" s="204"/>
      <c r="AK55" s="204"/>
      <c r="AL55" s="204"/>
      <c r="AM55" s="205"/>
      <c r="AN55" s="190"/>
      <c r="AO55" s="147"/>
      <c r="AP55" s="147"/>
      <c r="AQ55" s="147"/>
      <c r="AR55" s="147"/>
      <c r="AS55" s="147"/>
      <c r="AT55" s="147"/>
      <c r="AU55" s="147"/>
      <c r="AV55" s="147"/>
      <c r="AW55" s="147"/>
      <c r="AX55" s="147"/>
      <c r="AY55" s="147"/>
      <c r="AZ55" s="147"/>
      <c r="BA55" s="147"/>
    </row>
    <row r="56" spans="1:53" ht="13.5" customHeight="1">
      <c r="A56" s="206"/>
      <c r="B56" s="149" t="s">
        <v>113</v>
      </c>
      <c r="C56" s="163"/>
      <c r="D56" s="163"/>
      <c r="E56" s="176"/>
      <c r="F56" s="176"/>
      <c r="G56" s="176"/>
      <c r="H56" s="176"/>
      <c r="I56" s="163"/>
      <c r="J56" s="176"/>
      <c r="K56" s="176"/>
      <c r="L56" s="176"/>
      <c r="M56" s="176"/>
      <c r="N56" s="163"/>
      <c r="O56" s="176"/>
      <c r="P56" s="176"/>
      <c r="Q56" s="176"/>
      <c r="R56" s="176"/>
      <c r="S56" s="163"/>
      <c r="T56" s="176"/>
      <c r="U56" s="176"/>
      <c r="V56" s="176"/>
      <c r="W56" s="176"/>
      <c r="X56" s="163"/>
      <c r="Y56" s="176"/>
      <c r="Z56" s="176"/>
      <c r="AA56" s="176"/>
      <c r="AB56" s="176"/>
      <c r="AC56" s="163"/>
      <c r="AD56" s="176"/>
      <c r="AE56" s="176"/>
      <c r="AF56" s="176"/>
      <c r="AG56" s="176"/>
      <c r="AH56" s="163"/>
      <c r="AI56" s="176"/>
      <c r="AJ56" s="176"/>
      <c r="AK56" s="176"/>
      <c r="AL56" s="176"/>
      <c r="AM56" s="163"/>
      <c r="AN56" s="207"/>
      <c r="AO56" s="208"/>
      <c r="AP56" s="208"/>
      <c r="AQ56" s="208"/>
      <c r="AR56" s="208"/>
      <c r="AS56" s="208"/>
      <c r="AT56" s="208"/>
      <c r="AU56" s="208"/>
      <c r="AV56" s="208"/>
      <c r="AW56" s="208"/>
      <c r="AX56" s="208"/>
      <c r="AY56" s="208"/>
      <c r="AZ56" s="208"/>
      <c r="BA56" s="208"/>
    </row>
    <row r="57" spans="1:53" ht="13.5" customHeight="1">
      <c r="A57" s="209"/>
      <c r="B57" s="210" t="s">
        <v>114</v>
      </c>
      <c r="C57" s="211">
        <v>46.567999999999998</v>
      </c>
      <c r="D57" s="211">
        <v>82.864000000000004</v>
      </c>
      <c r="E57" s="212">
        <v>30.933</v>
      </c>
      <c r="F57" s="212">
        <v>34.551000000000002</v>
      </c>
      <c r="G57" s="212">
        <v>39.482999999999997</v>
      </c>
      <c r="H57" s="212">
        <v>39.67</v>
      </c>
      <c r="I57" s="151">
        <f>SUM(E57:H57)</f>
        <v>144.637</v>
      </c>
      <c r="J57" s="212">
        <v>39.545000000000002</v>
      </c>
      <c r="K57" s="212">
        <v>45.887</v>
      </c>
      <c r="L57" s="212">
        <v>55.02</v>
      </c>
      <c r="M57" s="212">
        <v>59.186</v>
      </c>
      <c r="N57" s="151">
        <f>+SUM(J57:M57)</f>
        <v>199.63800000000001</v>
      </c>
      <c r="O57" s="212">
        <v>64.591999999999999</v>
      </c>
      <c r="P57" s="212">
        <v>68.638000000000005</v>
      </c>
      <c r="Q57" s="212">
        <v>70.418000000000006</v>
      </c>
      <c r="R57" s="212">
        <v>64.888999999999996</v>
      </c>
      <c r="S57" s="151">
        <f>+SUM(O57:R57)</f>
        <v>268.53700000000003</v>
      </c>
      <c r="T57" s="212">
        <v>68.581999999999994</v>
      </c>
      <c r="U57" s="212">
        <v>78.126000000000005</v>
      </c>
      <c r="V57" s="212">
        <v>82.546999999999997</v>
      </c>
      <c r="W57" s="213">
        <f>W26*W59</f>
        <v>89.109269827672264</v>
      </c>
      <c r="X57" s="151">
        <f>+SUM(T57:W57)</f>
        <v>318.36426982767227</v>
      </c>
      <c r="Y57" s="213">
        <f>Y26*Y59</f>
        <v>86.602225166803549</v>
      </c>
      <c r="Z57" s="213">
        <f>Z26*Z59</f>
        <v>100.17985287920726</v>
      </c>
      <c r="AA57" s="213">
        <f>AA26*AA59</f>
        <v>105.60445801662499</v>
      </c>
      <c r="AB57" s="213">
        <f>AB26*AB59</f>
        <v>115.82647038273959</v>
      </c>
      <c r="AC57" s="151">
        <f>+SUM(Y57:AB57)</f>
        <v>408.21300644537541</v>
      </c>
      <c r="AD57" s="213">
        <f>AD26*AD59</f>
        <v>110.11639911070887</v>
      </c>
      <c r="AE57" s="213">
        <f>AE26*AE59</f>
        <v>127.07566202625594</v>
      </c>
      <c r="AF57" s="213">
        <f>AF26*AF59</f>
        <v>134.08887826710762</v>
      </c>
      <c r="AG57" s="213">
        <f>AG26*AG59</f>
        <v>148.22339610004897</v>
      </c>
      <c r="AH57" s="151">
        <f>+SUM(AD57:AG57)</f>
        <v>519.5043355041214</v>
      </c>
      <c r="AI57" s="213">
        <f>AI26*AI59</f>
        <v>138.03150771695792</v>
      </c>
      <c r="AJ57" s="213">
        <f>AJ26*AJ59</f>
        <v>158.91170243588616</v>
      </c>
      <c r="AK57" s="213">
        <f>AK26*AK59</f>
        <v>167.80965663996156</v>
      </c>
      <c r="AL57" s="213">
        <f>AL26*AL59</f>
        <v>186.81483220137835</v>
      </c>
      <c r="AM57" s="151">
        <f>+SUM(AI57:AL57)</f>
        <v>651.56769899418396</v>
      </c>
      <c r="AN57" s="127">
        <f>(AC57/N57)^0.333-1</f>
        <v>0.26894946802593056</v>
      </c>
      <c r="AO57" s="140"/>
      <c r="AP57" s="140"/>
      <c r="AQ57" s="140"/>
      <c r="AR57" s="140"/>
      <c r="AS57" s="214"/>
      <c r="AT57" s="214"/>
      <c r="AU57" s="214"/>
      <c r="AV57" s="214"/>
      <c r="AW57" s="214"/>
      <c r="AX57" s="214"/>
      <c r="AY57" s="214"/>
      <c r="AZ57" s="214"/>
      <c r="BA57" s="214"/>
    </row>
    <row r="58" spans="1:53" ht="13.5" customHeight="1">
      <c r="A58" s="143"/>
      <c r="B58" s="215" t="s">
        <v>26</v>
      </c>
      <c r="C58" s="145"/>
      <c r="D58" s="145">
        <f>D57/C57-1</f>
        <v>0.7794193437553687</v>
      </c>
      <c r="E58" s="216"/>
      <c r="F58" s="216"/>
      <c r="G58" s="216"/>
      <c r="H58" s="216"/>
      <c r="I58" s="145">
        <f t="shared" ref="I58:AM58" si="43">+I57/D57-1</f>
        <v>0.74547451245414154</v>
      </c>
      <c r="J58" s="216">
        <f t="shared" si="43"/>
        <v>0.27840817250185901</v>
      </c>
      <c r="K58" s="216">
        <f t="shared" si="43"/>
        <v>0.3280947005875372</v>
      </c>
      <c r="L58" s="216">
        <f t="shared" si="43"/>
        <v>0.3935111313729962</v>
      </c>
      <c r="M58" s="216">
        <f t="shared" si="43"/>
        <v>0.4919586589362237</v>
      </c>
      <c r="N58" s="145">
        <f t="shared" si="43"/>
        <v>0.38026922571679456</v>
      </c>
      <c r="O58" s="216">
        <f t="shared" si="43"/>
        <v>0.63337969401947136</v>
      </c>
      <c r="P58" s="216">
        <f t="shared" si="43"/>
        <v>0.49580491206659838</v>
      </c>
      <c r="Q58" s="216">
        <f t="shared" si="43"/>
        <v>0.27986186841148686</v>
      </c>
      <c r="R58" s="216">
        <f t="shared" si="43"/>
        <v>9.6357246646166184E-2</v>
      </c>
      <c r="S58" s="145">
        <f t="shared" si="43"/>
        <v>0.34511966659653992</v>
      </c>
      <c r="T58" s="216">
        <f t="shared" si="43"/>
        <v>6.1772355709685423E-2</v>
      </c>
      <c r="U58" s="216">
        <f t="shared" si="43"/>
        <v>0.13823246598094352</v>
      </c>
      <c r="V58" s="216">
        <f t="shared" si="43"/>
        <v>0.1722428924422732</v>
      </c>
      <c r="W58" s="216">
        <f t="shared" si="43"/>
        <v>0.37325694382210028</v>
      </c>
      <c r="X58" s="145">
        <f t="shared" si="43"/>
        <v>0.18555085454768694</v>
      </c>
      <c r="Y58" s="216">
        <f t="shared" si="43"/>
        <v>0.26275444237268619</v>
      </c>
      <c r="Z58" s="216">
        <f t="shared" si="43"/>
        <v>0.2822857035968469</v>
      </c>
      <c r="AA58" s="216">
        <f t="shared" si="43"/>
        <v>0.27932520887040102</v>
      </c>
      <c r="AB58" s="216">
        <f t="shared" si="43"/>
        <v>0.29982515406910548</v>
      </c>
      <c r="AC58" s="145">
        <f t="shared" si="43"/>
        <v>0.2822199132658243</v>
      </c>
      <c r="AD58" s="216">
        <f t="shared" si="43"/>
        <v>0.27151928138815062</v>
      </c>
      <c r="AE58" s="216">
        <f t="shared" si="43"/>
        <v>0.26847523103750759</v>
      </c>
      <c r="AF58" s="216">
        <f t="shared" si="43"/>
        <v>0.26972744129796511</v>
      </c>
      <c r="AG58" s="216">
        <f t="shared" si="43"/>
        <v>0.27970226158369726</v>
      </c>
      <c r="AH58" s="145">
        <f t="shared" si="43"/>
        <v>0.27263053185846564</v>
      </c>
      <c r="AI58" s="216">
        <f t="shared" si="43"/>
        <v>0.25350546178125333</v>
      </c>
      <c r="AJ58" s="216">
        <f t="shared" si="43"/>
        <v>0.25052822784470208</v>
      </c>
      <c r="AK58" s="216">
        <f t="shared" si="43"/>
        <v>0.25148079996374872</v>
      </c>
      <c r="AL58" s="216">
        <f t="shared" si="43"/>
        <v>0.26035995070090445</v>
      </c>
      <c r="AM58" s="145">
        <f t="shared" si="43"/>
        <v>0.25421032023132151</v>
      </c>
      <c r="AN58" s="217"/>
      <c r="AO58" s="214"/>
      <c r="AP58" s="214"/>
      <c r="AQ58" s="214"/>
      <c r="AR58" s="214"/>
      <c r="AS58" s="214"/>
      <c r="AT58" s="214"/>
      <c r="AU58" s="214"/>
      <c r="AV58" s="214"/>
      <c r="AW58" s="214"/>
      <c r="AX58" s="214"/>
      <c r="AY58" s="214"/>
      <c r="AZ58" s="214"/>
      <c r="BA58" s="147"/>
    </row>
    <row r="59" spans="1:53" ht="13.5" customHeight="1">
      <c r="A59" s="143"/>
      <c r="B59" s="215" t="s">
        <v>115</v>
      </c>
      <c r="C59" s="145">
        <f t="shared" ref="C59:V59" si="44">C57/C26</f>
        <v>0.68860070681828256</v>
      </c>
      <c r="D59" s="145">
        <f t="shared" si="44"/>
        <v>0.51743430912179056</v>
      </c>
      <c r="E59" s="146">
        <f t="shared" si="44"/>
        <v>0.59098985498939638</v>
      </c>
      <c r="F59" s="146">
        <f t="shared" si="44"/>
        <v>0.5168591431306846</v>
      </c>
      <c r="G59" s="146">
        <f t="shared" si="44"/>
        <v>0.52573901464713702</v>
      </c>
      <c r="H59" s="146">
        <f t="shared" si="44"/>
        <v>0.48365662452298813</v>
      </c>
      <c r="I59" s="145">
        <f t="shared" si="44"/>
        <v>0.52345915819188604</v>
      </c>
      <c r="J59" s="146">
        <f t="shared" si="44"/>
        <v>0.44354838709677402</v>
      </c>
      <c r="K59" s="146">
        <f t="shared" si="44"/>
        <v>0.41860062032475837</v>
      </c>
      <c r="L59" s="146">
        <f t="shared" si="44"/>
        <v>0.46686862001374646</v>
      </c>
      <c r="M59" s="146">
        <f t="shared" si="44"/>
        <v>0.43989416259123265</v>
      </c>
      <c r="N59" s="145">
        <f t="shared" si="44"/>
        <v>0.44248854647129354</v>
      </c>
      <c r="O59" s="146">
        <f t="shared" si="44"/>
        <v>0.44194177414388841</v>
      </c>
      <c r="P59" s="146">
        <f t="shared" si="44"/>
        <v>0.40184065242463823</v>
      </c>
      <c r="Q59" s="146">
        <f t="shared" si="44"/>
        <v>0.39610298295055052</v>
      </c>
      <c r="R59" s="146">
        <f t="shared" si="44"/>
        <v>0.33818018834982816</v>
      </c>
      <c r="S59" s="145">
        <f t="shared" si="44"/>
        <v>0.3911010197810138</v>
      </c>
      <c r="T59" s="146">
        <f t="shared" si="44"/>
        <v>0.33655582600502509</v>
      </c>
      <c r="U59" s="146">
        <f t="shared" si="44"/>
        <v>0.32496578803974829</v>
      </c>
      <c r="V59" s="146">
        <f t="shared" si="44"/>
        <v>0.32104964296270933</v>
      </c>
      <c r="W59" s="177">
        <f>CHOOSE(_Switch,W60,W61,W62)</f>
        <v>0.33500000000000002</v>
      </c>
      <c r="X59" s="145">
        <f>X57/X26</f>
        <v>0.32912575371406333</v>
      </c>
      <c r="Y59" s="177">
        <f>CHOOSE(_Switch,Y60,Y61,Y62)</f>
        <v>0.31155582600502507</v>
      </c>
      <c r="Z59" s="177">
        <f>CHOOSE(_Switch,Z60,Z61,Z62)</f>
        <v>0.29996578803974827</v>
      </c>
      <c r="AA59" s="177">
        <f>CHOOSE(_Switch,AA60,AA61,AA62)</f>
        <v>0.2960496429627093</v>
      </c>
      <c r="AB59" s="177">
        <f>CHOOSE(_Switch,AB60,AB61,AB62)</f>
        <v>0.31</v>
      </c>
      <c r="AC59" s="145">
        <f>AC57/AC26</f>
        <v>0.3041182875209128</v>
      </c>
      <c r="AD59" s="177">
        <f>CHOOSE(_Switch,AD60,AD61,AD62)</f>
        <v>0.29155582600502505</v>
      </c>
      <c r="AE59" s="177">
        <f>CHOOSE(_Switch,AE60,AE61,AE62)</f>
        <v>0.27996578803974825</v>
      </c>
      <c r="AF59" s="177">
        <f>CHOOSE(_Switch,AF60,AF61,AF62)</f>
        <v>0.27604964296270929</v>
      </c>
      <c r="AG59" s="177">
        <f>CHOOSE(_Switch,AG60,AG61,AG62)</f>
        <v>0.28999999999999998</v>
      </c>
      <c r="AH59" s="145">
        <f>AH57/AH26</f>
        <v>0.28412441097615043</v>
      </c>
      <c r="AI59" s="177">
        <f>CHOOSE(_Switch,AI60,AI61,AI62)</f>
        <v>0.27405582600502504</v>
      </c>
      <c r="AJ59" s="177">
        <f>CHOOSE(_Switch,AJ60,AJ61,AJ62)</f>
        <v>0.26246578803974824</v>
      </c>
      <c r="AK59" s="177">
        <f>CHOOSE(_Switch,AK60,AK61,AK62)</f>
        <v>0.25854964296270927</v>
      </c>
      <c r="AL59" s="177">
        <f>CHOOSE(_Switch,AL60,AL61,AL62)</f>
        <v>0.27249999999999996</v>
      </c>
      <c r="AM59" s="145">
        <f>AM57/AM26</f>
        <v>0.26662942454654631</v>
      </c>
      <c r="AN59" s="217"/>
      <c r="AO59" s="182"/>
      <c r="AP59" s="159"/>
      <c r="AQ59" s="159"/>
      <c r="AR59" s="159"/>
      <c r="AS59" s="214"/>
      <c r="AT59" s="214"/>
      <c r="AU59" s="214"/>
      <c r="AV59" s="214"/>
      <c r="AW59" s="214"/>
      <c r="AX59" s="214"/>
      <c r="AY59" s="214"/>
      <c r="AZ59" s="214"/>
      <c r="BA59" s="147"/>
    </row>
    <row r="60" spans="1:53" ht="13.5" hidden="1" customHeight="1" outlineLevel="1">
      <c r="A60" s="143"/>
      <c r="B60" s="218" t="s">
        <v>96</v>
      </c>
      <c r="C60" s="219"/>
      <c r="D60" s="219"/>
      <c r="E60" s="220"/>
      <c r="F60" s="220"/>
      <c r="G60" s="220"/>
      <c r="H60" s="220"/>
      <c r="I60" s="219"/>
      <c r="J60" s="220"/>
      <c r="K60" s="220"/>
      <c r="L60" s="220"/>
      <c r="M60" s="220"/>
      <c r="N60" s="219"/>
      <c r="O60" s="220"/>
      <c r="P60" s="220"/>
      <c r="Q60" s="220"/>
      <c r="R60" s="220"/>
      <c r="S60" s="219"/>
      <c r="T60" s="220"/>
      <c r="U60" s="220"/>
      <c r="V60" s="220"/>
      <c r="W60" s="181">
        <f t="shared" ref="W60" si="45">+W61-0.008</f>
        <v>0.32700000000000001</v>
      </c>
      <c r="X60" s="219"/>
      <c r="Y60" s="181">
        <f>+Y61-0.01</f>
        <v>0.30155582600502506</v>
      </c>
      <c r="Z60" s="181">
        <f t="shared" ref="Z60:AB60" si="46">+Z61-0.01</f>
        <v>0.28996578803974826</v>
      </c>
      <c r="AA60" s="181">
        <f t="shared" si="46"/>
        <v>0.28604964296270929</v>
      </c>
      <c r="AB60" s="181">
        <f t="shared" si="46"/>
        <v>0.3</v>
      </c>
      <c r="AC60" s="219"/>
      <c r="AD60" s="181">
        <f>+AD61-0.012</f>
        <v>0.27955582600502504</v>
      </c>
      <c r="AE60" s="181">
        <f t="shared" ref="AE60:AG60" si="47">+AE61-0.012</f>
        <v>0.26796578803974824</v>
      </c>
      <c r="AF60" s="181">
        <f t="shared" si="47"/>
        <v>0.26404964296270927</v>
      </c>
      <c r="AG60" s="181">
        <f t="shared" si="47"/>
        <v>0.27799999999999997</v>
      </c>
      <c r="AH60" s="219"/>
      <c r="AI60" s="181">
        <f>+AI61-0.012</f>
        <v>0.26205582600502503</v>
      </c>
      <c r="AJ60" s="181">
        <f t="shared" ref="AJ60:AL60" si="48">+AJ61-0.012</f>
        <v>0.25046578803974823</v>
      </c>
      <c r="AK60" s="181">
        <f t="shared" si="48"/>
        <v>0.24654964296270926</v>
      </c>
      <c r="AL60" s="181">
        <f t="shared" si="48"/>
        <v>0.26049999999999995</v>
      </c>
      <c r="AM60" s="219"/>
      <c r="AN60" s="190"/>
      <c r="AO60" s="147"/>
      <c r="AP60" s="147"/>
      <c r="AQ60" s="147"/>
      <c r="AR60" s="147"/>
      <c r="AS60" s="147"/>
      <c r="AT60" s="147"/>
      <c r="AU60" s="147"/>
      <c r="AV60" s="147"/>
      <c r="AW60" s="147"/>
      <c r="AX60" s="147"/>
      <c r="AY60" s="147"/>
      <c r="AZ60" s="147"/>
      <c r="BA60" s="147"/>
    </row>
    <row r="61" spans="1:53" ht="13.5" hidden="1" customHeight="1" outlineLevel="1">
      <c r="A61" s="143"/>
      <c r="B61" s="218" t="s">
        <v>97</v>
      </c>
      <c r="C61" s="219"/>
      <c r="D61" s="219"/>
      <c r="E61" s="220"/>
      <c r="F61" s="220"/>
      <c r="G61" s="220"/>
      <c r="H61" s="220"/>
      <c r="I61" s="219"/>
      <c r="J61" s="220"/>
      <c r="K61" s="220"/>
      <c r="L61" s="220"/>
      <c r="M61" s="220"/>
      <c r="N61" s="219"/>
      <c r="O61" s="220"/>
      <c r="P61" s="220"/>
      <c r="Q61" s="220"/>
      <c r="R61" s="220"/>
      <c r="S61" s="219"/>
      <c r="T61" s="220"/>
      <c r="U61" s="220"/>
      <c r="V61" s="220"/>
      <c r="W61" s="181">
        <v>0.33500000000000002</v>
      </c>
      <c r="X61" s="219"/>
      <c r="Y61" s="181">
        <f>T59-0.025</f>
        <v>0.31155582600502507</v>
      </c>
      <c r="Z61" s="181">
        <f t="shared" ref="Z61:AB61" si="49">U59-0.025</f>
        <v>0.29996578803974827</v>
      </c>
      <c r="AA61" s="181">
        <f t="shared" si="49"/>
        <v>0.2960496429627093</v>
      </c>
      <c r="AB61" s="181">
        <f t="shared" si="49"/>
        <v>0.31</v>
      </c>
      <c r="AC61" s="219"/>
      <c r="AD61" s="181">
        <f>Y61-0.02</f>
        <v>0.29155582600502505</v>
      </c>
      <c r="AE61" s="181">
        <f t="shared" ref="AE61:AG61" si="50">Z61-0.02</f>
        <v>0.27996578803974825</v>
      </c>
      <c r="AF61" s="181">
        <f t="shared" si="50"/>
        <v>0.27604964296270929</v>
      </c>
      <c r="AG61" s="181">
        <f t="shared" si="50"/>
        <v>0.28999999999999998</v>
      </c>
      <c r="AH61" s="219"/>
      <c r="AI61" s="181">
        <f>AD61-0.0175</f>
        <v>0.27405582600502504</v>
      </c>
      <c r="AJ61" s="181">
        <f t="shared" ref="AJ61:AL61" si="51">AE61-0.0175</f>
        <v>0.26246578803974824</v>
      </c>
      <c r="AK61" s="181">
        <f t="shared" si="51"/>
        <v>0.25854964296270927</v>
      </c>
      <c r="AL61" s="181">
        <f t="shared" si="51"/>
        <v>0.27249999999999996</v>
      </c>
      <c r="AM61" s="219"/>
      <c r="AN61" s="190"/>
      <c r="AO61" s="147"/>
      <c r="AP61" s="147"/>
      <c r="AQ61" s="147"/>
      <c r="AR61" s="147"/>
      <c r="AS61" s="147"/>
      <c r="AT61" s="147"/>
      <c r="AU61" s="147"/>
      <c r="AV61" s="147"/>
      <c r="AW61" s="147"/>
      <c r="AX61" s="147"/>
      <c r="AY61" s="147"/>
      <c r="AZ61" s="147"/>
      <c r="BA61" s="147"/>
    </row>
    <row r="62" spans="1:53" ht="13.5" hidden="1" customHeight="1" outlineLevel="1">
      <c r="A62" s="143"/>
      <c r="B62" s="218" t="s">
        <v>98</v>
      </c>
      <c r="C62" s="219"/>
      <c r="D62" s="219"/>
      <c r="E62" s="220"/>
      <c r="F62" s="220"/>
      <c r="G62" s="220"/>
      <c r="H62" s="220"/>
      <c r="I62" s="219"/>
      <c r="J62" s="220"/>
      <c r="K62" s="220"/>
      <c r="L62" s="220"/>
      <c r="M62" s="220"/>
      <c r="N62" s="219"/>
      <c r="O62" s="220"/>
      <c r="P62" s="220"/>
      <c r="Q62" s="220"/>
      <c r="R62" s="220"/>
      <c r="S62" s="219"/>
      <c r="T62" s="220"/>
      <c r="U62" s="220"/>
      <c r="V62" s="220"/>
      <c r="W62" s="181">
        <f t="shared" ref="W62" si="52">+W61+0.02</f>
        <v>0.35500000000000004</v>
      </c>
      <c r="X62" s="219"/>
      <c r="Y62" s="181">
        <f>+Y61+0.02</f>
        <v>0.33155582600502509</v>
      </c>
      <c r="Z62" s="181">
        <f t="shared" ref="Z62:AB62" si="53">+Z61+0.02</f>
        <v>0.31996578803974829</v>
      </c>
      <c r="AA62" s="181">
        <f t="shared" si="53"/>
        <v>0.31604964296270932</v>
      </c>
      <c r="AB62" s="181">
        <f t="shared" si="53"/>
        <v>0.33</v>
      </c>
      <c r="AC62" s="219"/>
      <c r="AD62" s="181">
        <f>+AD61+0.02</f>
        <v>0.31155582600502507</v>
      </c>
      <c r="AE62" s="181">
        <f t="shared" ref="AE62:AG62" si="54">+AE61+0.02</f>
        <v>0.29996578803974827</v>
      </c>
      <c r="AF62" s="181">
        <f t="shared" si="54"/>
        <v>0.2960496429627093</v>
      </c>
      <c r="AG62" s="181">
        <f t="shared" si="54"/>
        <v>0.31</v>
      </c>
      <c r="AH62" s="219"/>
      <c r="AI62" s="181">
        <f>+AI61+0.025</f>
        <v>0.29905582600502506</v>
      </c>
      <c r="AJ62" s="181">
        <f t="shared" ref="AJ62:AL62" si="55">+AJ61+0.025</f>
        <v>0.28746578803974826</v>
      </c>
      <c r="AK62" s="181">
        <f t="shared" si="55"/>
        <v>0.28354964296270929</v>
      </c>
      <c r="AL62" s="181">
        <f t="shared" si="55"/>
        <v>0.29749999999999999</v>
      </c>
      <c r="AM62" s="219"/>
      <c r="AN62" s="190"/>
      <c r="AO62" s="147"/>
      <c r="AP62" s="147"/>
      <c r="AQ62" s="147"/>
      <c r="AR62" s="147"/>
      <c r="AS62" s="147"/>
      <c r="AT62" s="147"/>
      <c r="AU62" s="147"/>
      <c r="AV62" s="147"/>
      <c r="AW62" s="147"/>
      <c r="AX62" s="147"/>
      <c r="AY62" s="147"/>
      <c r="AZ62" s="147"/>
      <c r="BA62" s="147"/>
    </row>
    <row r="63" spans="1:53" ht="12.75" customHeight="1" collapsed="1">
      <c r="A63" s="221"/>
      <c r="B63" s="222"/>
      <c r="C63" s="219"/>
      <c r="D63" s="219"/>
      <c r="E63" s="220"/>
      <c r="F63" s="220"/>
      <c r="G63" s="220"/>
      <c r="H63" s="220"/>
      <c r="I63" s="219"/>
      <c r="J63" s="220"/>
      <c r="K63" s="220"/>
      <c r="L63" s="220"/>
      <c r="M63" s="220"/>
      <c r="N63" s="219"/>
      <c r="O63" s="220"/>
      <c r="P63" s="220"/>
      <c r="Q63" s="220"/>
      <c r="R63" s="220"/>
      <c r="S63" s="219"/>
      <c r="T63" s="220"/>
      <c r="U63" s="220"/>
      <c r="V63" s="220"/>
      <c r="W63" s="220"/>
      <c r="X63" s="219"/>
      <c r="Y63" s="220"/>
      <c r="Z63" s="220"/>
      <c r="AA63" s="220"/>
      <c r="AB63" s="220"/>
      <c r="AC63" s="219"/>
      <c r="AD63" s="220"/>
      <c r="AE63" s="220"/>
      <c r="AF63" s="220"/>
      <c r="AG63" s="220"/>
      <c r="AH63" s="219"/>
      <c r="AI63" s="220"/>
      <c r="AJ63" s="220"/>
      <c r="AK63" s="220"/>
      <c r="AL63" s="220"/>
      <c r="AM63" s="219"/>
      <c r="AN63" s="217"/>
      <c r="AO63" s="214"/>
      <c r="AP63" s="214"/>
      <c r="AQ63" s="214"/>
      <c r="AR63" s="214"/>
      <c r="AS63" s="214"/>
      <c r="AT63" s="214"/>
      <c r="AU63" s="214"/>
      <c r="AV63" s="214"/>
      <c r="AW63" s="214"/>
      <c r="AX63" s="214"/>
      <c r="AY63" s="214"/>
      <c r="AZ63" s="214"/>
      <c r="BA63" s="147"/>
    </row>
    <row r="64" spans="1:53" ht="12.75" customHeight="1">
      <c r="A64" s="209"/>
      <c r="B64" s="210" t="s">
        <v>116</v>
      </c>
      <c r="C64" s="211">
        <v>56.648000000000003</v>
      </c>
      <c r="D64" s="211">
        <v>64.162000000000006</v>
      </c>
      <c r="E64" s="223">
        <v>26.07</v>
      </c>
      <c r="F64" s="223">
        <v>29.72</v>
      </c>
      <c r="G64" s="223">
        <v>25.914000000000001</v>
      </c>
      <c r="H64" s="223">
        <v>30.873000000000001</v>
      </c>
      <c r="I64" s="151">
        <f>+SUM(E64:H64)</f>
        <v>112.57700000000001</v>
      </c>
      <c r="J64" s="223">
        <v>36.180999999999997</v>
      </c>
      <c r="K64" s="223">
        <v>31.73</v>
      </c>
      <c r="L64" s="223">
        <v>39.259</v>
      </c>
      <c r="M64" s="223">
        <v>38.448</v>
      </c>
      <c r="N64" s="151">
        <f>+SUM(J64:M64)</f>
        <v>145.61799999999999</v>
      </c>
      <c r="O64" s="223">
        <v>38.496000000000002</v>
      </c>
      <c r="P64" s="223">
        <v>39.22</v>
      </c>
      <c r="Q64" s="223">
        <v>46.753999999999998</v>
      </c>
      <c r="R64" s="223">
        <v>49.405999999999999</v>
      </c>
      <c r="S64" s="151">
        <f>+SUM(O64:R64)</f>
        <v>173.876</v>
      </c>
      <c r="T64" s="223">
        <v>49.9</v>
      </c>
      <c r="U64" s="223">
        <v>59.915999999999997</v>
      </c>
      <c r="V64" s="223">
        <v>66.533000000000001</v>
      </c>
      <c r="W64" s="135">
        <f>W$26*W66</f>
        <v>68.361439837945596</v>
      </c>
      <c r="X64" s="151">
        <f>+SUM(T64:W64)</f>
        <v>244.71043983794559</v>
      </c>
      <c r="Y64" s="135">
        <f>Y$26*Y66</f>
        <v>62.508299811485806</v>
      </c>
      <c r="Z64" s="135">
        <f>Z$26*Z66</f>
        <v>78.223049018910928</v>
      </c>
      <c r="AA64" s="135">
        <f>AA$26*AA66</f>
        <v>86.954423630981864</v>
      </c>
      <c r="AB64" s="135">
        <f>AB$26*AB66</f>
        <v>88.551204776481569</v>
      </c>
      <c r="AC64" s="151">
        <f>+SUM(Y64:AB64)</f>
        <v>316.23697723786017</v>
      </c>
      <c r="AD64" s="135">
        <f>AD$26*AD66</f>
        <v>81.155817727116428</v>
      </c>
      <c r="AE64" s="135">
        <f>AE$26*AE66</f>
        <v>101.77332375039502</v>
      </c>
      <c r="AF64" s="135">
        <f>AF$26*AF66</f>
        <v>113.55017002930154</v>
      </c>
      <c r="AG64" s="135">
        <f>AG$26*AG66</f>
        <v>116.02314108521077</v>
      </c>
      <c r="AH64" s="151">
        <f>+SUM(AD64:AG64)</f>
        <v>412.50245259202381</v>
      </c>
      <c r="AI64" s="135">
        <f>AI$26*AI66</f>
        <v>103.18862397333685</v>
      </c>
      <c r="AJ64" s="135">
        <f>AJ$26*AJ66</f>
        <v>129.70164619603389</v>
      </c>
      <c r="AK64" s="135">
        <f>AK$26*AK66</f>
        <v>145.23390658524758</v>
      </c>
      <c r="AL64" s="135">
        <f>AL$26*AL66</f>
        <v>148.76630674384992</v>
      </c>
      <c r="AM64" s="151">
        <f>+SUM(AI64:AL64)</f>
        <v>526.89048349846826</v>
      </c>
      <c r="AN64" s="127">
        <f>(AC64/N64)^0.333-1</f>
        <v>0.29465364049330645</v>
      </c>
      <c r="AO64" s="224"/>
      <c r="AP64" s="224"/>
      <c r="AQ64" s="224"/>
      <c r="AR64" s="224"/>
      <c r="AS64" s="214"/>
      <c r="AT64" s="214"/>
      <c r="AU64" s="214"/>
      <c r="AV64" s="214"/>
      <c r="AW64" s="214"/>
      <c r="AX64" s="214"/>
      <c r="AY64" s="214"/>
      <c r="AZ64" s="214"/>
      <c r="BA64" s="214"/>
    </row>
    <row r="65" spans="1:53" ht="12.75" customHeight="1">
      <c r="A65" s="143"/>
      <c r="B65" s="215" t="s">
        <v>26</v>
      </c>
      <c r="C65" s="145"/>
      <c r="D65" s="145">
        <f>D64/C64-1</f>
        <v>0.13264369439344725</v>
      </c>
      <c r="E65" s="146"/>
      <c r="F65" s="146"/>
      <c r="G65" s="146"/>
      <c r="H65" s="146"/>
      <c r="I65" s="145">
        <f t="shared" ref="I65:AM65" si="56">+I64/D64-1</f>
        <v>0.75457435865465539</v>
      </c>
      <c r="J65" s="146">
        <f t="shared" si="56"/>
        <v>0.38784042961258147</v>
      </c>
      <c r="K65" s="146">
        <f t="shared" si="56"/>
        <v>6.7631224764468367E-2</v>
      </c>
      <c r="L65" s="146">
        <f t="shared" si="56"/>
        <v>0.51497260168248826</v>
      </c>
      <c r="M65" s="146">
        <f t="shared" si="56"/>
        <v>0.24536002332134865</v>
      </c>
      <c r="N65" s="145">
        <f t="shared" si="56"/>
        <v>0.29349689545821955</v>
      </c>
      <c r="O65" s="146">
        <f t="shared" si="56"/>
        <v>6.3983858931483617E-2</v>
      </c>
      <c r="P65" s="146">
        <f t="shared" si="56"/>
        <v>0.23605420737472427</v>
      </c>
      <c r="Q65" s="146">
        <f t="shared" si="56"/>
        <v>0.1909116380957232</v>
      </c>
      <c r="R65" s="146">
        <f t="shared" si="56"/>
        <v>0.28500832292967115</v>
      </c>
      <c r="S65" s="145">
        <f t="shared" si="56"/>
        <v>0.19405567992967909</v>
      </c>
      <c r="T65" s="146">
        <f t="shared" si="56"/>
        <v>0.29623857024106393</v>
      </c>
      <c r="U65" s="146">
        <f t="shared" si="56"/>
        <v>0.52768995410504838</v>
      </c>
      <c r="V65" s="146">
        <f t="shared" si="56"/>
        <v>0.42304401762416055</v>
      </c>
      <c r="W65" s="146">
        <f t="shared" si="56"/>
        <v>0.38366675784207582</v>
      </c>
      <c r="X65" s="145">
        <f t="shared" si="56"/>
        <v>0.40738480203101979</v>
      </c>
      <c r="Y65" s="146">
        <f t="shared" si="56"/>
        <v>0.25267133890753124</v>
      </c>
      <c r="Z65" s="146">
        <f t="shared" si="56"/>
        <v>0.30554524699430763</v>
      </c>
      <c r="AA65" s="146">
        <f t="shared" si="56"/>
        <v>0.30693676267388903</v>
      </c>
      <c r="AB65" s="146">
        <f t="shared" si="56"/>
        <v>0.29533849764424036</v>
      </c>
      <c r="AC65" s="145">
        <f t="shared" si="56"/>
        <v>0.29229050238838017</v>
      </c>
      <c r="AD65" s="146">
        <f t="shared" si="56"/>
        <v>0.29832067056484179</v>
      </c>
      <c r="AE65" s="146">
        <f t="shared" si="56"/>
        <v>0.30106567088417457</v>
      </c>
      <c r="AF65" s="146">
        <f t="shared" si="56"/>
        <v>0.30585846340822176</v>
      </c>
      <c r="AG65" s="146">
        <f t="shared" si="56"/>
        <v>0.31023786043423218</v>
      </c>
      <c r="AH65" s="145">
        <f t="shared" si="56"/>
        <v>0.30440929519053928</v>
      </c>
      <c r="AI65" s="146">
        <f t="shared" si="56"/>
        <v>0.27148769938225437</v>
      </c>
      <c r="AJ65" s="146">
        <f t="shared" si="56"/>
        <v>0.274416923968551</v>
      </c>
      <c r="AK65" s="146">
        <f t="shared" si="56"/>
        <v>0.2790285258733658</v>
      </c>
      <c r="AL65" s="146">
        <f t="shared" si="56"/>
        <v>0.28221237032870561</v>
      </c>
      <c r="AM65" s="145">
        <f t="shared" si="56"/>
        <v>0.27730266859668173</v>
      </c>
      <c r="AN65" s="217"/>
      <c r="AO65" s="182"/>
      <c r="AP65" s="159"/>
      <c r="AQ65" s="159"/>
      <c r="AR65" s="159"/>
      <c r="AS65" s="214"/>
      <c r="AT65" s="214"/>
      <c r="AU65" s="214"/>
      <c r="AV65" s="214"/>
      <c r="AW65" s="214"/>
      <c r="AX65" s="214"/>
      <c r="AY65" s="214"/>
      <c r="AZ65" s="214"/>
      <c r="BA65" s="147"/>
    </row>
    <row r="66" spans="1:53" ht="12.75" customHeight="1">
      <c r="A66" s="143"/>
      <c r="B66" s="215" t="s">
        <v>115</v>
      </c>
      <c r="C66" s="145">
        <f>C64/C$26</f>
        <v>0.83765359989353361</v>
      </c>
      <c r="D66" s="145">
        <f>D64/D$26</f>
        <v>0.40065191327804994</v>
      </c>
      <c r="E66" s="146">
        <f t="shared" ref="E66:V66" si="57">E64/E$26</f>
        <v>0.49807989912305833</v>
      </c>
      <c r="F66" s="146">
        <v>0.06</v>
      </c>
      <c r="G66" s="146">
        <f t="shared" si="57"/>
        <v>0.34505992010652459</v>
      </c>
      <c r="H66" s="146">
        <f t="shared" si="57"/>
        <v>0.37640360395508476</v>
      </c>
      <c r="I66" s="145">
        <f t="shared" si="57"/>
        <v>0.4074300604393617</v>
      </c>
      <c r="J66" s="146">
        <f t="shared" si="57"/>
        <v>0.4058167706043338</v>
      </c>
      <c r="K66" s="146">
        <f t="shared" si="57"/>
        <v>0.28945447910965161</v>
      </c>
      <c r="L66" s="146">
        <f t="shared" si="57"/>
        <v>0.33312968289930339</v>
      </c>
      <c r="M66" s="146">
        <f t="shared" si="57"/>
        <v>0.28576100367160667</v>
      </c>
      <c r="N66" s="145">
        <f t="shared" si="57"/>
        <v>0.32275567356944479</v>
      </c>
      <c r="O66" s="146">
        <f t="shared" si="57"/>
        <v>0.26339160480312002</v>
      </c>
      <c r="P66" s="146">
        <f t="shared" si="57"/>
        <v>0.22961319368417363</v>
      </c>
      <c r="Q66" s="146">
        <f t="shared" si="57"/>
        <v>0.26299240059175266</v>
      </c>
      <c r="R66" s="146">
        <f t="shared" si="57"/>
        <v>0.25748786983327854</v>
      </c>
      <c r="S66" s="145">
        <f t="shared" si="57"/>
        <v>0.25323542348147016</v>
      </c>
      <c r="T66" s="146">
        <f t="shared" si="57"/>
        <v>0.24487672738693467</v>
      </c>
      <c r="U66" s="146">
        <f t="shared" si="57"/>
        <v>0.2492211319687371</v>
      </c>
      <c r="V66" s="146">
        <f t="shared" si="57"/>
        <v>0.25876647116476598</v>
      </c>
      <c r="W66" s="177">
        <f>CHOOSE(_Switch,W67,W68,W69)</f>
        <v>0.25700000000000001</v>
      </c>
      <c r="X66" s="145">
        <f t="shared" ref="X66" si="58">X64/X$26</f>
        <v>0.25298224576821904</v>
      </c>
      <c r="Y66" s="177">
        <f>CHOOSE(_Switch,Y67,Y68,Y69)</f>
        <v>0.22487672738693468</v>
      </c>
      <c r="Z66" s="177">
        <f>CHOOSE(_Switch,Z67,Z68,Z69)</f>
        <v>0.23422113196873712</v>
      </c>
      <c r="AA66" s="177">
        <f>CHOOSE(_Switch,AA67,AA68,AA69)</f>
        <v>0.24376647116476596</v>
      </c>
      <c r="AB66" s="177">
        <f>CHOOSE(_Switch,AB67,AB68,AB69)</f>
        <v>0.23700000000000002</v>
      </c>
      <c r="AC66" s="145">
        <f t="shared" ref="AC66" si="59">AC64/AC$26</f>
        <v>0.2355962364007558</v>
      </c>
      <c r="AD66" s="177">
        <f>CHOOSE(_Switch,AD67,AD68,AD69)</f>
        <v>0.21487672738693467</v>
      </c>
      <c r="AE66" s="177">
        <f>CHOOSE(_Switch,AE67,AE68,AE69)</f>
        <v>0.22422113196873711</v>
      </c>
      <c r="AF66" s="177">
        <f>CHOOSE(_Switch,AF67,AF68,AF69)</f>
        <v>0.23376647116476595</v>
      </c>
      <c r="AG66" s="177">
        <f>CHOOSE(_Switch,AG67,AG68,AG69)</f>
        <v>0.22700000000000001</v>
      </c>
      <c r="AH66" s="145">
        <f t="shared" ref="AH66" si="60">AH64/AH$26</f>
        <v>0.22560353852522635</v>
      </c>
      <c r="AI66" s="177">
        <f>CHOOSE(_Switch,AI67,AI68,AI69)</f>
        <v>0.20487672738693466</v>
      </c>
      <c r="AJ66" s="177">
        <f>CHOOSE(_Switch,AJ67,AJ68,AJ69)</f>
        <v>0.2142211319687371</v>
      </c>
      <c r="AK66" s="177">
        <f>CHOOSE(_Switch,AK67,AK68,AK69)</f>
        <v>0.22376647116476595</v>
      </c>
      <c r="AL66" s="177">
        <f>CHOOSE(_Switch,AL67,AL68,AL69)</f>
        <v>0.217</v>
      </c>
      <c r="AM66" s="145">
        <f t="shared" ref="AM66" si="61">AM64/AM$26</f>
        <v>0.21560999207160231</v>
      </c>
      <c r="AN66" s="217"/>
      <c r="AO66" s="182"/>
      <c r="AP66" s="159"/>
      <c r="AQ66" s="159"/>
      <c r="AR66" s="159"/>
      <c r="AS66" s="214"/>
      <c r="AT66" s="214"/>
      <c r="AU66" s="214"/>
      <c r="AV66" s="214"/>
      <c r="AW66" s="214"/>
      <c r="AX66" s="214"/>
      <c r="AY66" s="214"/>
      <c r="AZ66" s="214"/>
      <c r="BA66" s="147"/>
    </row>
    <row r="67" spans="1:53" ht="12.75" hidden="1" customHeight="1" outlineLevel="1">
      <c r="A67" s="221"/>
      <c r="B67" s="225" t="s">
        <v>96</v>
      </c>
      <c r="C67" s="219"/>
      <c r="D67" s="219"/>
      <c r="E67" s="220"/>
      <c r="F67" s="220"/>
      <c r="G67" s="220"/>
      <c r="H67" s="220"/>
      <c r="I67" s="219"/>
      <c r="J67" s="220"/>
      <c r="K67" s="220"/>
      <c r="L67" s="220"/>
      <c r="M67" s="220"/>
      <c r="N67" s="219"/>
      <c r="O67" s="220"/>
      <c r="P67" s="220"/>
      <c r="Q67" s="220"/>
      <c r="R67" s="220"/>
      <c r="S67" s="219"/>
      <c r="T67" s="220"/>
      <c r="U67" s="220"/>
      <c r="V67" s="220"/>
      <c r="W67" s="181">
        <f t="shared" ref="W67" si="62">+W68-0.007</f>
        <v>0.25</v>
      </c>
      <c r="X67" s="219"/>
      <c r="Y67" s="181">
        <f>+Y68-0.01</f>
        <v>0.21487672738693467</v>
      </c>
      <c r="Z67" s="181">
        <f t="shared" ref="Z67:AB67" si="63">+Z68-0.01</f>
        <v>0.22422113196873711</v>
      </c>
      <c r="AA67" s="181">
        <f t="shared" si="63"/>
        <v>0.23376647116476595</v>
      </c>
      <c r="AB67" s="181">
        <f t="shared" si="63"/>
        <v>0.22700000000000001</v>
      </c>
      <c r="AC67" s="219"/>
      <c r="AD67" s="181">
        <f>+AD68-0.01</f>
        <v>0.20487672738693466</v>
      </c>
      <c r="AE67" s="181">
        <f t="shared" ref="AE67:AG67" si="64">+AE68-0.01</f>
        <v>0.2142211319687371</v>
      </c>
      <c r="AF67" s="181">
        <f t="shared" si="64"/>
        <v>0.22376647116476595</v>
      </c>
      <c r="AG67" s="181">
        <f t="shared" si="64"/>
        <v>0.217</v>
      </c>
      <c r="AH67" s="219"/>
      <c r="AI67" s="181">
        <f>+AI68-0.01</f>
        <v>0.19487672738693465</v>
      </c>
      <c r="AJ67" s="181">
        <f t="shared" ref="AJ67:AL67" si="65">+AJ68-0.01</f>
        <v>0.20422113196873709</v>
      </c>
      <c r="AK67" s="181">
        <f t="shared" si="65"/>
        <v>0.21376647116476594</v>
      </c>
      <c r="AL67" s="181">
        <f t="shared" si="65"/>
        <v>0.20699999999999999</v>
      </c>
      <c r="AM67" s="219"/>
      <c r="AN67" s="217"/>
      <c r="AO67" s="214"/>
      <c r="AP67" s="214"/>
      <c r="AQ67" s="214"/>
      <c r="AR67" s="214"/>
      <c r="AS67" s="214"/>
      <c r="AT67" s="214"/>
      <c r="AU67" s="214"/>
      <c r="AV67" s="214"/>
      <c r="AW67" s="214"/>
      <c r="AX67" s="214"/>
      <c r="AY67" s="214"/>
      <c r="AZ67" s="214"/>
      <c r="BA67" s="147"/>
    </row>
    <row r="68" spans="1:53" ht="12.75" hidden="1" customHeight="1" outlineLevel="1">
      <c r="A68" s="221"/>
      <c r="B68" s="225" t="s">
        <v>97</v>
      </c>
      <c r="C68" s="219"/>
      <c r="D68" s="219"/>
      <c r="E68" s="220"/>
      <c r="F68" s="220"/>
      <c r="G68" s="220"/>
      <c r="H68" s="220"/>
      <c r="I68" s="219"/>
      <c r="J68" s="220"/>
      <c r="K68" s="220"/>
      <c r="L68" s="220"/>
      <c r="M68" s="220"/>
      <c r="N68" s="219"/>
      <c r="O68" s="220"/>
      <c r="P68" s="220"/>
      <c r="Q68" s="220"/>
      <c r="R68" s="220"/>
      <c r="S68" s="219"/>
      <c r="T68" s="220"/>
      <c r="U68" s="220"/>
      <c r="V68" s="220"/>
      <c r="W68" s="181">
        <v>0.25700000000000001</v>
      </c>
      <c r="X68" s="219"/>
      <c r="Y68" s="181">
        <f>T66-0.02</f>
        <v>0.22487672738693468</v>
      </c>
      <c r="Z68" s="181">
        <f>U66-0.015</f>
        <v>0.23422113196873712</v>
      </c>
      <c r="AA68" s="181">
        <f>V66-0.015</f>
        <v>0.24376647116476596</v>
      </c>
      <c r="AB68" s="181">
        <f t="shared" ref="AB68" si="66">W68-0.02</f>
        <v>0.23700000000000002</v>
      </c>
      <c r="AC68" s="219"/>
      <c r="AD68" s="181">
        <f>Y68-0.01</f>
        <v>0.21487672738693467</v>
      </c>
      <c r="AE68" s="181">
        <f t="shared" ref="AE68:AG68" si="67">Z68-0.01</f>
        <v>0.22422113196873711</v>
      </c>
      <c r="AF68" s="181">
        <f t="shared" si="67"/>
        <v>0.23376647116476595</v>
      </c>
      <c r="AG68" s="181">
        <f t="shared" si="67"/>
        <v>0.22700000000000001</v>
      </c>
      <c r="AH68" s="219"/>
      <c r="AI68" s="181">
        <f>AD68-0.01</f>
        <v>0.20487672738693466</v>
      </c>
      <c r="AJ68" s="181">
        <f t="shared" ref="AJ68:AL68" si="68">AE68-0.01</f>
        <v>0.2142211319687371</v>
      </c>
      <c r="AK68" s="181">
        <f t="shared" si="68"/>
        <v>0.22376647116476595</v>
      </c>
      <c r="AL68" s="181">
        <f t="shared" si="68"/>
        <v>0.217</v>
      </c>
      <c r="AM68" s="219"/>
      <c r="AN68" s="217"/>
      <c r="AO68" s="214"/>
      <c r="AP68" s="214"/>
      <c r="AQ68" s="214"/>
      <c r="AR68" s="214"/>
      <c r="AS68" s="214"/>
      <c r="AT68" s="214"/>
      <c r="AU68" s="214"/>
      <c r="AV68" s="214"/>
      <c r="AW68" s="214"/>
      <c r="AX68" s="214"/>
      <c r="AY68" s="214"/>
      <c r="AZ68" s="214"/>
      <c r="BA68" s="147"/>
    </row>
    <row r="69" spans="1:53" ht="12.75" hidden="1" customHeight="1" outlineLevel="1">
      <c r="A69" s="221"/>
      <c r="B69" s="225" t="s">
        <v>98</v>
      </c>
      <c r="C69" s="219"/>
      <c r="D69" s="219"/>
      <c r="E69" s="220"/>
      <c r="F69" s="220"/>
      <c r="G69" s="220"/>
      <c r="H69" s="220"/>
      <c r="I69" s="219"/>
      <c r="J69" s="220"/>
      <c r="K69" s="220"/>
      <c r="L69" s="220"/>
      <c r="M69" s="220"/>
      <c r="N69" s="219"/>
      <c r="O69" s="220"/>
      <c r="P69" s="220"/>
      <c r="Q69" s="220"/>
      <c r="R69" s="220"/>
      <c r="S69" s="219"/>
      <c r="T69" s="220"/>
      <c r="U69" s="220"/>
      <c r="V69" s="220"/>
      <c r="W69" s="181">
        <f t="shared" ref="W69" si="69">+W68+0.02</f>
        <v>0.27700000000000002</v>
      </c>
      <c r="X69" s="219"/>
      <c r="Y69" s="181">
        <f>+Y68+0.015</f>
        <v>0.23987672738693466</v>
      </c>
      <c r="Z69" s="181">
        <f t="shared" ref="Z69:AB69" si="70">+Z68+0.015</f>
        <v>0.24922113196873713</v>
      </c>
      <c r="AA69" s="181">
        <f t="shared" si="70"/>
        <v>0.25876647116476598</v>
      </c>
      <c r="AB69" s="181">
        <f t="shared" si="70"/>
        <v>0.252</v>
      </c>
      <c r="AC69" s="219"/>
      <c r="AD69" s="181">
        <f>+AD68+0.02</f>
        <v>0.23487672738693466</v>
      </c>
      <c r="AE69" s="181">
        <f t="shared" ref="AE69:AG69" si="71">+AE68+0.02</f>
        <v>0.2442211319687371</v>
      </c>
      <c r="AF69" s="181">
        <f t="shared" si="71"/>
        <v>0.25376647116476597</v>
      </c>
      <c r="AG69" s="181">
        <f t="shared" si="71"/>
        <v>0.247</v>
      </c>
      <c r="AH69" s="219"/>
      <c r="AI69" s="181">
        <f>+AI68+0.02</f>
        <v>0.22487672738693465</v>
      </c>
      <c r="AJ69" s="181">
        <f t="shared" ref="AJ69:AL69" si="72">+AJ68+0.02</f>
        <v>0.23422113196873709</v>
      </c>
      <c r="AK69" s="181">
        <f t="shared" si="72"/>
        <v>0.24376647116476594</v>
      </c>
      <c r="AL69" s="181">
        <f t="shared" si="72"/>
        <v>0.23699999999999999</v>
      </c>
      <c r="AM69" s="219"/>
      <c r="AN69" s="217"/>
      <c r="AO69" s="214"/>
      <c r="AP69" s="214"/>
      <c r="AQ69" s="214"/>
      <c r="AR69" s="214"/>
      <c r="AS69" s="214"/>
      <c r="AT69" s="214"/>
      <c r="AU69" s="214"/>
      <c r="AV69" s="214"/>
      <c r="AW69" s="214"/>
      <c r="AX69" s="214"/>
      <c r="AY69" s="214"/>
      <c r="AZ69" s="214"/>
      <c r="BA69" s="147"/>
    </row>
    <row r="70" spans="1:53" ht="12.75" customHeight="1" collapsed="1">
      <c r="A70" s="221"/>
      <c r="B70" s="222"/>
      <c r="C70" s="219"/>
      <c r="D70" s="219"/>
      <c r="E70" s="220"/>
      <c r="F70" s="220"/>
      <c r="G70" s="220"/>
      <c r="H70" s="220"/>
      <c r="I70" s="219"/>
      <c r="J70" s="220"/>
      <c r="K70" s="220"/>
      <c r="L70" s="220"/>
      <c r="M70" s="220"/>
      <c r="N70" s="219"/>
      <c r="O70" s="220"/>
      <c r="P70" s="220"/>
      <c r="Q70" s="220"/>
      <c r="R70" s="220"/>
      <c r="S70" s="219"/>
      <c r="T70" s="220"/>
      <c r="U70" s="220"/>
      <c r="V70" s="220"/>
      <c r="W70" s="220"/>
      <c r="X70" s="219"/>
      <c r="Y70" s="220"/>
      <c r="Z70" s="220"/>
      <c r="AA70" s="220"/>
      <c r="AB70" s="220"/>
      <c r="AC70" s="219"/>
      <c r="AD70" s="220"/>
      <c r="AE70" s="220"/>
      <c r="AF70" s="220"/>
      <c r="AG70" s="220"/>
      <c r="AH70" s="219"/>
      <c r="AI70" s="220"/>
      <c r="AJ70" s="220"/>
      <c r="AK70" s="220"/>
      <c r="AL70" s="220"/>
      <c r="AM70" s="219"/>
      <c r="AN70" s="217"/>
      <c r="AO70" s="214"/>
      <c r="AP70" s="214"/>
      <c r="AQ70" s="214"/>
      <c r="AR70" s="214"/>
      <c r="AS70" s="214"/>
      <c r="AT70" s="214"/>
      <c r="AU70" s="214"/>
      <c r="AV70" s="214"/>
      <c r="AW70" s="214"/>
      <c r="AX70" s="214"/>
      <c r="AY70" s="214"/>
      <c r="AZ70" s="214"/>
      <c r="BA70" s="147"/>
    </row>
    <row r="71" spans="1:53" ht="12.75" customHeight="1">
      <c r="A71" s="209"/>
      <c r="B71" s="210" t="s">
        <v>117</v>
      </c>
      <c r="C71" s="211">
        <v>36.183999999999997</v>
      </c>
      <c r="D71" s="211">
        <v>68.941999999999993</v>
      </c>
      <c r="E71" s="223">
        <v>23.402000000000001</v>
      </c>
      <c r="F71" s="223">
        <v>20.669</v>
      </c>
      <c r="G71" s="223">
        <v>24.513999999999999</v>
      </c>
      <c r="H71" s="223">
        <v>25.635000000000002</v>
      </c>
      <c r="I71" s="151">
        <f>+SUM(E71:H71)</f>
        <v>94.22</v>
      </c>
      <c r="J71" s="223">
        <v>28.119</v>
      </c>
      <c r="K71" s="223">
        <v>31.803999999999998</v>
      </c>
      <c r="L71" s="223">
        <v>37.82</v>
      </c>
      <c r="M71" s="223">
        <v>45.722999999999999</v>
      </c>
      <c r="N71" s="151">
        <f>+SUM(J71:M71)</f>
        <v>143.46600000000001</v>
      </c>
      <c r="O71" s="223">
        <f>96.107-50</f>
        <v>46.106999999999999</v>
      </c>
      <c r="P71" s="223">
        <f>50.784-0.169+2</f>
        <v>52.615000000000002</v>
      </c>
      <c r="Q71" s="223">
        <v>52.075000000000003</v>
      </c>
      <c r="R71" s="223">
        <f>53.027-0.039</f>
        <v>52.988</v>
      </c>
      <c r="S71" s="151">
        <f>+SUM(O71:R71)</f>
        <v>203.78500000000003</v>
      </c>
      <c r="T71" s="223">
        <v>56.935000000000002</v>
      </c>
      <c r="U71" s="223">
        <f>62.988-0.002</f>
        <v>62.985999999999997</v>
      </c>
      <c r="V71" s="223">
        <f>64.312-0.062</f>
        <v>64.25</v>
      </c>
      <c r="W71" s="135">
        <f t="shared" ref="W71" si="73">W$26*W73</f>
        <v>69.69142893985115</v>
      </c>
      <c r="X71" s="151">
        <f>+SUM(T71:W71)</f>
        <v>253.86242893985116</v>
      </c>
      <c r="Y71" s="135">
        <f t="shared" ref="Y71:AB71" si="74">Y$26*Y73</f>
        <v>67.935104864986087</v>
      </c>
      <c r="Z71" s="135">
        <f t="shared" si="74"/>
        <v>75.80833639137451</v>
      </c>
      <c r="AA71" s="135">
        <f t="shared" si="74"/>
        <v>76.652844996972718</v>
      </c>
      <c r="AB71" s="135">
        <f t="shared" si="74"/>
        <v>84.814867022199635</v>
      </c>
      <c r="AC71" s="151">
        <f>+SUM(Y71:AB71)</f>
        <v>305.21115327553292</v>
      </c>
      <c r="AD71" s="135">
        <f t="shared" ref="AD71:AG71" si="75">AD$26*AD73</f>
        <v>80.975738030569929</v>
      </c>
      <c r="AE71" s="135">
        <f t="shared" si="75"/>
        <v>89.413565721236921</v>
      </c>
      <c r="AF71" s="135">
        <f t="shared" si="75"/>
        <v>89.80746501979236</v>
      </c>
      <c r="AG71" s="135">
        <f t="shared" si="75"/>
        <v>100.68968631624018</v>
      </c>
      <c r="AH71" s="151">
        <f>+SUM(AD71:AG71)</f>
        <v>360.88645508783935</v>
      </c>
      <c r="AI71" s="135">
        <f t="shared" ref="AI71:AL71" si="76">AI$26*AI73</f>
        <v>95.393548783748656</v>
      </c>
      <c r="AJ71" s="135">
        <f t="shared" si="76"/>
        <v>104.13301813139687</v>
      </c>
      <c r="AK71" s="135">
        <f t="shared" si="76"/>
        <v>103.7735638616203</v>
      </c>
      <c r="AL71" s="135">
        <f t="shared" si="76"/>
        <v>117.91615096747553</v>
      </c>
      <c r="AM71" s="151">
        <f>+SUM(AI71:AL71)</f>
        <v>421.21628174424131</v>
      </c>
      <c r="AN71" s="127">
        <f>(AC71/S71)^0.5-1</f>
        <v>0.22381026912839652</v>
      </c>
      <c r="AO71" s="224"/>
      <c r="AP71" s="224"/>
      <c r="AQ71" s="224"/>
      <c r="AR71" s="224"/>
      <c r="AS71" s="214"/>
      <c r="AT71" s="214"/>
      <c r="AU71" s="214"/>
      <c r="AV71" s="214"/>
      <c r="AW71" s="214"/>
      <c r="AX71" s="214"/>
      <c r="AY71" s="214"/>
      <c r="AZ71" s="214"/>
      <c r="BA71" s="214"/>
    </row>
    <row r="72" spans="1:53" ht="12.75" customHeight="1">
      <c r="A72" s="143"/>
      <c r="B72" s="215" t="s">
        <v>26</v>
      </c>
      <c r="C72" s="145"/>
      <c r="D72" s="145">
        <f>D71/C71-1</f>
        <v>0.90531726730046413</v>
      </c>
      <c r="E72" s="146"/>
      <c r="F72" s="146"/>
      <c r="G72" s="146"/>
      <c r="H72" s="146"/>
      <c r="I72" s="145">
        <f t="shared" ref="I72:AM72" si="77">+I71/D71-1</f>
        <v>0.36665602970612987</v>
      </c>
      <c r="J72" s="146">
        <f t="shared" si="77"/>
        <v>0.2015639688915476</v>
      </c>
      <c r="K72" s="146">
        <f t="shared" si="77"/>
        <v>0.53872949828245198</v>
      </c>
      <c r="L72" s="146">
        <f t="shared" si="77"/>
        <v>0.54279187403116591</v>
      </c>
      <c r="M72" s="146">
        <f t="shared" si="77"/>
        <v>0.78361614979520167</v>
      </c>
      <c r="N72" s="145">
        <f t="shared" si="77"/>
        <v>0.52267034599872653</v>
      </c>
      <c r="O72" s="146">
        <f t="shared" si="77"/>
        <v>0.63970980475834849</v>
      </c>
      <c r="P72" s="146">
        <f t="shared" si="77"/>
        <v>0.65435165388001515</v>
      </c>
      <c r="Q72" s="146">
        <f t="shared" si="77"/>
        <v>0.37691697514542577</v>
      </c>
      <c r="R72" s="146">
        <f t="shared" si="77"/>
        <v>0.15889158629136313</v>
      </c>
      <c r="S72" s="145">
        <f t="shared" si="77"/>
        <v>0.42044108011654346</v>
      </c>
      <c r="T72" s="146">
        <f t="shared" si="77"/>
        <v>0.2348450343765589</v>
      </c>
      <c r="U72" s="146">
        <f t="shared" si="77"/>
        <v>0.1971110899933477</v>
      </c>
      <c r="V72" s="146">
        <f t="shared" si="77"/>
        <v>0.23379740758521361</v>
      </c>
      <c r="W72" s="146">
        <f t="shared" si="77"/>
        <v>0.31523040952387626</v>
      </c>
      <c r="X72" s="145">
        <f t="shared" si="77"/>
        <v>0.2457365799241904</v>
      </c>
      <c r="Y72" s="146">
        <f t="shared" si="77"/>
        <v>0.19320461693134416</v>
      </c>
      <c r="Z72" s="146">
        <f t="shared" si="77"/>
        <v>0.20357438782228621</v>
      </c>
      <c r="AA72" s="146">
        <f t="shared" si="77"/>
        <v>0.19304038905794108</v>
      </c>
      <c r="AB72" s="146">
        <f t="shared" si="77"/>
        <v>0.21700571092323462</v>
      </c>
      <c r="AC72" s="145">
        <f t="shared" si="77"/>
        <v>0.20226988511107358</v>
      </c>
      <c r="AD72" s="146">
        <f t="shared" si="77"/>
        <v>0.19195720962675678</v>
      </c>
      <c r="AE72" s="146">
        <f t="shared" si="77"/>
        <v>0.17946877582991538</v>
      </c>
      <c r="AF72" s="146">
        <f t="shared" si="77"/>
        <v>0.17161293913277675</v>
      </c>
      <c r="AG72" s="146">
        <f t="shared" si="77"/>
        <v>0.18717024327687071</v>
      </c>
      <c r="AH72" s="145">
        <f t="shared" si="77"/>
        <v>0.18241568571396516</v>
      </c>
      <c r="AI72" s="146">
        <f t="shared" si="77"/>
        <v>0.17805099532079249</v>
      </c>
      <c r="AJ72" s="146">
        <f t="shared" si="77"/>
        <v>0.16462213861429609</v>
      </c>
      <c r="AK72" s="146">
        <f t="shared" si="77"/>
        <v>0.15551155840719932</v>
      </c>
      <c r="AL72" s="146">
        <f t="shared" si="77"/>
        <v>0.17108469875585364</v>
      </c>
      <c r="AM72" s="145">
        <f t="shared" si="77"/>
        <v>0.16717121356554587</v>
      </c>
      <c r="AN72" s="217"/>
      <c r="AO72" s="214"/>
      <c r="AP72" s="214"/>
      <c r="AQ72" s="214"/>
      <c r="AR72" s="214"/>
      <c r="AS72" s="214"/>
      <c r="AT72" s="214"/>
      <c r="AU72" s="214"/>
      <c r="AV72" s="214"/>
      <c r="AW72" s="214"/>
      <c r="AX72" s="214"/>
      <c r="AY72" s="214"/>
      <c r="AZ72" s="214"/>
      <c r="BA72" s="147"/>
    </row>
    <row r="73" spans="1:53" ht="12.75" customHeight="1">
      <c r="A73" s="143"/>
      <c r="B73" s="215" t="s">
        <v>115</v>
      </c>
      <c r="C73" s="145">
        <f>C71/C$26</f>
        <v>0.53505256776139698</v>
      </c>
      <c r="D73" s="145">
        <f>D71/D$26</f>
        <v>0.43050004995504054</v>
      </c>
      <c r="E73" s="146">
        <f t="shared" ref="E73:V73" si="78">E71/E$26</f>
        <v>0.44710647484763372</v>
      </c>
      <c r="F73" s="146">
        <f t="shared" si="78"/>
        <v>0.30919399234083295</v>
      </c>
      <c r="G73" s="146">
        <f t="shared" si="78"/>
        <v>0.32641810918774961</v>
      </c>
      <c r="H73" s="146">
        <f t="shared" si="78"/>
        <v>0.31254190999865894</v>
      </c>
      <c r="I73" s="145">
        <f t="shared" si="78"/>
        <v>0.34099381129890349</v>
      </c>
      <c r="J73" s="146">
        <f t="shared" si="78"/>
        <v>0.31539100004486503</v>
      </c>
      <c r="K73" s="146">
        <f t="shared" si="78"/>
        <v>0.29012953840540051</v>
      </c>
      <c r="L73" s="146">
        <f t="shared" si="78"/>
        <v>0.32091914229225538</v>
      </c>
      <c r="M73" s="146">
        <f t="shared" si="78"/>
        <v>0.33983173041190368</v>
      </c>
      <c r="N73" s="145">
        <f t="shared" si="78"/>
        <v>0.31798586345310315</v>
      </c>
      <c r="O73" s="146">
        <f t="shared" si="78"/>
        <v>0.31546645684376179</v>
      </c>
      <c r="P73" s="146">
        <f t="shared" si="78"/>
        <v>0.30803411998196828</v>
      </c>
      <c r="Q73" s="146">
        <f t="shared" si="78"/>
        <v>0.29292315653880996</v>
      </c>
      <c r="R73" s="146">
        <f t="shared" si="78"/>
        <v>0.27615607915487517</v>
      </c>
      <c r="S73" s="145">
        <f t="shared" si="78"/>
        <v>0.29679530685184502</v>
      </c>
      <c r="T73" s="146">
        <f t="shared" si="78"/>
        <v>0.27939992933417085</v>
      </c>
      <c r="U73" s="146">
        <f t="shared" si="78"/>
        <v>0.26199082412348745</v>
      </c>
      <c r="V73" s="146">
        <f t="shared" si="78"/>
        <v>0.2498872104419794</v>
      </c>
      <c r="W73" s="177">
        <f>CHOOSE(_Switch,W74,W75,W76)</f>
        <v>0.26200000000000001</v>
      </c>
      <c r="X73" s="145">
        <f t="shared" ref="X73" si="79">X71/X$26</f>
        <v>0.26244359428191383</v>
      </c>
      <c r="Y73" s="177">
        <f>CHOOSE(_Switch,Y74,Y75,Y76)</f>
        <v>0.24439992933417085</v>
      </c>
      <c r="Z73" s="177">
        <f>CHOOSE(_Switch,Z74,Z75,Z76)</f>
        <v>0.22699082412348745</v>
      </c>
      <c r="AA73" s="177">
        <f>CHOOSE(_Switch,AA74,AA75,AA76)</f>
        <v>0.21488721044197939</v>
      </c>
      <c r="AB73" s="177">
        <f>CHOOSE(_Switch,AB74,AB75,AB76)</f>
        <v>0.22700000000000001</v>
      </c>
      <c r="AC73" s="145">
        <f t="shared" ref="AC73" si="80">AC71/AC$26</f>
        <v>0.22738200841441966</v>
      </c>
      <c r="AD73" s="177">
        <f>CHOOSE(_Switch,AD74,AD75,AD76)</f>
        <v>0.21439992933417085</v>
      </c>
      <c r="AE73" s="177">
        <f>CHOOSE(_Switch,AE74,AE75,AE76)</f>
        <v>0.19699082412348745</v>
      </c>
      <c r="AF73" s="177">
        <f>CHOOSE(_Switch,AF74,AF75,AF76)</f>
        <v>0.18488721044197939</v>
      </c>
      <c r="AG73" s="177">
        <f>CHOOSE(_Switch,AG74,AG75,AG76)</f>
        <v>0.19700000000000001</v>
      </c>
      <c r="AH73" s="145">
        <f t="shared" ref="AH73" si="81">AH71/AH$26</f>
        <v>0.19737400532298321</v>
      </c>
      <c r="AI73" s="177">
        <f>CHOOSE(_Switch,AI74,AI75,AI76)</f>
        <v>0.18939992933417085</v>
      </c>
      <c r="AJ73" s="177">
        <f>CHOOSE(_Switch,AJ74,AJ75,AJ76)</f>
        <v>0.17199082412348746</v>
      </c>
      <c r="AK73" s="177">
        <f>CHOOSE(_Switch,AK74,AK75,AK76)</f>
        <v>0.1598872104419794</v>
      </c>
      <c r="AL73" s="177">
        <f>CHOOSE(_Switch,AL74,AL75,AL76)</f>
        <v>0.17200000000000001</v>
      </c>
      <c r="AM73" s="145">
        <f t="shared" ref="AM73" si="82">AM71/AM$26</f>
        <v>0.17236682386875884</v>
      </c>
      <c r="AN73" s="217"/>
      <c r="AO73" s="182"/>
      <c r="AP73" s="159"/>
      <c r="AQ73" s="159"/>
      <c r="AR73" s="159"/>
      <c r="AS73" s="214"/>
      <c r="AT73" s="214"/>
      <c r="AU73" s="214"/>
      <c r="AV73" s="214"/>
      <c r="AW73" s="214"/>
      <c r="AX73" s="214"/>
      <c r="AY73" s="214"/>
      <c r="AZ73" s="214"/>
      <c r="BA73" s="147"/>
    </row>
    <row r="74" spans="1:53" ht="12.75" hidden="1" customHeight="1" outlineLevel="1">
      <c r="A74" s="221"/>
      <c r="B74" s="225" t="s">
        <v>96</v>
      </c>
      <c r="C74" s="219"/>
      <c r="D74" s="219"/>
      <c r="E74" s="220"/>
      <c r="F74" s="220"/>
      <c r="G74" s="220"/>
      <c r="H74" s="220"/>
      <c r="I74" s="219"/>
      <c r="J74" s="220"/>
      <c r="K74" s="220"/>
      <c r="L74" s="220"/>
      <c r="M74" s="220"/>
      <c r="N74" s="219"/>
      <c r="O74" s="220"/>
      <c r="P74" s="220"/>
      <c r="Q74" s="220"/>
      <c r="R74" s="220"/>
      <c r="S74" s="219"/>
      <c r="T74" s="220"/>
      <c r="U74" s="220"/>
      <c r="V74" s="220"/>
      <c r="W74" s="181">
        <f t="shared" ref="W74" si="83">+W75-0.007</f>
        <v>0.255</v>
      </c>
      <c r="X74" s="219"/>
      <c r="Y74" s="181">
        <f>+Y75-0.008</f>
        <v>0.23639992933417084</v>
      </c>
      <c r="Z74" s="181">
        <f t="shared" ref="Z74:AB74" si="84">+Z75-0.008</f>
        <v>0.21899082412348744</v>
      </c>
      <c r="AA74" s="181">
        <f t="shared" si="84"/>
        <v>0.20688721044197939</v>
      </c>
      <c r="AB74" s="181">
        <f t="shared" si="84"/>
        <v>0.219</v>
      </c>
      <c r="AC74" s="219"/>
      <c r="AD74" s="181">
        <f>+AD75-0.008</f>
        <v>0.20639992933417084</v>
      </c>
      <c r="AE74" s="181">
        <f t="shared" ref="AE74:AG74" si="85">+AE75-0.008</f>
        <v>0.18899082412348744</v>
      </c>
      <c r="AF74" s="181">
        <f t="shared" si="85"/>
        <v>0.17688721044197939</v>
      </c>
      <c r="AG74" s="181">
        <f t="shared" si="85"/>
        <v>0.189</v>
      </c>
      <c r="AH74" s="219"/>
      <c r="AI74" s="181">
        <f>+AI75-0.008</f>
        <v>0.18139992933417085</v>
      </c>
      <c r="AJ74" s="181">
        <f t="shared" ref="AJ74:AL74" si="86">+AJ75-0.008</f>
        <v>0.16399082412348745</v>
      </c>
      <c r="AK74" s="181">
        <f t="shared" si="86"/>
        <v>0.15188721044197939</v>
      </c>
      <c r="AL74" s="181">
        <f t="shared" si="86"/>
        <v>0.16400000000000001</v>
      </c>
      <c r="AM74" s="219"/>
      <c r="AN74" s="217"/>
      <c r="AO74" s="214"/>
      <c r="AP74" s="214"/>
      <c r="AQ74" s="214"/>
      <c r="AR74" s="214"/>
      <c r="AS74" s="214"/>
      <c r="AT74" s="214"/>
      <c r="AU74" s="214"/>
      <c r="AV74" s="214"/>
      <c r="AW74" s="214"/>
      <c r="AX74" s="214"/>
      <c r="AY74" s="214"/>
      <c r="AZ74" s="214"/>
      <c r="BA74" s="147"/>
    </row>
    <row r="75" spans="1:53" ht="12.75" hidden="1" customHeight="1" outlineLevel="1">
      <c r="A75" s="221"/>
      <c r="B75" s="225" t="s">
        <v>97</v>
      </c>
      <c r="C75" s="219"/>
      <c r="D75" s="219"/>
      <c r="E75" s="220"/>
      <c r="F75" s="220"/>
      <c r="G75" s="220"/>
      <c r="H75" s="220"/>
      <c r="I75" s="219"/>
      <c r="J75" s="220"/>
      <c r="K75" s="220"/>
      <c r="L75" s="220"/>
      <c r="M75" s="220"/>
      <c r="N75" s="219"/>
      <c r="O75" s="220"/>
      <c r="P75" s="220"/>
      <c r="Q75" s="220"/>
      <c r="R75" s="220"/>
      <c r="S75" s="219"/>
      <c r="T75" s="220"/>
      <c r="U75" s="220"/>
      <c r="V75" s="220"/>
      <c r="W75" s="181">
        <v>0.26200000000000001</v>
      </c>
      <c r="X75" s="219"/>
      <c r="Y75" s="181">
        <f>T73-0.035</f>
        <v>0.24439992933417085</v>
      </c>
      <c r="Z75" s="181">
        <f t="shared" ref="Z75:AB75" si="87">U73-0.035</f>
        <v>0.22699082412348745</v>
      </c>
      <c r="AA75" s="181">
        <f t="shared" si="87"/>
        <v>0.21488721044197939</v>
      </c>
      <c r="AB75" s="181">
        <f t="shared" si="87"/>
        <v>0.22700000000000001</v>
      </c>
      <c r="AC75" s="219"/>
      <c r="AD75" s="181">
        <f>Y75-0.03</f>
        <v>0.21439992933417085</v>
      </c>
      <c r="AE75" s="181">
        <f t="shared" ref="AE75:AG75" si="88">Z75-0.03</f>
        <v>0.19699082412348745</v>
      </c>
      <c r="AF75" s="181">
        <f t="shared" si="88"/>
        <v>0.18488721044197939</v>
      </c>
      <c r="AG75" s="181">
        <f t="shared" si="88"/>
        <v>0.19700000000000001</v>
      </c>
      <c r="AH75" s="219"/>
      <c r="AI75" s="181">
        <f>AD75-0.025</f>
        <v>0.18939992933417085</v>
      </c>
      <c r="AJ75" s="181">
        <f t="shared" ref="AJ75:AL75" si="89">AE75-0.025</f>
        <v>0.17199082412348746</v>
      </c>
      <c r="AK75" s="181">
        <f t="shared" si="89"/>
        <v>0.1598872104419794</v>
      </c>
      <c r="AL75" s="181">
        <f t="shared" si="89"/>
        <v>0.17200000000000001</v>
      </c>
      <c r="AM75" s="219"/>
      <c r="AN75" s="217"/>
      <c r="AO75" s="214"/>
      <c r="AP75" s="214"/>
      <c r="AQ75" s="214"/>
      <c r="AR75" s="214"/>
      <c r="AS75" s="214"/>
      <c r="AT75" s="214"/>
      <c r="AU75" s="214"/>
      <c r="AV75" s="214"/>
      <c r="AW75" s="214"/>
      <c r="AX75" s="214"/>
      <c r="AY75" s="214"/>
      <c r="AZ75" s="214"/>
      <c r="BA75" s="147"/>
    </row>
    <row r="76" spans="1:53" ht="12.75" hidden="1" customHeight="1" outlineLevel="1">
      <c r="A76" s="221"/>
      <c r="B76" s="225" t="s">
        <v>98</v>
      </c>
      <c r="C76" s="219"/>
      <c r="D76" s="219"/>
      <c r="E76" s="220"/>
      <c r="F76" s="220"/>
      <c r="G76" s="220"/>
      <c r="H76" s="220"/>
      <c r="I76" s="219"/>
      <c r="J76" s="220"/>
      <c r="K76" s="220"/>
      <c r="L76" s="220"/>
      <c r="M76" s="220"/>
      <c r="N76" s="219"/>
      <c r="O76" s="220"/>
      <c r="P76" s="220"/>
      <c r="Q76" s="220"/>
      <c r="R76" s="220"/>
      <c r="S76" s="219"/>
      <c r="T76" s="220"/>
      <c r="U76" s="220"/>
      <c r="V76" s="220"/>
      <c r="W76" s="181">
        <f>+W75+0.015</f>
        <v>0.27700000000000002</v>
      </c>
      <c r="X76" s="219"/>
      <c r="Y76" s="181">
        <f>+Y75+0.015</f>
        <v>0.25939992933417083</v>
      </c>
      <c r="Z76" s="181">
        <f t="shared" ref="Z76:AB76" si="90">+Z75+0.015</f>
        <v>0.24199082412348744</v>
      </c>
      <c r="AA76" s="181">
        <f t="shared" si="90"/>
        <v>0.22988721044197941</v>
      </c>
      <c r="AB76" s="181">
        <f t="shared" si="90"/>
        <v>0.24199999999999999</v>
      </c>
      <c r="AC76" s="219"/>
      <c r="AD76" s="181">
        <f>+AD75+0.02</f>
        <v>0.23439992933417084</v>
      </c>
      <c r="AE76" s="181">
        <f t="shared" ref="AE76:AG76" si="91">+AE75+0.02</f>
        <v>0.21699082412348744</v>
      </c>
      <c r="AF76" s="181">
        <f t="shared" si="91"/>
        <v>0.20488721044197938</v>
      </c>
      <c r="AG76" s="181">
        <f t="shared" si="91"/>
        <v>0.217</v>
      </c>
      <c r="AH76" s="219"/>
      <c r="AI76" s="181">
        <f>+AI75+0.025</f>
        <v>0.21439992933417085</v>
      </c>
      <c r="AJ76" s="181">
        <f t="shared" ref="AJ76:AL76" si="92">+AJ75+0.025</f>
        <v>0.19699082412348745</v>
      </c>
      <c r="AK76" s="181">
        <f t="shared" si="92"/>
        <v>0.18488721044197939</v>
      </c>
      <c r="AL76" s="181">
        <f t="shared" si="92"/>
        <v>0.19700000000000001</v>
      </c>
      <c r="AM76" s="219"/>
      <c r="AN76" s="217"/>
      <c r="AO76" s="214"/>
      <c r="AP76" s="214"/>
      <c r="AQ76" s="214"/>
      <c r="AR76" s="214"/>
      <c r="AS76" s="214"/>
      <c r="AT76" s="214"/>
      <c r="AU76" s="214"/>
      <c r="AV76" s="214"/>
      <c r="AW76" s="214"/>
      <c r="AX76" s="214"/>
      <c r="AY76" s="214"/>
      <c r="AZ76" s="214"/>
      <c r="BA76" s="147"/>
    </row>
    <row r="77" spans="1:53" ht="12.75" customHeight="1" collapsed="1">
      <c r="A77" s="221"/>
      <c r="B77" s="222"/>
      <c r="C77" s="219"/>
      <c r="D77" s="219"/>
      <c r="E77" s="220"/>
      <c r="F77" s="220"/>
      <c r="G77" s="220"/>
      <c r="H77" s="220"/>
      <c r="I77" s="219"/>
      <c r="J77" s="220"/>
      <c r="K77" s="220"/>
      <c r="L77" s="220"/>
      <c r="M77" s="220"/>
      <c r="N77" s="219"/>
      <c r="O77" s="220"/>
      <c r="P77" s="220"/>
      <c r="Q77" s="220"/>
      <c r="R77" s="220"/>
      <c r="S77" s="219"/>
      <c r="T77" s="220"/>
      <c r="U77" s="220"/>
      <c r="V77" s="220"/>
      <c r="W77" s="220"/>
      <c r="X77" s="219"/>
      <c r="Y77" s="220"/>
      <c r="Z77" s="220"/>
      <c r="AA77" s="220"/>
      <c r="AB77" s="220"/>
      <c r="AC77" s="219"/>
      <c r="AD77" s="220"/>
      <c r="AE77" s="220"/>
      <c r="AF77" s="220"/>
      <c r="AG77" s="220"/>
      <c r="AH77" s="219"/>
      <c r="AI77" s="220"/>
      <c r="AJ77" s="220"/>
      <c r="AK77" s="220"/>
      <c r="AL77" s="220"/>
      <c r="AM77" s="219"/>
      <c r="AN77" s="217"/>
      <c r="AO77" s="214"/>
      <c r="AP77" s="214"/>
      <c r="AQ77" s="214"/>
      <c r="AR77" s="214"/>
      <c r="AS77" s="214"/>
      <c r="AT77" s="214"/>
      <c r="AU77" s="214"/>
      <c r="AV77" s="214"/>
      <c r="AW77" s="214"/>
      <c r="AX77" s="214"/>
      <c r="AY77" s="214"/>
      <c r="AZ77" s="214"/>
      <c r="BA77" s="147"/>
    </row>
    <row r="78" spans="1:53" ht="12.75" customHeight="1">
      <c r="A78" s="209"/>
      <c r="B78" s="210" t="s">
        <v>118</v>
      </c>
      <c r="C78" s="211">
        <v>10.512</v>
      </c>
      <c r="D78" s="211">
        <v>15.329000000000001</v>
      </c>
      <c r="E78" s="223">
        <v>6.1280000000000001</v>
      </c>
      <c r="F78" s="223">
        <v>4.84</v>
      </c>
      <c r="G78" s="223">
        <v>6.8579999999999997</v>
      </c>
      <c r="H78" s="223">
        <v>6.2549999999999999</v>
      </c>
      <c r="I78" s="151">
        <f>+SUM(E78:H78)</f>
        <v>24.081</v>
      </c>
      <c r="J78" s="223">
        <v>16.321999999999999</v>
      </c>
      <c r="K78" s="223">
        <v>8.5129999999999999</v>
      </c>
      <c r="L78" s="223">
        <v>16.004999999999999</v>
      </c>
      <c r="M78" s="223">
        <v>13.169</v>
      </c>
      <c r="N78" s="151">
        <f>+SUM(J78:M78)</f>
        <v>54.009</v>
      </c>
      <c r="O78" s="223">
        <v>7.8609999999999998</v>
      </c>
      <c r="P78" s="223">
        <v>17.454999999999998</v>
      </c>
      <c r="Q78" s="223">
        <v>12.885</v>
      </c>
      <c r="R78" s="223">
        <v>13.034000000000001</v>
      </c>
      <c r="S78" s="151">
        <f>+SUM(O78:R78)</f>
        <v>51.234999999999999</v>
      </c>
      <c r="T78" s="223">
        <v>11.891</v>
      </c>
      <c r="U78" s="223">
        <v>18.401</v>
      </c>
      <c r="V78" s="223">
        <v>19.893000000000001</v>
      </c>
      <c r="W78" s="135">
        <f>W80*'Segment Detail'!W10</f>
        <v>20.13418517600368</v>
      </c>
      <c r="X78" s="151">
        <f>+SUM(T78:W78)</f>
        <v>70.319185176003685</v>
      </c>
      <c r="Y78" s="135">
        <f>Y80*'Segment Detail'!Y10</f>
        <v>19.365093000000002</v>
      </c>
      <c r="Z78" s="135">
        <f>Z80*'Segment Detail'!Z10</f>
        <v>23.301399</v>
      </c>
      <c r="AA78" s="135">
        <f>AA80*'Segment Detail'!AA10</f>
        <v>24.670734000000003</v>
      </c>
      <c r="AB78" s="135">
        <f>AB80*'Segment Detail'!AB10</f>
        <v>24.96984501</v>
      </c>
      <c r="AC78" s="151">
        <f>+SUM(Y78:AB78)</f>
        <v>92.307071010000016</v>
      </c>
      <c r="AD78" s="135">
        <f>AD80*'Segment Detail'!AD10</f>
        <v>22.533926400000002</v>
      </c>
      <c r="AE78" s="135">
        <f>AE80*'Segment Detail'!AE10</f>
        <v>27.114355200000002</v>
      </c>
      <c r="AF78" s="135">
        <f>AF80*'Segment Detail'!AF10</f>
        <v>28.707763200000006</v>
      </c>
      <c r="AG78" s="135">
        <f>AG80*'Segment Detail'!AG10</f>
        <v>29.055819647999996</v>
      </c>
      <c r="AH78" s="151">
        <f>+SUM(AD78:AG78)</f>
        <v>107.411864448</v>
      </c>
      <c r="AI78" s="135">
        <f>AI80*'Segment Detail'!AI10</f>
        <v>28.392747264</v>
      </c>
      <c r="AJ78" s="135">
        <f>AJ80*'Segment Detail'!AJ10</f>
        <v>34.164087552000005</v>
      </c>
      <c r="AK78" s="135">
        <f>AK80*'Segment Detail'!AK10</f>
        <v>36.171781632000005</v>
      </c>
      <c r="AL78" s="135">
        <f>AL80*'Segment Detail'!AL10</f>
        <v>36.610332756479998</v>
      </c>
      <c r="AM78" s="151">
        <f>+SUM(AI78:AL78)</f>
        <v>135.33894920448</v>
      </c>
      <c r="AN78" s="127">
        <f>(AC78/N78)^0.333-1</f>
        <v>0.19539661540941378</v>
      </c>
      <c r="AO78" s="214"/>
      <c r="AP78" s="214"/>
      <c r="AQ78" s="214"/>
      <c r="AR78" s="214"/>
      <c r="AS78" s="214"/>
      <c r="AT78" s="214"/>
      <c r="AU78" s="214"/>
      <c r="AV78" s="214"/>
      <c r="AW78" s="214"/>
      <c r="AX78" s="214"/>
      <c r="AY78" s="214"/>
      <c r="AZ78" s="214"/>
      <c r="BA78" s="214"/>
    </row>
    <row r="79" spans="1:53" ht="12.75" customHeight="1">
      <c r="A79" s="143"/>
      <c r="B79" s="215" t="s">
        <v>26</v>
      </c>
      <c r="C79" s="145"/>
      <c r="D79" s="145">
        <f>D78/C78-1</f>
        <v>0.45823820395738202</v>
      </c>
      <c r="E79" s="146"/>
      <c r="F79" s="146"/>
      <c r="G79" s="146"/>
      <c r="H79" s="146"/>
      <c r="I79" s="145">
        <f t="shared" ref="I79:AM79" si="93">+I78/D78-1</f>
        <v>0.57094396242416323</v>
      </c>
      <c r="J79" s="146">
        <f t="shared" si="93"/>
        <v>1.6635117493472582</v>
      </c>
      <c r="K79" s="146">
        <f t="shared" si="93"/>
        <v>0.75888429752066111</v>
      </c>
      <c r="L79" s="146">
        <f t="shared" si="93"/>
        <v>1.3337707786526685</v>
      </c>
      <c r="M79" s="146">
        <f t="shared" si="93"/>
        <v>1.1053557154276579</v>
      </c>
      <c r="N79" s="145">
        <f t="shared" si="93"/>
        <v>1.2428055313317552</v>
      </c>
      <c r="O79" s="146">
        <f t="shared" si="93"/>
        <v>-0.51838010047788252</v>
      </c>
      <c r="P79" s="146">
        <f t="shared" si="93"/>
        <v>1.0503935157993656</v>
      </c>
      <c r="Q79" s="146">
        <f t="shared" si="93"/>
        <v>-0.19493908153701967</v>
      </c>
      <c r="R79" s="146">
        <f t="shared" si="93"/>
        <v>-1.0251347862404114E-2</v>
      </c>
      <c r="S79" s="145">
        <f t="shared" si="93"/>
        <v>-5.1361810068692226E-2</v>
      </c>
      <c r="T79" s="146">
        <f t="shared" si="93"/>
        <v>0.51265742271975578</v>
      </c>
      <c r="U79" s="146">
        <f t="shared" si="93"/>
        <v>5.4196505299341169E-2</v>
      </c>
      <c r="V79" s="146">
        <f t="shared" si="93"/>
        <v>0.54388824214202569</v>
      </c>
      <c r="W79" s="146">
        <f t="shared" si="93"/>
        <v>0.5447433770142458</v>
      </c>
      <c r="X79" s="145">
        <f t="shared" si="93"/>
        <v>0.37248336441892627</v>
      </c>
      <c r="Y79" s="146">
        <f t="shared" si="93"/>
        <v>0.62855041628122121</v>
      </c>
      <c r="Z79" s="146">
        <f t="shared" si="93"/>
        <v>0.26631155915439386</v>
      </c>
      <c r="AA79" s="146">
        <f t="shared" si="93"/>
        <v>0.24017161815714072</v>
      </c>
      <c r="AB79" s="146">
        <f t="shared" si="93"/>
        <v>0.24017161815714072</v>
      </c>
      <c r="AC79" s="145">
        <f t="shared" si="93"/>
        <v>0.31268686886746888</v>
      </c>
      <c r="AD79" s="146">
        <f t="shared" si="93"/>
        <v>0.16363636363636358</v>
      </c>
      <c r="AE79" s="146">
        <f t="shared" si="93"/>
        <v>0.1636363636363638</v>
      </c>
      <c r="AF79" s="146">
        <f t="shared" si="93"/>
        <v>0.1636363636363638</v>
      </c>
      <c r="AG79" s="146">
        <f t="shared" si="93"/>
        <v>0.16363636363636358</v>
      </c>
      <c r="AH79" s="145">
        <f t="shared" si="93"/>
        <v>0.16363636363636358</v>
      </c>
      <c r="AI79" s="146">
        <f t="shared" si="93"/>
        <v>0.26</v>
      </c>
      <c r="AJ79" s="146">
        <f t="shared" si="93"/>
        <v>0.26</v>
      </c>
      <c r="AK79" s="146">
        <f t="shared" si="93"/>
        <v>0.26</v>
      </c>
      <c r="AL79" s="146">
        <f t="shared" si="93"/>
        <v>0.26</v>
      </c>
      <c r="AM79" s="145">
        <f t="shared" si="93"/>
        <v>0.26</v>
      </c>
      <c r="AN79" s="217"/>
      <c r="AO79" s="214"/>
      <c r="AP79" s="214"/>
      <c r="AQ79" s="214"/>
      <c r="AR79" s="214"/>
      <c r="AS79" s="214"/>
      <c r="AT79" s="214"/>
      <c r="AU79" s="214"/>
      <c r="AV79" s="214"/>
      <c r="AW79" s="214"/>
      <c r="AX79" s="214"/>
      <c r="AY79" s="214"/>
      <c r="AZ79" s="214"/>
      <c r="BA79" s="147"/>
    </row>
    <row r="80" spans="1:53" ht="12.75" customHeight="1">
      <c r="A80" s="143"/>
      <c r="B80" s="215" t="s">
        <v>95</v>
      </c>
      <c r="C80" s="226">
        <f>C78/'Segment Detail'!C10</f>
        <v>1.6127646517336608E-3</v>
      </c>
      <c r="D80" s="226">
        <f>D78/'Segment Detail'!D10</f>
        <v>1.0344152776840543E-3</v>
      </c>
      <c r="E80" s="227">
        <f>E78/'Segment Detail'!E10</f>
        <v>1.3307274701411509E-3</v>
      </c>
      <c r="F80" s="227">
        <f>F78/'Segment Detail'!F10</f>
        <v>8.3606840559682157E-4</v>
      </c>
      <c r="G80" s="227">
        <f>G78/'Segment Detail'!G10</f>
        <v>1.0665629860031104E-3</v>
      </c>
      <c r="H80" s="227">
        <f>H78/'Segment Detail'!H10</f>
        <v>8.9935298346513297E-4</v>
      </c>
      <c r="I80" s="226">
        <f>I78/'Segment Detail'!I10</f>
        <v>1.0127002817612179E-3</v>
      </c>
      <c r="J80" s="227">
        <f>J78/'Segment Detail'!J10</f>
        <v>2.2937043282743111E-3</v>
      </c>
      <c r="K80" s="227">
        <f>K78/'Segment Detail'!K10</f>
        <v>9.6936916419949892E-4</v>
      </c>
      <c r="L80" s="227">
        <f>L78/'Segment Detail'!L10</f>
        <v>1.6776729559748428E-3</v>
      </c>
      <c r="M80" s="227">
        <f>M78/'Segment Detail'!M10</f>
        <v>1.2919650740704405E-3</v>
      </c>
      <c r="N80" s="226">
        <f>N78/'Segment Detail'!N10</f>
        <v>1.5157868148522355E-3</v>
      </c>
      <c r="O80" s="227">
        <f>O78/'Segment Detail'!O10</f>
        <v>7.6394557823129252E-4</v>
      </c>
      <c r="P80" s="227">
        <f>P78/'Segment Detail'!P10</f>
        <v>1.4018954300859367E-3</v>
      </c>
      <c r="Q80" s="227">
        <f>Q78/'Segment Detail'!Q10</f>
        <v>9.7259963768115939E-4</v>
      </c>
      <c r="R80" s="227">
        <f>R78/'Segment Detail'!R10</f>
        <v>9.5180370965386311E-4</v>
      </c>
      <c r="S80" s="226">
        <f>S78/'Segment Detail'!S10</f>
        <v>1.0312380492321317E-3</v>
      </c>
      <c r="T80" s="227">
        <f>T78/'Segment Detail'!T10</f>
        <v>8.7132703158203264E-4</v>
      </c>
      <c r="U80" s="227">
        <f>U78/'Segment Detail'!U10</f>
        <v>1.1205773095426589E-3</v>
      </c>
      <c r="V80" s="227">
        <f>V78/'Segment Detail'!V10</f>
        <v>1.1441964799263776E-3</v>
      </c>
      <c r="W80" s="228">
        <f>CHOOSE(_Switch,W81,W82,W83)</f>
        <v>1.1441964799263776E-3</v>
      </c>
      <c r="X80" s="226">
        <f>X78/'Segment Detail'!X10</f>
        <v>1.080988949957467E-3</v>
      </c>
      <c r="Y80" s="228">
        <f>CHOOSE(_Switch,Y81,Y82,Y83)</f>
        <v>1.1000000000000001E-3</v>
      </c>
      <c r="Z80" s="228">
        <f>CHOOSE(_Switch,Z81,Z82,Z83)</f>
        <v>1.1000000000000001E-3</v>
      </c>
      <c r="AA80" s="228">
        <f>CHOOSE(_Switch,AA81,AA82,AA83)</f>
        <v>1.1000000000000001E-3</v>
      </c>
      <c r="AB80" s="228">
        <f>CHOOSE(_Switch,AB81,AB82,AB83)</f>
        <v>1.1000000000000001E-3</v>
      </c>
      <c r="AC80" s="226">
        <f>AC78/'Segment Detail'!AC10</f>
        <v>1.1000000000000001E-3</v>
      </c>
      <c r="AD80" s="228">
        <f>CHOOSE(_Switch,AD81,AD82,AD83)</f>
        <v>1E-3</v>
      </c>
      <c r="AE80" s="228">
        <f>CHOOSE(_Switch,AE81,AE82,AE83)</f>
        <v>1E-3</v>
      </c>
      <c r="AF80" s="228">
        <f>CHOOSE(_Switch,AF81,AF82,AF83)</f>
        <v>1E-3</v>
      </c>
      <c r="AG80" s="228">
        <f>CHOOSE(_Switch,AG81,AG82,AG83)</f>
        <v>1E-3</v>
      </c>
      <c r="AH80" s="226">
        <f>AH78/'Segment Detail'!AH10</f>
        <v>1E-3</v>
      </c>
      <c r="AI80" s="228">
        <f>CHOOSE(_Switch,AI81,AI82,AI83)</f>
        <v>1E-3</v>
      </c>
      <c r="AJ80" s="228">
        <f>CHOOSE(_Switch,AJ81,AJ82,AJ83)</f>
        <v>1E-3</v>
      </c>
      <c r="AK80" s="228">
        <f>CHOOSE(_Switch,AK81,AK82,AK83)</f>
        <v>1E-3</v>
      </c>
      <c r="AL80" s="228">
        <f>CHOOSE(_Switch,AL81,AL82,AL83)</f>
        <v>1E-3</v>
      </c>
      <c r="AM80" s="226">
        <f>AM78/'Segment Detail'!AM10</f>
        <v>1E-3</v>
      </c>
      <c r="AN80" s="217"/>
      <c r="AO80" s="229"/>
      <c r="AP80" s="229"/>
      <c r="AQ80" s="229"/>
      <c r="AR80" s="229"/>
      <c r="AS80" s="214"/>
      <c r="AT80" s="214"/>
      <c r="AU80" s="214"/>
      <c r="AV80" s="214"/>
      <c r="AW80" s="214"/>
      <c r="AX80" s="214"/>
      <c r="AY80" s="214"/>
      <c r="AZ80" s="214"/>
      <c r="BA80" s="147"/>
    </row>
    <row r="81" spans="1:61" ht="12.75" hidden="1" customHeight="1" outlineLevel="1">
      <c r="A81" s="221"/>
      <c r="B81" s="225" t="s">
        <v>96</v>
      </c>
      <c r="C81" s="230"/>
      <c r="D81" s="230"/>
      <c r="E81" s="231"/>
      <c r="F81" s="231"/>
      <c r="G81" s="231"/>
      <c r="H81" s="231"/>
      <c r="I81" s="230"/>
      <c r="J81" s="231"/>
      <c r="K81" s="231"/>
      <c r="L81" s="231"/>
      <c r="M81" s="231"/>
      <c r="N81" s="230"/>
      <c r="O81" s="231"/>
      <c r="P81" s="231"/>
      <c r="Q81" s="231"/>
      <c r="R81" s="231"/>
      <c r="S81" s="230"/>
      <c r="T81" s="231"/>
      <c r="U81" s="231"/>
      <c r="V81" s="231"/>
      <c r="W81" s="232">
        <f t="shared" ref="W81" si="94">+W82-0.00004</f>
        <v>1.1041964799263775E-3</v>
      </c>
      <c r="X81" s="230"/>
      <c r="Y81" s="232">
        <f>+Y82-0.00005</f>
        <v>1.0500000000000002E-3</v>
      </c>
      <c r="Z81" s="232">
        <f t="shared" ref="Z81:AB81" si="95">+Z82-0.00005</f>
        <v>1.0500000000000002E-3</v>
      </c>
      <c r="AA81" s="232">
        <f t="shared" si="95"/>
        <v>1.0500000000000002E-3</v>
      </c>
      <c r="AB81" s="232">
        <f t="shared" si="95"/>
        <v>1.0500000000000002E-3</v>
      </c>
      <c r="AC81" s="230"/>
      <c r="AD81" s="232">
        <f>+AD82-0.00005</f>
        <v>9.5E-4</v>
      </c>
      <c r="AE81" s="232">
        <f t="shared" ref="AE81:AG81" si="96">+AE82-0.00005</f>
        <v>9.5E-4</v>
      </c>
      <c r="AF81" s="232">
        <f t="shared" si="96"/>
        <v>9.5E-4</v>
      </c>
      <c r="AG81" s="232">
        <f t="shared" si="96"/>
        <v>9.5E-4</v>
      </c>
      <c r="AH81" s="230"/>
      <c r="AI81" s="232">
        <f>+AI82-0.00005</f>
        <v>9.5E-4</v>
      </c>
      <c r="AJ81" s="232">
        <f t="shared" ref="AJ81:AL81" si="97">+AJ82-0.00005</f>
        <v>9.5E-4</v>
      </c>
      <c r="AK81" s="232">
        <f t="shared" si="97"/>
        <v>9.5E-4</v>
      </c>
      <c r="AL81" s="232">
        <f t="shared" si="97"/>
        <v>9.5E-4</v>
      </c>
      <c r="AM81" s="230"/>
      <c r="AN81" s="217"/>
      <c r="AO81" s="214"/>
      <c r="AP81" s="214"/>
      <c r="AQ81" s="214"/>
      <c r="AR81" s="214"/>
      <c r="AS81" s="214"/>
      <c r="AT81" s="214"/>
      <c r="AU81" s="214"/>
      <c r="AV81" s="214"/>
      <c r="AW81" s="214"/>
      <c r="AX81" s="214"/>
      <c r="AY81" s="214"/>
      <c r="AZ81" s="214"/>
      <c r="BA81" s="147"/>
    </row>
    <row r="82" spans="1:61" ht="12.75" hidden="1" customHeight="1" outlineLevel="1">
      <c r="A82" s="221"/>
      <c r="B82" s="225" t="s">
        <v>97</v>
      </c>
      <c r="C82" s="230"/>
      <c r="D82" s="230"/>
      <c r="E82" s="231"/>
      <c r="F82" s="231"/>
      <c r="G82" s="231"/>
      <c r="H82" s="231"/>
      <c r="I82" s="230"/>
      <c r="J82" s="231"/>
      <c r="K82" s="231"/>
      <c r="L82" s="231"/>
      <c r="M82" s="231"/>
      <c r="N82" s="230"/>
      <c r="O82" s="231"/>
      <c r="P82" s="231"/>
      <c r="Q82" s="231"/>
      <c r="R82" s="231"/>
      <c r="S82" s="230"/>
      <c r="T82" s="231"/>
      <c r="U82" s="231"/>
      <c r="V82" s="231"/>
      <c r="W82" s="232">
        <f>+V80</f>
        <v>1.1441964799263776E-3</v>
      </c>
      <c r="X82" s="230"/>
      <c r="Y82" s="232">
        <v>1.1000000000000001E-3</v>
      </c>
      <c r="Z82" s="232">
        <f>+Y82</f>
        <v>1.1000000000000001E-3</v>
      </c>
      <c r="AA82" s="232">
        <f t="shared" ref="AA82:AB82" si="98">+Z82</f>
        <v>1.1000000000000001E-3</v>
      </c>
      <c r="AB82" s="232">
        <f t="shared" si="98"/>
        <v>1.1000000000000001E-3</v>
      </c>
      <c r="AC82" s="230"/>
      <c r="AD82" s="232">
        <v>1E-3</v>
      </c>
      <c r="AE82" s="232">
        <f>+AD82</f>
        <v>1E-3</v>
      </c>
      <c r="AF82" s="232">
        <f t="shared" ref="AF82:AG82" si="99">+AE82</f>
        <v>1E-3</v>
      </c>
      <c r="AG82" s="232">
        <f t="shared" si="99"/>
        <v>1E-3</v>
      </c>
      <c r="AH82" s="230"/>
      <c r="AI82" s="232">
        <v>1E-3</v>
      </c>
      <c r="AJ82" s="232">
        <f>+AI82</f>
        <v>1E-3</v>
      </c>
      <c r="AK82" s="232">
        <f t="shared" ref="AK82:AL82" si="100">+AJ82</f>
        <v>1E-3</v>
      </c>
      <c r="AL82" s="232">
        <f t="shared" si="100"/>
        <v>1E-3</v>
      </c>
      <c r="AM82" s="230"/>
      <c r="AN82" s="217"/>
      <c r="AO82" s="214"/>
      <c r="AP82" s="214"/>
      <c r="AQ82" s="214"/>
      <c r="AR82" s="214"/>
      <c r="AS82" s="214"/>
      <c r="AT82" s="214"/>
      <c r="AU82" s="214"/>
      <c r="AV82" s="214"/>
      <c r="AW82" s="214"/>
      <c r="AX82" s="214"/>
      <c r="AY82" s="214"/>
      <c r="AZ82" s="214"/>
      <c r="BA82" s="147"/>
    </row>
    <row r="83" spans="1:61" ht="12.75" hidden="1" customHeight="1" outlineLevel="1">
      <c r="A83" s="221"/>
      <c r="B83" s="225" t="s">
        <v>98</v>
      </c>
      <c r="C83" s="230"/>
      <c r="D83" s="230"/>
      <c r="E83" s="231"/>
      <c r="F83" s="231"/>
      <c r="G83" s="231"/>
      <c r="H83" s="231"/>
      <c r="I83" s="230"/>
      <c r="J83" s="231"/>
      <c r="K83" s="231"/>
      <c r="L83" s="231"/>
      <c r="M83" s="231"/>
      <c r="N83" s="230"/>
      <c r="O83" s="231"/>
      <c r="P83" s="231"/>
      <c r="Q83" s="231"/>
      <c r="R83" s="231"/>
      <c r="S83" s="230"/>
      <c r="T83" s="231"/>
      <c r="U83" s="231"/>
      <c r="V83" s="231"/>
      <c r="W83" s="232">
        <f t="shared" ref="W83" si="101">+W82+0.0002</f>
        <v>1.3441964799263777E-3</v>
      </c>
      <c r="X83" s="230"/>
      <c r="Y83" s="232">
        <f t="shared" ref="Y83:AB83" si="102">+Y82+0.0002</f>
        <v>1.3000000000000002E-3</v>
      </c>
      <c r="Z83" s="232">
        <f t="shared" si="102"/>
        <v>1.3000000000000002E-3</v>
      </c>
      <c r="AA83" s="232">
        <f t="shared" si="102"/>
        <v>1.3000000000000002E-3</v>
      </c>
      <c r="AB83" s="232">
        <f t="shared" si="102"/>
        <v>1.3000000000000002E-3</v>
      </c>
      <c r="AC83" s="230"/>
      <c r="AD83" s="232">
        <f t="shared" ref="AD83:AG83" si="103">+AD82+0.0002</f>
        <v>1.2000000000000001E-3</v>
      </c>
      <c r="AE83" s="232">
        <f t="shared" si="103"/>
        <v>1.2000000000000001E-3</v>
      </c>
      <c r="AF83" s="232">
        <f t="shared" si="103"/>
        <v>1.2000000000000001E-3</v>
      </c>
      <c r="AG83" s="232">
        <f t="shared" si="103"/>
        <v>1.2000000000000001E-3</v>
      </c>
      <c r="AH83" s="230"/>
      <c r="AI83" s="232">
        <f t="shared" ref="AI83:AL83" si="104">+AI82+0.0002</f>
        <v>1.2000000000000001E-3</v>
      </c>
      <c r="AJ83" s="232">
        <f t="shared" si="104"/>
        <v>1.2000000000000001E-3</v>
      </c>
      <c r="AK83" s="232">
        <f t="shared" si="104"/>
        <v>1.2000000000000001E-3</v>
      </c>
      <c r="AL83" s="232">
        <f t="shared" si="104"/>
        <v>1.2000000000000001E-3</v>
      </c>
      <c r="AM83" s="230"/>
      <c r="AN83" s="217"/>
      <c r="AO83" s="214"/>
      <c r="AP83" s="214"/>
      <c r="AQ83" s="214"/>
      <c r="AR83" s="214"/>
      <c r="AS83" s="214"/>
      <c r="AT83" s="214"/>
      <c r="AU83" s="214"/>
      <c r="AV83" s="214"/>
      <c r="AW83" s="214"/>
      <c r="AX83" s="214"/>
      <c r="AY83" s="214"/>
      <c r="AZ83" s="214"/>
      <c r="BA83" s="147"/>
    </row>
    <row r="84" spans="1:61" ht="12.75" hidden="1" customHeight="1" outlineLevel="1">
      <c r="A84" s="221"/>
      <c r="B84" s="215" t="s">
        <v>119</v>
      </c>
      <c r="C84" s="233">
        <f>C172</f>
        <v>10.512</v>
      </c>
      <c r="D84" s="233">
        <f>D172</f>
        <v>15.08</v>
      </c>
      <c r="E84" s="234"/>
      <c r="F84" s="234"/>
      <c r="G84" s="234"/>
      <c r="H84" s="234"/>
      <c r="I84" s="233">
        <f>I172</f>
        <v>18.478000000000002</v>
      </c>
      <c r="J84" s="235">
        <f t="shared" ref="J84:AM84" si="105">J172</f>
        <v>13.757</v>
      </c>
      <c r="K84" s="235">
        <f t="shared" si="105"/>
        <v>7.8090000000000002</v>
      </c>
      <c r="L84" s="235">
        <f t="shared" si="105"/>
        <v>11.400999999999998</v>
      </c>
      <c r="M84" s="235">
        <f t="shared" si="105"/>
        <v>10.412000000000001</v>
      </c>
      <c r="N84" s="236">
        <f t="shared" si="105"/>
        <v>43.378999999999998</v>
      </c>
      <c r="O84" s="235">
        <f t="shared" si="105"/>
        <v>7.1820000000000004</v>
      </c>
      <c r="P84" s="235">
        <f t="shared" si="105"/>
        <v>16.21</v>
      </c>
      <c r="Q84" s="235">
        <f t="shared" si="105"/>
        <v>13.482999999999999</v>
      </c>
      <c r="R84" s="235">
        <f t="shared" si="105"/>
        <v>13.944000000000004</v>
      </c>
      <c r="S84" s="236">
        <f t="shared" si="105"/>
        <v>50.819000000000003</v>
      </c>
      <c r="T84" s="235">
        <f t="shared" si="105"/>
        <v>11.558</v>
      </c>
      <c r="U84" s="235">
        <f t="shared" si="105"/>
        <v>18.734000000000002</v>
      </c>
      <c r="V84" s="235">
        <f t="shared" si="105"/>
        <v>19.893000000000001</v>
      </c>
      <c r="W84" s="237">
        <f t="shared" si="105"/>
        <v>15.045255449999996</v>
      </c>
      <c r="X84" s="236">
        <f t="shared" si="105"/>
        <v>65.230255450000001</v>
      </c>
      <c r="Y84" s="237">
        <f t="shared" si="105"/>
        <v>15.05195865</v>
      </c>
      <c r="Z84" s="237">
        <f t="shared" si="105"/>
        <v>18.111541949999999</v>
      </c>
      <c r="AA84" s="237">
        <f t="shared" si="105"/>
        <v>19.175888700000002</v>
      </c>
      <c r="AB84" s="237">
        <f t="shared" si="105"/>
        <v>19.408379530499996</v>
      </c>
      <c r="AC84" s="236">
        <f t="shared" si="105"/>
        <v>71.747768830499993</v>
      </c>
      <c r="AD84" s="237">
        <f t="shared" si="105"/>
        <v>19.266507072</v>
      </c>
      <c r="AE84" s="237">
        <f t="shared" si="105"/>
        <v>23.182773695999998</v>
      </c>
      <c r="AF84" s="237">
        <f t="shared" si="105"/>
        <v>24.545137536000002</v>
      </c>
      <c r="AG84" s="237">
        <f t="shared" si="105"/>
        <v>24.842725799039997</v>
      </c>
      <c r="AH84" s="236">
        <f t="shared" si="105"/>
        <v>91.837144103039989</v>
      </c>
      <c r="AI84" s="237">
        <f t="shared" si="105"/>
        <v>24.275798910719999</v>
      </c>
      <c r="AJ84" s="237">
        <f t="shared" si="105"/>
        <v>29.210294856960001</v>
      </c>
      <c r="AK84" s="237">
        <f t="shared" si="105"/>
        <v>30.92687329536</v>
      </c>
      <c r="AL84" s="237">
        <f t="shared" si="105"/>
        <v>31.301834506790396</v>
      </c>
      <c r="AM84" s="236">
        <f t="shared" si="105"/>
        <v>115.7148015698304</v>
      </c>
      <c r="AN84" s="238"/>
      <c r="AO84" s="214"/>
      <c r="AP84" s="214"/>
      <c r="AQ84" s="214"/>
      <c r="AR84" s="214"/>
      <c r="AS84" s="214"/>
      <c r="AT84" s="214"/>
      <c r="AU84" s="214"/>
      <c r="AV84" s="214"/>
      <c r="AW84" s="214"/>
      <c r="AX84" s="214"/>
      <c r="AY84" s="214"/>
      <c r="AZ84" s="214"/>
      <c r="BA84" s="147"/>
    </row>
    <row r="85" spans="1:61" ht="12.75" hidden="1" customHeight="1" outlineLevel="1">
      <c r="A85" s="221"/>
      <c r="B85" s="148" t="s">
        <v>95</v>
      </c>
      <c r="C85" s="239">
        <f>C84/'Segment Detail'!C10</f>
        <v>1.6127646517336608E-3</v>
      </c>
      <c r="D85" s="239">
        <f>D84/'Segment Detail'!D10</f>
        <v>1.0176125244618396E-3</v>
      </c>
      <c r="E85" s="234"/>
      <c r="F85" s="234"/>
      <c r="G85" s="234"/>
      <c r="H85" s="234"/>
      <c r="I85" s="239">
        <f>I84/'Segment Detail'!I10</f>
        <v>7.7707220656882126E-4</v>
      </c>
      <c r="J85" s="240">
        <f>J84/'Segment Detail'!J10</f>
        <v>1.9332490163012927E-3</v>
      </c>
      <c r="K85" s="240">
        <f>K84/'Segment Detail'!K10</f>
        <v>8.8920519243907998E-4</v>
      </c>
      <c r="L85" s="240">
        <f>L84/'Segment Detail'!L10</f>
        <v>1.1950733752620543E-3</v>
      </c>
      <c r="M85" s="240">
        <f>M84/'Segment Detail'!M10</f>
        <v>1.021485333071716E-3</v>
      </c>
      <c r="N85" s="241">
        <f>N84/'Segment Detail'!N10</f>
        <v>1.2174510959557688E-3</v>
      </c>
      <c r="O85" s="240">
        <f>O84/'Segment Detail'!O10</f>
        <v>6.979591836734694E-4</v>
      </c>
      <c r="P85" s="240">
        <f>P84/'Segment Detail'!P10</f>
        <v>1.3019034615693518E-3</v>
      </c>
      <c r="Q85" s="242">
        <f>Q84/'Segment Detail'!Q10</f>
        <v>1.0177385265700482E-3</v>
      </c>
      <c r="R85" s="242">
        <f>R84/'Segment Detail'!R10</f>
        <v>1.0182561705856582E-3</v>
      </c>
      <c r="S85" s="241">
        <f>S84/'Segment Detail'!S10</f>
        <v>1.0228649638709419E-3</v>
      </c>
      <c r="T85" s="242">
        <f>T84/'Segment Detail'!T10</f>
        <v>8.4692606433648418E-4</v>
      </c>
      <c r="U85" s="242">
        <f>U84/'Segment Detail'!U10</f>
        <v>1.1408562206930151E-3</v>
      </c>
      <c r="V85" s="242">
        <f>V84/'Segment Detail'!V10</f>
        <v>1.1441964799263776E-3</v>
      </c>
      <c r="W85" s="242">
        <f>W84/'Segment Detail'!W10</f>
        <v>8.5499999999999986E-4</v>
      </c>
      <c r="X85" s="241">
        <f>X84/'Segment Detail'!X10</f>
        <v>1.0027588511991939E-3</v>
      </c>
      <c r="Y85" s="242">
        <f>Y84/'Segment Detail'!Y10</f>
        <v>8.5499999999999997E-4</v>
      </c>
      <c r="Z85" s="242">
        <f>Z84/'Segment Detail'!Z10</f>
        <v>8.5499999999999997E-4</v>
      </c>
      <c r="AA85" s="242">
        <f>AA84/'Segment Detail'!AA10</f>
        <v>8.5499999999999997E-4</v>
      </c>
      <c r="AB85" s="242">
        <f>AB84/'Segment Detail'!AB10</f>
        <v>8.5499999999999986E-4</v>
      </c>
      <c r="AC85" s="241">
        <f>AC84/'Segment Detail'!AC10</f>
        <v>8.5499999999999986E-4</v>
      </c>
      <c r="AD85" s="242">
        <f>AD84/'Segment Detail'!AD10</f>
        <v>8.5499999999999997E-4</v>
      </c>
      <c r="AE85" s="242">
        <f>AE84/'Segment Detail'!AE10</f>
        <v>8.5499999999999986E-4</v>
      </c>
      <c r="AF85" s="242">
        <f>AF84/'Segment Detail'!AF10</f>
        <v>8.5499999999999997E-4</v>
      </c>
      <c r="AG85" s="242">
        <f>AG84/'Segment Detail'!AG10</f>
        <v>8.5499999999999997E-4</v>
      </c>
      <c r="AH85" s="241">
        <f>AH84/'Segment Detail'!AH10</f>
        <v>8.5499999999999986E-4</v>
      </c>
      <c r="AI85" s="242">
        <f>AI84/'Segment Detail'!AI10</f>
        <v>8.5499999999999997E-4</v>
      </c>
      <c r="AJ85" s="242">
        <f>AJ84/'Segment Detail'!AJ10</f>
        <v>8.5499999999999997E-4</v>
      </c>
      <c r="AK85" s="242">
        <f>AK84/'Segment Detail'!AK10</f>
        <v>8.5499999999999986E-4</v>
      </c>
      <c r="AL85" s="242">
        <f>AL84/'Segment Detail'!AL10</f>
        <v>8.5499999999999997E-4</v>
      </c>
      <c r="AM85" s="241">
        <f>AM84/'Segment Detail'!AM10</f>
        <v>8.5499999999999986E-4</v>
      </c>
      <c r="AN85" s="238"/>
      <c r="AO85" s="214"/>
      <c r="AP85" s="214"/>
      <c r="AQ85" s="214"/>
      <c r="AR85" s="214"/>
      <c r="AS85" s="214"/>
      <c r="AT85" s="214"/>
      <c r="AU85" s="214"/>
      <c r="AV85" s="214"/>
      <c r="AW85" s="214"/>
      <c r="AX85" s="214"/>
      <c r="AY85" s="214"/>
      <c r="AZ85" s="214"/>
      <c r="BA85" s="147"/>
    </row>
    <row r="86" spans="1:61" ht="12.75" hidden="1" customHeight="1" outlineLevel="1">
      <c r="A86" s="221"/>
      <c r="B86" s="215" t="s">
        <v>120</v>
      </c>
      <c r="C86" s="233">
        <f>C78-C84</f>
        <v>0</v>
      </c>
      <c r="D86" s="233">
        <f>D78-D84</f>
        <v>0.24900000000000055</v>
      </c>
      <c r="E86" s="234"/>
      <c r="F86" s="234"/>
      <c r="G86" s="234"/>
      <c r="H86" s="234"/>
      <c r="I86" s="233">
        <f t="shared" ref="I86:AM86" si="106">I78-I84</f>
        <v>5.602999999999998</v>
      </c>
      <c r="J86" s="235">
        <f t="shared" si="106"/>
        <v>2.5649999999999995</v>
      </c>
      <c r="K86" s="235">
        <f t="shared" si="106"/>
        <v>0.70399999999999974</v>
      </c>
      <c r="L86" s="235">
        <f t="shared" si="106"/>
        <v>4.604000000000001</v>
      </c>
      <c r="M86" s="235">
        <f t="shared" si="106"/>
        <v>2.7569999999999997</v>
      </c>
      <c r="N86" s="236">
        <f t="shared" si="106"/>
        <v>10.630000000000003</v>
      </c>
      <c r="O86" s="235">
        <f t="shared" si="106"/>
        <v>0.67899999999999938</v>
      </c>
      <c r="P86" s="235">
        <f t="shared" si="106"/>
        <v>1.2449999999999974</v>
      </c>
      <c r="Q86" s="237">
        <f t="shared" si="106"/>
        <v>-0.59799999999999898</v>
      </c>
      <c r="R86" s="237">
        <f t="shared" si="106"/>
        <v>-0.91000000000000369</v>
      </c>
      <c r="S86" s="236">
        <f t="shared" si="106"/>
        <v>0.41599999999999682</v>
      </c>
      <c r="T86" s="237">
        <f t="shared" si="106"/>
        <v>0.33300000000000018</v>
      </c>
      <c r="U86" s="237">
        <f t="shared" si="106"/>
        <v>-0.33300000000000196</v>
      </c>
      <c r="V86" s="237">
        <f t="shared" si="106"/>
        <v>0</v>
      </c>
      <c r="W86" s="237">
        <f t="shared" si="106"/>
        <v>5.0889297260036841</v>
      </c>
      <c r="X86" s="236">
        <f t="shared" si="106"/>
        <v>5.0889297260036841</v>
      </c>
      <c r="Y86" s="237">
        <f t="shared" si="106"/>
        <v>4.3131343500000021</v>
      </c>
      <c r="Z86" s="237">
        <f t="shared" si="106"/>
        <v>5.1898570500000005</v>
      </c>
      <c r="AA86" s="237">
        <f t="shared" si="106"/>
        <v>5.4948453000000015</v>
      </c>
      <c r="AB86" s="237">
        <f t="shared" si="106"/>
        <v>5.5614654795000042</v>
      </c>
      <c r="AC86" s="236">
        <f t="shared" si="106"/>
        <v>20.559302179500023</v>
      </c>
      <c r="AD86" s="237">
        <f t="shared" si="106"/>
        <v>3.2674193280000026</v>
      </c>
      <c r="AE86" s="237">
        <f t="shared" si="106"/>
        <v>3.9315815040000039</v>
      </c>
      <c r="AF86" s="237">
        <f t="shared" si="106"/>
        <v>4.1626256640000037</v>
      </c>
      <c r="AG86" s="237">
        <f t="shared" si="106"/>
        <v>4.2130938489599998</v>
      </c>
      <c r="AH86" s="236">
        <f t="shared" si="106"/>
        <v>15.574720344960014</v>
      </c>
      <c r="AI86" s="237">
        <f t="shared" si="106"/>
        <v>4.1169483532800015</v>
      </c>
      <c r="AJ86" s="237">
        <f t="shared" si="106"/>
        <v>4.9537926950400042</v>
      </c>
      <c r="AK86" s="237">
        <f t="shared" si="106"/>
        <v>5.2449083366400053</v>
      </c>
      <c r="AL86" s="237">
        <f t="shared" si="106"/>
        <v>5.3084982496896025</v>
      </c>
      <c r="AM86" s="236">
        <f t="shared" si="106"/>
        <v>19.624147634649603</v>
      </c>
      <c r="AN86" s="238"/>
      <c r="AO86" s="214"/>
      <c r="AP86" s="214"/>
      <c r="AQ86" s="214"/>
      <c r="AR86" s="214"/>
      <c r="AS86" s="214"/>
      <c r="AT86" s="214"/>
      <c r="AU86" s="214"/>
      <c r="AV86" s="214"/>
      <c r="AW86" s="214"/>
      <c r="AX86" s="214"/>
      <c r="AY86" s="214"/>
      <c r="AZ86" s="214"/>
      <c r="BA86" s="147"/>
    </row>
    <row r="87" spans="1:61" ht="12.75" hidden="1" customHeight="1" outlineLevel="1">
      <c r="A87" s="221"/>
      <c r="B87" s="148" t="s">
        <v>121</v>
      </c>
      <c r="C87" s="233"/>
      <c r="D87" s="233"/>
      <c r="E87" s="234"/>
      <c r="F87" s="234"/>
      <c r="G87" s="234"/>
      <c r="H87" s="234"/>
      <c r="I87" s="243">
        <f>I86/'Segment Detail'!I30</f>
        <v>0.46513365432508702</v>
      </c>
      <c r="J87" s="244">
        <f>J86/'Segment Detail'!J30</f>
        <v>0.32038471146640013</v>
      </c>
      <c r="K87" s="244">
        <f>K86/'Segment Detail'!K30</f>
        <v>5.4455445544554434E-2</v>
      </c>
      <c r="L87" s="244">
        <f>L86/'Segment Detail'!L30</f>
        <v>0.31332516673472172</v>
      </c>
      <c r="M87" s="244">
        <f>M86/'Segment Detail'!M30</f>
        <v>0.12316283225374132</v>
      </c>
      <c r="N87" s="180">
        <f>N86/'Segment Detail'!N30</f>
        <v>0.1832347922017479</v>
      </c>
      <c r="O87" s="244">
        <f>O86/'Segment Detail'!O30</f>
        <v>2.8534207429820112E-2</v>
      </c>
      <c r="P87" s="244">
        <f>P86/'Segment Detail'!P30</f>
        <v>4.189521149510373E-2</v>
      </c>
      <c r="Q87" s="176">
        <f>Q86/'Segment Detail'!Q30</f>
        <v>-1.693091732729329E-2</v>
      </c>
      <c r="R87" s="176">
        <f>R86/'Segment Detail'!R30</f>
        <v>-2.245915395626644E-2</v>
      </c>
      <c r="S87" s="180">
        <f>S86/'Segment Detail'!S30</f>
        <v>3.2160555388052415E-3</v>
      </c>
      <c r="T87" s="176">
        <f>T86/'Segment Detail'!T30</f>
        <v>6.7876070118222621E-3</v>
      </c>
      <c r="U87" s="176">
        <f>U86/'Segment Detail'!U30</f>
        <v>-5.6296596845362198E-3</v>
      </c>
      <c r="V87" s="176">
        <f>V86/'Segment Detail'!V30</f>
        <v>0</v>
      </c>
      <c r="W87" s="176">
        <f>W86/'Segment Detail'!W30</f>
        <v>6.9775980579326657E-2</v>
      </c>
      <c r="X87" s="180">
        <f>X86/'Segment Detail'!X30</f>
        <v>2.0670371568174108E-2</v>
      </c>
      <c r="Y87" s="176">
        <f>Y86/'Segment Detail'!Y30</f>
        <v>5.171499904079041E-2</v>
      </c>
      <c r="Z87" s="176">
        <f>Z86/'Segment Detail'!Z30</f>
        <v>5.1611250667533838E-2</v>
      </c>
      <c r="AA87" s="176">
        <f>AA86/'Segment Detail'!AA30</f>
        <v>4.9688120723378144E-2</v>
      </c>
      <c r="AB87" s="176">
        <f>AB86/'Segment Detail'!AB30</f>
        <v>4.4855925241166147E-2</v>
      </c>
      <c r="AC87" s="180">
        <f>AC86/'Segment Detail'!AC30</f>
        <v>4.9122592408323576E-2</v>
      </c>
      <c r="AD87" s="176">
        <f>AD86/'Segment Detail'!AD30</f>
        <v>2.5113301470357674E-2</v>
      </c>
      <c r="AE87" s="176">
        <f>AE86/'Segment Detail'!AE30</f>
        <v>2.5062920261366532E-2</v>
      </c>
      <c r="AF87" s="176">
        <f>AF86/'Segment Detail'!AF30</f>
        <v>2.4129029843691755E-2</v>
      </c>
      <c r="AG87" s="176">
        <f>AG86/'Segment Detail'!AG30</f>
        <v>2.1782469190895947E-2</v>
      </c>
      <c r="AH87" s="180">
        <f>AH86/'Segment Detail'!AH30</f>
        <v>2.3854403848730645E-2</v>
      </c>
      <c r="AI87" s="176">
        <f>AI86/'Segment Detail'!AI30</f>
        <v>2.1380243143682875E-2</v>
      </c>
      <c r="AJ87" s="176">
        <f>AJ86/'Segment Detail'!AJ30</f>
        <v>2.1337351033325559E-2</v>
      </c>
      <c r="AK87" s="176">
        <f>AK86/'Segment Detail'!AK30</f>
        <v>2.0542282164224063E-2</v>
      </c>
      <c r="AL87" s="176">
        <f>AL86/'Segment Detail'!AL30</f>
        <v>1.8544534581438451E-2</v>
      </c>
      <c r="AM87" s="180">
        <f>AM86/'Segment Detail'!AM30</f>
        <v>2.0308478952297697E-2</v>
      </c>
      <c r="AN87" s="238"/>
      <c r="AO87" s="214"/>
      <c r="AP87" s="214"/>
      <c r="AQ87" s="214"/>
      <c r="AR87" s="214"/>
      <c r="AS87" s="214"/>
      <c r="AT87" s="214"/>
      <c r="AU87" s="214"/>
      <c r="AV87" s="214"/>
      <c r="AW87" s="214"/>
      <c r="AX87" s="214"/>
      <c r="AY87" s="214"/>
      <c r="AZ87" s="214"/>
      <c r="BA87" s="147"/>
    </row>
    <row r="88" spans="1:61" ht="12.75" customHeight="1" collapsed="1">
      <c r="A88" s="221"/>
      <c r="B88" s="222"/>
      <c r="C88" s="219"/>
      <c r="D88" s="219"/>
      <c r="E88" s="220"/>
      <c r="F88" s="220"/>
      <c r="G88" s="220"/>
      <c r="H88" s="220"/>
      <c r="I88" s="219"/>
      <c r="J88" s="220"/>
      <c r="K88" s="220"/>
      <c r="L88" s="220"/>
      <c r="M88" s="220"/>
      <c r="N88" s="219"/>
      <c r="O88" s="220"/>
      <c r="P88" s="220"/>
      <c r="Q88" s="220"/>
      <c r="R88" s="220"/>
      <c r="S88" s="219"/>
      <c r="T88" s="220"/>
      <c r="U88" s="220"/>
      <c r="V88" s="220"/>
      <c r="W88" s="220"/>
      <c r="X88" s="219"/>
      <c r="Y88" s="220"/>
      <c r="Z88" s="220"/>
      <c r="AA88" s="220"/>
      <c r="AB88" s="220"/>
      <c r="AC88" s="219"/>
      <c r="AD88" s="220"/>
      <c r="AE88" s="220"/>
      <c r="AF88" s="220"/>
      <c r="AG88" s="220"/>
      <c r="AH88" s="219"/>
      <c r="AI88" s="220"/>
      <c r="AJ88" s="220"/>
      <c r="AK88" s="220"/>
      <c r="AL88" s="220"/>
      <c r="AM88" s="219"/>
      <c r="AN88" s="217"/>
      <c r="AO88" s="214"/>
      <c r="AP88" s="214"/>
      <c r="AQ88" s="214"/>
      <c r="AR88" s="214"/>
      <c r="AS88" s="214"/>
      <c r="AT88" s="214"/>
      <c r="AU88" s="214"/>
      <c r="AV88" s="214"/>
      <c r="AW88" s="214"/>
      <c r="AX88" s="214"/>
      <c r="AY88" s="214"/>
      <c r="AZ88" s="214"/>
      <c r="BA88" s="147"/>
    </row>
    <row r="89" spans="1:61" ht="12.75" customHeight="1">
      <c r="A89" s="209"/>
      <c r="B89" s="245" t="s">
        <v>122</v>
      </c>
      <c r="C89" s="211">
        <v>0</v>
      </c>
      <c r="D89" s="211">
        <v>0</v>
      </c>
      <c r="E89" s="223">
        <v>6.8000000000000005E-2</v>
      </c>
      <c r="F89" s="223">
        <v>0.16200000000000001</v>
      </c>
      <c r="G89" s="223">
        <v>0.36099999999999999</v>
      </c>
      <c r="H89" s="223">
        <v>0.45900000000000002</v>
      </c>
      <c r="I89" s="151">
        <f>+SUM(E89:H89)</f>
        <v>1.05</v>
      </c>
      <c r="J89" s="223">
        <v>0.46800000000000003</v>
      </c>
      <c r="K89" s="223">
        <v>0.48199999999999998</v>
      </c>
      <c r="L89" s="223">
        <v>0.42299999999999999</v>
      </c>
      <c r="M89" s="223">
        <v>0.38400000000000001</v>
      </c>
      <c r="N89" s="151">
        <f>+SUM(J89:M89)</f>
        <v>1.7570000000000001</v>
      </c>
      <c r="O89" s="223">
        <v>0.317</v>
      </c>
      <c r="P89" s="223">
        <v>0.222</v>
      </c>
      <c r="Q89" s="223">
        <v>0.16400000000000001</v>
      </c>
      <c r="R89" s="223">
        <v>0.14699999999999999</v>
      </c>
      <c r="S89" s="151">
        <f>+SUM(O89:R89)</f>
        <v>0.85000000000000009</v>
      </c>
      <c r="T89" s="223">
        <v>0.20499999999999999</v>
      </c>
      <c r="U89" s="223">
        <v>0.222</v>
      </c>
      <c r="V89" s="223">
        <v>0.222</v>
      </c>
      <c r="W89" s="135">
        <f>W$26*W91</f>
        <v>0.22966877255638182</v>
      </c>
      <c r="X89" s="151">
        <f>+SUM(T89:W89)</f>
        <v>0.87866877255638187</v>
      </c>
      <c r="Y89" s="135">
        <f>Y$26*Y91</f>
        <v>0.24000320731135885</v>
      </c>
      <c r="Z89" s="135">
        <f>Z$26*Z91</f>
        <v>0.28835835273853533</v>
      </c>
      <c r="AA89" s="135">
        <f>AA$26*AA91</f>
        <v>0.307993521727014</v>
      </c>
      <c r="AB89" s="135">
        <f>AB$26*AB91</f>
        <v>0.32260418700142596</v>
      </c>
      <c r="AC89" s="151">
        <f>+SUM(Y89:AB89)</f>
        <v>1.1589592687783341</v>
      </c>
      <c r="AD89" s="135">
        <f>AD$26*AD91</f>
        <v>0.32610251516951971</v>
      </c>
      <c r="AE89" s="135">
        <f>AE$26*AE91</f>
        <v>0.3919054371154001</v>
      </c>
      <c r="AF89" s="135">
        <f>AF$26*AF91</f>
        <v>0.41940097839459461</v>
      </c>
      <c r="AG89" s="135">
        <f>AG$26*AG91</f>
        <v>0.44130884616430827</v>
      </c>
      <c r="AH89" s="151">
        <f>+SUM(AD89:AG89)</f>
        <v>1.5787177768438228</v>
      </c>
      <c r="AI89" s="135">
        <f>AI$26*AI91</f>
        <v>0.43487362064831075</v>
      </c>
      <c r="AJ89" s="135">
        <f>AJ$26*AJ91</f>
        <v>0.52276565802430675</v>
      </c>
      <c r="AK89" s="135">
        <f>AK$26*AK91</f>
        <v>0.56039838853249002</v>
      </c>
      <c r="AL89" s="135">
        <f>AL$26*AL91</f>
        <v>0.59192777512917782</v>
      </c>
      <c r="AM89" s="151">
        <f>+SUM(AI89:AL89)</f>
        <v>2.1099654423342855</v>
      </c>
      <c r="AN89" s="217"/>
      <c r="AO89" s="214"/>
      <c r="AP89" s="214"/>
      <c r="AQ89" s="214"/>
      <c r="AR89" s="214"/>
      <c r="AS89" s="214"/>
      <c r="AT89" s="214"/>
      <c r="AU89" s="214"/>
      <c r="AV89" s="214"/>
      <c r="AW89" s="214"/>
      <c r="AX89" s="214"/>
      <c r="AY89" s="214"/>
      <c r="AZ89" s="214"/>
      <c r="BA89" s="214"/>
    </row>
    <row r="90" spans="1:61" ht="12.75" customHeight="1">
      <c r="A90" s="143"/>
      <c r="B90" s="215" t="s">
        <v>26</v>
      </c>
      <c r="C90" s="145"/>
      <c r="D90" s="246" t="str">
        <f>IF(ISERROR(D89/C89-1),"NM",D89/C89-1)</f>
        <v>NM</v>
      </c>
      <c r="E90" s="247"/>
      <c r="F90" s="247"/>
      <c r="G90" s="247"/>
      <c r="H90" s="247"/>
      <c r="I90" s="246" t="str">
        <f>IF(ISERROR(+I89/D89-1),"NM",+I89/D89-1)</f>
        <v>NM</v>
      </c>
      <c r="J90" s="146">
        <f t="shared" ref="J90:AM90" si="107">+J89/E89-1</f>
        <v>5.8823529411764701</v>
      </c>
      <c r="K90" s="146">
        <f t="shared" si="107"/>
        <v>1.9753086419753085</v>
      </c>
      <c r="L90" s="146">
        <f t="shared" si="107"/>
        <v>0.17174515235457055</v>
      </c>
      <c r="M90" s="146">
        <f t="shared" si="107"/>
        <v>-0.16339869281045749</v>
      </c>
      <c r="N90" s="145">
        <f t="shared" si="107"/>
        <v>0.67333333333333334</v>
      </c>
      <c r="O90" s="146">
        <f t="shared" si="107"/>
        <v>-0.32264957264957272</v>
      </c>
      <c r="P90" s="146">
        <f t="shared" si="107"/>
        <v>-0.53941908713692943</v>
      </c>
      <c r="Q90" s="146">
        <f t="shared" si="107"/>
        <v>-0.61229314420803782</v>
      </c>
      <c r="R90" s="146">
        <f t="shared" si="107"/>
        <v>-0.6171875</v>
      </c>
      <c r="S90" s="145">
        <f t="shared" si="107"/>
        <v>-0.51622083096186677</v>
      </c>
      <c r="T90" s="146">
        <f t="shared" si="107"/>
        <v>-0.35331230283911674</v>
      </c>
      <c r="U90" s="146">
        <f t="shared" si="107"/>
        <v>0</v>
      </c>
      <c r="V90" s="146">
        <f t="shared" si="107"/>
        <v>0.35365853658536572</v>
      </c>
      <c r="W90" s="146">
        <f t="shared" si="107"/>
        <v>0.56237260242436626</v>
      </c>
      <c r="X90" s="145">
        <f t="shared" si="107"/>
        <v>3.3727967713390372E-2</v>
      </c>
      <c r="Y90" s="146">
        <f t="shared" si="107"/>
        <v>0.17074735273833586</v>
      </c>
      <c r="Z90" s="146">
        <f t="shared" si="107"/>
        <v>0.29891149882223123</v>
      </c>
      <c r="AA90" s="146">
        <f t="shared" si="107"/>
        <v>0.38735820597754045</v>
      </c>
      <c r="AB90" s="146">
        <f t="shared" si="107"/>
        <v>0.40464976326822688</v>
      </c>
      <c r="AC90" s="145">
        <f t="shared" si="107"/>
        <v>0.31899448913665207</v>
      </c>
      <c r="AD90" s="146">
        <f t="shared" si="107"/>
        <v>0.35874232191598709</v>
      </c>
      <c r="AE90" s="146">
        <f t="shared" si="107"/>
        <v>0.35909167670532005</v>
      </c>
      <c r="AF90" s="146">
        <f t="shared" si="107"/>
        <v>0.36172012983547486</v>
      </c>
      <c r="AG90" s="146">
        <f t="shared" si="107"/>
        <v>0.36795758996877992</v>
      </c>
      <c r="AH90" s="145">
        <f t="shared" si="107"/>
        <v>0.36218572936386151</v>
      </c>
      <c r="AI90" s="146">
        <f t="shared" si="107"/>
        <v>0.33354880879176285</v>
      </c>
      <c r="AJ90" s="146">
        <f t="shared" si="107"/>
        <v>0.33390764331338851</v>
      </c>
      <c r="AK90" s="146">
        <f t="shared" si="107"/>
        <v>0.33618760422928151</v>
      </c>
      <c r="AL90" s="146">
        <f t="shared" si="107"/>
        <v>0.34130049799362294</v>
      </c>
      <c r="AM90" s="145">
        <f t="shared" si="107"/>
        <v>0.33650578544351006</v>
      </c>
      <c r="AN90" s="217"/>
      <c r="AO90" s="214"/>
      <c r="AP90" s="214"/>
      <c r="AQ90" s="214"/>
      <c r="AR90" s="214"/>
      <c r="AS90" s="214"/>
      <c r="AT90" s="214"/>
      <c r="AU90" s="214"/>
      <c r="AV90" s="214"/>
      <c r="AW90" s="214"/>
      <c r="AX90" s="214"/>
      <c r="AY90" s="214"/>
      <c r="AZ90" s="214"/>
      <c r="BA90" s="147"/>
      <c r="BI90" s="248"/>
    </row>
    <row r="91" spans="1:61" ht="12.75" customHeight="1">
      <c r="A91" s="143"/>
      <c r="B91" s="215" t="s">
        <v>115</v>
      </c>
      <c r="C91" s="145">
        <f>C89/C$26</f>
        <v>0</v>
      </c>
      <c r="D91" s="145">
        <f>D89/D$26</f>
        <v>0</v>
      </c>
      <c r="E91" s="146">
        <f t="shared" ref="E91:H91" si="108">E89/E$26</f>
        <v>1.2991727326569992E-3</v>
      </c>
      <c r="F91" s="146">
        <f t="shared" si="108"/>
        <v>2.423408329344184E-3</v>
      </c>
      <c r="G91" s="146">
        <f t="shared" si="108"/>
        <v>4.8069241011984018E-3</v>
      </c>
      <c r="H91" s="146">
        <f t="shared" si="108"/>
        <v>5.5961278209239107E-3</v>
      </c>
      <c r="I91" s="145">
        <f>I89/I$26</f>
        <v>3.8000796207158637E-3</v>
      </c>
      <c r="J91" s="146">
        <f t="shared" ref="J91:M91" si="109">J89/J$26</f>
        <v>5.2492260756426918E-3</v>
      </c>
      <c r="K91" s="146">
        <f t="shared" si="109"/>
        <v>4.3970078452837081E-3</v>
      </c>
      <c r="L91" s="146">
        <f t="shared" si="109"/>
        <v>3.5893388997785304E-3</v>
      </c>
      <c r="M91" s="146">
        <f t="shared" si="109"/>
        <v>2.8540424836115525E-3</v>
      </c>
      <c r="N91" s="145">
        <f>N89/N$26</f>
        <v>3.8943105829053726E-3</v>
      </c>
      <c r="O91" s="146">
        <f t="shared" ref="O91:R91" si="110">O89/O$26</f>
        <v>2.1689302452875376E-3</v>
      </c>
      <c r="P91" s="146">
        <f t="shared" si="110"/>
        <v>1.2996973227406056E-3</v>
      </c>
      <c r="Q91" s="146">
        <f t="shared" si="110"/>
        <v>9.2250403595515757E-4</v>
      </c>
      <c r="R91" s="146">
        <f t="shared" si="110"/>
        <v>7.6611579292984542E-4</v>
      </c>
      <c r="S91" s="145">
        <f>S89/S$26</f>
        <v>1.237951816002494E-3</v>
      </c>
      <c r="T91" s="146">
        <f t="shared" ref="T91:V91" si="111">T89/T$26</f>
        <v>1.0060065954773868E-3</v>
      </c>
      <c r="U91" s="146">
        <f t="shared" si="111"/>
        <v>9.2341096363341411E-4</v>
      </c>
      <c r="V91" s="146">
        <f t="shared" si="111"/>
        <v>8.6342351312248134E-4</v>
      </c>
      <c r="W91" s="177">
        <f>CHOOSE(_Switch,W92,W93,W94)</f>
        <v>8.6342351312248134E-4</v>
      </c>
      <c r="X91" s="145">
        <f>X89/X$26</f>
        <v>9.0836990655128284E-4</v>
      </c>
      <c r="Y91" s="177">
        <f>CHOOSE(_Switch,Y92,Y93,Y94)</f>
        <v>8.6342351312248134E-4</v>
      </c>
      <c r="Z91" s="177">
        <f>CHOOSE(_Switch,Z92,Z93,Z94)</f>
        <v>8.6342351312248134E-4</v>
      </c>
      <c r="AA91" s="177">
        <f>CHOOSE(_Switch,AA92,AA93,AA94)</f>
        <v>8.6342351312248134E-4</v>
      </c>
      <c r="AB91" s="177">
        <f>CHOOSE(_Switch,AB92,AB93,AB94)</f>
        <v>8.6342351312248134E-4</v>
      </c>
      <c r="AC91" s="145">
        <f>AC89/AC$26</f>
        <v>8.6342351312248156E-4</v>
      </c>
      <c r="AD91" s="177">
        <f>CHOOSE(_Switch,AD92,AD93,AD94)</f>
        <v>8.6342351312248134E-4</v>
      </c>
      <c r="AE91" s="177">
        <f>CHOOSE(_Switch,AE92,AE93,AE94)</f>
        <v>8.6342351312248134E-4</v>
      </c>
      <c r="AF91" s="177">
        <f>CHOOSE(_Switch,AF92,AF93,AF94)</f>
        <v>8.6342351312248134E-4</v>
      </c>
      <c r="AG91" s="177">
        <f>CHOOSE(_Switch,AG92,AG93,AG94)</f>
        <v>8.6342351312248134E-4</v>
      </c>
      <c r="AH91" s="145">
        <f>AH89/AH$26</f>
        <v>8.6342351312248156E-4</v>
      </c>
      <c r="AI91" s="177">
        <f>CHOOSE(_Switch,AI92,AI93,AI94)</f>
        <v>8.6342351312248134E-4</v>
      </c>
      <c r="AJ91" s="177">
        <f>CHOOSE(_Switch,AJ92,AJ93,AJ94)</f>
        <v>8.6342351312248134E-4</v>
      </c>
      <c r="AK91" s="177">
        <f>CHOOSE(_Switch,AK92,AK93,AK94)</f>
        <v>8.6342351312248134E-4</v>
      </c>
      <c r="AL91" s="177">
        <f>CHOOSE(_Switch,AL92,AL93,AL94)</f>
        <v>8.6342351312248134E-4</v>
      </c>
      <c r="AM91" s="145">
        <f>AM89/AM$26</f>
        <v>8.6342351312248113E-4</v>
      </c>
      <c r="AN91" s="217"/>
      <c r="AO91" s="214"/>
      <c r="AP91" s="214"/>
      <c r="AQ91" s="214"/>
      <c r="AR91" s="214"/>
      <c r="AS91" s="214"/>
      <c r="AT91" s="214"/>
      <c r="AU91" s="214"/>
      <c r="AV91" s="214"/>
      <c r="AW91" s="214"/>
      <c r="AX91" s="214"/>
      <c r="AY91" s="214"/>
      <c r="AZ91" s="214"/>
      <c r="BA91" s="147"/>
    </row>
    <row r="92" spans="1:61" ht="12.75" hidden="1" customHeight="1" outlineLevel="1">
      <c r="A92" s="221"/>
      <c r="B92" s="225" t="s">
        <v>96</v>
      </c>
      <c r="C92" s="219"/>
      <c r="D92" s="219"/>
      <c r="E92" s="220"/>
      <c r="F92" s="220"/>
      <c r="G92" s="220"/>
      <c r="H92" s="220"/>
      <c r="I92" s="219"/>
      <c r="J92" s="220"/>
      <c r="K92" s="220"/>
      <c r="L92" s="220"/>
      <c r="M92" s="220"/>
      <c r="N92" s="219"/>
      <c r="O92" s="220"/>
      <c r="P92" s="220"/>
      <c r="Q92" s="220"/>
      <c r="R92" s="220"/>
      <c r="S92" s="219"/>
      <c r="T92" s="220"/>
      <c r="U92" s="220"/>
      <c r="V92" s="220"/>
      <c r="W92" s="181">
        <f>W93-0.0001</f>
        <v>7.634235131224813E-4</v>
      </c>
      <c r="X92" s="219"/>
      <c r="Y92" s="181">
        <f>Y93-0.0001</f>
        <v>7.634235131224813E-4</v>
      </c>
      <c r="Z92" s="181">
        <f>Z93-0.0001</f>
        <v>7.634235131224813E-4</v>
      </c>
      <c r="AA92" s="181">
        <f>AA93-0.0001</f>
        <v>7.634235131224813E-4</v>
      </c>
      <c r="AB92" s="181">
        <f>AB93-0.0001</f>
        <v>7.634235131224813E-4</v>
      </c>
      <c r="AC92" s="219"/>
      <c r="AD92" s="181">
        <f>AD93-0.0001</f>
        <v>7.634235131224813E-4</v>
      </c>
      <c r="AE92" s="181">
        <f>AE93-0.0001</f>
        <v>7.634235131224813E-4</v>
      </c>
      <c r="AF92" s="181">
        <f>AF93-0.0001</f>
        <v>7.634235131224813E-4</v>
      </c>
      <c r="AG92" s="181">
        <f>AG93-0.0001</f>
        <v>7.634235131224813E-4</v>
      </c>
      <c r="AH92" s="219"/>
      <c r="AI92" s="181">
        <f>AI93-0.0001</f>
        <v>7.634235131224813E-4</v>
      </c>
      <c r="AJ92" s="181">
        <f>AJ93-0.0001</f>
        <v>7.634235131224813E-4</v>
      </c>
      <c r="AK92" s="181">
        <f>AK93-0.0001</f>
        <v>7.634235131224813E-4</v>
      </c>
      <c r="AL92" s="181">
        <f>AL93-0.0001</f>
        <v>7.634235131224813E-4</v>
      </c>
      <c r="AM92" s="219"/>
      <c r="AN92" s="217"/>
      <c r="AO92" s="214"/>
      <c r="AP92" s="214"/>
      <c r="AQ92" s="214"/>
      <c r="AR92" s="214"/>
      <c r="AS92" s="214"/>
      <c r="AT92" s="214"/>
      <c r="AU92" s="214"/>
      <c r="AV92" s="214"/>
      <c r="AW92" s="214"/>
      <c r="AX92" s="214"/>
      <c r="AY92" s="214"/>
      <c r="AZ92" s="214"/>
      <c r="BA92" s="147"/>
    </row>
    <row r="93" spans="1:61" ht="12.75" hidden="1" customHeight="1" outlineLevel="1">
      <c r="A93" s="221"/>
      <c r="B93" s="225" t="s">
        <v>97</v>
      </c>
      <c r="C93" s="219"/>
      <c r="D93" s="219"/>
      <c r="E93" s="220"/>
      <c r="F93" s="220"/>
      <c r="G93" s="220"/>
      <c r="H93" s="220"/>
      <c r="I93" s="219"/>
      <c r="J93" s="220"/>
      <c r="K93" s="220"/>
      <c r="L93" s="220"/>
      <c r="M93" s="220"/>
      <c r="N93" s="219"/>
      <c r="O93" s="220"/>
      <c r="P93" s="220"/>
      <c r="Q93" s="220"/>
      <c r="R93" s="220"/>
      <c r="S93" s="219"/>
      <c r="T93" s="220"/>
      <c r="U93" s="220"/>
      <c r="V93" s="220"/>
      <c r="W93" s="181">
        <f>+V91</f>
        <v>8.6342351312248134E-4</v>
      </c>
      <c r="X93" s="219"/>
      <c r="Y93" s="181">
        <f>W93</f>
        <v>8.6342351312248134E-4</v>
      </c>
      <c r="Z93" s="181">
        <f>+Y93</f>
        <v>8.6342351312248134E-4</v>
      </c>
      <c r="AA93" s="181">
        <f t="shared" ref="AA93:AB93" si="112">+Z93</f>
        <v>8.6342351312248134E-4</v>
      </c>
      <c r="AB93" s="181">
        <f t="shared" si="112"/>
        <v>8.6342351312248134E-4</v>
      </c>
      <c r="AC93" s="219"/>
      <c r="AD93" s="181">
        <f>Y93</f>
        <v>8.6342351312248134E-4</v>
      </c>
      <c r="AE93" s="181">
        <f>+AD93</f>
        <v>8.6342351312248134E-4</v>
      </c>
      <c r="AF93" s="181">
        <f t="shared" ref="AF93:AG93" si="113">+AE93</f>
        <v>8.6342351312248134E-4</v>
      </c>
      <c r="AG93" s="181">
        <f t="shared" si="113"/>
        <v>8.6342351312248134E-4</v>
      </c>
      <c r="AH93" s="219"/>
      <c r="AI93" s="181">
        <f>AD93</f>
        <v>8.6342351312248134E-4</v>
      </c>
      <c r="AJ93" s="181">
        <f>+AI93</f>
        <v>8.6342351312248134E-4</v>
      </c>
      <c r="AK93" s="181">
        <f t="shared" ref="AK93:AL93" si="114">+AJ93</f>
        <v>8.6342351312248134E-4</v>
      </c>
      <c r="AL93" s="181">
        <f t="shared" si="114"/>
        <v>8.6342351312248134E-4</v>
      </c>
      <c r="AM93" s="219"/>
      <c r="AN93" s="217"/>
      <c r="AO93" s="214"/>
      <c r="AP93" s="214"/>
      <c r="AQ93" s="214"/>
      <c r="AR93" s="214"/>
      <c r="AS93" s="214"/>
      <c r="AT93" s="214"/>
      <c r="AU93" s="214"/>
      <c r="AV93" s="214"/>
      <c r="AW93" s="214"/>
      <c r="AX93" s="214"/>
      <c r="AY93" s="214"/>
      <c r="AZ93" s="214"/>
      <c r="BA93" s="147"/>
    </row>
    <row r="94" spans="1:61" ht="12.75" hidden="1" customHeight="1" outlineLevel="1">
      <c r="A94" s="221"/>
      <c r="B94" s="225" t="s">
        <v>98</v>
      </c>
      <c r="C94" s="219"/>
      <c r="D94" s="219"/>
      <c r="E94" s="220"/>
      <c r="F94" s="220"/>
      <c r="G94" s="220"/>
      <c r="H94" s="220"/>
      <c r="I94" s="219"/>
      <c r="J94" s="220"/>
      <c r="K94" s="220"/>
      <c r="L94" s="220"/>
      <c r="M94" s="220"/>
      <c r="N94" s="219"/>
      <c r="O94" s="220"/>
      <c r="P94" s="220"/>
      <c r="Q94" s="220"/>
      <c r="R94" s="220"/>
      <c r="S94" s="219"/>
      <c r="T94" s="220"/>
      <c r="U94" s="220"/>
      <c r="V94" s="220"/>
      <c r="W94" s="181">
        <f>+W93+0.0001</f>
        <v>9.6342351312248139E-4</v>
      </c>
      <c r="X94" s="219"/>
      <c r="Y94" s="181">
        <f>+Y93+0.0001</f>
        <v>9.6342351312248139E-4</v>
      </c>
      <c r="Z94" s="181">
        <f>+Z93+0.0001</f>
        <v>9.6342351312248139E-4</v>
      </c>
      <c r="AA94" s="181">
        <f>+AA93+0.0001</f>
        <v>9.6342351312248139E-4</v>
      </c>
      <c r="AB94" s="181">
        <f>+AB93+0.0001</f>
        <v>9.6342351312248139E-4</v>
      </c>
      <c r="AC94" s="219"/>
      <c r="AD94" s="181">
        <f>+AD93+0.0001</f>
        <v>9.6342351312248139E-4</v>
      </c>
      <c r="AE94" s="181">
        <f>+AE93+0.0001</f>
        <v>9.6342351312248139E-4</v>
      </c>
      <c r="AF94" s="181">
        <f>+AF93+0.0001</f>
        <v>9.6342351312248139E-4</v>
      </c>
      <c r="AG94" s="181">
        <f>+AG93+0.0001</f>
        <v>9.6342351312248139E-4</v>
      </c>
      <c r="AH94" s="219"/>
      <c r="AI94" s="181">
        <f>+AI93+0.0001</f>
        <v>9.6342351312248139E-4</v>
      </c>
      <c r="AJ94" s="181">
        <f>+AJ93+0.0001</f>
        <v>9.6342351312248139E-4</v>
      </c>
      <c r="AK94" s="181">
        <f>+AK93+0.0001</f>
        <v>9.6342351312248139E-4</v>
      </c>
      <c r="AL94" s="181">
        <f>+AL93+0.0001</f>
        <v>9.6342351312248139E-4</v>
      </c>
      <c r="AM94" s="219"/>
      <c r="AN94" s="217"/>
      <c r="AO94" s="214"/>
      <c r="AP94" s="214"/>
      <c r="AQ94" s="214"/>
      <c r="AR94" s="214"/>
      <c r="AS94" s="214"/>
      <c r="AT94" s="214"/>
      <c r="AU94" s="214"/>
      <c r="AV94" s="214"/>
      <c r="AW94" s="214"/>
      <c r="AX94" s="214"/>
      <c r="AY94" s="214"/>
      <c r="AZ94" s="214"/>
      <c r="BA94" s="147"/>
    </row>
    <row r="95" spans="1:61" ht="12.75" customHeight="1" collapsed="1">
      <c r="A95" s="221"/>
      <c r="B95" s="222"/>
      <c r="C95" s="219"/>
      <c r="D95" s="219"/>
      <c r="E95" s="220"/>
      <c r="F95" s="220"/>
      <c r="G95" s="220"/>
      <c r="H95" s="220"/>
      <c r="I95" s="219"/>
      <c r="J95" s="220"/>
      <c r="K95" s="220"/>
      <c r="L95" s="220"/>
      <c r="M95" s="220"/>
      <c r="N95" s="219"/>
      <c r="O95" s="220"/>
      <c r="P95" s="220"/>
      <c r="Q95" s="220"/>
      <c r="R95" s="220"/>
      <c r="S95" s="219"/>
      <c r="T95" s="220"/>
      <c r="U95" s="220"/>
      <c r="V95" s="220"/>
      <c r="W95" s="220"/>
      <c r="X95" s="219"/>
      <c r="Y95" s="220"/>
      <c r="Z95" s="220"/>
      <c r="AA95" s="220"/>
      <c r="AB95" s="220"/>
      <c r="AC95" s="219"/>
      <c r="AD95" s="220"/>
      <c r="AE95" s="220"/>
      <c r="AF95" s="220"/>
      <c r="AG95" s="220"/>
      <c r="AH95" s="219"/>
      <c r="AI95" s="220"/>
      <c r="AJ95" s="220"/>
      <c r="AK95" s="220"/>
      <c r="AL95" s="220"/>
      <c r="AM95" s="219"/>
      <c r="AN95" s="217"/>
      <c r="AO95" s="214"/>
      <c r="AP95" s="214"/>
      <c r="AQ95" s="214"/>
      <c r="AR95" s="214"/>
      <c r="AS95" s="214"/>
      <c r="AT95" s="214"/>
      <c r="AU95" s="214"/>
      <c r="AV95" s="214"/>
      <c r="AW95" s="214"/>
      <c r="AX95" s="214"/>
      <c r="AY95" s="214"/>
      <c r="AZ95" s="214"/>
      <c r="BA95" s="147"/>
    </row>
    <row r="96" spans="1:61" ht="12.75" customHeight="1">
      <c r="A96" s="209"/>
      <c r="B96" s="210" t="s">
        <v>123</v>
      </c>
      <c r="C96" s="211">
        <v>0</v>
      </c>
      <c r="D96" s="211">
        <v>2.4300000000000002</v>
      </c>
      <c r="E96" s="223">
        <v>0</v>
      </c>
      <c r="F96" s="223">
        <v>0</v>
      </c>
      <c r="G96" s="223">
        <v>0</v>
      </c>
      <c r="H96" s="223">
        <v>0</v>
      </c>
      <c r="I96" s="151">
        <f>+SUM(E96:H96)</f>
        <v>0</v>
      </c>
      <c r="J96" s="223">
        <v>0</v>
      </c>
      <c r="K96" s="223">
        <v>0</v>
      </c>
      <c r="L96" s="223">
        <v>0</v>
      </c>
      <c r="M96" s="223">
        <v>0</v>
      </c>
      <c r="N96" s="151">
        <f>+SUM(J96:M96)</f>
        <v>0</v>
      </c>
      <c r="O96" s="223">
        <v>0</v>
      </c>
      <c r="P96" s="223">
        <v>0</v>
      </c>
      <c r="Q96" s="223">
        <v>0</v>
      </c>
      <c r="R96" s="223">
        <v>0</v>
      </c>
      <c r="S96" s="151">
        <f>+SUM(O96:R96)</f>
        <v>0</v>
      </c>
      <c r="T96" s="223">
        <v>0</v>
      </c>
      <c r="U96" s="223">
        <v>0</v>
      </c>
      <c r="V96" s="223">
        <v>0</v>
      </c>
      <c r="W96" s="223">
        <v>0</v>
      </c>
      <c r="X96" s="151">
        <f>+SUM(T96:W96)</f>
        <v>0</v>
      </c>
      <c r="Y96" s="223">
        <v>0</v>
      </c>
      <c r="Z96" s="223">
        <v>0</v>
      </c>
      <c r="AA96" s="223">
        <v>0</v>
      </c>
      <c r="AB96" s="223">
        <v>0</v>
      </c>
      <c r="AC96" s="151">
        <f>+SUM(Y96:AB96)</f>
        <v>0</v>
      </c>
      <c r="AD96" s="223">
        <v>0</v>
      </c>
      <c r="AE96" s="223">
        <v>0</v>
      </c>
      <c r="AF96" s="223">
        <v>0</v>
      </c>
      <c r="AG96" s="223">
        <v>0</v>
      </c>
      <c r="AH96" s="151">
        <f>+SUM(AD96:AG96)</f>
        <v>0</v>
      </c>
      <c r="AI96" s="223">
        <v>0</v>
      </c>
      <c r="AJ96" s="223">
        <v>0</v>
      </c>
      <c r="AK96" s="223">
        <v>0</v>
      </c>
      <c r="AL96" s="223">
        <v>0</v>
      </c>
      <c r="AM96" s="151">
        <f>+SUM(AI96:AL96)</f>
        <v>0</v>
      </c>
      <c r="AN96" s="217"/>
      <c r="AO96" s="214"/>
      <c r="AP96" s="214"/>
      <c r="AQ96" s="214"/>
      <c r="AR96" s="214"/>
      <c r="AS96" s="214"/>
      <c r="AT96" s="214"/>
      <c r="AU96" s="214"/>
      <c r="AV96" s="214"/>
      <c r="AW96" s="214"/>
      <c r="AX96" s="214"/>
      <c r="AY96" s="214"/>
      <c r="AZ96" s="214"/>
      <c r="BA96" s="214"/>
    </row>
    <row r="97" spans="1:70" ht="12.75">
      <c r="A97" s="249"/>
      <c r="B97" s="250"/>
      <c r="C97" s="251"/>
      <c r="D97" s="251"/>
      <c r="E97" s="252"/>
      <c r="F97" s="252"/>
      <c r="G97" s="252"/>
      <c r="H97" s="252"/>
      <c r="I97" s="251"/>
      <c r="J97" s="252"/>
      <c r="K97" s="252"/>
      <c r="L97" s="252"/>
      <c r="M97" s="252"/>
      <c r="N97" s="251"/>
      <c r="O97" s="252"/>
      <c r="P97" s="252"/>
      <c r="Q97" s="252"/>
      <c r="R97" s="252"/>
      <c r="S97" s="251"/>
      <c r="T97" s="252"/>
      <c r="U97" s="252"/>
      <c r="V97" s="252"/>
      <c r="W97" s="252"/>
      <c r="X97" s="251"/>
      <c r="Y97" s="252"/>
      <c r="Z97" s="252"/>
      <c r="AA97" s="252"/>
      <c r="AB97" s="252"/>
      <c r="AC97" s="251"/>
      <c r="AD97" s="252"/>
      <c r="AE97" s="252"/>
      <c r="AF97" s="252"/>
      <c r="AG97" s="252"/>
      <c r="AH97" s="251"/>
      <c r="AI97" s="252"/>
      <c r="AJ97" s="252"/>
      <c r="AK97" s="252"/>
      <c r="AL97" s="252"/>
      <c r="AM97" s="251"/>
      <c r="AN97" s="217"/>
      <c r="AO97" s="214"/>
      <c r="AP97" s="214"/>
      <c r="AQ97" s="214"/>
      <c r="AR97" s="214"/>
      <c r="AS97" s="214"/>
      <c r="AT97" s="214"/>
      <c r="AU97" s="214"/>
      <c r="AV97" s="214"/>
      <c r="AW97" s="214"/>
      <c r="AX97" s="214"/>
      <c r="AY97" s="214"/>
      <c r="AZ97" s="214"/>
      <c r="BA97" s="208"/>
    </row>
    <row r="98" spans="1:70" ht="12.75" customHeight="1">
      <c r="A98" s="253"/>
      <c r="B98" s="254" t="s">
        <v>44</v>
      </c>
      <c r="C98" s="255">
        <f t="shared" ref="C98:AM98" si="115">C52+C48-C57-C64-C71-C78-C89-C96</f>
        <v>-85.36099999999999</v>
      </c>
      <c r="D98" s="255">
        <f t="shared" si="115"/>
        <v>-104.94200000000004</v>
      </c>
      <c r="E98" s="256">
        <f t="shared" si="115"/>
        <v>-44.344999999999992</v>
      </c>
      <c r="F98" s="256">
        <f t="shared" si="115"/>
        <v>-35.590000000000011</v>
      </c>
      <c r="G98" s="256">
        <f t="shared" si="115"/>
        <v>-35.990999999999985</v>
      </c>
      <c r="H98" s="256">
        <f t="shared" si="115"/>
        <v>-34.56500000000004</v>
      </c>
      <c r="I98" s="255">
        <f t="shared" si="115"/>
        <v>-150.49100000000013</v>
      </c>
      <c r="J98" s="256">
        <f t="shared" si="115"/>
        <v>-46.34999999999998</v>
      </c>
      <c r="K98" s="256">
        <f t="shared" si="115"/>
        <v>-28.074000000000012</v>
      </c>
      <c r="L98" s="256">
        <f t="shared" si="115"/>
        <v>-52.216999999999999</v>
      </c>
      <c r="M98" s="256">
        <f t="shared" si="115"/>
        <v>-47.816999999999979</v>
      </c>
      <c r="N98" s="255">
        <f t="shared" si="115"/>
        <v>-174.45799999999997</v>
      </c>
      <c r="O98" s="256">
        <f t="shared" si="115"/>
        <v>-47.133000000000017</v>
      </c>
      <c r="P98" s="256">
        <f t="shared" si="115"/>
        <v>-29.191000000000088</v>
      </c>
      <c r="Q98" s="256">
        <f t="shared" si="115"/>
        <v>-31.982000000000042</v>
      </c>
      <c r="R98" s="256">
        <f t="shared" si="115"/>
        <v>-13.938999999999933</v>
      </c>
      <c r="S98" s="255">
        <f t="shared" si="115"/>
        <v>-122.24500000000027</v>
      </c>
      <c r="T98" s="256">
        <f t="shared" si="115"/>
        <v>-14.081999999999983</v>
      </c>
      <c r="U98" s="256">
        <f t="shared" si="115"/>
        <v>-12.221999999999968</v>
      </c>
      <c r="V98" s="256">
        <f t="shared" si="115"/>
        <v>-14.828999999999928</v>
      </c>
      <c r="W98" s="256">
        <f t="shared" si="115"/>
        <v>-18.354398172825611</v>
      </c>
      <c r="X98" s="255">
        <f t="shared" si="115"/>
        <v>-59.487398172826204</v>
      </c>
      <c r="Y98" s="256">
        <f t="shared" si="115"/>
        <v>-0.21192816289597075</v>
      </c>
      <c r="Z98" s="256">
        <f t="shared" si="115"/>
        <v>10.808242288945715</v>
      </c>
      <c r="AA98" s="256">
        <f t="shared" si="115"/>
        <v>15.895347321814846</v>
      </c>
      <c r="AB98" s="256">
        <f t="shared" si="115"/>
        <v>8.1484154499268353</v>
      </c>
      <c r="AC98" s="255">
        <f t="shared" si="115"/>
        <v>34.640076897791076</v>
      </c>
      <c r="AD98" s="256">
        <f t="shared" si="115"/>
        <v>30.685654392679751</v>
      </c>
      <c r="AE98" s="256">
        <f t="shared" si="115"/>
        <v>52.163183476903285</v>
      </c>
      <c r="AF98" s="256">
        <f t="shared" si="115"/>
        <v>61.427159070199494</v>
      </c>
      <c r="AG98" s="256">
        <f t="shared" si="115"/>
        <v>53.178133074266633</v>
      </c>
      <c r="AH98" s="255">
        <f t="shared" si="115"/>
        <v>197.45413001404862</v>
      </c>
      <c r="AI98" s="256">
        <f t="shared" si="115"/>
        <v>70.926139631376358</v>
      </c>
      <c r="AJ98" s="256">
        <f t="shared" si="115"/>
        <v>106.24768529646103</v>
      </c>
      <c r="AK98" s="256">
        <f t="shared" si="115"/>
        <v>121.58010636308023</v>
      </c>
      <c r="AL98" s="256">
        <f t="shared" si="115"/>
        <v>113.4335532603336</v>
      </c>
      <c r="AM98" s="255">
        <f t="shared" si="115"/>
        <v>412.18748455125183</v>
      </c>
      <c r="AN98" s="217"/>
      <c r="AO98" s="214"/>
      <c r="AP98" s="214"/>
      <c r="AQ98" s="214"/>
      <c r="AR98" s="214"/>
      <c r="AS98" s="214"/>
      <c r="AT98" s="214"/>
      <c r="AU98" s="214"/>
      <c r="AV98" s="214"/>
      <c r="AW98" s="214"/>
      <c r="AX98" s="214"/>
      <c r="AY98" s="214"/>
      <c r="AZ98" s="214"/>
      <c r="BA98" s="257"/>
    </row>
    <row r="99" spans="1:70" ht="12.75" customHeight="1">
      <c r="A99" s="221"/>
      <c r="B99" s="215" t="s">
        <v>26</v>
      </c>
      <c r="C99" s="145"/>
      <c r="D99" s="145">
        <f>D98/C98-1</f>
        <v>0.2293904710582122</v>
      </c>
      <c r="E99" s="146"/>
      <c r="F99" s="146"/>
      <c r="G99" s="146"/>
      <c r="H99" s="146"/>
      <c r="I99" s="145">
        <f t="shared" ref="I99:AM99" si="116">+I98/D98-1</f>
        <v>0.434039755293401</v>
      </c>
      <c r="J99" s="146">
        <f t="shared" si="116"/>
        <v>4.521366557672768E-2</v>
      </c>
      <c r="K99" s="146">
        <f t="shared" si="116"/>
        <v>-0.21118291654959243</v>
      </c>
      <c r="L99" s="146">
        <f t="shared" si="116"/>
        <v>0.45083493095496152</v>
      </c>
      <c r="M99" s="146">
        <f t="shared" si="116"/>
        <v>0.38339360624909369</v>
      </c>
      <c r="N99" s="145">
        <f t="shared" si="116"/>
        <v>0.15925869321088859</v>
      </c>
      <c r="O99" s="146">
        <f t="shared" si="116"/>
        <v>1.6893203883495911E-2</v>
      </c>
      <c r="P99" s="146">
        <f t="shared" si="116"/>
        <v>3.9787703925342921E-2</v>
      </c>
      <c r="Q99" s="146">
        <f t="shared" si="116"/>
        <v>-0.38751747515176971</v>
      </c>
      <c r="R99" s="146">
        <f t="shared" si="116"/>
        <v>-0.70849279544931854</v>
      </c>
      <c r="S99" s="145">
        <f t="shared" si="116"/>
        <v>-0.29928693439108389</v>
      </c>
      <c r="T99" s="146">
        <f t="shared" si="116"/>
        <v>-0.70122843867354123</v>
      </c>
      <c r="U99" s="146">
        <f t="shared" si="116"/>
        <v>-0.58130930766332334</v>
      </c>
      <c r="V99" s="146">
        <f t="shared" si="116"/>
        <v>-0.53633293727722131</v>
      </c>
      <c r="W99" s="146">
        <f t="shared" si="116"/>
        <v>0.31676577751816493</v>
      </c>
      <c r="X99" s="145">
        <f t="shared" si="116"/>
        <v>-0.51337561313079416</v>
      </c>
      <c r="Y99" s="146">
        <f t="shared" si="116"/>
        <v>-0.98495042160943258</v>
      </c>
      <c r="Z99" s="146">
        <f t="shared" si="116"/>
        <v>-1.8843268114012228</v>
      </c>
      <c r="AA99" s="146">
        <f t="shared" si="116"/>
        <v>-2.0719095907893266</v>
      </c>
      <c r="AB99" s="146">
        <f t="shared" si="116"/>
        <v>-1.4439489311063807</v>
      </c>
      <c r="AC99" s="145">
        <f t="shared" si="116"/>
        <v>-1.5823094968307865</v>
      </c>
      <c r="AD99" s="146">
        <f t="shared" si="116"/>
        <v>-145.79271642505782</v>
      </c>
      <c r="AE99" s="146">
        <f t="shared" si="116"/>
        <v>3.8262411299063794</v>
      </c>
      <c r="AF99" s="146">
        <f t="shared" si="116"/>
        <v>2.864474165084558</v>
      </c>
      <c r="AG99" s="146">
        <f t="shared" si="116"/>
        <v>5.5261931477418864</v>
      </c>
      <c r="AH99" s="145">
        <f t="shared" si="116"/>
        <v>4.7001643095844239</v>
      </c>
      <c r="AI99" s="146">
        <f t="shared" si="116"/>
        <v>1.3113777768511992</v>
      </c>
      <c r="AJ99" s="146">
        <f t="shared" si="116"/>
        <v>1.036832842909313</v>
      </c>
      <c r="AK99" s="146">
        <f t="shared" si="116"/>
        <v>0.97925654064739387</v>
      </c>
      <c r="AL99" s="146">
        <f t="shared" si="116"/>
        <v>1.1330864154617171</v>
      </c>
      <c r="AM99" s="145">
        <f t="shared" si="116"/>
        <v>1.087510068905245</v>
      </c>
      <c r="AN99" s="190"/>
      <c r="AO99" s="147"/>
      <c r="AP99" s="147"/>
      <c r="AQ99" s="147"/>
      <c r="AR99" s="147"/>
      <c r="AS99" s="147"/>
      <c r="AT99" s="147"/>
      <c r="AU99" s="147"/>
      <c r="AV99" s="147"/>
      <c r="AW99" s="147"/>
      <c r="AX99" s="147"/>
      <c r="AY99" s="147"/>
      <c r="AZ99" s="147"/>
      <c r="BA99" s="147"/>
    </row>
    <row r="100" spans="1:70" ht="12.75" customHeight="1">
      <c r="A100" s="221"/>
      <c r="B100" s="215" t="s">
        <v>45</v>
      </c>
      <c r="C100" s="145">
        <f t="shared" ref="C100:AM100" si="117">C98/C16</f>
        <v>-0.4195695235661025</v>
      </c>
      <c r="D100" s="145">
        <f t="shared" si="117"/>
        <v>-0.18996330776763887</v>
      </c>
      <c r="E100" s="146">
        <f t="shared" si="117"/>
        <v>-0.26862407773106689</v>
      </c>
      <c r="F100" s="146">
        <f t="shared" si="117"/>
        <v>-0.17210197489313145</v>
      </c>
      <c r="G100" s="146">
        <f t="shared" si="117"/>
        <v>-0.15825784891390371</v>
      </c>
      <c r="H100" s="146">
        <f t="shared" si="117"/>
        <v>-0.13776734397793508</v>
      </c>
      <c r="I100" s="145">
        <f t="shared" si="117"/>
        <v>-0.17700825225360875</v>
      </c>
      <c r="J100" s="146">
        <f t="shared" si="117"/>
        <v>-0.18498784707671298</v>
      </c>
      <c r="K100" s="146">
        <f t="shared" si="117"/>
        <v>-9.0557492750304072E-2</v>
      </c>
      <c r="L100" s="146">
        <f t="shared" si="117"/>
        <v>-0.15719110864931907</v>
      </c>
      <c r="M100" s="146">
        <f t="shared" si="117"/>
        <v>-0.12772999252056838</v>
      </c>
      <c r="N100" s="145">
        <f t="shared" si="117"/>
        <v>-0.13768094210641785</v>
      </c>
      <c r="O100" s="146">
        <f t="shared" si="117"/>
        <v>-0.1242732730594908</v>
      </c>
      <c r="P100" s="146">
        <f t="shared" si="117"/>
        <v>-6.6565115966187471E-2</v>
      </c>
      <c r="Q100" s="146">
        <f t="shared" si="117"/>
        <v>-7.2851604320709348E-2</v>
      </c>
      <c r="R100" s="146">
        <f t="shared" si="117"/>
        <v>-3.0844159436356523E-2</v>
      </c>
      <c r="S100" s="145">
        <f t="shared" si="117"/>
        <v>-7.1541814023471526E-2</v>
      </c>
      <c r="T100" s="146">
        <f t="shared" si="117"/>
        <v>-3.0509972830914653E-2</v>
      </c>
      <c r="U100" s="146">
        <f t="shared" si="117"/>
        <v>-2.2161177142546246E-2</v>
      </c>
      <c r="V100" s="146">
        <f t="shared" si="117"/>
        <v>-2.5341830169235927E-2</v>
      </c>
      <c r="W100" s="146">
        <f t="shared" si="117"/>
        <v>-3.0692046919950422E-2</v>
      </c>
      <c r="X100" s="145">
        <f t="shared" si="117"/>
        <v>-2.7086067576414744E-2</v>
      </c>
      <c r="Y100" s="146">
        <f t="shared" si="117"/>
        <v>-3.4803141594818979E-4</v>
      </c>
      <c r="Z100" s="146">
        <f t="shared" si="117"/>
        <v>1.476106266889457E-2</v>
      </c>
      <c r="AA100" s="146">
        <f t="shared" si="117"/>
        <v>2.0421659881684609E-2</v>
      </c>
      <c r="AB100" s="146">
        <f t="shared" si="117"/>
        <v>1.0180541962621864E-2</v>
      </c>
      <c r="AC100" s="145">
        <f t="shared" si="117"/>
        <v>1.1863464949427695E-2</v>
      </c>
      <c r="AD100" s="146">
        <f t="shared" si="117"/>
        <v>3.845593834599776E-2</v>
      </c>
      <c r="AE100" s="146">
        <f t="shared" si="117"/>
        <v>5.4360441533840662E-2</v>
      </c>
      <c r="AF100" s="146">
        <f t="shared" si="117"/>
        <v>6.0155373155689196E-2</v>
      </c>
      <c r="AG100" s="146">
        <f t="shared" si="117"/>
        <v>5.050125375000418E-2</v>
      </c>
      <c r="AH100" s="145">
        <f t="shared" si="117"/>
        <v>5.1532121257388437E-2</v>
      </c>
      <c r="AI100" s="146">
        <f t="shared" si="117"/>
        <v>6.9027322558712245E-2</v>
      </c>
      <c r="AJ100" s="146">
        <f t="shared" si="117"/>
        <v>8.5975918703626503E-2</v>
      </c>
      <c r="AK100" s="146">
        <f t="shared" si="117"/>
        <v>9.2357207415724119E-2</v>
      </c>
      <c r="AL100" s="146">
        <f t="shared" si="117"/>
        <v>8.3344537097198523E-2</v>
      </c>
      <c r="AM100" s="145">
        <f t="shared" si="117"/>
        <v>8.3426539070556846E-2</v>
      </c>
      <c r="AN100" s="190"/>
      <c r="AO100" s="147"/>
      <c r="AP100" s="147"/>
      <c r="AQ100" s="147"/>
      <c r="AR100" s="147"/>
      <c r="AS100" s="147"/>
      <c r="AT100" s="147"/>
      <c r="AU100" s="147"/>
      <c r="AV100" s="147"/>
      <c r="AW100" s="147"/>
      <c r="AX100" s="147"/>
      <c r="AY100" s="147"/>
      <c r="AZ100" s="147"/>
      <c r="BA100" s="147"/>
    </row>
    <row r="101" spans="1:70" ht="12.75" customHeight="1">
      <c r="A101" s="249"/>
      <c r="B101" s="258" t="s">
        <v>124</v>
      </c>
      <c r="C101" s="259"/>
      <c r="D101" s="259">
        <f>+(D100-C100)*10000</f>
        <v>2296.0621579846361</v>
      </c>
      <c r="E101" s="260"/>
      <c r="F101" s="260"/>
      <c r="G101" s="260"/>
      <c r="H101" s="260"/>
      <c r="I101" s="259">
        <f t="shared" ref="I101:AM101" si="118">+(I100-D100)*10000</f>
        <v>129.55055514030119</v>
      </c>
      <c r="J101" s="260">
        <f t="shared" si="118"/>
        <v>836.36230654353915</v>
      </c>
      <c r="K101" s="260">
        <f t="shared" si="118"/>
        <v>815.44482142827371</v>
      </c>
      <c r="L101" s="260">
        <f t="shared" si="118"/>
        <v>10.667402645846424</v>
      </c>
      <c r="M101" s="260">
        <f t="shared" si="118"/>
        <v>100.37351457366699</v>
      </c>
      <c r="N101" s="259">
        <f t="shared" si="118"/>
        <v>393.273101471909</v>
      </c>
      <c r="O101" s="260">
        <f t="shared" si="118"/>
        <v>607.14574017222174</v>
      </c>
      <c r="P101" s="260">
        <f t="shared" si="118"/>
        <v>239.92376784116601</v>
      </c>
      <c r="Q101" s="260">
        <f t="shared" si="118"/>
        <v>843.39504328609723</v>
      </c>
      <c r="R101" s="260">
        <f t="shared" si="118"/>
        <v>968.85833084211868</v>
      </c>
      <c r="S101" s="259">
        <f t="shared" si="118"/>
        <v>661.3912808294632</v>
      </c>
      <c r="T101" s="260">
        <f t="shared" si="118"/>
        <v>937.63300228576156</v>
      </c>
      <c r="U101" s="260">
        <f t="shared" si="118"/>
        <v>444.03938823641226</v>
      </c>
      <c r="V101" s="260">
        <f t="shared" si="118"/>
        <v>475.0977415147342</v>
      </c>
      <c r="W101" s="260">
        <f t="shared" si="118"/>
        <v>1.5211251640610128</v>
      </c>
      <c r="X101" s="259">
        <f t="shared" si="118"/>
        <v>444.55746447056782</v>
      </c>
      <c r="Y101" s="260">
        <f t="shared" si="118"/>
        <v>301.61941414966464</v>
      </c>
      <c r="Z101" s="260">
        <f t="shared" si="118"/>
        <v>369.22239811440812</v>
      </c>
      <c r="AA101" s="260">
        <f t="shared" si="118"/>
        <v>457.63490050920535</v>
      </c>
      <c r="AB101" s="260">
        <f t="shared" si="118"/>
        <v>408.72588882572285</v>
      </c>
      <c r="AC101" s="259">
        <f t="shared" si="118"/>
        <v>389.49532525842443</v>
      </c>
      <c r="AD101" s="260">
        <f t="shared" si="118"/>
        <v>388.0396976194595</v>
      </c>
      <c r="AE101" s="260">
        <f t="shared" si="118"/>
        <v>395.9937886494609</v>
      </c>
      <c r="AF101" s="260">
        <f t="shared" si="118"/>
        <v>397.33713274004589</v>
      </c>
      <c r="AG101" s="260">
        <f t="shared" si="118"/>
        <v>403.20711787382317</v>
      </c>
      <c r="AH101" s="259">
        <f t="shared" si="118"/>
        <v>396.68656307960742</v>
      </c>
      <c r="AI101" s="260">
        <f t="shared" si="118"/>
        <v>305.71384212714486</v>
      </c>
      <c r="AJ101" s="260">
        <f t="shared" si="118"/>
        <v>316.15477169785839</v>
      </c>
      <c r="AK101" s="260">
        <f t="shared" si="118"/>
        <v>322.01834260034923</v>
      </c>
      <c r="AL101" s="260">
        <f t="shared" si="118"/>
        <v>328.43283347194341</v>
      </c>
      <c r="AM101" s="259">
        <f t="shared" si="118"/>
        <v>318.94417813168411</v>
      </c>
      <c r="AN101" s="207"/>
      <c r="AO101" s="208"/>
      <c r="AP101" s="208"/>
      <c r="AQ101" s="208"/>
      <c r="AR101" s="208"/>
      <c r="AS101" s="208"/>
      <c r="AT101" s="208"/>
      <c r="AU101" s="208"/>
      <c r="AV101" s="208"/>
      <c r="AW101" s="208"/>
      <c r="AX101" s="208"/>
      <c r="AY101" s="208"/>
      <c r="AZ101" s="208"/>
      <c r="BA101" s="208"/>
    </row>
    <row r="102" spans="1:70" ht="13.5" customHeight="1">
      <c r="A102" s="261"/>
      <c r="B102" s="262"/>
      <c r="C102" s="163"/>
      <c r="D102" s="163">
        <f>D98+D103+D154-D48+D96</f>
        <v>-54.235000000000035</v>
      </c>
      <c r="E102" s="176"/>
      <c r="F102" s="176"/>
      <c r="G102" s="176"/>
      <c r="H102" s="176"/>
      <c r="I102" s="163"/>
      <c r="J102" s="176"/>
      <c r="K102" s="176"/>
      <c r="L102" s="176"/>
      <c r="M102" s="176"/>
      <c r="N102" s="163"/>
      <c r="O102" s="176"/>
      <c r="P102" s="176"/>
      <c r="Q102" s="176"/>
      <c r="R102" s="176"/>
      <c r="S102" s="163"/>
      <c r="T102" s="176"/>
      <c r="U102" s="176"/>
      <c r="V102" s="176"/>
      <c r="W102" s="176"/>
      <c r="X102" s="163"/>
      <c r="Y102" s="176"/>
      <c r="Z102" s="176"/>
      <c r="AA102" s="176"/>
      <c r="AB102" s="176"/>
      <c r="AC102" s="163"/>
      <c r="AD102" s="176"/>
      <c r="AE102" s="176"/>
      <c r="AF102" s="176"/>
      <c r="AG102" s="176"/>
      <c r="AH102" s="163"/>
      <c r="AI102" s="176"/>
      <c r="AJ102" s="176"/>
      <c r="AK102" s="176"/>
      <c r="AL102" s="176"/>
      <c r="AM102" s="163"/>
      <c r="AN102" s="263"/>
      <c r="AO102" s="264"/>
      <c r="AP102" s="264"/>
      <c r="AQ102" s="264"/>
      <c r="AR102" s="264"/>
      <c r="AS102" s="264"/>
      <c r="AT102" s="264"/>
      <c r="AU102" s="264"/>
      <c r="AV102" s="264"/>
      <c r="AW102" s="264"/>
      <c r="AX102" s="264"/>
      <c r="AY102" s="264"/>
      <c r="AZ102" s="264"/>
      <c r="BA102" s="264"/>
    </row>
    <row r="103" spans="1:70" ht="12.75" customHeight="1">
      <c r="A103" s="253"/>
      <c r="B103" s="210" t="s">
        <v>125</v>
      </c>
      <c r="C103" s="211">
        <v>3.58</v>
      </c>
      <c r="D103" s="211">
        <v>8.2720000000000002</v>
      </c>
      <c r="E103" s="223">
        <v>3.794</v>
      </c>
      <c r="F103" s="223">
        <v>3.919</v>
      </c>
      <c r="G103" s="223">
        <v>5.13</v>
      </c>
      <c r="H103" s="223">
        <v>5.7430000000000003</v>
      </c>
      <c r="I103" s="151">
        <f>SUM(E103:H103)</f>
        <v>18.585999999999999</v>
      </c>
      <c r="J103" s="223">
        <v>5.5460000000000003</v>
      </c>
      <c r="K103" s="223">
        <v>6.41</v>
      </c>
      <c r="L103" s="223">
        <v>6.57</v>
      </c>
      <c r="M103" s="223">
        <v>9.1</v>
      </c>
      <c r="N103" s="151">
        <f>+SUM(J103:M103)</f>
        <v>27.625999999999998</v>
      </c>
      <c r="O103" s="223">
        <v>9.1180000000000003</v>
      </c>
      <c r="P103" s="223">
        <v>9.0180000000000007</v>
      </c>
      <c r="Q103" s="223">
        <v>9.6809999999999992</v>
      </c>
      <c r="R103" s="223">
        <v>9.9280000000000008</v>
      </c>
      <c r="S103" s="151">
        <f>+SUM(O103:R103)</f>
        <v>37.745000000000005</v>
      </c>
      <c r="T103" s="223">
        <v>9.4369999999999994</v>
      </c>
      <c r="U103" s="223">
        <v>9.125</v>
      </c>
      <c r="V103" s="223">
        <v>9.0820000000000007</v>
      </c>
      <c r="W103" s="135">
        <f t="shared" ref="W103" si="119">W$26*W105</f>
        <v>10.63991281524445</v>
      </c>
      <c r="X103" s="151">
        <f>+SUM(T103:W103)</f>
        <v>38.283912815244449</v>
      </c>
      <c r="Y103" s="265">
        <f t="shared" ref="Y103:AB103" si="120">Y$26*Y105</f>
        <v>10.788079658582083</v>
      </c>
      <c r="Z103" s="135">
        <f t="shared" si="120"/>
        <v>10.171257708478771</v>
      </c>
      <c r="AA103" s="135">
        <f t="shared" si="120"/>
        <v>10.816427264247416</v>
      </c>
      <c r="AB103" s="135">
        <f t="shared" si="120"/>
        <v>14.198083466271305</v>
      </c>
      <c r="AC103" s="151">
        <f>+SUM(Y103:AB103)</f>
        <v>45.973848097579577</v>
      </c>
      <c r="AD103" s="265">
        <f t="shared" ref="AD103:AG103" si="121">AD$26*AD105</f>
        <v>13.33632126009959</v>
      </c>
      <c r="AE103" s="135">
        <f t="shared" si="121"/>
        <v>12.235031809016652</v>
      </c>
      <c r="AF103" s="135">
        <f t="shared" si="121"/>
        <v>13.028850086090175</v>
      </c>
      <c r="AG103" s="135">
        <f t="shared" si="121"/>
        <v>17.633472984316171</v>
      </c>
      <c r="AH103" s="151">
        <f>+SUM(AD103:AG103)</f>
        <v>56.233676139522586</v>
      </c>
      <c r="AI103" s="265">
        <f t="shared" ref="AI103:AL103" si="122">AI$26*AI105</f>
        <v>16.525480309274897</v>
      </c>
      <c r="AJ103" s="135">
        <f t="shared" si="122"/>
        <v>14.806760386223242</v>
      </c>
      <c r="AK103" s="135">
        <f t="shared" si="122"/>
        <v>15.786382215887194</v>
      </c>
      <c r="AL103" s="135">
        <f t="shared" si="122"/>
        <v>21.937888552088463</v>
      </c>
      <c r="AM103" s="151">
        <f>+SUM(AI103:AL103)</f>
        <v>69.056511463473797</v>
      </c>
      <c r="AN103" s="238"/>
      <c r="AO103" s="257"/>
      <c r="AP103" s="257"/>
      <c r="AQ103" s="257"/>
      <c r="AR103" s="257"/>
      <c r="AS103" s="257"/>
      <c r="AT103" s="257"/>
      <c r="AU103" s="257"/>
      <c r="AV103" s="257"/>
      <c r="AW103" s="257"/>
      <c r="AX103" s="257"/>
      <c r="AY103" s="257"/>
      <c r="AZ103" s="257"/>
      <c r="BA103" s="257"/>
    </row>
    <row r="104" spans="1:70" ht="12.75" customHeight="1">
      <c r="A104" s="221"/>
      <c r="B104" s="215" t="s">
        <v>26</v>
      </c>
      <c r="C104" s="145"/>
      <c r="D104" s="145">
        <f>D103/C103-1</f>
        <v>1.3106145251396648</v>
      </c>
      <c r="E104" s="146"/>
      <c r="F104" s="146"/>
      <c r="G104" s="146"/>
      <c r="H104" s="146"/>
      <c r="I104" s="145">
        <f t="shared" ref="I104:AM104" si="123">+I103/D103-1</f>
        <v>1.2468568665377173</v>
      </c>
      <c r="J104" s="146">
        <f t="shared" si="123"/>
        <v>0.46178176067474963</v>
      </c>
      <c r="K104" s="146">
        <f t="shared" si="123"/>
        <v>0.63562133197244197</v>
      </c>
      <c r="L104" s="146">
        <f t="shared" si="123"/>
        <v>0.2807017543859649</v>
      </c>
      <c r="M104" s="146">
        <f t="shared" si="123"/>
        <v>0.58453769806721212</v>
      </c>
      <c r="N104" s="145">
        <f t="shared" si="123"/>
        <v>0.48638760357258159</v>
      </c>
      <c r="O104" s="146">
        <f t="shared" si="123"/>
        <v>0.64406779661016955</v>
      </c>
      <c r="P104" s="146">
        <f t="shared" si="123"/>
        <v>0.40686427457098295</v>
      </c>
      <c r="Q104" s="146">
        <f t="shared" si="123"/>
        <v>0.47351598173515952</v>
      </c>
      <c r="R104" s="146">
        <f t="shared" si="123"/>
        <v>9.0989010989011021E-2</v>
      </c>
      <c r="S104" s="145">
        <f t="shared" si="123"/>
        <v>0.3662853833345403</v>
      </c>
      <c r="T104" s="146">
        <f t="shared" si="123"/>
        <v>3.4985742487387395E-2</v>
      </c>
      <c r="U104" s="146">
        <f t="shared" si="123"/>
        <v>1.1865158571745305E-2</v>
      </c>
      <c r="V104" s="146">
        <f t="shared" si="123"/>
        <v>-6.1873773370519469E-2</v>
      </c>
      <c r="W104" s="146">
        <f t="shared" si="123"/>
        <v>7.1707576072164603E-2</v>
      </c>
      <c r="X104" s="145">
        <f t="shared" si="123"/>
        <v>1.4277727255118444E-2</v>
      </c>
      <c r="Y104" s="146">
        <f t="shared" si="123"/>
        <v>0.14316834360306063</v>
      </c>
      <c r="Z104" s="146">
        <f t="shared" si="123"/>
        <v>0.11465837901137221</v>
      </c>
      <c r="AA104" s="146">
        <f t="shared" si="123"/>
        <v>0.19097415373787885</v>
      </c>
      <c r="AB104" s="146">
        <f t="shared" si="123"/>
        <v>0.33441727510481534</v>
      </c>
      <c r="AC104" s="145">
        <f t="shared" si="123"/>
        <v>0.20086596998186246</v>
      </c>
      <c r="AD104" s="146">
        <f t="shared" si="123"/>
        <v>0.23620900866173544</v>
      </c>
      <c r="AE104" s="146">
        <f t="shared" si="123"/>
        <v>0.20290254752050152</v>
      </c>
      <c r="AF104" s="146">
        <f t="shared" si="123"/>
        <v>0.20454284652342603</v>
      </c>
      <c r="AG104" s="146">
        <f t="shared" si="123"/>
        <v>0.24196149615586582</v>
      </c>
      <c r="AH104" s="145">
        <f t="shared" si="123"/>
        <v>0.22316661464070853</v>
      </c>
      <c r="AI104" s="146">
        <f t="shared" si="123"/>
        <v>0.23913334022005195</v>
      </c>
      <c r="AJ104" s="146">
        <f t="shared" si="123"/>
        <v>0.21019386114806382</v>
      </c>
      <c r="AK104" s="146">
        <f t="shared" si="123"/>
        <v>0.21164815863074571</v>
      </c>
      <c r="AL104" s="146">
        <f t="shared" si="123"/>
        <v>0.24410480973321524</v>
      </c>
      <c r="AM104" s="145">
        <f t="shared" si="123"/>
        <v>0.22802769095401487</v>
      </c>
      <c r="AN104" s="190"/>
      <c r="AO104" s="147"/>
      <c r="AP104" s="147"/>
      <c r="AQ104" s="147"/>
      <c r="AR104" s="147"/>
      <c r="AS104" s="147"/>
      <c r="AT104" s="147"/>
      <c r="AU104" s="147"/>
      <c r="AV104" s="147"/>
      <c r="AW104" s="147"/>
      <c r="AX104" s="147"/>
      <c r="AY104" s="147"/>
      <c r="AZ104" s="147"/>
      <c r="BA104" s="147"/>
    </row>
    <row r="105" spans="1:70" ht="12.75" customHeight="1">
      <c r="A105" s="221"/>
      <c r="B105" s="215" t="s">
        <v>126</v>
      </c>
      <c r="C105" s="145">
        <f t="shared" ref="C105:V105" si="124">C103/C26</f>
        <v>5.2937436231091123E-2</v>
      </c>
      <c r="D105" s="145">
        <f t="shared" si="124"/>
        <v>5.1653511839344607E-2</v>
      </c>
      <c r="E105" s="216">
        <f t="shared" si="124"/>
        <v>7.2486196289715504E-2</v>
      </c>
      <c r="F105" s="216">
        <f t="shared" si="124"/>
        <v>5.8625538535184298E-2</v>
      </c>
      <c r="G105" s="216">
        <f t="shared" si="124"/>
        <v>6.8308921438082551E-2</v>
      </c>
      <c r="H105" s="216">
        <f t="shared" si="124"/>
        <v>7.0018653759403096E-2</v>
      </c>
      <c r="I105" s="145">
        <f t="shared" si="124"/>
        <v>6.7265028410119082E-2</v>
      </c>
      <c r="J105" s="216">
        <f t="shared" si="124"/>
        <v>6.2205572255372585E-2</v>
      </c>
      <c r="K105" s="216">
        <f t="shared" si="124"/>
        <v>5.8474730888524007E-2</v>
      </c>
      <c r="L105" s="216">
        <f t="shared" si="124"/>
        <v>5.5749306315709089E-2</v>
      </c>
      <c r="M105" s="216">
        <f t="shared" si="124"/>
        <v>6.7634860939752933E-2</v>
      </c>
      <c r="N105" s="145">
        <f t="shared" si="124"/>
        <v>6.1231772432182023E-2</v>
      </c>
      <c r="O105" s="216">
        <f t="shared" si="124"/>
        <v>6.2385823269816308E-2</v>
      </c>
      <c r="P105" s="216">
        <f t="shared" si="124"/>
        <v>5.2795812867003515E-2</v>
      </c>
      <c r="Q105" s="216">
        <f t="shared" si="124"/>
        <v>5.44558632444017E-2</v>
      </c>
      <c r="R105" s="216">
        <f t="shared" si="124"/>
        <v>5.1741480219098683E-2</v>
      </c>
      <c r="S105" s="145">
        <f t="shared" si="124"/>
        <v>5.4972342700016635E-2</v>
      </c>
      <c r="T105" s="216">
        <f t="shared" si="124"/>
        <v>4.631065483668341E-2</v>
      </c>
      <c r="U105" s="216">
        <f t="shared" si="124"/>
        <v>3.7955518212409479E-2</v>
      </c>
      <c r="V105" s="216">
        <f t="shared" si="124"/>
        <v>3.5322578135938629E-2</v>
      </c>
      <c r="W105" s="177">
        <f>CHOOSE(_Switch,W106,W107,W108)</f>
        <v>0.04</v>
      </c>
      <c r="X105" s="145">
        <f>X103/X26</f>
        <v>3.957800185071398E-2</v>
      </c>
      <c r="Y105" s="177">
        <f>CHOOSE(_Switch,Y106,Y107,Y108)</f>
        <v>3.881065483668341E-2</v>
      </c>
      <c r="Z105" s="177">
        <f>CHOOSE(_Switch,Z106,Z107,Z108)</f>
        <v>3.045551821240948E-2</v>
      </c>
      <c r="AA105" s="177">
        <f>CHOOSE(_Switch,AA106,AA107,AA108)</f>
        <v>3.0322578135938628E-2</v>
      </c>
      <c r="AB105" s="177">
        <f>CHOOSE(_Switch,AB106,AB107,AB108)</f>
        <v>3.7999999999999999E-2</v>
      </c>
      <c r="AC105" s="145">
        <f>AC103/AC26</f>
        <v>3.4250471526936499E-2</v>
      </c>
      <c r="AD105" s="177">
        <f>CHOOSE(_Switch,AD106,AD107,AD108)</f>
        <v>3.5310654836683407E-2</v>
      </c>
      <c r="AE105" s="177">
        <f>CHOOSE(_Switch,AE106,AE107,AE108)</f>
        <v>2.695551821240948E-2</v>
      </c>
      <c r="AF105" s="177">
        <f>CHOOSE(_Switch,AF106,AF107,AF108)</f>
        <v>2.6822578135938628E-2</v>
      </c>
      <c r="AG105" s="177">
        <f>CHOOSE(_Switch,AG106,AG107,AG108)</f>
        <v>3.4499999999999996E-2</v>
      </c>
      <c r="AH105" s="145">
        <f>AH103/AH26</f>
        <v>3.0755008222715218E-2</v>
      </c>
      <c r="AI105" s="177">
        <f>CHOOSE(_Switch,AI106,AI107,AI108)</f>
        <v>3.2810654836683405E-2</v>
      </c>
      <c r="AJ105" s="177">
        <f>CHOOSE(_Switch,AJ106,AJ107,AJ108)</f>
        <v>2.4455518212409481E-2</v>
      </c>
      <c r="AK105" s="177">
        <f>CHOOSE(_Switch,AK106,AK107,AK108)</f>
        <v>2.4322578135938629E-2</v>
      </c>
      <c r="AL105" s="177">
        <f>CHOOSE(_Switch,AL106,AL107,AL108)</f>
        <v>3.1999999999999994E-2</v>
      </c>
      <c r="AM105" s="145">
        <f>AM103/AM26</f>
        <v>2.8258764117866979E-2</v>
      </c>
      <c r="AN105" s="190"/>
      <c r="AO105" s="147"/>
      <c r="AP105" s="147"/>
      <c r="AQ105" s="147"/>
      <c r="AR105" s="147"/>
      <c r="AS105" s="147"/>
      <c r="AT105" s="147"/>
      <c r="AU105" s="147"/>
      <c r="AV105" s="147"/>
      <c r="AW105" s="147"/>
      <c r="AX105" s="147"/>
      <c r="AY105" s="147"/>
      <c r="AZ105" s="147"/>
      <c r="BA105" s="147"/>
    </row>
    <row r="106" spans="1:70" ht="12.75" hidden="1" customHeight="1" outlineLevel="1">
      <c r="A106" s="221"/>
      <c r="B106" s="225" t="s">
        <v>96</v>
      </c>
      <c r="C106" s="219"/>
      <c r="D106" s="219"/>
      <c r="E106" s="220"/>
      <c r="F106" s="220"/>
      <c r="G106" s="220"/>
      <c r="H106" s="220"/>
      <c r="I106" s="219"/>
      <c r="J106" s="220"/>
      <c r="K106" s="220"/>
      <c r="L106" s="220"/>
      <c r="M106" s="220"/>
      <c r="N106" s="219"/>
      <c r="O106" s="220"/>
      <c r="P106" s="220"/>
      <c r="Q106" s="220"/>
      <c r="R106" s="220"/>
      <c r="S106" s="219"/>
      <c r="T106" s="220"/>
      <c r="U106" s="220"/>
      <c r="V106" s="220"/>
      <c r="W106" s="181">
        <f t="shared" ref="W106" si="125">+W107-0.003</f>
        <v>3.6999999999999998E-2</v>
      </c>
      <c r="X106" s="219"/>
      <c r="Y106" s="181">
        <f t="shared" ref="Y106:AL106" si="126">+Y107-0.003</f>
        <v>3.5810654836683407E-2</v>
      </c>
      <c r="Z106" s="181">
        <f t="shared" si="126"/>
        <v>2.7455518212409481E-2</v>
      </c>
      <c r="AA106" s="181">
        <f t="shared" si="126"/>
        <v>2.7322578135938629E-2</v>
      </c>
      <c r="AB106" s="181">
        <f t="shared" si="126"/>
        <v>3.4999999999999996E-2</v>
      </c>
      <c r="AC106" s="219"/>
      <c r="AD106" s="181">
        <f t="shared" si="126"/>
        <v>3.2310654836683404E-2</v>
      </c>
      <c r="AE106" s="181">
        <f t="shared" si="126"/>
        <v>2.3955518212409481E-2</v>
      </c>
      <c r="AF106" s="181">
        <f t="shared" si="126"/>
        <v>2.3822578135938629E-2</v>
      </c>
      <c r="AG106" s="181">
        <f t="shared" si="126"/>
        <v>3.1499999999999993E-2</v>
      </c>
      <c r="AH106" s="219"/>
      <c r="AI106" s="181">
        <f t="shared" si="126"/>
        <v>2.9810654836683406E-2</v>
      </c>
      <c r="AJ106" s="181">
        <f t="shared" si="126"/>
        <v>2.1455518212409482E-2</v>
      </c>
      <c r="AK106" s="181">
        <f t="shared" si="126"/>
        <v>2.132257813593863E-2</v>
      </c>
      <c r="AL106" s="181">
        <f t="shared" si="126"/>
        <v>2.8999999999999995E-2</v>
      </c>
      <c r="AM106" s="219"/>
      <c r="AN106" s="190"/>
      <c r="AO106" s="147"/>
      <c r="AP106" s="147"/>
      <c r="AQ106" s="147"/>
      <c r="AR106" s="147"/>
      <c r="AS106" s="147"/>
      <c r="AT106" s="147"/>
      <c r="AU106" s="147"/>
      <c r="AV106" s="147"/>
      <c r="AW106" s="147"/>
      <c r="AX106" s="147"/>
      <c r="AY106" s="147"/>
      <c r="AZ106" s="147"/>
      <c r="BA106" s="147"/>
    </row>
    <row r="107" spans="1:70" ht="12.75" hidden="1" customHeight="1" outlineLevel="1">
      <c r="A107" s="221"/>
      <c r="B107" s="225" t="s">
        <v>97</v>
      </c>
      <c r="C107" s="219"/>
      <c r="D107" s="219"/>
      <c r="E107" s="220"/>
      <c r="F107" s="220"/>
      <c r="G107" s="220"/>
      <c r="H107" s="220"/>
      <c r="I107" s="219"/>
      <c r="J107" s="220"/>
      <c r="K107" s="220"/>
      <c r="L107" s="220"/>
      <c r="M107" s="220"/>
      <c r="N107" s="219"/>
      <c r="O107" s="220"/>
      <c r="P107" s="220"/>
      <c r="Q107" s="220"/>
      <c r="R107" s="220"/>
      <c r="S107" s="219"/>
      <c r="T107" s="220"/>
      <c r="U107" s="220"/>
      <c r="V107" s="220"/>
      <c r="W107" s="181">
        <v>0.04</v>
      </c>
      <c r="X107" s="219"/>
      <c r="Y107" s="181">
        <f>T105-0.0075</f>
        <v>3.881065483668341E-2</v>
      </c>
      <c r="Z107" s="181">
        <f>U105-0.0075</f>
        <v>3.045551821240948E-2</v>
      </c>
      <c r="AA107" s="181">
        <f>V105-0.005</f>
        <v>3.0322578135938628E-2</v>
      </c>
      <c r="AB107" s="181">
        <f>W107-0.002</f>
        <v>3.7999999999999999E-2</v>
      </c>
      <c r="AC107" s="219"/>
      <c r="AD107" s="181">
        <f>Y107-0.0035</f>
        <v>3.5310654836683407E-2</v>
      </c>
      <c r="AE107" s="181">
        <f t="shared" ref="AE107:AG107" si="127">Z107-0.0035</f>
        <v>2.695551821240948E-2</v>
      </c>
      <c r="AF107" s="181">
        <f t="shared" si="127"/>
        <v>2.6822578135938628E-2</v>
      </c>
      <c r="AG107" s="181">
        <f t="shared" si="127"/>
        <v>3.4499999999999996E-2</v>
      </c>
      <c r="AH107" s="219"/>
      <c r="AI107" s="181">
        <f>AD107-0.0025</f>
        <v>3.2810654836683405E-2</v>
      </c>
      <c r="AJ107" s="181">
        <f t="shared" ref="AJ107:AL107" si="128">AE107-0.0025</f>
        <v>2.4455518212409481E-2</v>
      </c>
      <c r="AK107" s="181">
        <f t="shared" si="128"/>
        <v>2.4322578135938629E-2</v>
      </c>
      <c r="AL107" s="181">
        <f t="shared" si="128"/>
        <v>3.1999999999999994E-2</v>
      </c>
      <c r="AM107" s="219"/>
      <c r="AN107" s="190"/>
      <c r="AO107" s="147"/>
      <c r="AP107" s="147"/>
      <c r="AQ107" s="147"/>
      <c r="AR107" s="147"/>
      <c r="AS107" s="147"/>
      <c r="AT107" s="147"/>
      <c r="AU107" s="147"/>
      <c r="AV107" s="147"/>
      <c r="AW107" s="147"/>
      <c r="AX107" s="147"/>
      <c r="AY107" s="147"/>
      <c r="AZ107" s="147"/>
      <c r="BA107" s="147"/>
    </row>
    <row r="108" spans="1:70" ht="12.75" hidden="1" customHeight="1" outlineLevel="1">
      <c r="A108" s="221"/>
      <c r="B108" s="225" t="s">
        <v>98</v>
      </c>
      <c r="C108" s="219"/>
      <c r="D108" s="219"/>
      <c r="E108" s="220"/>
      <c r="F108" s="220"/>
      <c r="G108" s="220"/>
      <c r="H108" s="220"/>
      <c r="I108" s="219"/>
      <c r="J108" s="220"/>
      <c r="K108" s="220"/>
      <c r="L108" s="220"/>
      <c r="M108" s="220"/>
      <c r="N108" s="219"/>
      <c r="O108" s="220"/>
      <c r="P108" s="220"/>
      <c r="Q108" s="220"/>
      <c r="R108" s="220"/>
      <c r="S108" s="219"/>
      <c r="T108" s="220"/>
      <c r="U108" s="220"/>
      <c r="V108" s="220"/>
      <c r="W108" s="181">
        <f t="shared" ref="W108" si="129">+W107+0.005</f>
        <v>4.4999999999999998E-2</v>
      </c>
      <c r="X108" s="219"/>
      <c r="Y108" s="181">
        <f t="shared" ref="Y108:AB108" si="130">+Y107+0.005</f>
        <v>4.3810654836683408E-2</v>
      </c>
      <c r="Z108" s="181">
        <f t="shared" si="130"/>
        <v>3.5455518212409477E-2</v>
      </c>
      <c r="AA108" s="181">
        <f t="shared" si="130"/>
        <v>3.5322578135938629E-2</v>
      </c>
      <c r="AB108" s="181">
        <f t="shared" si="130"/>
        <v>4.2999999999999997E-2</v>
      </c>
      <c r="AC108" s="219"/>
      <c r="AD108" s="181">
        <f t="shared" ref="AD108:AG108" si="131">+AD107+0.005</f>
        <v>4.0310654836683404E-2</v>
      </c>
      <c r="AE108" s="181">
        <f t="shared" si="131"/>
        <v>3.1955518212409481E-2</v>
      </c>
      <c r="AF108" s="181">
        <f t="shared" si="131"/>
        <v>3.1822578135938626E-2</v>
      </c>
      <c r="AG108" s="181">
        <f t="shared" si="131"/>
        <v>3.9499999999999993E-2</v>
      </c>
      <c r="AH108" s="219"/>
      <c r="AI108" s="181">
        <f t="shared" ref="AI108:AL108" si="132">+AI107+0.005</f>
        <v>3.7810654836683402E-2</v>
      </c>
      <c r="AJ108" s="181">
        <f t="shared" si="132"/>
        <v>2.9455518212409482E-2</v>
      </c>
      <c r="AK108" s="181">
        <f t="shared" si="132"/>
        <v>2.932257813593863E-2</v>
      </c>
      <c r="AL108" s="181">
        <f t="shared" si="132"/>
        <v>3.6999999999999991E-2</v>
      </c>
      <c r="AM108" s="219"/>
      <c r="AN108" s="190"/>
      <c r="AO108" s="147"/>
      <c r="AP108" s="147"/>
      <c r="AQ108" s="147"/>
      <c r="AR108" s="147"/>
      <c r="AS108" s="147"/>
      <c r="AT108" s="147"/>
      <c r="AU108" s="147"/>
      <c r="AV108" s="147"/>
      <c r="AW108" s="147"/>
      <c r="AX108" s="147"/>
      <c r="AY108" s="147"/>
      <c r="AZ108" s="147"/>
      <c r="BA108" s="147"/>
    </row>
    <row r="109" spans="1:70" ht="12.75" customHeight="1" collapsed="1">
      <c r="A109" s="249"/>
      <c r="B109" s="266"/>
      <c r="C109" s="251"/>
      <c r="D109" s="251"/>
      <c r="E109" s="252"/>
      <c r="F109" s="252"/>
      <c r="G109" s="252"/>
      <c r="H109" s="252"/>
      <c r="I109" s="251"/>
      <c r="J109" s="252"/>
      <c r="K109" s="252"/>
      <c r="L109" s="252"/>
      <c r="M109" s="252"/>
      <c r="N109" s="251"/>
      <c r="O109" s="252"/>
      <c r="P109" s="252"/>
      <c r="Q109" s="252"/>
      <c r="R109" s="252"/>
      <c r="S109" s="251"/>
      <c r="T109" s="252"/>
      <c r="U109" s="252"/>
      <c r="V109" s="252"/>
      <c r="W109" s="252"/>
      <c r="X109" s="251"/>
      <c r="Y109" s="252"/>
      <c r="Z109" s="252"/>
      <c r="AA109" s="252"/>
      <c r="AB109" s="252"/>
      <c r="AC109" s="251"/>
      <c r="AD109" s="252"/>
      <c r="AE109" s="252"/>
      <c r="AF109" s="252"/>
      <c r="AG109" s="252"/>
      <c r="AH109" s="251"/>
      <c r="AI109" s="252"/>
      <c r="AJ109" s="252"/>
      <c r="AK109" s="252"/>
      <c r="AL109" s="252"/>
      <c r="AM109" s="251"/>
      <c r="AN109" s="207"/>
      <c r="AO109" s="208"/>
      <c r="AP109" s="208"/>
      <c r="AQ109" s="208"/>
      <c r="AR109" s="208"/>
      <c r="AS109" s="208"/>
      <c r="AT109" s="208"/>
      <c r="AU109" s="208"/>
      <c r="AV109" s="208"/>
      <c r="AW109" s="208"/>
      <c r="AX109" s="208"/>
      <c r="AY109" s="208"/>
      <c r="AZ109" s="208"/>
      <c r="BA109" s="208"/>
    </row>
    <row r="110" spans="1:70" ht="12.75" customHeight="1">
      <c r="A110" s="196"/>
      <c r="B110" s="267" t="s">
        <v>127</v>
      </c>
      <c r="C110" s="151">
        <f t="shared" ref="C110:AM110" si="133">+C98+C103</f>
        <v>-81.780999999999992</v>
      </c>
      <c r="D110" s="151">
        <f t="shared" si="133"/>
        <v>-96.67000000000003</v>
      </c>
      <c r="E110" s="268">
        <f t="shared" si="133"/>
        <v>-40.550999999999995</v>
      </c>
      <c r="F110" s="268">
        <f t="shared" si="133"/>
        <v>-31.67100000000001</v>
      </c>
      <c r="G110" s="268">
        <f t="shared" si="133"/>
        <v>-30.860999999999986</v>
      </c>
      <c r="H110" s="268">
        <f t="shared" si="133"/>
        <v>-28.822000000000038</v>
      </c>
      <c r="I110" s="151">
        <f t="shared" si="133"/>
        <v>-131.90500000000014</v>
      </c>
      <c r="J110" s="268">
        <f t="shared" si="133"/>
        <v>-40.803999999999981</v>
      </c>
      <c r="K110" s="268">
        <f t="shared" si="133"/>
        <v>-21.664000000000012</v>
      </c>
      <c r="L110" s="268">
        <f t="shared" si="133"/>
        <v>-45.646999999999998</v>
      </c>
      <c r="M110" s="268">
        <f t="shared" si="133"/>
        <v>-38.716999999999977</v>
      </c>
      <c r="N110" s="151">
        <f t="shared" si="133"/>
        <v>-146.83199999999997</v>
      </c>
      <c r="O110" s="268">
        <f t="shared" si="133"/>
        <v>-38.015000000000015</v>
      </c>
      <c r="P110" s="268">
        <f t="shared" si="133"/>
        <v>-20.173000000000087</v>
      </c>
      <c r="Q110" s="268">
        <f t="shared" si="133"/>
        <v>-22.301000000000045</v>
      </c>
      <c r="R110" s="268">
        <f t="shared" si="133"/>
        <v>-4.0109999999999317</v>
      </c>
      <c r="S110" s="151">
        <f t="shared" si="133"/>
        <v>-84.50000000000027</v>
      </c>
      <c r="T110" s="268">
        <f t="shared" si="133"/>
        <v>-4.6449999999999836</v>
      </c>
      <c r="U110" s="268">
        <f t="shared" si="133"/>
        <v>-3.0969999999999676</v>
      </c>
      <c r="V110" s="268">
        <f t="shared" si="133"/>
        <v>-5.7469999999999271</v>
      </c>
      <c r="W110" s="268">
        <f t="shared" si="133"/>
        <v>-7.7144853575811609</v>
      </c>
      <c r="X110" s="151">
        <f t="shared" si="133"/>
        <v>-21.203485357581755</v>
      </c>
      <c r="Y110" s="268">
        <f t="shared" si="133"/>
        <v>10.576151495686112</v>
      </c>
      <c r="Z110" s="268">
        <f t="shared" si="133"/>
        <v>20.979499997424487</v>
      </c>
      <c r="AA110" s="268">
        <f t="shared" si="133"/>
        <v>26.711774586062262</v>
      </c>
      <c r="AB110" s="268">
        <f t="shared" si="133"/>
        <v>22.34649891619814</v>
      </c>
      <c r="AC110" s="151">
        <f t="shared" si="133"/>
        <v>80.613924995370652</v>
      </c>
      <c r="AD110" s="268">
        <f t="shared" si="133"/>
        <v>44.021975652779339</v>
      </c>
      <c r="AE110" s="268">
        <f t="shared" si="133"/>
        <v>64.398215285919932</v>
      </c>
      <c r="AF110" s="268">
        <f t="shared" si="133"/>
        <v>74.456009156289667</v>
      </c>
      <c r="AG110" s="268">
        <f t="shared" si="133"/>
        <v>70.811606058582811</v>
      </c>
      <c r="AH110" s="151">
        <f t="shared" si="133"/>
        <v>253.68780615357122</v>
      </c>
      <c r="AI110" s="268">
        <f t="shared" si="133"/>
        <v>87.451619940651256</v>
      </c>
      <c r="AJ110" s="268">
        <f t="shared" si="133"/>
        <v>121.05444568268427</v>
      </c>
      <c r="AK110" s="268">
        <f t="shared" si="133"/>
        <v>137.36648857896742</v>
      </c>
      <c r="AL110" s="268">
        <f t="shared" si="133"/>
        <v>135.37144181242206</v>
      </c>
      <c r="AM110" s="151">
        <f t="shared" si="133"/>
        <v>481.24399601472561</v>
      </c>
      <c r="AN110" s="269"/>
      <c r="AO110" s="139"/>
      <c r="AP110" s="197"/>
      <c r="AQ110" s="197"/>
      <c r="AR110" s="197"/>
      <c r="AS110" s="197"/>
      <c r="AT110" s="197"/>
      <c r="AU110" s="197"/>
      <c r="AV110" s="197"/>
      <c r="AW110" s="197"/>
      <c r="AX110" s="197"/>
      <c r="AY110" s="197"/>
      <c r="AZ110" s="197"/>
      <c r="BA110" s="197"/>
    </row>
    <row r="111" spans="1:70" ht="12.75" customHeight="1">
      <c r="A111" s="221"/>
      <c r="B111" s="215" t="s">
        <v>26</v>
      </c>
      <c r="C111" s="145"/>
      <c r="D111" s="145">
        <f>D110/C110-1</f>
        <v>0.18205940255071518</v>
      </c>
      <c r="E111" s="146"/>
      <c r="F111" s="146"/>
      <c r="G111" s="146"/>
      <c r="H111" s="146"/>
      <c r="I111" s="145">
        <f t="shared" ref="I111:AM111" si="134">+I110/D110-1</f>
        <v>0.36448743146788143</v>
      </c>
      <c r="J111" s="146">
        <f t="shared" si="134"/>
        <v>6.2390569899628545E-3</v>
      </c>
      <c r="K111" s="146">
        <f t="shared" si="134"/>
        <v>-0.31596728868681112</v>
      </c>
      <c r="L111" s="146">
        <f t="shared" si="134"/>
        <v>0.47911603642137379</v>
      </c>
      <c r="M111" s="146">
        <f t="shared" si="134"/>
        <v>0.34331413503573405</v>
      </c>
      <c r="N111" s="145">
        <f t="shared" si="134"/>
        <v>0.11316477768090527</v>
      </c>
      <c r="O111" s="146">
        <f t="shared" si="134"/>
        <v>-6.8351142044896784E-2</v>
      </c>
      <c r="P111" s="146">
        <f t="shared" si="134"/>
        <v>-6.8823855243718812E-2</v>
      </c>
      <c r="Q111" s="146">
        <f t="shared" si="134"/>
        <v>-0.51144653536924567</v>
      </c>
      <c r="R111" s="146">
        <f t="shared" si="134"/>
        <v>-0.89640209726993481</v>
      </c>
      <c r="S111" s="145">
        <f t="shared" si="134"/>
        <v>-0.42451236787621027</v>
      </c>
      <c r="T111" s="146">
        <f t="shared" si="134"/>
        <v>-0.87781139024069499</v>
      </c>
      <c r="U111" s="146">
        <f t="shared" si="134"/>
        <v>-0.84647796559758315</v>
      </c>
      <c r="V111" s="146">
        <f t="shared" si="134"/>
        <v>-0.74229855163445957</v>
      </c>
      <c r="W111" s="146">
        <f t="shared" si="134"/>
        <v>0.92333217591156624</v>
      </c>
      <c r="X111" s="145">
        <f t="shared" si="134"/>
        <v>-0.74907117920021671</v>
      </c>
      <c r="Y111" s="146">
        <f t="shared" si="134"/>
        <v>-3.2768894500938965</v>
      </c>
      <c r="Z111" s="146">
        <f t="shared" si="134"/>
        <v>-7.7741362600660979</v>
      </c>
      <c r="AA111" s="146">
        <f t="shared" si="134"/>
        <v>-5.6479510328976161</v>
      </c>
      <c r="AB111" s="146">
        <f t="shared" si="134"/>
        <v>-3.8966934125084367</v>
      </c>
      <c r="AC111" s="145">
        <f t="shared" si="134"/>
        <v>-4.8019185825289536</v>
      </c>
      <c r="AD111" s="146">
        <f t="shared" si="134"/>
        <v>3.1623813417135134</v>
      </c>
      <c r="AE111" s="146">
        <f t="shared" si="134"/>
        <v>2.0695781736373924</v>
      </c>
      <c r="AF111" s="146">
        <f t="shared" si="134"/>
        <v>1.7873853500972383</v>
      </c>
      <c r="AG111" s="146">
        <f t="shared" si="134"/>
        <v>2.168800908103512</v>
      </c>
      <c r="AH111" s="145">
        <f t="shared" si="134"/>
        <v>2.1469477037390194</v>
      </c>
      <c r="AI111" s="146">
        <f t="shared" si="134"/>
        <v>0.98654464375748607</v>
      </c>
      <c r="AJ111" s="146">
        <f t="shared" si="134"/>
        <v>0.87977951167152457</v>
      </c>
      <c r="AK111" s="146">
        <f t="shared" si="134"/>
        <v>0.84493488350447521</v>
      </c>
      <c r="AL111" s="146">
        <f t="shared" si="134"/>
        <v>0.91171263225450017</v>
      </c>
      <c r="AM111" s="145">
        <f t="shared" si="134"/>
        <v>0.8969930140174025</v>
      </c>
      <c r="AN111" s="190"/>
      <c r="AO111" s="147"/>
      <c r="AP111" s="147"/>
      <c r="AQ111" s="147"/>
      <c r="AR111" s="147"/>
      <c r="AS111" s="147"/>
      <c r="AT111" s="147"/>
      <c r="AU111" s="147"/>
      <c r="AV111" s="147"/>
      <c r="AW111" s="147"/>
      <c r="AX111" s="147"/>
      <c r="AY111" s="147"/>
      <c r="AZ111" s="147"/>
      <c r="BA111" s="147"/>
    </row>
    <row r="112" spans="1:70" ht="12.75" customHeight="1">
      <c r="A112" s="221"/>
      <c r="B112" s="215" t="s">
        <v>42</v>
      </c>
      <c r="C112" s="145">
        <f t="shared" ref="C112:AM112" si="135">C110/C16</f>
        <v>-0.40197297602839033</v>
      </c>
      <c r="D112" s="145">
        <f t="shared" si="135"/>
        <v>-0.17498954624361693</v>
      </c>
      <c r="E112" s="146">
        <f t="shared" si="135"/>
        <v>-0.24564155995202377</v>
      </c>
      <c r="F112" s="146">
        <f t="shared" si="135"/>
        <v>-0.15315093135263744</v>
      </c>
      <c r="G112" s="146">
        <f t="shared" si="135"/>
        <v>-0.13570046609796846</v>
      </c>
      <c r="H112" s="146">
        <f t="shared" si="135"/>
        <v>-0.11487719913589022</v>
      </c>
      <c r="I112" s="145">
        <f t="shared" si="135"/>
        <v>-0.1551473079022152</v>
      </c>
      <c r="J112" s="146">
        <f t="shared" si="135"/>
        <v>-0.16285316315249615</v>
      </c>
      <c r="K112" s="146">
        <f t="shared" si="135"/>
        <v>-6.9880940476689732E-2</v>
      </c>
      <c r="L112" s="146">
        <f t="shared" si="135"/>
        <v>-0.13741315158885933</v>
      </c>
      <c r="M112" s="146">
        <f t="shared" si="135"/>
        <v>-0.10342183994016449</v>
      </c>
      <c r="N112" s="145">
        <f t="shared" si="135"/>
        <v>-0.11587871058575443</v>
      </c>
      <c r="O112" s="146">
        <f t="shared" si="135"/>
        <v>-0.10023228895585987</v>
      </c>
      <c r="P112" s="146">
        <f t="shared" si="135"/>
        <v>-4.6001099119108685E-2</v>
      </c>
      <c r="Q112" s="146">
        <f t="shared" si="135"/>
        <v>-5.0799312987184674E-2</v>
      </c>
      <c r="R112" s="146">
        <f t="shared" si="135"/>
        <v>-8.8755236027853162E-3</v>
      </c>
      <c r="S112" s="145">
        <f t="shared" si="135"/>
        <v>-4.9452192604878313E-2</v>
      </c>
      <c r="T112" s="146">
        <f t="shared" si="135"/>
        <v>-1.0063827851128975E-2</v>
      </c>
      <c r="U112" s="146">
        <f t="shared" si="135"/>
        <v>-5.6155429234548511E-3</v>
      </c>
      <c r="V112" s="146">
        <f t="shared" si="135"/>
        <v>-9.8212622552159776E-3</v>
      </c>
      <c r="W112" s="146">
        <f t="shared" si="135"/>
        <v>-1.2900087724407303E-2</v>
      </c>
      <c r="X112" s="145">
        <f t="shared" si="135"/>
        <v>-9.6544655656721681E-3</v>
      </c>
      <c r="Y112" s="146">
        <f t="shared" si="135"/>
        <v>1.7368305042747032E-2</v>
      </c>
      <c r="Z112" s="146">
        <f t="shared" si="135"/>
        <v>2.8652180987910097E-2</v>
      </c>
      <c r="AA112" s="146">
        <f t="shared" si="135"/>
        <v>3.4318141301898149E-2</v>
      </c>
      <c r="AB112" s="146">
        <f t="shared" si="135"/>
        <v>2.7919473587479132E-2</v>
      </c>
      <c r="AC112" s="145">
        <f t="shared" si="135"/>
        <v>2.7608497418761733E-2</v>
      </c>
      <c r="AD112" s="146">
        <f t="shared" si="135"/>
        <v>5.5169310059626747E-2</v>
      </c>
      <c r="AE112" s="146">
        <f t="shared" si="135"/>
        <v>6.711084683863236E-2</v>
      </c>
      <c r="AF112" s="146">
        <f t="shared" si="135"/>
        <v>7.291447435101886E-2</v>
      </c>
      <c r="AG112" s="146">
        <f t="shared" si="135"/>
        <v>6.7247093481367773E-2</v>
      </c>
      <c r="AH112" s="145">
        <f t="shared" si="135"/>
        <v>6.6208140530140097E-2</v>
      </c>
      <c r="AI112" s="146">
        <f t="shared" si="135"/>
        <v>8.5110386795319001E-2</v>
      </c>
      <c r="AJ112" s="146">
        <f t="shared" si="135"/>
        <v>9.7957589868300887E-2</v>
      </c>
      <c r="AK112" s="146">
        <f t="shared" si="135"/>
        <v>0.10434918719161393</v>
      </c>
      <c r="AL112" s="146">
        <f t="shared" si="135"/>
        <v>9.9463252536425753E-2</v>
      </c>
      <c r="AM112" s="145">
        <f t="shared" si="135"/>
        <v>9.7403542176209126E-2</v>
      </c>
      <c r="AN112" s="190"/>
      <c r="AO112" s="147"/>
      <c r="AP112" s="147"/>
      <c r="AQ112" s="147"/>
      <c r="AR112" s="147"/>
      <c r="AS112" s="147"/>
      <c r="AT112" s="147"/>
      <c r="AU112" s="147"/>
      <c r="AV112" s="147"/>
      <c r="AW112" s="147"/>
      <c r="AX112" s="147"/>
      <c r="AY112" s="147"/>
      <c r="AZ112" s="147"/>
      <c r="BA112" s="147"/>
      <c r="BR112" s="248"/>
    </row>
    <row r="113" spans="1:70" ht="12.75" customHeight="1">
      <c r="A113" s="221"/>
      <c r="B113" s="215" t="s">
        <v>31</v>
      </c>
      <c r="C113" s="145">
        <f t="shared" ref="C113:AM113" si="136">C110/C26</f>
        <v>-1.2092951040264981</v>
      </c>
      <c r="D113" s="145">
        <f t="shared" si="136"/>
        <v>-0.60364422020181874</v>
      </c>
      <c r="E113" s="146">
        <f t="shared" si="136"/>
        <v>-0.77474637473491126</v>
      </c>
      <c r="F113" s="146">
        <f t="shared" si="136"/>
        <v>-0.47377632838678807</v>
      </c>
      <c r="G113" s="146">
        <f t="shared" si="136"/>
        <v>-0.41093209054593854</v>
      </c>
      <c r="H113" s="146">
        <f t="shared" si="136"/>
        <v>-0.35139781275527049</v>
      </c>
      <c r="I113" s="145">
        <f t="shared" si="136"/>
        <v>-0.47738047844812048</v>
      </c>
      <c r="J113" s="146">
        <f t="shared" si="136"/>
        <v>-0.45766970254385531</v>
      </c>
      <c r="K113" s="146">
        <f t="shared" si="136"/>
        <v>-0.19762817004196329</v>
      </c>
      <c r="L113" s="146">
        <f t="shared" si="136"/>
        <v>-0.38733464009028507</v>
      </c>
      <c r="M113" s="146">
        <f t="shared" si="136"/>
        <v>-0.28776031989059481</v>
      </c>
      <c r="N113" s="145">
        <f t="shared" si="136"/>
        <v>-0.32544644935068956</v>
      </c>
      <c r="O113" s="146">
        <f t="shared" si="136"/>
        <v>-0.26010057815333054</v>
      </c>
      <c r="P113" s="146">
        <f t="shared" si="136"/>
        <v>-0.11810267608849706</v>
      </c>
      <c r="Q113" s="146">
        <f t="shared" si="136"/>
        <v>-0.12544367381607321</v>
      </c>
      <c r="R113" s="146">
        <f t="shared" si="136"/>
        <v>-2.0904016635656855E-2</v>
      </c>
      <c r="S113" s="145">
        <f t="shared" si="136"/>
        <v>-0.12306697464966009</v>
      </c>
      <c r="T113" s="146">
        <f t="shared" si="136"/>
        <v>-2.2794637248743636E-2</v>
      </c>
      <c r="U113" s="146">
        <f t="shared" si="136"/>
        <v>-1.2881998893570511E-2</v>
      </c>
      <c r="V113" s="146">
        <f t="shared" si="136"/>
        <v>-2.2351778963580347E-2</v>
      </c>
      <c r="W113" s="146">
        <f t="shared" si="136"/>
        <v>-2.9002062297082545E-2</v>
      </c>
      <c r="X113" s="145">
        <f t="shared" si="136"/>
        <v>-2.1920214550007956E-2</v>
      </c>
      <c r="Y113" s="146">
        <f t="shared" si="136"/>
        <v>3.8048232696633232E-2</v>
      </c>
      <c r="Z113" s="146">
        <f t="shared" si="136"/>
        <v>6.2818341897500421E-2</v>
      </c>
      <c r="AA113" s="146">
        <f t="shared" si="136"/>
        <v>7.4883309640765075E-2</v>
      </c>
      <c r="AB113" s="146">
        <f t="shared" si="136"/>
        <v>5.9808562249460927E-2</v>
      </c>
      <c r="AC113" s="145">
        <f t="shared" si="136"/>
        <v>6.0057294679100419E-2</v>
      </c>
      <c r="AD113" s="146">
        <f t="shared" si="136"/>
        <v>0.11655723922569665</v>
      </c>
      <c r="AE113" s="146">
        <f t="shared" si="136"/>
        <v>0.14187844315263756</v>
      </c>
      <c r="AF113" s="146">
        <f t="shared" si="136"/>
        <v>0.1532830687350438</v>
      </c>
      <c r="AG113" s="146">
        <f t="shared" si="136"/>
        <v>0.13854334941244964</v>
      </c>
      <c r="AH113" s="145">
        <f t="shared" si="136"/>
        <v>0.13874551869768451</v>
      </c>
      <c r="AI113" s="146">
        <f t="shared" si="136"/>
        <v>0.17363155945132278</v>
      </c>
      <c r="AJ113" s="146">
        <f t="shared" si="136"/>
        <v>0.19993902270752831</v>
      </c>
      <c r="AK113" s="146">
        <f t="shared" si="136"/>
        <v>0.21164489152929622</v>
      </c>
      <c r="AL113" s="146">
        <f t="shared" si="136"/>
        <v>0.19746139778730501</v>
      </c>
      <c r="AM113" s="145">
        <f t="shared" si="136"/>
        <v>0.19693089439817685</v>
      </c>
      <c r="AN113" s="190"/>
      <c r="AO113" s="147"/>
      <c r="AP113" s="147"/>
      <c r="AQ113" s="147"/>
      <c r="AR113" s="147"/>
      <c r="AS113" s="147"/>
      <c r="AT113" s="147"/>
      <c r="AU113" s="147"/>
      <c r="AV113" s="147"/>
      <c r="AW113" s="147"/>
      <c r="AX113" s="147"/>
      <c r="AY113" s="147"/>
      <c r="AZ113" s="147"/>
      <c r="BA113" s="147"/>
      <c r="BR113" s="270"/>
    </row>
    <row r="114" spans="1:70" ht="4.5" customHeight="1">
      <c r="A114" s="261"/>
      <c r="B114" s="258"/>
      <c r="C114" s="271"/>
      <c r="D114" s="271"/>
      <c r="E114" s="272"/>
      <c r="F114" s="272"/>
      <c r="G114" s="272"/>
      <c r="H114" s="272"/>
      <c r="I114" s="271"/>
      <c r="J114" s="272"/>
      <c r="K114" s="272"/>
      <c r="L114" s="272"/>
      <c r="M114" s="272"/>
      <c r="N114" s="271"/>
      <c r="O114" s="272"/>
      <c r="P114" s="272"/>
      <c r="Q114" s="272"/>
      <c r="R114" s="272"/>
      <c r="S114" s="271"/>
      <c r="T114" s="272"/>
      <c r="U114" s="272"/>
      <c r="V114" s="272"/>
      <c r="W114" s="272"/>
      <c r="X114" s="271"/>
      <c r="Y114" s="272"/>
      <c r="Z114" s="272"/>
      <c r="AA114" s="272"/>
      <c r="AB114" s="272"/>
      <c r="AC114" s="271"/>
      <c r="AD114" s="272"/>
      <c r="AE114" s="272"/>
      <c r="AF114" s="272"/>
      <c r="AG114" s="272"/>
      <c r="AH114" s="271"/>
      <c r="AI114" s="272"/>
      <c r="AJ114" s="272"/>
      <c r="AK114" s="272"/>
      <c r="AL114" s="272"/>
      <c r="AM114" s="271"/>
      <c r="AN114" s="263"/>
      <c r="AO114" s="264"/>
      <c r="AP114" s="264"/>
      <c r="AQ114" s="264"/>
      <c r="AR114" s="264"/>
      <c r="AS114" s="264"/>
      <c r="AT114" s="264"/>
      <c r="AU114" s="264"/>
      <c r="AV114" s="264"/>
      <c r="AW114" s="264"/>
      <c r="AX114" s="264"/>
      <c r="AY114" s="264"/>
      <c r="AZ114" s="264"/>
      <c r="BA114" s="264"/>
    </row>
    <row r="115" spans="1:70" ht="12.75">
      <c r="A115" s="261"/>
      <c r="B115" s="167" t="s">
        <v>128</v>
      </c>
      <c r="C115" s="168">
        <f t="shared" ref="C115:O115" si="137">+C110+C154+C156+C96-C48</f>
        <v>-70.577999999999975</v>
      </c>
      <c r="D115" s="168">
        <f t="shared" si="137"/>
        <v>-51.53000000000003</v>
      </c>
      <c r="E115" s="169">
        <f t="shared" si="137"/>
        <v>-27.781999999999996</v>
      </c>
      <c r="F115" s="169">
        <f t="shared" si="137"/>
        <v>-16.220000000000006</v>
      </c>
      <c r="G115" s="169">
        <f t="shared" si="137"/>
        <v>-13.046999999999983</v>
      </c>
      <c r="H115" s="169">
        <f t="shared" si="137"/>
        <v>-10.692000000000036</v>
      </c>
      <c r="I115" s="168">
        <f t="shared" si="137"/>
        <v>-67.741000000000142</v>
      </c>
      <c r="J115" s="169">
        <f t="shared" si="137"/>
        <v>-20.128999999999984</v>
      </c>
      <c r="K115" s="169">
        <f t="shared" si="137"/>
        <v>0.85899999999998577</v>
      </c>
      <c r="L115" s="169">
        <f t="shared" si="137"/>
        <v>-15.776000000000003</v>
      </c>
      <c r="M115" s="169">
        <f t="shared" si="137"/>
        <v>-6.0989999999999824</v>
      </c>
      <c r="N115" s="168">
        <f t="shared" si="137"/>
        <v>-41.144999999999996</v>
      </c>
      <c r="O115" s="169">
        <f t="shared" si="137"/>
        <v>-9.0450000000000159</v>
      </c>
      <c r="P115" s="169">
        <f>+P110+P154+P156+P96-P48+P157</f>
        <v>12.553999999999913</v>
      </c>
      <c r="Q115" s="169">
        <f>+Q110+Q154+Q156+Q96-Q48+Q157</f>
        <v>11.622999999999958</v>
      </c>
      <c r="R115" s="169">
        <f t="shared" ref="R115:AM115" si="138">+R110+R154+R156+R96-R48</f>
        <v>29.79300000000007</v>
      </c>
      <c r="S115" s="168">
        <f t="shared" si="138"/>
        <v>44.92499999999972</v>
      </c>
      <c r="T115" s="169">
        <f t="shared" si="138"/>
        <v>27.02500000000002</v>
      </c>
      <c r="U115" s="169">
        <f t="shared" si="138"/>
        <v>36.496000000000038</v>
      </c>
      <c r="V115" s="169">
        <f t="shared" si="138"/>
        <v>34.301000000000073</v>
      </c>
      <c r="W115" s="169">
        <f t="shared" si="138"/>
        <v>33.333514642418841</v>
      </c>
      <c r="X115" s="168">
        <f t="shared" si="138"/>
        <v>131.15551464241827</v>
      </c>
      <c r="Y115" s="169">
        <f t="shared" si="138"/>
        <v>52.624151495686114</v>
      </c>
      <c r="Z115" s="169">
        <f t="shared" si="138"/>
        <v>64.027499997424485</v>
      </c>
      <c r="AA115" s="169">
        <f t="shared" si="138"/>
        <v>70.759774586062264</v>
      </c>
      <c r="AB115" s="169">
        <f t="shared" si="138"/>
        <v>67.394498916198145</v>
      </c>
      <c r="AC115" s="168">
        <f t="shared" si="138"/>
        <v>254.80592499537067</v>
      </c>
      <c r="AD115" s="169">
        <f t="shared" si="138"/>
        <v>90.069975652779334</v>
      </c>
      <c r="AE115" s="169">
        <f t="shared" si="138"/>
        <v>111.94621528591993</v>
      </c>
      <c r="AF115" s="169">
        <f t="shared" si="138"/>
        <v>123.50400915628967</v>
      </c>
      <c r="AG115" s="169">
        <f t="shared" si="138"/>
        <v>121.35960605858281</v>
      </c>
      <c r="AH115" s="168">
        <f t="shared" si="138"/>
        <v>446.87980615357122</v>
      </c>
      <c r="AI115" s="169">
        <f t="shared" si="138"/>
        <v>138.99961994065126</v>
      </c>
      <c r="AJ115" s="169">
        <f t="shared" si="138"/>
        <v>174.10244568268428</v>
      </c>
      <c r="AK115" s="169">
        <f t="shared" si="138"/>
        <v>191.91448857896742</v>
      </c>
      <c r="AL115" s="169">
        <f t="shared" si="138"/>
        <v>191.41944181242206</v>
      </c>
      <c r="AM115" s="168">
        <f t="shared" si="138"/>
        <v>696.43599601472556</v>
      </c>
      <c r="AN115" s="263"/>
      <c r="AO115" s="139"/>
      <c r="AP115" s="273"/>
      <c r="AQ115" s="273"/>
      <c r="AR115" s="273"/>
      <c r="AS115" s="264"/>
      <c r="AT115" s="264"/>
      <c r="AU115" s="264"/>
      <c r="AV115" s="264"/>
      <c r="AW115" s="264"/>
      <c r="AX115" s="264"/>
      <c r="AY115" s="264"/>
      <c r="AZ115" s="264"/>
      <c r="BA115" s="264"/>
    </row>
    <row r="116" spans="1:70" ht="12.75">
      <c r="A116" s="261"/>
      <c r="B116" s="274" t="s">
        <v>26</v>
      </c>
      <c r="C116" s="145"/>
      <c r="D116" s="145">
        <f>D115/C115-1</f>
        <v>-0.26988580010768159</v>
      </c>
      <c r="E116" s="195"/>
      <c r="F116" s="195"/>
      <c r="G116" s="195"/>
      <c r="H116" s="195"/>
      <c r="I116" s="145">
        <f t="shared" ref="I116:AM116" si="139">+I115/D115-1</f>
        <v>0.31459344071414908</v>
      </c>
      <c r="J116" s="195">
        <f t="shared" si="139"/>
        <v>-0.27546612914836999</v>
      </c>
      <c r="K116" s="195">
        <f t="shared" si="139"/>
        <v>-1.0529593094944505</v>
      </c>
      <c r="L116" s="195">
        <f t="shared" si="139"/>
        <v>0.20916685828159909</v>
      </c>
      <c r="M116" s="195">
        <f t="shared" si="139"/>
        <v>-0.42957351290684975</v>
      </c>
      <c r="N116" s="145">
        <f t="shared" si="139"/>
        <v>-0.39261304084675586</v>
      </c>
      <c r="O116" s="195">
        <f t="shared" si="139"/>
        <v>-0.55064831834666284</v>
      </c>
      <c r="P116" s="195">
        <f t="shared" si="139"/>
        <v>13.614668218859279</v>
      </c>
      <c r="Q116" s="195">
        <f t="shared" si="139"/>
        <v>-1.736752028397563</v>
      </c>
      <c r="R116" s="195">
        <f t="shared" si="139"/>
        <v>-5.8848991637973693</v>
      </c>
      <c r="S116" s="145">
        <f t="shared" si="139"/>
        <v>-2.0918702150929569</v>
      </c>
      <c r="T116" s="195">
        <f t="shared" si="139"/>
        <v>-3.987838584853507</v>
      </c>
      <c r="U116" s="195">
        <f t="shared" si="139"/>
        <v>1.9071212362593828</v>
      </c>
      <c r="V116" s="195">
        <f t="shared" si="139"/>
        <v>1.9511313774412971</v>
      </c>
      <c r="W116" s="195">
        <f t="shared" si="139"/>
        <v>0.11883713095085291</v>
      </c>
      <c r="X116" s="145">
        <f t="shared" si="139"/>
        <v>1.9194327132424949</v>
      </c>
      <c r="Y116" s="195">
        <f t="shared" si="139"/>
        <v>0.94723964831400842</v>
      </c>
      <c r="Z116" s="195">
        <f t="shared" si="139"/>
        <v>0.75437034188471119</v>
      </c>
      <c r="AA116" s="195">
        <f t="shared" si="139"/>
        <v>1.0629070460354542</v>
      </c>
      <c r="AB116" s="195">
        <f t="shared" si="139"/>
        <v>1.0218239702342915</v>
      </c>
      <c r="AC116" s="145">
        <f t="shared" si="139"/>
        <v>0.94277705889891283</v>
      </c>
      <c r="AD116" s="195">
        <f t="shared" si="139"/>
        <v>0.7115710770208401</v>
      </c>
      <c r="AE116" s="195">
        <f t="shared" si="139"/>
        <v>0.74840834470224493</v>
      </c>
      <c r="AF116" s="195">
        <f t="shared" si="139"/>
        <v>0.74539856689448203</v>
      </c>
      <c r="AG116" s="195">
        <f t="shared" si="139"/>
        <v>0.80073460015613018</v>
      </c>
      <c r="AH116" s="145">
        <f t="shared" si="139"/>
        <v>0.75380461094729312</v>
      </c>
      <c r="AI116" s="195">
        <f t="shared" si="139"/>
        <v>0.54324034100437868</v>
      </c>
      <c r="AJ116" s="195">
        <f t="shared" si="139"/>
        <v>0.55523297717579978</v>
      </c>
      <c r="AK116" s="195">
        <f t="shared" si="139"/>
        <v>0.55391302590110136</v>
      </c>
      <c r="AL116" s="195">
        <f t="shared" si="139"/>
        <v>0.5772912258797207</v>
      </c>
      <c r="AM116" s="145">
        <f t="shared" si="139"/>
        <v>0.55844141181755225</v>
      </c>
      <c r="AN116" s="263"/>
      <c r="AO116" s="264"/>
      <c r="AP116" s="264"/>
      <c r="AQ116" s="264"/>
      <c r="AR116" s="264"/>
      <c r="AS116" s="264"/>
      <c r="AT116" s="264"/>
      <c r="AU116" s="264"/>
      <c r="AV116" s="264"/>
      <c r="AW116" s="264"/>
      <c r="AX116" s="264"/>
      <c r="AY116" s="264"/>
      <c r="AZ116" s="264"/>
      <c r="BA116" s="264"/>
      <c r="BH116" s="275"/>
    </row>
    <row r="117" spans="1:70" ht="12.75">
      <c r="A117" s="261"/>
      <c r="B117" s="274" t="s">
        <v>129</v>
      </c>
      <c r="C117" s="145">
        <f t="shared" ref="C117:AM117" si="140">C115/C16</f>
        <v>-0.3469075788035329</v>
      </c>
      <c r="D117" s="145">
        <f t="shared" si="140"/>
        <v>-9.3278279900006034E-2</v>
      </c>
      <c r="E117" s="195">
        <f t="shared" si="140"/>
        <v>-0.1682921214911377</v>
      </c>
      <c r="F117" s="195">
        <f t="shared" si="140"/>
        <v>-7.8434785972649412E-2</v>
      </c>
      <c r="G117" s="195">
        <f t="shared" si="140"/>
        <v>-5.736962448333472E-2</v>
      </c>
      <c r="H117" s="195">
        <f t="shared" si="140"/>
        <v>-4.2615606590831336E-2</v>
      </c>
      <c r="I117" s="145">
        <f t="shared" si="140"/>
        <v>-7.9677296422455329E-2</v>
      </c>
      <c r="J117" s="195">
        <f t="shared" si="140"/>
        <v>-8.033700914362793E-2</v>
      </c>
      <c r="K117" s="195">
        <f t="shared" si="140"/>
        <v>2.7708515449351668E-3</v>
      </c>
      <c r="L117" s="195">
        <f t="shared" si="140"/>
        <v>-4.7491179693426623E-2</v>
      </c>
      <c r="M117" s="195">
        <f t="shared" si="140"/>
        <v>-1.6291804679987129E-2</v>
      </c>
      <c r="N117" s="145">
        <f t="shared" si="140"/>
        <v>-3.2471324691149522E-2</v>
      </c>
      <c r="O117" s="195">
        <f t="shared" si="140"/>
        <v>-2.3848508578344172E-2</v>
      </c>
      <c r="P117" s="195">
        <f t="shared" si="140"/>
        <v>2.8627264082748422E-2</v>
      </c>
      <c r="Q117" s="195">
        <f t="shared" si="140"/>
        <v>2.6475961385141661E-2</v>
      </c>
      <c r="R117" s="195">
        <f t="shared" si="140"/>
        <v>6.5925822662126154E-2</v>
      </c>
      <c r="S117" s="145">
        <f>S115/S16</f>
        <v>2.6291594707386241E-2</v>
      </c>
      <c r="T117" s="195">
        <f t="shared" si="140"/>
        <v>5.8552195409421255E-2</v>
      </c>
      <c r="U117" s="195">
        <f t="shared" si="140"/>
        <v>6.617528399561208E-2</v>
      </c>
      <c r="V117" s="195">
        <f t="shared" si="140"/>
        <v>5.8618255892842912E-2</v>
      </c>
      <c r="W117" s="195">
        <f t="shared" si="140"/>
        <v>5.5739980454748622E-2</v>
      </c>
      <c r="X117" s="145">
        <f t="shared" si="140"/>
        <v>5.9718314159632691E-2</v>
      </c>
      <c r="Y117" s="195">
        <f t="shared" si="140"/>
        <v>8.6420123252358441E-2</v>
      </c>
      <c r="Z117" s="195">
        <f t="shared" si="140"/>
        <v>8.744381507446948E-2</v>
      </c>
      <c r="AA117" s="195">
        <f t="shared" si="140"/>
        <v>9.0909120804052224E-2</v>
      </c>
      <c r="AB117" s="195">
        <f t="shared" si="140"/>
        <v>8.4201956623651236E-2</v>
      </c>
      <c r="AC117" s="145">
        <f t="shared" si="140"/>
        <v>8.726542868274767E-2</v>
      </c>
      <c r="AD117" s="195">
        <f t="shared" si="140"/>
        <v>0.1128776784814175</v>
      </c>
      <c r="AE117" s="195">
        <f t="shared" si="140"/>
        <v>0.11666170055896785</v>
      </c>
      <c r="AF117" s="195">
        <f t="shared" si="140"/>
        <v>0.12094698614549051</v>
      </c>
      <c r="AG117" s="195">
        <f t="shared" si="140"/>
        <v>0.11525060971970867</v>
      </c>
      <c r="AH117" s="145">
        <f t="shared" si="140"/>
        <v>0.11662791938839472</v>
      </c>
      <c r="AI117" s="195">
        <f t="shared" si="140"/>
        <v>0.13527835648533174</v>
      </c>
      <c r="AJ117" s="195">
        <f t="shared" si="140"/>
        <v>0.1408841771408981</v>
      </c>
      <c r="AK117" s="195">
        <f t="shared" si="140"/>
        <v>0.14578607272178451</v>
      </c>
      <c r="AL117" s="195">
        <f t="shared" si="140"/>
        <v>0.14064414197310782</v>
      </c>
      <c r="AM117" s="145">
        <f t="shared" si="140"/>
        <v>0.14095829448805183</v>
      </c>
      <c r="AN117" s="263"/>
      <c r="AO117" s="264"/>
      <c r="AP117" s="264"/>
      <c r="AQ117" s="264"/>
      <c r="AR117" s="264"/>
      <c r="AS117" s="264"/>
      <c r="AT117" s="264"/>
      <c r="AU117" s="264"/>
      <c r="AV117" s="264"/>
      <c r="AW117" s="264"/>
      <c r="AX117" s="264"/>
      <c r="AY117" s="264"/>
      <c r="AZ117" s="264"/>
      <c r="BA117" s="264"/>
      <c r="BH117" s="276"/>
      <c r="BI117" s="276"/>
      <c r="BJ117" s="276"/>
    </row>
    <row r="118" spans="1:70" ht="12.75">
      <c r="A118" s="261"/>
      <c r="B118" s="277" t="s">
        <v>31</v>
      </c>
      <c r="C118" s="171">
        <f t="shared" ref="C118:AM118" si="141">C115/C26</f>
        <v>-1.0436364174072481</v>
      </c>
      <c r="D118" s="171">
        <f t="shared" si="141"/>
        <v>-0.32177290438605283</v>
      </c>
      <c r="E118" s="172">
        <f t="shared" si="141"/>
        <v>-0.53078848321583449</v>
      </c>
      <c r="F118" s="172">
        <f t="shared" si="141"/>
        <v>-0.24264001914791775</v>
      </c>
      <c r="G118" s="172">
        <f t="shared" si="141"/>
        <v>-0.17372836218375476</v>
      </c>
      <c r="H118" s="172">
        <f t="shared" si="141"/>
        <v>-0.13035685982858095</v>
      </c>
      <c r="I118" s="171">
        <f t="shared" si="141"/>
        <v>-0.24516304151134652</v>
      </c>
      <c r="J118" s="172">
        <f t="shared" si="141"/>
        <v>-0.22577280272780267</v>
      </c>
      <c r="K118" s="172">
        <f t="shared" si="141"/>
        <v>7.8361612844370186E-3</v>
      </c>
      <c r="L118" s="172">
        <f t="shared" si="141"/>
        <v>-0.13386621863571185</v>
      </c>
      <c r="M118" s="172">
        <f t="shared" si="141"/>
        <v>-4.533022163423648E-2</v>
      </c>
      <c r="N118" s="171">
        <f t="shared" si="141"/>
        <v>-9.1196021020854598E-2</v>
      </c>
      <c r="O118" s="172">
        <f t="shared" si="141"/>
        <v>-6.1886353528788053E-2</v>
      </c>
      <c r="P118" s="172">
        <f t="shared" si="141"/>
        <v>7.3497298151736251E-2</v>
      </c>
      <c r="Q118" s="172">
        <f t="shared" si="141"/>
        <v>6.537966103601682E-2</v>
      </c>
      <c r="R118" s="172">
        <f t="shared" si="141"/>
        <v>0.15527134570584311</v>
      </c>
      <c r="S118" s="171">
        <f t="shared" si="141"/>
        <v>6.5429394510484337E-2</v>
      </c>
      <c r="T118" s="172">
        <f t="shared" si="141"/>
        <v>0.13262111337939708</v>
      </c>
      <c r="U118" s="172">
        <f t="shared" si="141"/>
        <v>0.15180543481425729</v>
      </c>
      <c r="V118" s="172">
        <f t="shared" si="141"/>
        <v>0.13340671136763196</v>
      </c>
      <c r="W118" s="172">
        <f t="shared" si="141"/>
        <v>0.12531499165917934</v>
      </c>
      <c r="X118" s="171">
        <f t="shared" si="141"/>
        <v>0.1355888888970094</v>
      </c>
      <c r="Y118" s="172">
        <f t="shared" si="141"/>
        <v>0.18931801065703738</v>
      </c>
      <c r="Z118" s="172">
        <f t="shared" si="141"/>
        <v>0.19171578856379726</v>
      </c>
      <c r="AA118" s="172">
        <f t="shared" si="141"/>
        <v>0.19836668257913581</v>
      </c>
      <c r="AB118" s="172">
        <f t="shared" si="141"/>
        <v>0.18037582078590894</v>
      </c>
      <c r="AC118" s="171">
        <f t="shared" si="141"/>
        <v>0.18983016301844285</v>
      </c>
      <c r="AD118" s="172">
        <f t="shared" si="141"/>
        <v>0.23847879481871595</v>
      </c>
      <c r="AE118" s="172">
        <f t="shared" si="141"/>
        <v>0.24663346136346936</v>
      </c>
      <c r="AF118" s="172">
        <f t="shared" si="141"/>
        <v>0.25425850430445512</v>
      </c>
      <c r="AG118" s="172">
        <f t="shared" si="141"/>
        <v>0.23744082704213104</v>
      </c>
      <c r="AH118" s="171">
        <f t="shared" si="141"/>
        <v>0.24440500881924287</v>
      </c>
      <c r="AI118" s="172">
        <f t="shared" si="141"/>
        <v>0.27597797261863649</v>
      </c>
      <c r="AJ118" s="172">
        <f t="shared" si="141"/>
        <v>0.28755550979129102</v>
      </c>
      <c r="AK118" s="172">
        <f t="shared" si="141"/>
        <v>0.29568871955874554</v>
      </c>
      <c r="AL118" s="172">
        <f t="shared" si="141"/>
        <v>0.27921657653850973</v>
      </c>
      <c r="AM118" s="171">
        <f t="shared" si="141"/>
        <v>0.28499007722076264</v>
      </c>
      <c r="AN118" s="263"/>
      <c r="AO118" s="278"/>
      <c r="AP118" s="278"/>
      <c r="AQ118" s="278"/>
      <c r="AR118" s="278"/>
      <c r="AS118" s="264"/>
      <c r="AT118" s="264"/>
      <c r="AU118" s="264"/>
      <c r="AV118" s="264"/>
      <c r="AW118" s="264"/>
      <c r="AX118" s="264"/>
      <c r="AY118" s="264"/>
      <c r="AZ118" s="264"/>
      <c r="BA118" s="264"/>
      <c r="BH118" s="276"/>
      <c r="BI118" s="276"/>
      <c r="BJ118" s="276"/>
      <c r="BK118" s="276"/>
    </row>
    <row r="119" spans="1:70" ht="12.75">
      <c r="A119" s="261"/>
      <c r="B119" s="258"/>
      <c r="C119" s="271"/>
      <c r="D119" s="271"/>
      <c r="E119" s="272"/>
      <c r="F119" s="272"/>
      <c r="G119" s="272"/>
      <c r="H119" s="272"/>
      <c r="I119" s="271"/>
      <c r="J119" s="272"/>
      <c r="K119" s="272"/>
      <c r="L119" s="272"/>
      <c r="M119" s="272"/>
      <c r="N119" s="271"/>
      <c r="O119" s="272"/>
      <c r="P119" s="272"/>
      <c r="Q119" s="272"/>
      <c r="R119" s="279"/>
      <c r="S119" s="271"/>
      <c r="T119" s="272"/>
      <c r="U119" s="272"/>
      <c r="V119" s="272"/>
      <c r="W119" s="272"/>
      <c r="X119" s="271"/>
      <c r="Y119" s="272"/>
      <c r="Z119" s="272"/>
      <c r="AA119" s="272"/>
      <c r="AB119" s="272"/>
      <c r="AC119" s="271"/>
      <c r="AD119" s="272"/>
      <c r="AE119" s="272"/>
      <c r="AF119" s="272"/>
      <c r="AG119" s="272"/>
      <c r="AH119" s="271"/>
      <c r="AI119" s="272"/>
      <c r="AJ119" s="272"/>
      <c r="AK119" s="272"/>
      <c r="AL119" s="272"/>
      <c r="AM119" s="271"/>
      <c r="AN119" s="263"/>
      <c r="AO119" s="264"/>
      <c r="AP119" s="264"/>
      <c r="AQ119" s="264"/>
      <c r="AR119" s="264"/>
      <c r="AS119" s="264"/>
      <c r="AT119" s="264"/>
      <c r="AU119" s="264"/>
      <c r="AV119" s="264"/>
      <c r="AW119" s="264"/>
      <c r="AX119" s="264"/>
      <c r="AY119" s="264"/>
      <c r="AZ119" s="264"/>
      <c r="BA119" s="264"/>
    </row>
    <row r="120" spans="1:70" ht="12.75" customHeight="1">
      <c r="A120" s="253"/>
      <c r="B120" s="122" t="s">
        <v>130</v>
      </c>
      <c r="C120" s="211">
        <v>-5.0000000000000001E-3</v>
      </c>
      <c r="D120" s="211">
        <v>1.2E-2</v>
      </c>
      <c r="E120" s="223">
        <v>-2E-3</v>
      </c>
      <c r="F120" s="223">
        <v>-0.18</v>
      </c>
      <c r="G120" s="223">
        <v>-0.433</v>
      </c>
      <c r="H120" s="223">
        <v>-0.443</v>
      </c>
      <c r="I120" s="151">
        <f>+SUM(E120:H120)</f>
        <v>-1.0580000000000001</v>
      </c>
      <c r="J120" s="223">
        <v>-0.41399999999999998</v>
      </c>
      <c r="K120" s="223">
        <v>-0.44400000000000001</v>
      </c>
      <c r="L120" s="223">
        <v>-0.13700000000000001</v>
      </c>
      <c r="M120" s="223">
        <v>-0.16800000000000001</v>
      </c>
      <c r="N120" s="151">
        <f>SUM(J120:M120)</f>
        <v>-1.163</v>
      </c>
      <c r="O120" s="223">
        <v>-6.9000000000000006E-2</v>
      </c>
      <c r="P120" s="223">
        <v>0.129</v>
      </c>
      <c r="Q120" s="280">
        <v>0.183</v>
      </c>
      <c r="R120" s="280">
        <v>0</v>
      </c>
      <c r="S120" s="151">
        <f>SUM(O120:R120)</f>
        <v>0.24299999999999999</v>
      </c>
      <c r="T120" s="223">
        <f>(-440*0.00375/4)*25/90</f>
        <v>-0.11458333333333333</v>
      </c>
      <c r="U120" s="223">
        <f>-440*0.00375/4+0.25</f>
        <v>-0.16249999999999998</v>
      </c>
      <c r="V120" s="223">
        <f t="shared" ref="V120:W120" si="142">-440*0.00375/4+0.25</f>
        <v>-0.16249999999999998</v>
      </c>
      <c r="W120" s="280">
        <f t="shared" si="142"/>
        <v>-0.16249999999999998</v>
      </c>
      <c r="X120" s="151">
        <f>SUM(T120:W120)</f>
        <v>-0.6020833333333333</v>
      </c>
      <c r="Y120" s="280">
        <f>W120</f>
        <v>-0.16249999999999998</v>
      </c>
      <c r="Z120" s="280">
        <f>Y120</f>
        <v>-0.16249999999999998</v>
      </c>
      <c r="AA120" s="280">
        <f>Z120</f>
        <v>-0.16249999999999998</v>
      </c>
      <c r="AB120" s="280">
        <f>AA120</f>
        <v>-0.16249999999999998</v>
      </c>
      <c r="AC120" s="151">
        <f>SUM(Y120:AB120)</f>
        <v>-0.64999999999999991</v>
      </c>
      <c r="AD120" s="280">
        <f>AB120</f>
        <v>-0.16249999999999998</v>
      </c>
      <c r="AE120" s="280">
        <f>AD120</f>
        <v>-0.16249999999999998</v>
      </c>
      <c r="AF120" s="280">
        <f>AE120</f>
        <v>-0.16249999999999998</v>
      </c>
      <c r="AG120" s="280">
        <f>AF120</f>
        <v>-0.16249999999999998</v>
      </c>
      <c r="AH120" s="151">
        <f>SUM(AD120:AG120)</f>
        <v>-0.64999999999999991</v>
      </c>
      <c r="AI120" s="280">
        <f>AG120</f>
        <v>-0.16249999999999998</v>
      </c>
      <c r="AJ120" s="280">
        <f>AI120</f>
        <v>-0.16249999999999998</v>
      </c>
      <c r="AK120" s="280">
        <f>AJ120</f>
        <v>-0.16249999999999998</v>
      </c>
      <c r="AL120" s="280">
        <f>AK120</f>
        <v>-0.16249999999999998</v>
      </c>
      <c r="AM120" s="151">
        <f>SUM(AI120:AL120)</f>
        <v>-0.64999999999999991</v>
      </c>
      <c r="AN120" s="238"/>
      <c r="AO120" s="257"/>
      <c r="AP120" s="257"/>
      <c r="AQ120" s="257"/>
      <c r="AR120" s="257"/>
      <c r="AS120" s="257"/>
      <c r="AT120" s="257"/>
      <c r="AU120" s="257"/>
      <c r="AV120" s="257"/>
      <c r="AW120" s="257"/>
      <c r="AX120" s="257"/>
      <c r="AY120" s="257"/>
      <c r="AZ120" s="257"/>
      <c r="BA120" s="257"/>
    </row>
    <row r="121" spans="1:70" ht="12.75" customHeight="1">
      <c r="A121" s="221"/>
      <c r="B121" s="215" t="s">
        <v>26</v>
      </c>
      <c r="C121" s="145"/>
      <c r="D121" s="145">
        <f>D120/C120-1</f>
        <v>-3.4</v>
      </c>
      <c r="E121" s="146"/>
      <c r="F121" s="146"/>
      <c r="G121" s="146"/>
      <c r="H121" s="146"/>
      <c r="I121" s="145">
        <f t="shared" ref="I121:S121" si="143">+I120/D120-1</f>
        <v>-89.166666666666671</v>
      </c>
      <c r="J121" s="146">
        <f t="shared" si="143"/>
        <v>205.99999999999997</v>
      </c>
      <c r="K121" s="146">
        <f t="shared" si="143"/>
        <v>1.4666666666666668</v>
      </c>
      <c r="L121" s="146">
        <f t="shared" si="143"/>
        <v>-0.68360277136258651</v>
      </c>
      <c r="M121" s="146">
        <f t="shared" si="143"/>
        <v>-0.62076749435665912</v>
      </c>
      <c r="N121" s="145">
        <f t="shared" si="143"/>
        <v>9.9243856332703162E-2</v>
      </c>
      <c r="O121" s="146">
        <f t="shared" si="143"/>
        <v>-0.83333333333333326</v>
      </c>
      <c r="P121" s="146">
        <f t="shared" si="143"/>
        <v>-1.2905405405405406</v>
      </c>
      <c r="Q121" s="146">
        <f t="shared" si="143"/>
        <v>-2.335766423357664</v>
      </c>
      <c r="R121" s="146">
        <f t="shared" si="143"/>
        <v>-1</v>
      </c>
      <c r="S121" s="145">
        <f t="shared" si="143"/>
        <v>-1.2089423903697334</v>
      </c>
      <c r="T121" s="146"/>
      <c r="U121" s="146"/>
      <c r="V121" s="146"/>
      <c r="W121" s="146"/>
      <c r="X121" s="145"/>
      <c r="Y121" s="146"/>
      <c r="Z121" s="146"/>
      <c r="AA121" s="146"/>
      <c r="AB121" s="146"/>
      <c r="AC121" s="145"/>
      <c r="AD121" s="146"/>
      <c r="AE121" s="146"/>
      <c r="AF121" s="146"/>
      <c r="AG121" s="146"/>
      <c r="AH121" s="145"/>
      <c r="AI121" s="146"/>
      <c r="AJ121" s="146"/>
      <c r="AK121" s="146"/>
      <c r="AL121" s="146"/>
      <c r="AM121" s="145"/>
      <c r="AN121" s="190"/>
      <c r="AO121" s="147"/>
      <c r="AP121" s="147"/>
      <c r="AQ121" s="147"/>
      <c r="AR121" s="147"/>
      <c r="AS121" s="147"/>
      <c r="AT121" s="147"/>
      <c r="AU121" s="147"/>
      <c r="AV121" s="147"/>
      <c r="AW121" s="147"/>
      <c r="AX121" s="147"/>
      <c r="AY121" s="147"/>
      <c r="AZ121" s="147"/>
      <c r="BA121" s="147"/>
    </row>
    <row r="122" spans="1:70" ht="12.75" customHeight="1">
      <c r="A122" s="253"/>
      <c r="B122" s="122" t="s">
        <v>131</v>
      </c>
      <c r="C122" s="211">
        <v>0.16700000000000001</v>
      </c>
      <c r="D122" s="211">
        <v>0.95</v>
      </c>
      <c r="E122" s="223">
        <v>-0.45400000000000001</v>
      </c>
      <c r="F122" s="223">
        <v>0.67400000000000004</v>
      </c>
      <c r="G122" s="223">
        <v>-0.95699999999999996</v>
      </c>
      <c r="H122" s="223">
        <v>-0.36699999999999999</v>
      </c>
      <c r="I122" s="151">
        <f>+SUM(E122:H122)</f>
        <v>-1.1039999999999999</v>
      </c>
      <c r="J122" s="223">
        <v>-0.79600000000000004</v>
      </c>
      <c r="K122" s="223">
        <v>0.05</v>
      </c>
      <c r="L122" s="223">
        <v>-0.64400000000000002</v>
      </c>
      <c r="M122" s="223">
        <v>0.94</v>
      </c>
      <c r="N122" s="151">
        <f>SUM(J122:M122)</f>
        <v>-0.45000000000000018</v>
      </c>
      <c r="O122" s="223">
        <v>0.78600000000000003</v>
      </c>
      <c r="P122" s="223">
        <v>0.19800000000000001</v>
      </c>
      <c r="Q122" s="280">
        <v>-0.29399999999999998</v>
      </c>
      <c r="R122" s="280">
        <v>-0.153</v>
      </c>
      <c r="S122" s="151">
        <f>SUM(O122:R122)</f>
        <v>0.53699999999999992</v>
      </c>
      <c r="T122" s="223">
        <f>-0.499-T120-T124-T125</f>
        <v>1.1145833333333333</v>
      </c>
      <c r="U122" s="223">
        <f>-3.266-U120-U124-U125</f>
        <v>1.1435</v>
      </c>
      <c r="V122" s="223">
        <f>-1.854-V120-V124-V125</f>
        <v>2.6115000000000004</v>
      </c>
      <c r="W122" s="280">
        <f>V122</f>
        <v>2.6115000000000004</v>
      </c>
      <c r="X122" s="151">
        <f>SUM(T122:W122)</f>
        <v>7.4810833333333342</v>
      </c>
      <c r="Y122" s="280">
        <f>W122</f>
        <v>2.6115000000000004</v>
      </c>
      <c r="Z122" s="280">
        <f>Y122</f>
        <v>2.6115000000000004</v>
      </c>
      <c r="AA122" s="280">
        <f>Z122</f>
        <v>2.6115000000000004</v>
      </c>
      <c r="AB122" s="280">
        <f>AA122</f>
        <v>2.6115000000000004</v>
      </c>
      <c r="AC122" s="151">
        <f>SUM(Y122:AB122)</f>
        <v>10.446000000000002</v>
      </c>
      <c r="AD122" s="280">
        <f>AB122</f>
        <v>2.6115000000000004</v>
      </c>
      <c r="AE122" s="280">
        <f>AD122</f>
        <v>2.6115000000000004</v>
      </c>
      <c r="AF122" s="280">
        <f>AE122</f>
        <v>2.6115000000000004</v>
      </c>
      <c r="AG122" s="280">
        <f>AF122</f>
        <v>2.6115000000000004</v>
      </c>
      <c r="AH122" s="151">
        <f>SUM(AD122:AG122)</f>
        <v>10.446000000000002</v>
      </c>
      <c r="AI122" s="280">
        <f>AG122</f>
        <v>2.6115000000000004</v>
      </c>
      <c r="AJ122" s="280">
        <f>AI122</f>
        <v>2.6115000000000004</v>
      </c>
      <c r="AK122" s="280">
        <f>AJ122</f>
        <v>2.6115000000000004</v>
      </c>
      <c r="AL122" s="280">
        <f>AK122</f>
        <v>2.6115000000000004</v>
      </c>
      <c r="AM122" s="151">
        <f>SUM(AI122:AL122)</f>
        <v>10.446000000000002</v>
      </c>
      <c r="AN122" s="238"/>
      <c r="AO122" s="257"/>
      <c r="AP122" s="257"/>
      <c r="AQ122" s="257"/>
      <c r="AR122" s="257"/>
      <c r="AS122" s="257"/>
      <c r="AT122" s="257"/>
      <c r="AU122" s="257"/>
      <c r="AV122" s="257"/>
      <c r="AW122" s="257"/>
      <c r="AX122" s="257"/>
      <c r="AY122" s="257"/>
      <c r="AZ122" s="257"/>
      <c r="BA122" s="257"/>
    </row>
    <row r="123" spans="1:70" ht="12.75" customHeight="1">
      <c r="A123" s="221"/>
      <c r="B123" s="215" t="s">
        <v>26</v>
      </c>
      <c r="C123" s="145"/>
      <c r="D123" s="145">
        <f>D122/C122-1</f>
        <v>4.6886227544910177</v>
      </c>
      <c r="E123" s="146"/>
      <c r="F123" s="146"/>
      <c r="G123" s="146"/>
      <c r="H123" s="146"/>
      <c r="I123" s="145">
        <f t="shared" ref="I123:O123" si="144">+I122/D122-1</f>
        <v>-2.162105263157895</v>
      </c>
      <c r="J123" s="146">
        <f t="shared" si="144"/>
        <v>0.75330396475770933</v>
      </c>
      <c r="K123" s="146">
        <f t="shared" si="144"/>
        <v>-0.9258160237388724</v>
      </c>
      <c r="L123" s="146">
        <f t="shared" si="144"/>
        <v>-0.32706374085684431</v>
      </c>
      <c r="M123" s="146">
        <f t="shared" si="144"/>
        <v>-3.561307901907357</v>
      </c>
      <c r="N123" s="145">
        <f t="shared" si="144"/>
        <v>-0.59239130434782594</v>
      </c>
      <c r="O123" s="146">
        <f t="shared" si="144"/>
        <v>-1.9874371859296482</v>
      </c>
      <c r="P123" s="146"/>
      <c r="Q123" s="146"/>
      <c r="R123" s="146"/>
      <c r="S123" s="145"/>
      <c r="T123" s="146"/>
      <c r="U123" s="146"/>
      <c r="V123" s="146"/>
      <c r="W123" s="146"/>
      <c r="X123" s="145"/>
      <c r="Y123" s="146"/>
      <c r="Z123" s="146"/>
      <c r="AA123" s="146"/>
      <c r="AB123" s="146"/>
      <c r="AC123" s="145"/>
      <c r="AD123" s="146"/>
      <c r="AE123" s="146"/>
      <c r="AF123" s="146"/>
      <c r="AG123" s="146"/>
      <c r="AH123" s="145"/>
      <c r="AI123" s="146"/>
      <c r="AJ123" s="146"/>
      <c r="AK123" s="146"/>
      <c r="AL123" s="146"/>
      <c r="AM123" s="145"/>
      <c r="AN123" s="190"/>
      <c r="AO123" s="147"/>
      <c r="AP123" s="147"/>
      <c r="AQ123" s="147"/>
      <c r="AR123" s="147"/>
      <c r="AS123" s="147"/>
      <c r="AT123" s="147"/>
      <c r="AU123" s="147"/>
      <c r="AV123" s="147"/>
      <c r="AW123" s="147"/>
      <c r="AX123" s="147"/>
      <c r="AY123" s="147"/>
      <c r="AZ123" s="147"/>
      <c r="BA123" s="147"/>
    </row>
    <row r="124" spans="1:70" ht="12.75" customHeight="1">
      <c r="A124" s="221"/>
      <c r="B124" s="122" t="s">
        <v>132</v>
      </c>
      <c r="C124" s="145"/>
      <c r="D124" s="145"/>
      <c r="E124" s="146"/>
      <c r="F124" s="146"/>
      <c r="G124" s="146"/>
      <c r="H124" s="146"/>
      <c r="I124" s="145"/>
      <c r="J124" s="146"/>
      <c r="K124" s="146"/>
      <c r="L124" s="146"/>
      <c r="M124" s="146"/>
      <c r="N124" s="145"/>
      <c r="O124" s="146"/>
      <c r="P124" s="146"/>
      <c r="Q124" s="146"/>
      <c r="R124" s="146"/>
      <c r="S124" s="145"/>
      <c r="T124" s="280">
        <v>-0.109</v>
      </c>
      <c r="U124" s="280">
        <v>-2.5999999999999999E-2</v>
      </c>
      <c r="V124" s="280">
        <v>-2.5999999999999999E-2</v>
      </c>
      <c r="W124" s="280">
        <f>-2.4/4</f>
        <v>-0.6</v>
      </c>
      <c r="X124" s="151">
        <f>SUM(T124:W124)</f>
        <v>-0.76100000000000001</v>
      </c>
      <c r="Y124" s="280">
        <f t="shared" ref="Y124:AL124" si="145">-2.4/4</f>
        <v>-0.6</v>
      </c>
      <c r="Z124" s="280">
        <f t="shared" si="145"/>
        <v>-0.6</v>
      </c>
      <c r="AA124" s="280">
        <f t="shared" si="145"/>
        <v>-0.6</v>
      </c>
      <c r="AB124" s="280">
        <f t="shared" si="145"/>
        <v>-0.6</v>
      </c>
      <c r="AC124" s="151">
        <f>SUM(Y124:AB124)</f>
        <v>-2.4</v>
      </c>
      <c r="AD124" s="280">
        <f t="shared" si="145"/>
        <v>-0.6</v>
      </c>
      <c r="AE124" s="280">
        <f t="shared" si="145"/>
        <v>-0.6</v>
      </c>
      <c r="AF124" s="280">
        <f t="shared" si="145"/>
        <v>-0.6</v>
      </c>
      <c r="AG124" s="280">
        <f t="shared" si="145"/>
        <v>-0.6</v>
      </c>
      <c r="AH124" s="151">
        <f>SUM(AD124:AG124)</f>
        <v>-2.4</v>
      </c>
      <c r="AI124" s="280">
        <f t="shared" si="145"/>
        <v>-0.6</v>
      </c>
      <c r="AJ124" s="280">
        <f t="shared" si="145"/>
        <v>-0.6</v>
      </c>
      <c r="AK124" s="280">
        <f t="shared" si="145"/>
        <v>-0.6</v>
      </c>
      <c r="AL124" s="280">
        <f t="shared" si="145"/>
        <v>-0.6</v>
      </c>
      <c r="AM124" s="151">
        <f>SUM(AI124:AL124)</f>
        <v>-2.4</v>
      </c>
      <c r="AN124" s="190"/>
      <c r="AO124" s="147"/>
      <c r="AP124" s="147"/>
      <c r="AQ124" s="147"/>
      <c r="AR124" s="147"/>
      <c r="AS124" s="147"/>
      <c r="AT124" s="147"/>
      <c r="AU124" s="147"/>
      <c r="AV124" s="147"/>
      <c r="AW124" s="147"/>
      <c r="AX124" s="147"/>
      <c r="AY124" s="147"/>
      <c r="AZ124" s="147"/>
      <c r="BA124" s="147"/>
    </row>
    <row r="125" spans="1:70" ht="12.75" customHeight="1">
      <c r="A125" s="221"/>
      <c r="B125" s="122" t="s">
        <v>133</v>
      </c>
      <c r="C125" s="145"/>
      <c r="D125" s="145"/>
      <c r="E125" s="146"/>
      <c r="F125" s="146"/>
      <c r="G125" s="146"/>
      <c r="H125" s="146"/>
      <c r="I125" s="145"/>
      <c r="J125" s="146"/>
      <c r="K125" s="146"/>
      <c r="L125" s="146"/>
      <c r="M125" s="146"/>
      <c r="N125" s="145"/>
      <c r="O125" s="146"/>
      <c r="P125" s="146"/>
      <c r="Q125" s="146"/>
      <c r="R125" s="146"/>
      <c r="S125" s="145"/>
      <c r="T125" s="280">
        <v>-1.39</v>
      </c>
      <c r="U125" s="280">
        <v>-4.2210000000000001</v>
      </c>
      <c r="V125" s="280">
        <v>-4.2770000000000001</v>
      </c>
      <c r="W125" s="280">
        <f>-18.4/4</f>
        <v>-4.5999999999999996</v>
      </c>
      <c r="X125" s="151">
        <f>SUM(T125:W125)</f>
        <v>-14.488</v>
      </c>
      <c r="Y125" s="280">
        <f>-18.4/4</f>
        <v>-4.5999999999999996</v>
      </c>
      <c r="Z125" s="280">
        <f>-18.4/4</f>
        <v>-4.5999999999999996</v>
      </c>
      <c r="AA125" s="280">
        <f>-18.4/4</f>
        <v>-4.5999999999999996</v>
      </c>
      <c r="AB125" s="280">
        <f>-18.4/4</f>
        <v>-4.5999999999999996</v>
      </c>
      <c r="AC125" s="151">
        <f>SUM(Y125:AB125)</f>
        <v>-18.399999999999999</v>
      </c>
      <c r="AD125" s="280">
        <f>-18.4/4</f>
        <v>-4.5999999999999996</v>
      </c>
      <c r="AE125" s="280">
        <f>-18.4/4</f>
        <v>-4.5999999999999996</v>
      </c>
      <c r="AF125" s="280">
        <f>-18.4/4</f>
        <v>-4.5999999999999996</v>
      </c>
      <c r="AG125" s="280">
        <f>-18.4/4</f>
        <v>-4.5999999999999996</v>
      </c>
      <c r="AH125" s="151">
        <f>SUM(AD125:AG125)</f>
        <v>-18.399999999999999</v>
      </c>
      <c r="AI125" s="280">
        <f>-18.4/4</f>
        <v>-4.5999999999999996</v>
      </c>
      <c r="AJ125" s="280">
        <f>-18.4/4</f>
        <v>-4.5999999999999996</v>
      </c>
      <c r="AK125" s="280">
        <f>-18.4/4</f>
        <v>-4.5999999999999996</v>
      </c>
      <c r="AL125" s="280">
        <f>-18.4/4</f>
        <v>-4.5999999999999996</v>
      </c>
      <c r="AM125" s="151">
        <f>SUM(AI125:AL125)</f>
        <v>-18.399999999999999</v>
      </c>
      <c r="AN125" s="190"/>
      <c r="AO125" s="147"/>
      <c r="AP125" s="147"/>
      <c r="AQ125" s="147"/>
      <c r="AR125" s="147"/>
      <c r="AS125" s="147"/>
      <c r="AT125" s="147"/>
      <c r="AU125" s="147"/>
      <c r="AV125" s="147"/>
      <c r="AW125" s="147"/>
      <c r="AX125" s="147"/>
      <c r="AY125" s="147"/>
      <c r="AZ125" s="147"/>
      <c r="BA125" s="147"/>
    </row>
    <row r="126" spans="1:70" ht="10.5" customHeight="1">
      <c r="A126" s="249"/>
      <c r="B126" s="258"/>
      <c r="C126" s="163"/>
      <c r="D126" s="163"/>
      <c r="E126" s="281"/>
      <c r="F126" s="281"/>
      <c r="G126" s="281"/>
      <c r="H126" s="281"/>
      <c r="I126" s="163"/>
      <c r="J126" s="281"/>
      <c r="K126" s="281"/>
      <c r="L126" s="281"/>
      <c r="M126" s="281"/>
      <c r="N126" s="163"/>
      <c r="O126" s="281"/>
      <c r="P126" s="281"/>
      <c r="Q126" s="281"/>
      <c r="R126" s="281"/>
      <c r="S126" s="163"/>
      <c r="T126" s="281"/>
      <c r="U126" s="281"/>
      <c r="V126" s="281"/>
      <c r="W126" s="281"/>
      <c r="X126" s="163"/>
      <c r="Y126" s="281"/>
      <c r="Z126" s="281"/>
      <c r="AA126" s="281"/>
      <c r="AB126" s="281"/>
      <c r="AC126" s="163"/>
      <c r="AD126" s="281"/>
      <c r="AE126" s="281"/>
      <c r="AF126" s="281"/>
      <c r="AG126" s="281"/>
      <c r="AH126" s="163"/>
      <c r="AI126" s="281"/>
      <c r="AJ126" s="281"/>
      <c r="AK126" s="281"/>
      <c r="AL126" s="281"/>
      <c r="AM126" s="163"/>
      <c r="AN126" s="207"/>
      <c r="AO126" s="208"/>
      <c r="AP126" s="208"/>
      <c r="AQ126" s="208"/>
      <c r="AR126" s="208"/>
      <c r="AS126" s="208"/>
      <c r="AT126" s="208"/>
      <c r="AU126" s="208"/>
      <c r="AV126" s="208"/>
      <c r="AW126" s="208"/>
      <c r="AX126" s="208"/>
      <c r="AY126" s="208"/>
      <c r="AZ126" s="208"/>
      <c r="BA126" s="208"/>
    </row>
    <row r="127" spans="1:70" ht="12.75" customHeight="1">
      <c r="A127" s="282"/>
      <c r="B127" s="267" t="s">
        <v>134</v>
      </c>
      <c r="C127" s="151">
        <f t="shared" ref="C127:S127" si="146">C98+C120+C122</f>
        <v>-85.198999999999984</v>
      </c>
      <c r="D127" s="151">
        <f t="shared" si="146"/>
        <v>-103.98000000000003</v>
      </c>
      <c r="E127" s="268">
        <f t="shared" si="146"/>
        <v>-44.800999999999995</v>
      </c>
      <c r="F127" s="268">
        <f t="shared" si="146"/>
        <v>-35.096000000000011</v>
      </c>
      <c r="G127" s="268">
        <f t="shared" si="146"/>
        <v>-37.380999999999986</v>
      </c>
      <c r="H127" s="268">
        <f t="shared" si="146"/>
        <v>-35.375000000000036</v>
      </c>
      <c r="I127" s="151">
        <f t="shared" si="146"/>
        <v>-152.65300000000013</v>
      </c>
      <c r="J127" s="268">
        <f t="shared" si="146"/>
        <v>-47.559999999999981</v>
      </c>
      <c r="K127" s="268">
        <f t="shared" si="146"/>
        <v>-28.468000000000011</v>
      </c>
      <c r="L127" s="268">
        <f t="shared" si="146"/>
        <v>-52.997999999999998</v>
      </c>
      <c r="M127" s="268">
        <f t="shared" si="146"/>
        <v>-47.04499999999998</v>
      </c>
      <c r="N127" s="151">
        <f t="shared" si="146"/>
        <v>-176.07099999999997</v>
      </c>
      <c r="O127" s="268">
        <f t="shared" si="146"/>
        <v>-46.416000000000018</v>
      </c>
      <c r="P127" s="268">
        <f t="shared" si="146"/>
        <v>-28.864000000000086</v>
      </c>
      <c r="Q127" s="268">
        <f t="shared" si="146"/>
        <v>-32.093000000000039</v>
      </c>
      <c r="R127" s="268">
        <f t="shared" si="146"/>
        <v>-14.091999999999933</v>
      </c>
      <c r="S127" s="151">
        <f t="shared" si="146"/>
        <v>-121.46500000000027</v>
      </c>
      <c r="T127" s="268">
        <f>T98+T120+T122+T124+T125</f>
        <v>-14.580999999999984</v>
      </c>
      <c r="U127" s="268">
        <f t="shared" ref="U127:AM127" si="147">U98+U120+U122+U124+U125</f>
        <v>-15.487999999999968</v>
      </c>
      <c r="V127" s="268">
        <f t="shared" si="147"/>
        <v>-16.682999999999929</v>
      </c>
      <c r="W127" s="268">
        <f t="shared" si="147"/>
        <v>-21.105398172825616</v>
      </c>
      <c r="X127" s="151">
        <f t="shared" si="147"/>
        <v>-67.857398172826208</v>
      </c>
      <c r="Y127" s="268">
        <f t="shared" si="147"/>
        <v>-2.9629281628959698</v>
      </c>
      <c r="Z127" s="268">
        <f t="shared" si="147"/>
        <v>8.0572422889457158</v>
      </c>
      <c r="AA127" s="268">
        <f t="shared" si="147"/>
        <v>13.144347321814847</v>
      </c>
      <c r="AB127" s="268">
        <f t="shared" si="147"/>
        <v>5.3974154499268359</v>
      </c>
      <c r="AC127" s="151">
        <f t="shared" si="147"/>
        <v>23.636076897791085</v>
      </c>
      <c r="AD127" s="268">
        <f t="shared" si="147"/>
        <v>27.934654392679747</v>
      </c>
      <c r="AE127" s="268">
        <f t="shared" si="147"/>
        <v>49.41218347690328</v>
      </c>
      <c r="AF127" s="268">
        <f t="shared" si="147"/>
        <v>58.676159070199489</v>
      </c>
      <c r="AG127" s="268">
        <f t="shared" si="147"/>
        <v>50.427133074266628</v>
      </c>
      <c r="AH127" s="151">
        <f t="shared" si="147"/>
        <v>186.4501300140486</v>
      </c>
      <c r="AI127" s="268">
        <f t="shared" si="147"/>
        <v>68.175139631376382</v>
      </c>
      <c r="AJ127" s="268">
        <f t="shared" si="147"/>
        <v>103.49668529646105</v>
      </c>
      <c r="AK127" s="268">
        <f t="shared" si="147"/>
        <v>118.82910636308026</v>
      </c>
      <c r="AL127" s="268">
        <f t="shared" si="147"/>
        <v>110.68255326033362</v>
      </c>
      <c r="AM127" s="151">
        <f t="shared" si="147"/>
        <v>401.18348455125192</v>
      </c>
      <c r="AN127" s="283"/>
      <c r="AO127" s="284"/>
      <c r="AP127" s="284"/>
      <c r="AQ127" s="284"/>
      <c r="AR127" s="284"/>
      <c r="AS127" s="284"/>
      <c r="AT127" s="284"/>
      <c r="AU127" s="284"/>
      <c r="AV127" s="284"/>
      <c r="AW127" s="284"/>
      <c r="AX127" s="284"/>
      <c r="AY127" s="284"/>
      <c r="AZ127" s="284"/>
      <c r="BA127" s="284"/>
    </row>
    <row r="128" spans="1:70" ht="12.75" customHeight="1">
      <c r="A128" s="285"/>
      <c r="B128" s="286" t="s">
        <v>135</v>
      </c>
      <c r="C128" s="145"/>
      <c r="D128" s="145"/>
      <c r="E128" s="146">
        <f t="shared" ref="E128:AM128" si="148">E127/E16</f>
        <v>-0.2713863413333979</v>
      </c>
      <c r="F128" s="146">
        <f t="shared" si="148"/>
        <v>-0.16971314725623327</v>
      </c>
      <c r="G128" s="146">
        <f t="shared" si="148"/>
        <v>-0.16436988831237351</v>
      </c>
      <c r="H128" s="146">
        <f t="shared" si="148"/>
        <v>-0.14099579902269499</v>
      </c>
      <c r="I128" s="145">
        <f t="shared" si="148"/>
        <v>-0.17955120725671395</v>
      </c>
      <c r="J128" s="146">
        <f t="shared" si="148"/>
        <v>-0.18981708752898532</v>
      </c>
      <c r="K128" s="146">
        <f t="shared" si="148"/>
        <v>-9.1828407195827313E-2</v>
      </c>
      <c r="L128" s="146">
        <f t="shared" si="148"/>
        <v>-0.15954218695437522</v>
      </c>
      <c r="M128" s="146">
        <f t="shared" si="148"/>
        <v>-0.12566780638957148</v>
      </c>
      <c r="N128" s="145">
        <f t="shared" si="148"/>
        <v>-0.13895390958063888</v>
      </c>
      <c r="O128" s="146">
        <f t="shared" si="148"/>
        <v>-0.12238279427003003</v>
      </c>
      <c r="P128" s="146">
        <f t="shared" si="148"/>
        <v>-6.5819448023296048E-2</v>
      </c>
      <c r="Q128" s="146">
        <f t="shared" si="148"/>
        <v>-7.3104450549200325E-2</v>
      </c>
      <c r="R128" s="146">
        <f t="shared" si="148"/>
        <v>-3.1182717180367039E-2</v>
      </c>
      <c r="S128" s="145">
        <f t="shared" si="148"/>
        <v>-7.1085332245580349E-2</v>
      </c>
      <c r="T128" s="146">
        <f t="shared" si="148"/>
        <v>-3.1591103099528943E-2</v>
      </c>
      <c r="U128" s="146">
        <f t="shared" si="148"/>
        <v>-2.808315427783967E-2</v>
      </c>
      <c r="V128" s="146">
        <f t="shared" si="148"/>
        <v>-2.8510199791851317E-2</v>
      </c>
      <c r="W128" s="146">
        <f t="shared" si="148"/>
        <v>-3.52922424851633E-2</v>
      </c>
      <c r="X128" s="145">
        <f t="shared" si="148"/>
        <v>-3.0897133324423079E-2</v>
      </c>
      <c r="Y128" s="146">
        <f t="shared" si="148"/>
        <v>-4.8657623875673134E-3</v>
      </c>
      <c r="Z128" s="146">
        <f t="shared" si="148"/>
        <v>1.1003959310501037E-2</v>
      </c>
      <c r="AA128" s="146">
        <f t="shared" si="148"/>
        <v>1.6887293176943739E-2</v>
      </c>
      <c r="AB128" s="146">
        <f t="shared" si="148"/>
        <v>6.7434723739051745E-3</v>
      </c>
      <c r="AC128" s="145">
        <f t="shared" si="148"/>
        <v>8.0948368170857925E-3</v>
      </c>
      <c r="AD128" s="146">
        <f t="shared" si="148"/>
        <v>3.5008324518505871E-2</v>
      </c>
      <c r="AE128" s="146">
        <f t="shared" si="148"/>
        <v>5.149356177896889E-2</v>
      </c>
      <c r="AF128" s="146">
        <f t="shared" si="148"/>
        <v>5.7461329770707302E-2</v>
      </c>
      <c r="AG128" s="146">
        <f t="shared" si="148"/>
        <v>4.7888733508418435E-2</v>
      </c>
      <c r="AH128" s="145">
        <f t="shared" si="148"/>
        <v>4.8660267109410078E-2</v>
      </c>
      <c r="AI128" s="146">
        <f t="shared" si="148"/>
        <v>6.6349971650486436E-2</v>
      </c>
      <c r="AJ128" s="146">
        <f t="shared" si="148"/>
        <v>8.3749801949235869E-2</v>
      </c>
      <c r="AK128" s="146">
        <f t="shared" si="148"/>
        <v>9.0267435616693939E-2</v>
      </c>
      <c r="AL128" s="146">
        <f t="shared" si="148"/>
        <v>8.1323258428194961E-2</v>
      </c>
      <c r="AM128" s="145">
        <f t="shared" si="148"/>
        <v>8.1199335018177971E-2</v>
      </c>
      <c r="AN128" s="190"/>
      <c r="AO128" s="147"/>
      <c r="AP128" s="147"/>
      <c r="AQ128" s="147"/>
      <c r="AR128" s="147"/>
      <c r="AS128" s="147"/>
      <c r="AT128" s="147"/>
      <c r="AU128" s="147"/>
      <c r="AV128" s="147"/>
      <c r="AW128" s="147"/>
      <c r="AX128" s="147"/>
      <c r="AY128" s="147"/>
      <c r="AZ128" s="147"/>
      <c r="BA128" s="147"/>
    </row>
    <row r="129" spans="1:53" ht="6" customHeight="1">
      <c r="A129" s="287"/>
      <c r="B129" s="288"/>
      <c r="C129" s="163"/>
      <c r="D129" s="163"/>
      <c r="E129" s="281"/>
      <c r="F129" s="281"/>
      <c r="G129" s="281"/>
      <c r="H129" s="281"/>
      <c r="I129" s="163"/>
      <c r="J129" s="281"/>
      <c r="K129" s="281"/>
      <c r="L129" s="281"/>
      <c r="M129" s="281"/>
      <c r="N129" s="163"/>
      <c r="O129" s="281"/>
      <c r="P129" s="281"/>
      <c r="Q129" s="281"/>
      <c r="R129" s="281"/>
      <c r="S129" s="163"/>
      <c r="T129" s="281"/>
      <c r="U129" s="281"/>
      <c r="V129" s="281"/>
      <c r="W129" s="281"/>
      <c r="X129" s="163"/>
      <c r="Y129" s="281"/>
      <c r="Z129" s="281"/>
      <c r="AA129" s="281"/>
      <c r="AB129" s="281"/>
      <c r="AC129" s="163"/>
      <c r="AD129" s="281"/>
      <c r="AE129" s="281"/>
      <c r="AF129" s="281"/>
      <c r="AG129" s="281"/>
      <c r="AH129" s="163"/>
      <c r="AI129" s="281"/>
      <c r="AJ129" s="281"/>
      <c r="AK129" s="281"/>
      <c r="AL129" s="281"/>
      <c r="AM129" s="163"/>
      <c r="AN129" s="207"/>
      <c r="AO129" s="208"/>
      <c r="AP129" s="208"/>
      <c r="AQ129" s="208"/>
      <c r="AR129" s="208"/>
      <c r="AS129" s="208"/>
      <c r="AT129" s="208"/>
      <c r="AU129" s="208"/>
      <c r="AV129" s="208"/>
      <c r="AW129" s="208"/>
      <c r="AX129" s="208"/>
      <c r="AY129" s="208"/>
      <c r="AZ129" s="208"/>
      <c r="BA129" s="208"/>
    </row>
    <row r="130" spans="1:53" ht="12.75" customHeight="1">
      <c r="A130" s="289"/>
      <c r="B130" s="122" t="s">
        <v>136</v>
      </c>
      <c r="C130" s="211">
        <v>0</v>
      </c>
      <c r="D130" s="211">
        <v>0.51300000000000001</v>
      </c>
      <c r="E130" s="223">
        <v>-0.81</v>
      </c>
      <c r="F130" s="223">
        <v>0.26800000000000002</v>
      </c>
      <c r="G130" s="223">
        <v>0.28499999999999998</v>
      </c>
      <c r="H130" s="223">
        <v>1.6970000000000001</v>
      </c>
      <c r="I130" s="151">
        <f>+SUM(E130:H130)</f>
        <v>1.44</v>
      </c>
      <c r="J130" s="223">
        <v>0.41799999999999998</v>
      </c>
      <c r="K130" s="223">
        <v>1.1519999999999999</v>
      </c>
      <c r="L130" s="223">
        <v>0.93200000000000005</v>
      </c>
      <c r="M130" s="223">
        <v>1.244</v>
      </c>
      <c r="N130" s="151">
        <f>+SUM(J130:M130)</f>
        <v>3.7459999999999996</v>
      </c>
      <c r="O130" s="223">
        <v>0.33900000000000002</v>
      </c>
      <c r="P130" s="223">
        <v>0.312</v>
      </c>
      <c r="Q130" s="223">
        <v>0.23</v>
      </c>
      <c r="R130" s="223">
        <v>1.036</v>
      </c>
      <c r="S130" s="151">
        <f>+SUM(O130:R130)</f>
        <v>1.917</v>
      </c>
      <c r="T130" s="223">
        <v>0.50900000000000001</v>
      </c>
      <c r="U130" s="223">
        <v>0.47199999999999998</v>
      </c>
      <c r="V130" s="223">
        <v>-0.64700000000000002</v>
      </c>
      <c r="W130" s="290">
        <f>+W127*W131</f>
        <v>-0.81850941783961106</v>
      </c>
      <c r="X130" s="151">
        <f>+SUM(T130:W130)</f>
        <v>-0.4845094178396111</v>
      </c>
      <c r="Y130" s="290">
        <f>+Y127*Y131</f>
        <v>-0.14814640814479849</v>
      </c>
      <c r="Z130" s="290">
        <f>+Z127*Z131</f>
        <v>0.40286211444728581</v>
      </c>
      <c r="AA130" s="290">
        <f>+AA127*AA131</f>
        <v>0.65721736609074233</v>
      </c>
      <c r="AB130" s="290">
        <f>+AB127*AB131</f>
        <v>0.26987077249634178</v>
      </c>
      <c r="AC130" s="151">
        <f>+SUM(Y130:AB130)</f>
        <v>1.1818038448895714</v>
      </c>
      <c r="AD130" s="290">
        <f>+AD127*AD131</f>
        <v>0</v>
      </c>
      <c r="AE130" s="290">
        <f>+AE127*AE131</f>
        <v>0</v>
      </c>
      <c r="AF130" s="290">
        <f>+AF127*AF131</f>
        <v>0</v>
      </c>
      <c r="AG130" s="290">
        <f>+AG127*AG131</f>
        <v>0</v>
      </c>
      <c r="AH130" s="151">
        <f>+SUM(AD130:AG130)</f>
        <v>0</v>
      </c>
      <c r="AI130" s="290">
        <f>+AI127*AI131</f>
        <v>0</v>
      </c>
      <c r="AJ130" s="290">
        <f>+AJ127*AJ131</f>
        <v>0</v>
      </c>
      <c r="AK130" s="290">
        <f>+AK127*AK131</f>
        <v>0</v>
      </c>
      <c r="AL130" s="290">
        <f>+AL127*AL131</f>
        <v>0</v>
      </c>
      <c r="AM130" s="151">
        <f>+SUM(AI130:AL130)</f>
        <v>0</v>
      </c>
      <c r="AN130" s="291"/>
      <c r="AO130" s="292"/>
      <c r="AP130" s="292"/>
      <c r="AQ130" s="292"/>
      <c r="AR130" s="292"/>
      <c r="AS130" s="292"/>
      <c r="AT130" s="292"/>
      <c r="AU130" s="292"/>
      <c r="AV130" s="292"/>
      <c r="AW130" s="292"/>
      <c r="AX130" s="292"/>
      <c r="AY130" s="292"/>
      <c r="AZ130" s="292"/>
      <c r="BA130" s="292"/>
    </row>
    <row r="131" spans="1:53" ht="12.75" customHeight="1">
      <c r="A131" s="293"/>
      <c r="B131" s="215" t="s">
        <v>137</v>
      </c>
      <c r="C131" s="145">
        <f>+C130/C127</f>
        <v>0</v>
      </c>
      <c r="D131" s="145">
        <f>+D130/D127</f>
        <v>-4.9336410848240036E-3</v>
      </c>
      <c r="E131" s="146">
        <f t="shared" ref="E131:R131" si="149">+E130/E127</f>
        <v>1.8079953572464905E-2</v>
      </c>
      <c r="F131" s="146">
        <f t="shared" si="149"/>
        <v>-7.6361978573056743E-3</v>
      </c>
      <c r="G131" s="146">
        <f t="shared" si="149"/>
        <v>-7.624194109306869E-3</v>
      </c>
      <c r="H131" s="146">
        <f t="shared" si="149"/>
        <v>-4.7971731448763204E-2</v>
      </c>
      <c r="I131" s="145">
        <f t="shared" si="149"/>
        <v>-9.4331588635663804E-3</v>
      </c>
      <c r="J131" s="146">
        <f t="shared" si="149"/>
        <v>-8.7888982338099279E-3</v>
      </c>
      <c r="K131" s="146">
        <f t="shared" si="149"/>
        <v>-4.0466488689054357E-2</v>
      </c>
      <c r="L131" s="146">
        <f t="shared" si="149"/>
        <v>-1.7585569266764786E-2</v>
      </c>
      <c r="M131" s="146">
        <f t="shared" si="149"/>
        <v>-2.6442767562971634E-2</v>
      </c>
      <c r="N131" s="145">
        <f t="shared" si="149"/>
        <v>-2.1275508175679129E-2</v>
      </c>
      <c r="O131" s="146">
        <f t="shared" si="149"/>
        <v>-7.3035160289555302E-3</v>
      </c>
      <c r="P131" s="146">
        <f t="shared" si="149"/>
        <v>-1.08093126385809E-2</v>
      </c>
      <c r="Q131" s="146">
        <f t="shared" si="149"/>
        <v>-7.1666718599071363E-3</v>
      </c>
      <c r="R131" s="146">
        <f t="shared" si="149"/>
        <v>-7.3516889015044343E-2</v>
      </c>
      <c r="S131" s="145">
        <f>+S130/S127</f>
        <v>-1.5782324126291488E-2</v>
      </c>
      <c r="T131" s="146">
        <f t="shared" ref="T131:V131" si="150">+T130/T127</f>
        <v>-3.4908442493656169E-2</v>
      </c>
      <c r="U131" s="146">
        <f t="shared" si="150"/>
        <v>-3.0475206611570309E-2</v>
      </c>
      <c r="V131" s="146">
        <f t="shared" si="150"/>
        <v>3.8781993646226864E-2</v>
      </c>
      <c r="W131" s="294">
        <f>V131</f>
        <v>3.8781993646226864E-2</v>
      </c>
      <c r="X131" s="145">
        <f>+X130/X127</f>
        <v>7.1401119242092458E-3</v>
      </c>
      <c r="Y131" s="294">
        <v>0.05</v>
      </c>
      <c r="Z131" s="294">
        <f>Y131</f>
        <v>0.05</v>
      </c>
      <c r="AA131" s="294">
        <f>Z131</f>
        <v>0.05</v>
      </c>
      <c r="AB131" s="294">
        <f>AA131</f>
        <v>0.05</v>
      </c>
      <c r="AC131" s="145">
        <f>+AC130/AC127</f>
        <v>5.0000000000000724E-2</v>
      </c>
      <c r="AD131" s="294">
        <v>0</v>
      </c>
      <c r="AE131" s="294">
        <f>AD131</f>
        <v>0</v>
      </c>
      <c r="AF131" s="294">
        <f>AE131</f>
        <v>0</v>
      </c>
      <c r="AG131" s="294">
        <f>AF131</f>
        <v>0</v>
      </c>
      <c r="AH131" s="145">
        <f>+AH130/AH127</f>
        <v>0</v>
      </c>
      <c r="AI131" s="294">
        <f>AH131</f>
        <v>0</v>
      </c>
      <c r="AJ131" s="294">
        <f>AI131</f>
        <v>0</v>
      </c>
      <c r="AK131" s="294">
        <f>AJ131</f>
        <v>0</v>
      </c>
      <c r="AL131" s="294">
        <f>AK131</f>
        <v>0</v>
      </c>
      <c r="AM131" s="145">
        <f>+AM130/AM127</f>
        <v>0</v>
      </c>
      <c r="AN131" s="295"/>
      <c r="AO131" s="296"/>
      <c r="AP131" s="296"/>
      <c r="AQ131" s="296"/>
      <c r="AR131" s="296"/>
      <c r="AS131" s="296"/>
      <c r="AT131" s="296"/>
      <c r="AU131" s="296"/>
      <c r="AV131" s="296"/>
      <c r="AW131" s="296"/>
      <c r="AX131" s="296"/>
      <c r="AY131" s="296"/>
      <c r="AZ131" s="296"/>
      <c r="BA131" s="296"/>
    </row>
    <row r="132" spans="1:53" ht="12.75">
      <c r="A132" s="249"/>
      <c r="B132" s="258"/>
      <c r="C132" s="145"/>
      <c r="D132" s="145"/>
      <c r="E132" s="297"/>
      <c r="F132" s="297"/>
      <c r="G132" s="297"/>
      <c r="H132" s="297"/>
      <c r="I132" s="145"/>
      <c r="J132" s="297"/>
      <c r="K132" s="297"/>
      <c r="L132" s="297"/>
      <c r="M132" s="297"/>
      <c r="N132" s="145"/>
      <c r="O132" s="297"/>
      <c r="P132" s="297"/>
      <c r="Q132" s="297"/>
      <c r="R132" s="297"/>
      <c r="S132" s="145"/>
      <c r="T132" s="297"/>
      <c r="U132" s="297"/>
      <c r="V132" s="297"/>
      <c r="W132" s="297"/>
      <c r="X132" s="145"/>
      <c r="Y132" s="297"/>
      <c r="Z132" s="297"/>
      <c r="AA132" s="297"/>
      <c r="AB132" s="297"/>
      <c r="AC132" s="145"/>
      <c r="AD132" s="297"/>
      <c r="AE132" s="297"/>
      <c r="AF132" s="297"/>
      <c r="AG132" s="297"/>
      <c r="AH132" s="145"/>
      <c r="AI132" s="297"/>
      <c r="AJ132" s="297"/>
      <c r="AK132" s="297"/>
      <c r="AL132" s="297"/>
      <c r="AM132" s="145"/>
      <c r="AN132" s="207"/>
      <c r="AO132" s="208"/>
      <c r="AP132" s="208"/>
      <c r="AQ132" s="208"/>
      <c r="AR132" s="208"/>
      <c r="AS132" s="208"/>
      <c r="AT132" s="208"/>
      <c r="AU132" s="208"/>
      <c r="AV132" s="208"/>
      <c r="AW132" s="208"/>
      <c r="AX132" s="208"/>
      <c r="AY132" s="208"/>
      <c r="AZ132" s="208"/>
      <c r="BA132" s="208"/>
    </row>
    <row r="133" spans="1:53" ht="12.75" customHeight="1">
      <c r="A133" s="196"/>
      <c r="B133" s="122" t="s">
        <v>138</v>
      </c>
      <c r="C133" s="211">
        <v>0</v>
      </c>
      <c r="D133" s="211">
        <v>0</v>
      </c>
      <c r="E133" s="298">
        <v>0</v>
      </c>
      <c r="F133" s="298">
        <v>0</v>
      </c>
      <c r="G133" s="298">
        <v>0</v>
      </c>
      <c r="H133" s="298">
        <v>0</v>
      </c>
      <c r="I133" s="151">
        <f>+SUM(E133:H133)</f>
        <v>0</v>
      </c>
      <c r="J133" s="298">
        <v>0</v>
      </c>
      <c r="K133" s="298">
        <v>0</v>
      </c>
      <c r="L133" s="298">
        <v>0</v>
      </c>
      <c r="M133" s="298">
        <v>32.200000000000003</v>
      </c>
      <c r="N133" s="151">
        <f>+SUM(J133:M133)</f>
        <v>32.200000000000003</v>
      </c>
      <c r="O133" s="298">
        <v>50</v>
      </c>
      <c r="P133" s="298">
        <f>-2+0.169</f>
        <v>-1.831</v>
      </c>
      <c r="Q133" s="298">
        <v>0</v>
      </c>
      <c r="R133" s="298">
        <v>3.9E-2</v>
      </c>
      <c r="S133" s="151">
        <f>+SUM(O133:R133)</f>
        <v>48.207999999999998</v>
      </c>
      <c r="T133" s="298">
        <v>0</v>
      </c>
      <c r="U133" s="298">
        <v>2E-3</v>
      </c>
      <c r="V133" s="298">
        <v>6.2E-2</v>
      </c>
      <c r="W133" s="298">
        <v>0</v>
      </c>
      <c r="X133" s="151">
        <f>+SUM(T133:W133)</f>
        <v>6.4000000000000001E-2</v>
      </c>
      <c r="Y133" s="298">
        <v>0</v>
      </c>
      <c r="Z133" s="298">
        <v>0</v>
      </c>
      <c r="AA133" s="298">
        <v>0</v>
      </c>
      <c r="AB133" s="298">
        <v>0</v>
      </c>
      <c r="AC133" s="151">
        <f>+SUM(Y133:AB133)</f>
        <v>0</v>
      </c>
      <c r="AD133" s="298">
        <v>0</v>
      </c>
      <c r="AE133" s="298">
        <v>0</v>
      </c>
      <c r="AF133" s="298">
        <v>0</v>
      </c>
      <c r="AG133" s="298">
        <v>0</v>
      </c>
      <c r="AH133" s="151">
        <f>+SUM(AD133:AG133)</f>
        <v>0</v>
      </c>
      <c r="AI133" s="298">
        <v>0</v>
      </c>
      <c r="AJ133" s="298">
        <v>0</v>
      </c>
      <c r="AK133" s="298">
        <v>0</v>
      </c>
      <c r="AL133" s="298">
        <v>0</v>
      </c>
      <c r="AM133" s="151">
        <f>+SUM(AI133:AL133)</f>
        <v>0</v>
      </c>
      <c r="AN133" s="269"/>
      <c r="AO133" s="197"/>
      <c r="AP133" s="197"/>
      <c r="AQ133" s="197"/>
      <c r="AR133" s="197"/>
      <c r="AS133" s="197"/>
      <c r="AT133" s="197"/>
      <c r="AU133" s="197"/>
      <c r="AV133" s="197"/>
      <c r="AW133" s="197"/>
      <c r="AX133" s="197"/>
      <c r="AY133" s="197"/>
      <c r="AZ133" s="197"/>
      <c r="BA133" s="197"/>
    </row>
    <row r="134" spans="1:53" ht="12.75" customHeight="1">
      <c r="A134" s="299"/>
      <c r="B134" s="300"/>
      <c r="C134" s="301"/>
      <c r="D134" s="301"/>
      <c r="E134" s="302"/>
      <c r="F134" s="302"/>
      <c r="G134" s="302"/>
      <c r="H134" s="302"/>
      <c r="I134" s="301"/>
      <c r="J134" s="302"/>
      <c r="K134" s="302"/>
      <c r="L134" s="302" t="s">
        <v>139</v>
      </c>
      <c r="M134" s="302"/>
      <c r="N134" s="301"/>
      <c r="O134" s="302"/>
      <c r="P134" s="302"/>
      <c r="Q134" s="302"/>
      <c r="R134" s="302"/>
      <c r="S134" s="301"/>
      <c r="T134" s="302"/>
      <c r="U134" s="302"/>
      <c r="V134" s="302"/>
      <c r="W134" s="302"/>
      <c r="X134" s="301"/>
      <c r="Y134" s="302"/>
      <c r="Z134" s="302"/>
      <c r="AA134" s="302"/>
      <c r="AB134" s="302"/>
      <c r="AC134" s="301"/>
      <c r="AD134" s="302"/>
      <c r="AE134" s="302"/>
      <c r="AF134" s="302"/>
      <c r="AG134" s="302"/>
      <c r="AH134" s="301"/>
      <c r="AI134" s="302"/>
      <c r="AJ134" s="302"/>
      <c r="AK134" s="302"/>
      <c r="AL134" s="302"/>
      <c r="AM134" s="301"/>
      <c r="AN134" s="303"/>
      <c r="AO134" s="304"/>
      <c r="AP134" s="304"/>
      <c r="AQ134" s="304"/>
      <c r="AR134" s="304"/>
      <c r="AS134" s="304"/>
      <c r="AT134" s="304"/>
      <c r="AU134" s="304"/>
      <c r="AV134" s="304"/>
      <c r="AW134" s="304"/>
      <c r="AX134" s="304"/>
      <c r="AY134" s="304"/>
      <c r="AZ134" s="304"/>
      <c r="BA134" s="304"/>
    </row>
    <row r="135" spans="1:53" ht="12.75" customHeight="1">
      <c r="A135" s="196"/>
      <c r="B135" s="267" t="s">
        <v>140</v>
      </c>
      <c r="C135" s="151">
        <f>C127-C130-C133</f>
        <v>-85.198999999999984</v>
      </c>
      <c r="D135" s="151">
        <f>D127-D130-D133</f>
        <v>-104.49300000000004</v>
      </c>
      <c r="E135" s="305">
        <f t="shared" ref="E135:AM135" si="151">E127-E130-E133</f>
        <v>-43.990999999999993</v>
      </c>
      <c r="F135" s="305">
        <f t="shared" si="151"/>
        <v>-35.364000000000011</v>
      </c>
      <c r="G135" s="305">
        <f t="shared" si="151"/>
        <v>-37.665999999999983</v>
      </c>
      <c r="H135" s="305">
        <f t="shared" si="151"/>
        <v>-37.072000000000038</v>
      </c>
      <c r="I135" s="151">
        <f t="shared" si="151"/>
        <v>-154.09300000000013</v>
      </c>
      <c r="J135" s="305">
        <f t="shared" si="151"/>
        <v>-47.97799999999998</v>
      </c>
      <c r="K135" s="305">
        <f t="shared" si="151"/>
        <v>-29.620000000000012</v>
      </c>
      <c r="L135" s="305">
        <f t="shared" si="151"/>
        <v>-53.93</v>
      </c>
      <c r="M135" s="305">
        <f t="shared" si="151"/>
        <v>-80.488999999999976</v>
      </c>
      <c r="N135" s="151">
        <f t="shared" si="151"/>
        <v>-212.017</v>
      </c>
      <c r="O135" s="305">
        <f t="shared" si="151"/>
        <v>-96.755000000000024</v>
      </c>
      <c r="P135" s="305">
        <f t="shared" si="151"/>
        <v>-27.345000000000088</v>
      </c>
      <c r="Q135" s="268">
        <f t="shared" si="151"/>
        <v>-32.323000000000036</v>
      </c>
      <c r="R135" s="306">
        <f t="shared" si="151"/>
        <v>-15.166999999999932</v>
      </c>
      <c r="S135" s="151">
        <f t="shared" si="151"/>
        <v>-171.59000000000026</v>
      </c>
      <c r="T135" s="305">
        <f t="shared" si="151"/>
        <v>-15.089999999999984</v>
      </c>
      <c r="U135" s="305">
        <f t="shared" si="151"/>
        <v>-15.961999999999968</v>
      </c>
      <c r="V135" s="305">
        <f t="shared" si="151"/>
        <v>-16.097999999999931</v>
      </c>
      <c r="W135" s="268">
        <f t="shared" si="151"/>
        <v>-20.286888754986006</v>
      </c>
      <c r="X135" s="151">
        <f t="shared" si="151"/>
        <v>-67.436888754986583</v>
      </c>
      <c r="Y135" s="305">
        <f t="shared" si="151"/>
        <v>-2.8147817547511713</v>
      </c>
      <c r="Z135" s="305">
        <f t="shared" si="151"/>
        <v>7.6543801744984297</v>
      </c>
      <c r="AA135" s="268">
        <f t="shared" si="151"/>
        <v>12.487129955724104</v>
      </c>
      <c r="AB135" s="268">
        <f t="shared" si="151"/>
        <v>5.1275446774304942</v>
      </c>
      <c r="AC135" s="151">
        <f t="shared" si="151"/>
        <v>22.454273052901513</v>
      </c>
      <c r="AD135" s="305">
        <f t="shared" si="151"/>
        <v>27.934654392679747</v>
      </c>
      <c r="AE135" s="305">
        <f t="shared" si="151"/>
        <v>49.41218347690328</v>
      </c>
      <c r="AF135" s="268">
        <f t="shared" si="151"/>
        <v>58.676159070199489</v>
      </c>
      <c r="AG135" s="268">
        <f t="shared" si="151"/>
        <v>50.427133074266628</v>
      </c>
      <c r="AH135" s="151">
        <f t="shared" si="151"/>
        <v>186.4501300140486</v>
      </c>
      <c r="AI135" s="305">
        <f t="shared" si="151"/>
        <v>68.175139631376382</v>
      </c>
      <c r="AJ135" s="305">
        <f t="shared" si="151"/>
        <v>103.49668529646105</v>
      </c>
      <c r="AK135" s="268">
        <f t="shared" si="151"/>
        <v>118.82910636308026</v>
      </c>
      <c r="AL135" s="268">
        <f t="shared" si="151"/>
        <v>110.68255326033362</v>
      </c>
      <c r="AM135" s="151">
        <f t="shared" si="151"/>
        <v>401.18348455125192</v>
      </c>
      <c r="AN135" s="269"/>
      <c r="AO135" s="197"/>
      <c r="AP135" s="197"/>
      <c r="AQ135" s="197"/>
      <c r="AR135" s="197"/>
      <c r="AS135" s="197"/>
      <c r="AT135" s="197"/>
      <c r="AU135" s="197"/>
      <c r="AV135" s="197"/>
      <c r="AW135" s="197"/>
      <c r="AX135" s="197"/>
      <c r="AY135" s="197"/>
      <c r="AZ135" s="197"/>
      <c r="BA135" s="197"/>
    </row>
    <row r="136" spans="1:53" ht="12.75" customHeight="1" thickBot="1">
      <c r="A136" s="249"/>
      <c r="B136" s="307" t="s">
        <v>141</v>
      </c>
      <c r="C136" s="308">
        <f t="shared" ref="C136:AM136" si="152">(C135)/C147</f>
        <v>-0.71463680590504941</v>
      </c>
      <c r="D136" s="308">
        <f t="shared" si="152"/>
        <v>-0.81734131174469116</v>
      </c>
      <c r="E136" s="309">
        <f t="shared" si="152"/>
        <v>-0.32479825163724418</v>
      </c>
      <c r="F136" s="309">
        <f t="shared" si="152"/>
        <v>-0.26110262032914711</v>
      </c>
      <c r="G136" s="309">
        <f t="shared" si="152"/>
        <v>-0.27809895083468067</v>
      </c>
      <c r="H136" s="309">
        <f t="shared" si="152"/>
        <v>-0.27371327736800555</v>
      </c>
      <c r="I136" s="308">
        <f t="shared" si="152"/>
        <v>-1.084841103335634</v>
      </c>
      <c r="J136" s="309">
        <f t="shared" si="152"/>
        <v>-0.17113852168391908</v>
      </c>
      <c r="K136" s="309">
        <f t="shared" si="152"/>
        <v>-0.1056551547016901</v>
      </c>
      <c r="L136" s="309">
        <f t="shared" si="152"/>
        <v>-0.15016655846488108</v>
      </c>
      <c r="M136" s="309">
        <f t="shared" si="152"/>
        <v>-0.34316643075191422</v>
      </c>
      <c r="N136" s="308">
        <f t="shared" si="152"/>
        <v>-0.73465583337866958</v>
      </c>
      <c r="O136" s="309">
        <f t="shared" si="152"/>
        <v>-0.29202532868129089</v>
      </c>
      <c r="P136" s="309">
        <f t="shared" si="152"/>
        <v>-7.1345851844667629E-2</v>
      </c>
      <c r="Q136" s="309">
        <f t="shared" si="152"/>
        <v>-8.3760041461518622E-2</v>
      </c>
      <c r="R136" s="309">
        <f t="shared" si="152"/>
        <v>-3.9649074192679629E-2</v>
      </c>
      <c r="S136" s="308">
        <f t="shared" si="152"/>
        <v>-0.44626788036410991</v>
      </c>
      <c r="T136" s="309">
        <f t="shared" si="152"/>
        <v>-3.5673498879156607E-2</v>
      </c>
      <c r="U136" s="309">
        <f t="shared" si="152"/>
        <v>-3.814389630748341E-2</v>
      </c>
      <c r="V136" s="309">
        <f t="shared" si="152"/>
        <v>-3.7239407426599022E-2</v>
      </c>
      <c r="W136" s="309">
        <f t="shared" si="152"/>
        <v>-4.4982014977796018E-2</v>
      </c>
      <c r="X136" s="308">
        <f t="shared" si="152"/>
        <v>-0.15639759970016809</v>
      </c>
      <c r="Y136" s="309">
        <f t="shared" si="152"/>
        <v>-6.2177635536418939E-3</v>
      </c>
      <c r="Z136" s="309">
        <f t="shared" si="152"/>
        <v>1.6846598227329181E-2</v>
      </c>
      <c r="AA136" s="309">
        <f t="shared" si="152"/>
        <v>2.7385682276718226E-2</v>
      </c>
      <c r="AB136" s="309">
        <f t="shared" si="152"/>
        <v>1.1206614682824424E-2</v>
      </c>
      <c r="AC136" s="308">
        <f t="shared" si="152"/>
        <v>4.9334414229296776E-2</v>
      </c>
      <c r="AD136" s="309">
        <f t="shared" si="152"/>
        <v>6.0849481877184489E-2</v>
      </c>
      <c r="AE136" s="309">
        <f t="shared" si="152"/>
        <v>0.1072815462587563</v>
      </c>
      <c r="AF136" s="309">
        <f t="shared" si="152"/>
        <v>0.12698709192120461</v>
      </c>
      <c r="AG136" s="309">
        <f t="shared" si="152"/>
        <v>0.1087925593684444</v>
      </c>
      <c r="AH136" s="308">
        <f t="shared" si="152"/>
        <v>0.40417480970487374</v>
      </c>
      <c r="AI136" s="309">
        <f t="shared" si="152"/>
        <v>0.14663622552878738</v>
      </c>
      <c r="AJ136" s="309">
        <f t="shared" si="152"/>
        <v>0.22194846600863569</v>
      </c>
      <c r="AK136" s="309">
        <f t="shared" si="152"/>
        <v>0.25409106142131138</v>
      </c>
      <c r="AL136" s="309">
        <f t="shared" si="152"/>
        <v>0.23600276010460983</v>
      </c>
      <c r="AM136" s="308">
        <f t="shared" si="152"/>
        <v>0.85911661428901731</v>
      </c>
      <c r="AN136" s="310"/>
      <c r="AO136" s="311"/>
      <c r="AP136" s="311"/>
      <c r="AQ136" s="311"/>
      <c r="AR136" s="311"/>
      <c r="AS136" s="311"/>
      <c r="AT136" s="311"/>
      <c r="AU136" s="311"/>
      <c r="AV136" s="311"/>
      <c r="AW136" s="311"/>
      <c r="AX136" s="311"/>
      <c r="AY136" s="311"/>
      <c r="AZ136" s="311"/>
      <c r="BA136" s="311"/>
    </row>
    <row r="137" spans="1:53" ht="12.75" hidden="1" customHeight="1" thickTop="1">
      <c r="A137" s="81"/>
      <c r="B137" s="312"/>
      <c r="C137" s="313"/>
      <c r="D137" s="313"/>
      <c r="E137" s="314"/>
      <c r="F137" s="315"/>
      <c r="G137" s="315"/>
      <c r="H137" s="314"/>
      <c r="I137" s="316"/>
      <c r="J137" s="314"/>
      <c r="K137" s="314"/>
      <c r="L137" s="314"/>
      <c r="M137" s="314"/>
      <c r="N137" s="316"/>
      <c r="O137" s="314"/>
      <c r="P137" s="314"/>
      <c r="Q137" s="315"/>
      <c r="R137" s="315"/>
      <c r="S137" s="316"/>
      <c r="T137" s="314"/>
      <c r="U137" s="314"/>
      <c r="V137" s="314"/>
      <c r="W137" s="314"/>
      <c r="X137" s="316"/>
      <c r="Y137" s="315"/>
      <c r="Z137" s="315"/>
      <c r="AA137" s="315"/>
      <c r="AB137" s="314"/>
      <c r="AC137" s="316"/>
      <c r="AD137" s="315"/>
      <c r="AE137" s="315"/>
      <c r="AF137" s="315"/>
      <c r="AG137" s="314"/>
      <c r="AH137" s="316"/>
      <c r="AI137" s="315"/>
      <c r="AJ137" s="315"/>
      <c r="AK137" s="315"/>
      <c r="AL137" s="314"/>
      <c r="AM137" s="316"/>
      <c r="AN137" s="310"/>
      <c r="AO137" s="311"/>
      <c r="AP137" s="311"/>
      <c r="AQ137" s="311"/>
      <c r="AR137" s="311"/>
      <c r="AS137" s="311"/>
      <c r="AT137" s="311"/>
      <c r="AU137" s="311"/>
      <c r="AV137" s="311"/>
      <c r="AW137" s="311"/>
      <c r="AX137" s="311"/>
      <c r="AY137" s="311"/>
      <c r="AZ137" s="311"/>
      <c r="BA137" s="311"/>
    </row>
    <row r="138" spans="1:53" ht="12.75" hidden="1" customHeight="1">
      <c r="A138" s="253"/>
      <c r="B138" s="317" t="s">
        <v>142</v>
      </c>
      <c r="C138" s="318">
        <f t="shared" ref="C138:S138" si="153">+C127-C48-C130+C44+C89+C96</f>
        <v>-82.12299999999999</v>
      </c>
      <c r="D138" s="318">
        <f t="shared" si="153"/>
        <v>-76.716000000000037</v>
      </c>
      <c r="E138" s="319">
        <f t="shared" si="153"/>
        <v>-37.292999999999999</v>
      </c>
      <c r="F138" s="319">
        <f t="shared" si="153"/>
        <v>-27.661000000000008</v>
      </c>
      <c r="G138" s="319">
        <f t="shared" si="153"/>
        <v>-29.492999999999984</v>
      </c>
      <c r="H138" s="319">
        <f t="shared" si="153"/>
        <v>-29.663000000000032</v>
      </c>
      <c r="I138" s="318">
        <f t="shared" si="153"/>
        <v>-124.11000000000013</v>
      </c>
      <c r="J138" s="319">
        <f t="shared" si="153"/>
        <v>-39.933999999999983</v>
      </c>
      <c r="K138" s="319">
        <f t="shared" si="153"/>
        <v>-20.705000000000016</v>
      </c>
      <c r="L138" s="319">
        <f t="shared" si="153"/>
        <v>-43.286999999999999</v>
      </c>
      <c r="M138" s="319">
        <f t="shared" si="153"/>
        <v>-45.339999999999982</v>
      </c>
      <c r="N138" s="318">
        <f t="shared" si="153"/>
        <v>-149.26599999999999</v>
      </c>
      <c r="O138" s="319">
        <f t="shared" si="153"/>
        <v>-46.296000000000021</v>
      </c>
      <c r="P138" s="319">
        <f t="shared" si="153"/>
        <v>-31.26300000000008</v>
      </c>
      <c r="Q138" s="319">
        <f t="shared" si="153"/>
        <v>-32.909000000000034</v>
      </c>
      <c r="R138" s="319">
        <f t="shared" si="153"/>
        <v>-13.177999999999933</v>
      </c>
      <c r="S138" s="318">
        <f t="shared" si="153"/>
        <v>-123.64600000000029</v>
      </c>
      <c r="T138" s="319">
        <f>+T127-T48-T130+T44+T89+T96-T124</f>
        <v>-12.968999999999983</v>
      </c>
      <c r="U138" s="319">
        <f>+U127-U48-U130+U44+U89+U96-U124</f>
        <v>-14.016999999999967</v>
      </c>
      <c r="V138" s="319">
        <f t="shared" ref="V138:AM138" si="154">+V127-V48-V130+V44+V89+V96-V124</f>
        <v>-14.23199999999993</v>
      </c>
      <c r="W138" s="319">
        <f t="shared" si="154"/>
        <v>-17.90121998242962</v>
      </c>
      <c r="X138" s="318">
        <f t="shared" si="154"/>
        <v>-59.119219982430209</v>
      </c>
      <c r="Y138" s="319">
        <f t="shared" si="154"/>
        <v>-0.41877854743981235</v>
      </c>
      <c r="Z138" s="319">
        <f t="shared" si="154"/>
        <v>10.098738527236964</v>
      </c>
      <c r="AA138" s="319">
        <f t="shared" si="154"/>
        <v>14.951123477451118</v>
      </c>
      <c r="AB138" s="319">
        <f t="shared" si="154"/>
        <v>7.60614886443192</v>
      </c>
      <c r="AC138" s="318">
        <f t="shared" si="154"/>
        <v>32.237232321679848</v>
      </c>
      <c r="AD138" s="319">
        <f t="shared" si="154"/>
        <v>30.416756907849269</v>
      </c>
      <c r="AE138" s="319">
        <f t="shared" si="154"/>
        <v>51.960088914018677</v>
      </c>
      <c r="AF138" s="319">
        <f t="shared" si="154"/>
        <v>61.251560048594079</v>
      </c>
      <c r="AG138" s="319">
        <f t="shared" si="154"/>
        <v>53.024441920430938</v>
      </c>
      <c r="AH138" s="318">
        <f t="shared" si="154"/>
        <v>196.65284779089242</v>
      </c>
      <c r="AI138" s="319">
        <f t="shared" si="154"/>
        <v>70.766013252024678</v>
      </c>
      <c r="AJ138" s="319">
        <f t="shared" si="154"/>
        <v>106.17545095448536</v>
      </c>
      <c r="AK138" s="319">
        <f t="shared" si="154"/>
        <v>121.54550475161274</v>
      </c>
      <c r="AL138" s="319">
        <f t="shared" si="154"/>
        <v>113.43048103546279</v>
      </c>
      <c r="AM138" s="318">
        <f t="shared" si="154"/>
        <v>411.91744999358616</v>
      </c>
      <c r="AN138" s="320"/>
      <c r="AO138" s="321"/>
      <c r="AP138" s="321"/>
      <c r="AQ138" s="321"/>
      <c r="AR138" s="321"/>
      <c r="AS138" s="321"/>
      <c r="AT138" s="321"/>
      <c r="AU138" s="321"/>
      <c r="AV138" s="321"/>
      <c r="AW138" s="321"/>
      <c r="AX138" s="321"/>
      <c r="AY138" s="321"/>
      <c r="AZ138" s="321"/>
      <c r="BA138" s="321"/>
    </row>
    <row r="139" spans="1:53" ht="12.75" hidden="1" customHeight="1" thickBot="1">
      <c r="A139" s="249"/>
      <c r="B139" s="307" t="s">
        <v>143</v>
      </c>
      <c r="C139" s="308">
        <f t="shared" ref="C139:AM139" si="155">C138/C147</f>
        <v>-0.68883576581110539</v>
      </c>
      <c r="D139" s="308">
        <f t="shared" si="155"/>
        <v>-0.60007039774727233</v>
      </c>
      <c r="E139" s="309">
        <f t="shared" si="155"/>
        <v>-0.27534498416284581</v>
      </c>
      <c r="F139" s="309">
        <f t="shared" si="155"/>
        <v>-0.20422914774698953</v>
      </c>
      <c r="G139" s="309">
        <f t="shared" si="155"/>
        <v>-0.21775533258023777</v>
      </c>
      <c r="H139" s="309">
        <f t="shared" si="155"/>
        <v>-0.21901049165319239</v>
      </c>
      <c r="I139" s="308">
        <f t="shared" si="155"/>
        <v>-0.8737556497374025</v>
      </c>
      <c r="J139" s="309">
        <f t="shared" si="155"/>
        <v>-0.14244540674737641</v>
      </c>
      <c r="K139" s="309">
        <f t="shared" si="155"/>
        <v>-7.3855164689348218E-2</v>
      </c>
      <c r="L139" s="309">
        <f t="shared" si="155"/>
        <v>-0.12053142622416665</v>
      </c>
      <c r="M139" s="309">
        <f t="shared" si="155"/>
        <v>-0.19330797960332205</v>
      </c>
      <c r="N139" s="308">
        <f t="shared" si="155"/>
        <v>-0.51721860806020503</v>
      </c>
      <c r="O139" s="309">
        <f t="shared" si="155"/>
        <v>-0.13973029421351915</v>
      </c>
      <c r="P139" s="309">
        <f t="shared" si="155"/>
        <v>-8.156830741341535E-2</v>
      </c>
      <c r="Q139" s="309">
        <f t="shared" si="155"/>
        <v>-8.5278569577610874E-2</v>
      </c>
      <c r="R139" s="309">
        <f t="shared" si="155"/>
        <v>-3.4449495596435148E-2</v>
      </c>
      <c r="S139" s="308">
        <f t="shared" si="155"/>
        <v>-0.3215760728218473</v>
      </c>
      <c r="T139" s="309">
        <f t="shared" si="155"/>
        <v>-3.0659351024770177E-2</v>
      </c>
      <c r="U139" s="309">
        <f t="shared" si="155"/>
        <v>-3.3495990135446359E-2</v>
      </c>
      <c r="V139" s="309">
        <f t="shared" si="155"/>
        <v>-3.2922800751357742E-2</v>
      </c>
      <c r="W139" s="309">
        <f t="shared" si="155"/>
        <v>-3.9692283774788513E-2</v>
      </c>
      <c r="X139" s="308">
        <f t="shared" si="155"/>
        <v>-0.1371075129962101</v>
      </c>
      <c r="Y139" s="309">
        <f t="shared" si="155"/>
        <v>-9.2506851905061523E-4</v>
      </c>
      <c r="Z139" s="309">
        <f t="shared" si="155"/>
        <v>2.2226409806246562E-2</v>
      </c>
      <c r="AA139" s="309">
        <f t="shared" si="155"/>
        <v>3.2789497561508785E-2</v>
      </c>
      <c r="AB139" s="309">
        <f t="shared" si="155"/>
        <v>1.6623780952915258E-2</v>
      </c>
      <c r="AC139" s="308">
        <f t="shared" si="155"/>
        <v>7.0828611071794112E-2</v>
      </c>
      <c r="AD139" s="309">
        <f t="shared" si="155"/>
        <v>6.6256194625121709E-2</v>
      </c>
      <c r="AE139" s="309">
        <f t="shared" si="155"/>
        <v>0.11281344579811992</v>
      </c>
      <c r="AF139" s="309">
        <f t="shared" si="155"/>
        <v>0.13256078123488452</v>
      </c>
      <c r="AG139" s="309">
        <f t="shared" si="155"/>
        <v>0.11439604819713439</v>
      </c>
      <c r="AH139" s="308">
        <f t="shared" si="155"/>
        <v>0.42629161657230619</v>
      </c>
      <c r="AI139" s="309">
        <f t="shared" si="155"/>
        <v>0.15220887166648769</v>
      </c>
      <c r="AJ139" s="309">
        <f t="shared" si="155"/>
        <v>0.22769307441703113</v>
      </c>
      <c r="AK139" s="309">
        <f t="shared" si="155"/>
        <v>0.25989950828176678</v>
      </c>
      <c r="AL139" s="309">
        <f t="shared" si="155"/>
        <v>0.24186202627073486</v>
      </c>
      <c r="AM139" s="308">
        <f t="shared" si="155"/>
        <v>0.88210292455308159</v>
      </c>
      <c r="AN139" s="310"/>
      <c r="AO139" s="311"/>
      <c r="AP139" s="311"/>
      <c r="AQ139" s="311"/>
      <c r="AR139" s="311"/>
      <c r="AS139" s="311"/>
      <c r="AT139" s="311"/>
      <c r="AU139" s="311"/>
      <c r="AV139" s="311"/>
      <c r="AW139" s="311"/>
      <c r="AX139" s="311"/>
      <c r="AY139" s="311"/>
      <c r="AZ139" s="311"/>
      <c r="BA139" s="311"/>
    </row>
    <row r="140" spans="1:53" thickTop="1">
      <c r="A140" s="249"/>
      <c r="B140" s="258"/>
      <c r="C140" s="322"/>
      <c r="D140" s="322"/>
      <c r="E140" s="323"/>
      <c r="F140" s="323"/>
      <c r="G140" s="323"/>
      <c r="H140" s="323"/>
      <c r="I140" s="322"/>
      <c r="J140" s="323"/>
      <c r="K140" s="323"/>
      <c r="L140" s="323"/>
      <c r="M140" s="323"/>
      <c r="N140" s="322"/>
      <c r="O140" s="323"/>
      <c r="P140" s="323"/>
      <c r="Q140" s="323"/>
      <c r="R140" s="324"/>
      <c r="S140" s="322"/>
      <c r="T140" s="323"/>
      <c r="U140" s="323"/>
      <c r="V140" s="323"/>
      <c r="W140" s="323"/>
      <c r="X140" s="322"/>
      <c r="Y140" s="323"/>
      <c r="Z140" s="323"/>
      <c r="AA140" s="323"/>
      <c r="AB140" s="323"/>
      <c r="AC140" s="322"/>
      <c r="AD140" s="323"/>
      <c r="AE140" s="323"/>
      <c r="AF140" s="323"/>
      <c r="AG140" s="323"/>
      <c r="AH140" s="322"/>
      <c r="AI140" s="323"/>
      <c r="AJ140" s="323"/>
      <c r="AK140" s="323"/>
      <c r="AL140" s="323"/>
      <c r="AM140" s="322"/>
      <c r="AN140" s="310"/>
      <c r="AO140" s="311"/>
      <c r="AP140" s="311"/>
      <c r="AQ140" s="311"/>
      <c r="AR140" s="311"/>
      <c r="AS140" s="311"/>
      <c r="AT140" s="311"/>
      <c r="AU140" s="311"/>
      <c r="AV140" s="311"/>
      <c r="AW140" s="311"/>
      <c r="AX140" s="311"/>
      <c r="AY140" s="311"/>
      <c r="AZ140" s="311"/>
      <c r="BA140" s="311"/>
    </row>
    <row r="141" spans="1:53" ht="12.75" customHeight="1">
      <c r="A141" s="253"/>
      <c r="B141" s="317" t="s">
        <v>144</v>
      </c>
      <c r="C141" s="318">
        <f t="shared" ref="C141:S141" si="156">C138+C154</f>
        <v>-74.008999999999986</v>
      </c>
      <c r="D141" s="318">
        <f t="shared" si="156"/>
        <v>-62.058000000000035</v>
      </c>
      <c r="E141" s="319">
        <f t="shared" si="156"/>
        <v>-31.073999999999998</v>
      </c>
      <c r="F141" s="319">
        <f t="shared" si="156"/>
        <v>-19.559000000000008</v>
      </c>
      <c r="G141" s="319">
        <f t="shared" si="156"/>
        <v>-19.160999999999984</v>
      </c>
      <c r="H141" s="319">
        <f t="shared" si="156"/>
        <v>-18.216000000000033</v>
      </c>
      <c r="I141" s="318">
        <f t="shared" si="156"/>
        <v>-88.010000000000133</v>
      </c>
      <c r="J141" s="319">
        <f t="shared" si="156"/>
        <v>-26.472999999999985</v>
      </c>
      <c r="K141" s="319">
        <f t="shared" si="156"/>
        <v>-5.473000000000015</v>
      </c>
      <c r="L141" s="319">
        <f t="shared" si="156"/>
        <v>-22.494</v>
      </c>
      <c r="M141" s="319">
        <f t="shared" si="156"/>
        <v>-12.533999999999985</v>
      </c>
      <c r="N141" s="325">
        <f t="shared" si="156"/>
        <v>-66.97399999999999</v>
      </c>
      <c r="O141" s="319">
        <f t="shared" si="156"/>
        <v>-15.09800000000002</v>
      </c>
      <c r="P141" s="319">
        <f t="shared" si="156"/>
        <v>5.6589999999999172</v>
      </c>
      <c r="Q141" s="319">
        <f t="shared" si="156"/>
        <v>3.869999999999969</v>
      </c>
      <c r="R141" s="326">
        <f t="shared" si="156"/>
        <v>20.709000000000067</v>
      </c>
      <c r="S141" s="318">
        <f t="shared" si="156"/>
        <v>15.139999999999716</v>
      </c>
      <c r="T141" s="319">
        <f t="shared" ref="T141:AM141" si="157">T138+T154-T125</f>
        <v>20.091000000000019</v>
      </c>
      <c r="U141" s="319">
        <f t="shared" si="157"/>
        <v>29.797000000000036</v>
      </c>
      <c r="V141" s="319">
        <f t="shared" si="157"/>
        <v>30.093000000000075</v>
      </c>
      <c r="W141" s="319">
        <f t="shared" si="157"/>
        <v>27.74678001757038</v>
      </c>
      <c r="X141" s="318">
        <f t="shared" si="157"/>
        <v>107.7277800175698</v>
      </c>
      <c r="Y141" s="319">
        <f t="shared" si="157"/>
        <v>46.229221452560189</v>
      </c>
      <c r="Z141" s="319">
        <f t="shared" si="157"/>
        <v>57.746738527236964</v>
      </c>
      <c r="AA141" s="319">
        <f t="shared" si="157"/>
        <v>63.599123477451123</v>
      </c>
      <c r="AB141" s="319">
        <f t="shared" si="157"/>
        <v>57.254148864431926</v>
      </c>
      <c r="AC141" s="318">
        <f t="shared" si="157"/>
        <v>224.82923232167985</v>
      </c>
      <c r="AD141" s="319">
        <f t="shared" si="157"/>
        <v>81.064756907849272</v>
      </c>
      <c r="AE141" s="319">
        <f t="shared" si="157"/>
        <v>104.10808891401868</v>
      </c>
      <c r="AF141" s="319">
        <f t="shared" si="157"/>
        <v>114.89956004859408</v>
      </c>
      <c r="AG141" s="319">
        <f t="shared" si="157"/>
        <v>108.17244192043094</v>
      </c>
      <c r="AH141" s="318">
        <f t="shared" si="157"/>
        <v>408.24484779089244</v>
      </c>
      <c r="AI141" s="319">
        <f t="shared" si="157"/>
        <v>126.91401325202467</v>
      </c>
      <c r="AJ141" s="319">
        <f t="shared" si="157"/>
        <v>163.82345095448537</v>
      </c>
      <c r="AK141" s="319">
        <f t="shared" si="157"/>
        <v>180.69350475161272</v>
      </c>
      <c r="AL141" s="319">
        <f t="shared" si="157"/>
        <v>174.07848103546277</v>
      </c>
      <c r="AM141" s="318">
        <f t="shared" si="157"/>
        <v>645.50944999358614</v>
      </c>
      <c r="AN141" s="320"/>
      <c r="AO141" s="321"/>
      <c r="AP141" s="321"/>
      <c r="AQ141" s="321"/>
      <c r="AR141" s="321"/>
      <c r="AS141" s="321"/>
      <c r="AT141" s="321"/>
      <c r="AU141" s="321"/>
      <c r="AV141" s="321"/>
      <c r="AW141" s="321"/>
      <c r="AX141" s="321"/>
      <c r="AY141" s="321"/>
      <c r="AZ141" s="321"/>
      <c r="BA141" s="321"/>
    </row>
    <row r="142" spans="1:53" ht="12.75" customHeight="1" thickBot="1">
      <c r="A142" s="249"/>
      <c r="B142" s="307" t="s">
        <v>145</v>
      </c>
      <c r="C142" s="308">
        <f t="shared" ref="C142:AM142" si="158">C141/C147</f>
        <v>-0.62077671531622203</v>
      </c>
      <c r="D142" s="308">
        <f t="shared" si="158"/>
        <v>-0.48541593335679956</v>
      </c>
      <c r="E142" s="309">
        <f t="shared" si="158"/>
        <v>-0.22942831195871263</v>
      </c>
      <c r="F142" s="309">
        <f t="shared" si="158"/>
        <v>-0.14440974298772166</v>
      </c>
      <c r="G142" s="309">
        <f t="shared" si="158"/>
        <v>-0.14147119409927558</v>
      </c>
      <c r="H142" s="309">
        <f t="shared" si="158"/>
        <v>-0.13449398631138307</v>
      </c>
      <c r="I142" s="308">
        <f t="shared" si="158"/>
        <v>-0.61960546880500222</v>
      </c>
      <c r="J142" s="309">
        <f t="shared" si="158"/>
        <v>-9.4429740392229553E-2</v>
      </c>
      <c r="K142" s="309">
        <f t="shared" si="158"/>
        <v>-1.9522304580768104E-2</v>
      </c>
      <c r="L142" s="309">
        <f t="shared" si="158"/>
        <v>-6.2633906287947988E-2</v>
      </c>
      <c r="M142" s="309">
        <f t="shared" si="158"/>
        <v>-5.3438954926070502E-2</v>
      </c>
      <c r="N142" s="308">
        <f t="shared" si="158"/>
        <v>-0.23207025750153529</v>
      </c>
      <c r="O142" s="309">
        <f t="shared" si="158"/>
        <v>-4.5568688051574956E-2</v>
      </c>
      <c r="P142" s="309">
        <f t="shared" si="158"/>
        <v>1.4764899454707145E-2</v>
      </c>
      <c r="Q142" s="309">
        <f t="shared" si="158"/>
        <v>1.0028504793988001E-2</v>
      </c>
      <c r="R142" s="309">
        <f t="shared" si="158"/>
        <v>5.4136788913839835E-2</v>
      </c>
      <c r="S142" s="308">
        <f t="shared" si="158"/>
        <v>3.937581274382241E-2</v>
      </c>
      <c r="T142" s="309">
        <f t="shared" si="158"/>
        <v>4.749610775222908E-2</v>
      </c>
      <c r="U142" s="309">
        <f t="shared" si="158"/>
        <v>7.1204966688014459E-2</v>
      </c>
      <c r="V142" s="309">
        <f t="shared" si="158"/>
        <v>6.9613957490908929E-2</v>
      </c>
      <c r="W142" s="309">
        <f t="shared" si="158"/>
        <v>6.1522793830532996E-2</v>
      </c>
      <c r="X142" s="308">
        <f t="shared" si="158"/>
        <v>0.24983902025773402</v>
      </c>
      <c r="Y142" s="309">
        <f t="shared" si="158"/>
        <v>0.10211888284972162</v>
      </c>
      <c r="Z142" s="309">
        <f t="shared" si="158"/>
        <v>0.12709534681176707</v>
      </c>
      <c r="AA142" s="309">
        <f t="shared" si="158"/>
        <v>0.13948004023397298</v>
      </c>
      <c r="AB142" s="309">
        <f t="shared" si="158"/>
        <v>0.12513302675663632</v>
      </c>
      <c r="AC142" s="308">
        <f t="shared" si="158"/>
        <v>0.49397361705189036</v>
      </c>
      <c r="AD142" s="309">
        <f t="shared" si="158"/>
        <v>0.1765816890734529</v>
      </c>
      <c r="AE142" s="309">
        <f t="shared" si="158"/>
        <v>0.22603487583099161</v>
      </c>
      <c r="AF142" s="309">
        <f t="shared" si="158"/>
        <v>0.24866591857419576</v>
      </c>
      <c r="AG142" s="309">
        <f t="shared" si="158"/>
        <v>0.23337350533741871</v>
      </c>
      <c r="AH142" s="308">
        <f t="shared" si="158"/>
        <v>0.88496738326997437</v>
      </c>
      <c r="AI142" s="309">
        <f t="shared" si="158"/>
        <v>0.27297621934641986</v>
      </c>
      <c r="AJ142" s="309">
        <f t="shared" si="158"/>
        <v>0.35131911260188242</v>
      </c>
      <c r="AK142" s="309">
        <f t="shared" si="158"/>
        <v>0.38637507105362623</v>
      </c>
      <c r="AL142" s="309">
        <f t="shared" si="158"/>
        <v>0.37117866175852404</v>
      </c>
      <c r="AM142" s="308">
        <f t="shared" si="158"/>
        <v>1.3823298179643992</v>
      </c>
      <c r="AN142" s="310"/>
      <c r="AO142" s="311"/>
      <c r="AP142" s="311"/>
      <c r="AQ142" s="311"/>
      <c r="AR142" s="311"/>
      <c r="AS142" s="311"/>
      <c r="AT142" s="311"/>
      <c r="AU142" s="311"/>
      <c r="AV142" s="311"/>
      <c r="AW142" s="311"/>
      <c r="AX142" s="311"/>
      <c r="AY142" s="311"/>
      <c r="AZ142" s="311"/>
      <c r="BA142" s="311"/>
    </row>
    <row r="143" spans="1:53" ht="12.75" customHeight="1" thickTop="1">
      <c r="A143" s="221"/>
      <c r="B143" s="215" t="s">
        <v>26</v>
      </c>
      <c r="C143" s="246"/>
      <c r="D143" s="246"/>
      <c r="E143" s="247"/>
      <c r="F143" s="247"/>
      <c r="G143" s="247"/>
      <c r="H143" s="247"/>
      <c r="I143" s="246"/>
      <c r="J143" s="247"/>
      <c r="K143" s="247"/>
      <c r="L143" s="247"/>
      <c r="M143" s="247"/>
      <c r="N143" s="246"/>
      <c r="O143" s="247"/>
      <c r="P143" s="247"/>
      <c r="Q143" s="327"/>
      <c r="R143" s="327">
        <f t="shared" ref="R143:AM143" si="159">+R142/M142-1</f>
        <v>-2.0130585261020681</v>
      </c>
      <c r="S143" s="246">
        <f t="shared" si="159"/>
        <v>-1.169671948347633</v>
      </c>
      <c r="T143" s="247">
        <f t="shared" si="159"/>
        <v>-2.0422970197972927</v>
      </c>
      <c r="U143" s="247">
        <f t="shared" si="159"/>
        <v>3.8225839198189631</v>
      </c>
      <c r="V143" s="247">
        <f t="shared" si="159"/>
        <v>5.9416088361090358</v>
      </c>
      <c r="W143" s="146">
        <f t="shared" si="159"/>
        <v>0.13643226842375511</v>
      </c>
      <c r="X143" s="246">
        <f t="shared" si="159"/>
        <v>5.3449870072061119</v>
      </c>
      <c r="Y143" s="247">
        <f t="shared" si="159"/>
        <v>1.1500473971981209</v>
      </c>
      <c r="Z143" s="247">
        <f t="shared" si="159"/>
        <v>0.78492249520510393</v>
      </c>
      <c r="AA143" s="327">
        <f t="shared" si="159"/>
        <v>1.003621762951604</v>
      </c>
      <c r="AB143" s="146">
        <f t="shared" si="159"/>
        <v>1.0339295237683817</v>
      </c>
      <c r="AC143" s="246">
        <f t="shared" si="159"/>
        <v>0.97716760393275237</v>
      </c>
      <c r="AD143" s="247">
        <f t="shared" si="159"/>
        <v>0.72917764223205328</v>
      </c>
      <c r="AE143" s="247">
        <f t="shared" si="159"/>
        <v>0.7784669659524015</v>
      </c>
      <c r="AF143" s="327">
        <f t="shared" si="159"/>
        <v>0.78280647293381356</v>
      </c>
      <c r="AG143" s="146">
        <f t="shared" si="159"/>
        <v>0.86500327999971405</v>
      </c>
      <c r="AH143" s="246">
        <f t="shared" si="159"/>
        <v>0.791527629656811</v>
      </c>
      <c r="AI143" s="247">
        <f t="shared" si="159"/>
        <v>0.54589199355132245</v>
      </c>
      <c r="AJ143" s="247">
        <f t="shared" si="159"/>
        <v>0.55426949629032918</v>
      </c>
      <c r="AK143" s="327">
        <f t="shared" si="159"/>
        <v>0.55379182345948008</v>
      </c>
      <c r="AL143" s="146">
        <f t="shared" si="159"/>
        <v>0.59049186505495688</v>
      </c>
      <c r="AM143" s="246">
        <f t="shared" si="159"/>
        <v>0.56201216462538928</v>
      </c>
      <c r="AN143" s="328"/>
      <c r="AO143" s="328"/>
      <c r="AP143" s="328"/>
      <c r="AQ143" s="328"/>
      <c r="AR143" s="328"/>
      <c r="AS143" s="328"/>
      <c r="AT143" s="328"/>
      <c r="AU143" s="328"/>
      <c r="AV143" s="328"/>
      <c r="AW143" s="328"/>
      <c r="AX143" s="328"/>
      <c r="AY143" s="328"/>
      <c r="AZ143" s="328"/>
      <c r="BA143" s="328"/>
    </row>
    <row r="144" spans="1:53" ht="4.5" customHeight="1">
      <c r="A144" s="249"/>
      <c r="B144" s="258"/>
      <c r="C144" s="322"/>
      <c r="D144" s="322"/>
      <c r="E144" s="323"/>
      <c r="F144" s="323"/>
      <c r="G144" s="323"/>
      <c r="H144" s="323"/>
      <c r="I144" s="322"/>
      <c r="J144" s="323"/>
      <c r="K144" s="323"/>
      <c r="L144" s="323"/>
      <c r="M144" s="323"/>
      <c r="N144" s="322"/>
      <c r="O144" s="323"/>
      <c r="P144" s="323"/>
      <c r="Q144" s="323"/>
      <c r="R144" s="323"/>
      <c r="S144" s="322"/>
      <c r="T144" s="323"/>
      <c r="U144" s="323"/>
      <c r="V144" s="323"/>
      <c r="W144" s="323"/>
      <c r="X144" s="322"/>
      <c r="Y144" s="323"/>
      <c r="Z144" s="323"/>
      <c r="AA144" s="323"/>
      <c r="AB144" s="323"/>
      <c r="AC144" s="322"/>
      <c r="AD144" s="323"/>
      <c r="AE144" s="323"/>
      <c r="AF144" s="323"/>
      <c r="AG144" s="323"/>
      <c r="AH144" s="322"/>
      <c r="AI144" s="323"/>
      <c r="AJ144" s="323"/>
      <c r="AK144" s="323"/>
      <c r="AL144" s="323"/>
      <c r="AM144" s="322"/>
      <c r="AN144" s="311"/>
      <c r="AO144" s="311"/>
      <c r="AP144" s="311"/>
      <c r="AQ144" s="311"/>
      <c r="AR144" s="311"/>
      <c r="AS144" s="311"/>
      <c r="AT144" s="311"/>
      <c r="AU144" s="311"/>
      <c r="AV144" s="311"/>
      <c r="AW144" s="311"/>
      <c r="AX144" s="311"/>
      <c r="AY144" s="311"/>
      <c r="AZ144" s="311"/>
      <c r="BA144" s="311"/>
    </row>
    <row r="145" spans="1:53" ht="12.75" customHeight="1">
      <c r="A145" s="81"/>
      <c r="B145" s="312" t="s">
        <v>146</v>
      </c>
      <c r="C145" s="329">
        <f>C146</f>
        <v>119.22</v>
      </c>
      <c r="D145" s="330">
        <v>138.0179</v>
      </c>
      <c r="E145" s="331">
        <f>E146</f>
        <v>135.441</v>
      </c>
      <c r="F145" s="331">
        <f t="shared" ref="F145:H147" si="160">E145</f>
        <v>135.441</v>
      </c>
      <c r="G145" s="331">
        <f t="shared" si="160"/>
        <v>135.441</v>
      </c>
      <c r="H145" s="331">
        <f t="shared" si="160"/>
        <v>135.441</v>
      </c>
      <c r="I145" s="330">
        <v>154.60368299999999</v>
      </c>
      <c r="J145" s="332">
        <f>153.717029+135.253</f>
        <v>288.97002899999995</v>
      </c>
      <c r="K145" s="332">
        <f>J145</f>
        <v>288.97002899999995</v>
      </c>
      <c r="L145" s="332">
        <f>K145</f>
        <v>288.97002899999995</v>
      </c>
      <c r="M145" s="332">
        <f>291.995+25.65+4.05</f>
        <v>321.69499999999999</v>
      </c>
      <c r="N145" s="329">
        <f>M145</f>
        <v>321.69499999999999</v>
      </c>
      <c r="O145" s="332">
        <f>M145</f>
        <v>321.69499999999999</v>
      </c>
      <c r="P145" s="332">
        <f>O145</f>
        <v>321.69499999999999</v>
      </c>
      <c r="Q145" s="332">
        <f>P145</f>
        <v>321.69499999999999</v>
      </c>
      <c r="R145" s="332">
        <f>Q145</f>
        <v>321.69499999999999</v>
      </c>
      <c r="S145" s="329">
        <f>R145</f>
        <v>321.69499999999999</v>
      </c>
      <c r="T145" s="332">
        <f>R145</f>
        <v>321.69499999999999</v>
      </c>
      <c r="U145" s="332">
        <f>T145</f>
        <v>321.69499999999999</v>
      </c>
      <c r="V145" s="332">
        <f>U145</f>
        <v>321.69499999999999</v>
      </c>
      <c r="W145" s="332">
        <f>V145</f>
        <v>321.69499999999999</v>
      </c>
      <c r="X145" s="329">
        <f>W145</f>
        <v>321.69499999999999</v>
      </c>
      <c r="Y145" s="333">
        <f>W145</f>
        <v>321.69499999999999</v>
      </c>
      <c r="Z145" s="332">
        <f>Y145</f>
        <v>321.69499999999999</v>
      </c>
      <c r="AA145" s="332">
        <f>Z145</f>
        <v>321.69499999999999</v>
      </c>
      <c r="AB145" s="332">
        <f>AA145</f>
        <v>321.69499999999999</v>
      </c>
      <c r="AC145" s="329">
        <f>AB145</f>
        <v>321.69499999999999</v>
      </c>
      <c r="AD145" s="333">
        <f>AB145</f>
        <v>321.69499999999999</v>
      </c>
      <c r="AE145" s="332">
        <f>AD145</f>
        <v>321.69499999999999</v>
      </c>
      <c r="AF145" s="332">
        <f>AE145</f>
        <v>321.69499999999999</v>
      </c>
      <c r="AG145" s="332">
        <f>AF145</f>
        <v>321.69499999999999</v>
      </c>
      <c r="AH145" s="329">
        <f>AG145</f>
        <v>321.69499999999999</v>
      </c>
      <c r="AI145" s="333">
        <f>AG145</f>
        <v>321.69499999999999</v>
      </c>
      <c r="AJ145" s="332">
        <f>AI145</f>
        <v>321.69499999999999</v>
      </c>
      <c r="AK145" s="332">
        <f>AJ145</f>
        <v>321.69499999999999</v>
      </c>
      <c r="AL145" s="332">
        <f>AK145</f>
        <v>321.69499999999999</v>
      </c>
      <c r="AM145" s="329">
        <f>AL145</f>
        <v>321.69499999999999</v>
      </c>
      <c r="AN145" s="311"/>
      <c r="AO145" s="311"/>
      <c r="AP145" s="311"/>
      <c r="AQ145" s="311"/>
      <c r="AR145" s="311"/>
      <c r="AS145" s="311"/>
      <c r="AT145" s="311"/>
      <c r="AU145" s="311"/>
      <c r="AV145" s="311"/>
      <c r="AW145" s="311"/>
      <c r="AX145" s="311"/>
      <c r="AY145" s="311"/>
      <c r="AZ145" s="311"/>
      <c r="BA145" s="311"/>
    </row>
    <row r="146" spans="1:53" ht="12.75" customHeight="1">
      <c r="A146" s="81"/>
      <c r="B146" s="312" t="s">
        <v>147</v>
      </c>
      <c r="C146" s="334">
        <v>119.22</v>
      </c>
      <c r="D146" s="334">
        <v>127.845</v>
      </c>
      <c r="E146" s="332">
        <v>135.441</v>
      </c>
      <c r="F146" s="331">
        <f t="shared" si="160"/>
        <v>135.441</v>
      </c>
      <c r="G146" s="331">
        <f t="shared" si="160"/>
        <v>135.441</v>
      </c>
      <c r="H146" s="331">
        <f t="shared" si="160"/>
        <v>135.441</v>
      </c>
      <c r="I146" s="334">
        <v>142.042</v>
      </c>
      <c r="J146" s="332">
        <f>145.093+135.253</f>
        <v>280.346</v>
      </c>
      <c r="K146" s="332">
        <f t="shared" ref="K146:K147" si="161">J146</f>
        <v>280.346</v>
      </c>
      <c r="L146" s="332">
        <f>L147</f>
        <v>359.13455400000004</v>
      </c>
      <c r="M146" s="332">
        <f>+M147</f>
        <v>234.548</v>
      </c>
      <c r="N146" s="335">
        <f>AVERAGE(J146:M146)</f>
        <v>288.5936385</v>
      </c>
      <c r="O146" s="332">
        <v>331.32400000000001</v>
      </c>
      <c r="P146" s="332">
        <f>O146+(P154/P148)</f>
        <v>334.11477853363567</v>
      </c>
      <c r="Q146" s="332">
        <v>343.89299999999997</v>
      </c>
      <c r="R146" s="332">
        <v>356.34300000000002</v>
      </c>
      <c r="S146" s="335">
        <f>AVERAGE(O146:R146)</f>
        <v>341.41869463340896</v>
      </c>
      <c r="T146" s="332">
        <v>367.19099999999997</v>
      </c>
      <c r="U146" s="332">
        <f>T146+(U154/U148)</f>
        <v>368.77472</v>
      </c>
      <c r="V146" s="332">
        <v>383.95100000000002</v>
      </c>
      <c r="W146" s="332">
        <f>V146+(W154/W148)</f>
        <v>385.44026984126987</v>
      </c>
      <c r="X146" s="335">
        <f>AVERAGE(T146:W146)</f>
        <v>376.33924746031744</v>
      </c>
      <c r="Y146" s="333">
        <f>W146+(Y154/Y148)</f>
        <v>386.89317557499191</v>
      </c>
      <c r="Z146" s="332">
        <f>Y146+(Z154/Z148)</f>
        <v>388.30980342038555</v>
      </c>
      <c r="AA146" s="332">
        <f>Z146+(AA154/AA148)</f>
        <v>389.69031384360966</v>
      </c>
      <c r="AB146" s="332">
        <f>AA146+(AB154/AB148)</f>
        <v>391.03493429111711</v>
      </c>
      <c r="AC146" s="335">
        <f>AVERAGE(Y146:AB146)</f>
        <v>388.982056782526</v>
      </c>
      <c r="AD146" s="333">
        <f>AB146+(AD154/AD148)</f>
        <v>392.34395244671038</v>
      </c>
      <c r="AE146" s="332">
        <f>AD146+(AE154/AE148)</f>
        <v>393.63124676613995</v>
      </c>
      <c r="AF146" s="332">
        <f>AE146+(AF154/AF148)</f>
        <v>394.895917891046</v>
      </c>
      <c r="AG146" s="332">
        <f>AF146+(AG154/AG148)</f>
        <v>396.13720137664512</v>
      </c>
      <c r="AH146" s="335">
        <f>AVERAGE(AD146:AG146)</f>
        <v>394.25207962013536</v>
      </c>
      <c r="AI146" s="333">
        <f>AG146+(AI154/AI148)</f>
        <v>397.34276329639823</v>
      </c>
      <c r="AJ146" s="332">
        <f>AI146+(AJ154/AJ148)</f>
        <v>398.52432775077756</v>
      </c>
      <c r="AK146" s="332">
        <f>AJ146+(AK154/AK148)</f>
        <v>399.68144651217756</v>
      </c>
      <c r="AL146" s="332">
        <f>AK146+(AL154/AL148)</f>
        <v>400.8137684573573</v>
      </c>
      <c r="AM146" s="335">
        <f>AVERAGE(AI146:AL146)</f>
        <v>399.0905765041777</v>
      </c>
      <c r="AN146" s="311"/>
      <c r="AO146" s="311"/>
      <c r="AP146" s="311"/>
      <c r="AQ146" s="311"/>
      <c r="AR146" s="311"/>
      <c r="AS146" s="311"/>
      <c r="AT146" s="311"/>
      <c r="AU146" s="311"/>
      <c r="AV146" s="311"/>
      <c r="AW146" s="311"/>
      <c r="AX146" s="311"/>
      <c r="AY146" s="311"/>
      <c r="AZ146" s="311"/>
      <c r="BA146" s="311"/>
    </row>
    <row r="147" spans="1:53" ht="12.75" customHeight="1">
      <c r="A147" s="81"/>
      <c r="B147" s="312" t="s">
        <v>148</v>
      </c>
      <c r="C147" s="334">
        <v>119.22</v>
      </c>
      <c r="D147" s="334">
        <v>127.845</v>
      </c>
      <c r="E147" s="332">
        <v>135.441</v>
      </c>
      <c r="F147" s="331">
        <f t="shared" si="160"/>
        <v>135.441</v>
      </c>
      <c r="G147" s="331">
        <f t="shared" si="160"/>
        <v>135.441</v>
      </c>
      <c r="H147" s="331">
        <f t="shared" si="160"/>
        <v>135.441</v>
      </c>
      <c r="I147" s="334">
        <v>142.042</v>
      </c>
      <c r="J147" s="332">
        <f>145.093+135.253</f>
        <v>280.346</v>
      </c>
      <c r="K147" s="332">
        <f t="shared" si="161"/>
        <v>280.346</v>
      </c>
      <c r="L147" s="332">
        <f>355.084554+4.05</f>
        <v>359.13455400000004</v>
      </c>
      <c r="M147" s="332">
        <v>234.548</v>
      </c>
      <c r="N147" s="335">
        <f>AVERAGE(J147:M147)</f>
        <v>288.5936385</v>
      </c>
      <c r="O147" s="332">
        <f>IF(O141&lt;0,O146,#REF!)</f>
        <v>331.32400000000001</v>
      </c>
      <c r="P147" s="332">
        <v>383.27385955857568</v>
      </c>
      <c r="Q147" s="333">
        <v>385.9</v>
      </c>
      <c r="R147" s="333">
        <v>382.53100000000001</v>
      </c>
      <c r="S147" s="335">
        <v>384.5</v>
      </c>
      <c r="T147" s="332">
        <v>423.00308279591837</v>
      </c>
      <c r="U147" s="332">
        <v>418.46800000000002</v>
      </c>
      <c r="V147" s="332">
        <v>432.28399999999999</v>
      </c>
      <c r="W147" s="333">
        <v>451</v>
      </c>
      <c r="X147" s="335">
        <f>AVERAGE(T147:W147)</f>
        <v>431.18877069897962</v>
      </c>
      <c r="Y147" s="333">
        <f>W147/W146*Y146</f>
        <v>452.70003120374139</v>
      </c>
      <c r="Z147" s="333">
        <f t="shared" ref="Z147:AB147" si="162">Y147/Y146*Z146</f>
        <v>454.35761399480685</v>
      </c>
      <c r="AA147" s="333">
        <f t="shared" si="162"/>
        <v>455.97293613312542</v>
      </c>
      <c r="AB147" s="333">
        <f t="shared" si="162"/>
        <v>457.5462637516319</v>
      </c>
      <c r="AC147" s="335">
        <f>AVERAGE(Y147:AB147)</f>
        <v>455.14421127082636</v>
      </c>
      <c r="AD147" s="333">
        <f>AB147/AB146*AD146</f>
        <v>459.07793346641205</v>
      </c>
      <c r="AE147" s="333">
        <f t="shared" ref="AE147:AG147" si="163">AD147/AD146*AE146</f>
        <v>460.5841843267641</v>
      </c>
      <c r="AF147" s="333">
        <f t="shared" si="163"/>
        <v>462.06396400201055</v>
      </c>
      <c r="AG147" s="333">
        <f t="shared" si="163"/>
        <v>463.51637802256874</v>
      </c>
      <c r="AH147" s="335">
        <f>AVERAGE(AD147:AG147)</f>
        <v>461.31061495443885</v>
      </c>
      <c r="AI147" s="333">
        <f>AG147/AG146*AI146</f>
        <v>464.92699457810551</v>
      </c>
      <c r="AJ147" s="333">
        <f t="shared" ref="AJ147:AL147" si="164">AI147/AI146*AJ146</f>
        <v>466.30953192726349</v>
      </c>
      <c r="AK147" s="333">
        <f t="shared" si="164"/>
        <v>467.66346560317731</v>
      </c>
      <c r="AL147" s="333">
        <f t="shared" si="164"/>
        <v>468.98838475987662</v>
      </c>
      <c r="AM147" s="335">
        <f>AVERAGE(AI147:AL147)</f>
        <v>466.97209421710579</v>
      </c>
      <c r="AN147" s="311"/>
      <c r="AO147" s="311"/>
      <c r="AP147" s="311"/>
      <c r="AQ147" s="311"/>
      <c r="AR147" s="311"/>
      <c r="AS147" s="311"/>
      <c r="AT147" s="311"/>
      <c r="AU147" s="311"/>
      <c r="AV147" s="311"/>
      <c r="AW147" s="311"/>
      <c r="AX147" s="311"/>
      <c r="AY147" s="311"/>
      <c r="AZ147" s="311"/>
      <c r="BA147" s="311"/>
    </row>
    <row r="148" spans="1:53" ht="12.75" customHeight="1">
      <c r="A148" s="81"/>
      <c r="B148" s="312" t="s">
        <v>149</v>
      </c>
      <c r="C148" s="334"/>
      <c r="D148" s="334"/>
      <c r="E148" s="332"/>
      <c r="F148" s="331"/>
      <c r="G148" s="331"/>
      <c r="H148" s="331"/>
      <c r="I148" s="334"/>
      <c r="J148" s="332"/>
      <c r="K148" s="332"/>
      <c r="L148" s="332"/>
      <c r="M148" s="332">
        <v>12</v>
      </c>
      <c r="N148" s="335"/>
      <c r="O148" s="332">
        <f>M148*1.05</f>
        <v>12.600000000000001</v>
      </c>
      <c r="P148" s="332">
        <f>O148*1.05</f>
        <v>13.230000000000002</v>
      </c>
      <c r="Q148" s="332">
        <f>P148*1.05</f>
        <v>13.891500000000002</v>
      </c>
      <c r="R148" s="332">
        <f>Q148*1.05</f>
        <v>14.586075000000003</v>
      </c>
      <c r="S148" s="335"/>
      <c r="T148" s="332">
        <f>R148*1.05</f>
        <v>15.315378750000004</v>
      </c>
      <c r="U148" s="332">
        <v>25</v>
      </c>
      <c r="V148" s="332">
        <f>U148*1.05</f>
        <v>26.25</v>
      </c>
      <c r="W148" s="332">
        <f>V148*1.05</f>
        <v>27.5625</v>
      </c>
      <c r="X148" s="335"/>
      <c r="Y148" s="333">
        <f>W148*1.05</f>
        <v>28.940625000000001</v>
      </c>
      <c r="Z148" s="332">
        <f>Y148*1.05</f>
        <v>30.387656250000003</v>
      </c>
      <c r="AA148" s="332">
        <f>Z148*1.05</f>
        <v>31.907039062500004</v>
      </c>
      <c r="AB148" s="332">
        <f>AA148*1.05</f>
        <v>33.502391015625008</v>
      </c>
      <c r="AC148" s="335"/>
      <c r="AD148" s="333">
        <f>AB148*1.05</f>
        <v>35.177510566406262</v>
      </c>
      <c r="AE148" s="332">
        <f>AD148*1.05</f>
        <v>36.936386094726579</v>
      </c>
      <c r="AF148" s="332">
        <f>AE148*1.05</f>
        <v>38.783205399462908</v>
      </c>
      <c r="AG148" s="332">
        <f>AF148*1.05</f>
        <v>40.722365669436051</v>
      </c>
      <c r="AH148" s="335"/>
      <c r="AI148" s="333">
        <f>AG148*1.05</f>
        <v>42.758483952907859</v>
      </c>
      <c r="AJ148" s="332">
        <f>AI148*1.05</f>
        <v>44.896408150553256</v>
      </c>
      <c r="AK148" s="332">
        <f>AJ148*1.05</f>
        <v>47.141228558080918</v>
      </c>
      <c r="AL148" s="332">
        <f>AK148*1.05</f>
        <v>49.498289985984968</v>
      </c>
      <c r="AM148" s="335"/>
      <c r="AN148" s="311"/>
      <c r="AO148" s="311"/>
      <c r="AP148" s="311"/>
      <c r="AQ148" s="311"/>
      <c r="AR148" s="311"/>
      <c r="AS148" s="311"/>
      <c r="AT148" s="311"/>
      <c r="AU148" s="311"/>
      <c r="AV148" s="311"/>
      <c r="AW148" s="311"/>
      <c r="AX148" s="311"/>
      <c r="AY148" s="311"/>
      <c r="AZ148" s="311"/>
      <c r="BA148" s="311"/>
    </row>
    <row r="149" spans="1:53" ht="12.75" customHeight="1">
      <c r="A149" s="81"/>
      <c r="B149" s="312"/>
      <c r="C149" s="334"/>
      <c r="D149" s="334"/>
      <c r="E149" s="332"/>
      <c r="F149" s="331"/>
      <c r="G149" s="331"/>
      <c r="H149" s="331"/>
      <c r="I149" s="334"/>
      <c r="J149" s="332"/>
      <c r="K149" s="332"/>
      <c r="L149" s="332"/>
      <c r="M149" s="332"/>
      <c r="N149" s="335"/>
      <c r="O149" s="332"/>
      <c r="P149" s="332"/>
      <c r="Q149" s="332"/>
      <c r="R149" s="332"/>
      <c r="S149" s="335"/>
      <c r="T149" s="332"/>
      <c r="U149" s="332"/>
      <c r="V149" s="332"/>
      <c r="W149" s="332"/>
      <c r="X149" s="335"/>
      <c r="Y149" s="333"/>
      <c r="Z149" s="332"/>
      <c r="AA149" s="332"/>
      <c r="AB149" s="332"/>
      <c r="AC149" s="335"/>
      <c r="AD149" s="333"/>
      <c r="AE149" s="332"/>
      <c r="AF149" s="332"/>
      <c r="AG149" s="332"/>
      <c r="AH149" s="335"/>
      <c r="AI149" s="333"/>
      <c r="AJ149" s="332"/>
      <c r="AK149" s="332"/>
      <c r="AL149" s="332"/>
      <c r="AM149" s="335"/>
      <c r="AN149" s="311"/>
      <c r="AO149" s="311"/>
      <c r="AP149" s="311"/>
      <c r="AQ149" s="311"/>
      <c r="AR149" s="311"/>
      <c r="AS149" s="311"/>
      <c r="AT149" s="311"/>
      <c r="AU149" s="311"/>
      <c r="AV149" s="311"/>
      <c r="AW149" s="311"/>
      <c r="AX149" s="311"/>
      <c r="AY149" s="311"/>
      <c r="AZ149" s="311"/>
      <c r="BA149" s="311"/>
    </row>
    <row r="150" spans="1:53" ht="13.5" customHeight="1">
      <c r="A150" s="104"/>
      <c r="B150" s="149" t="s">
        <v>150</v>
      </c>
      <c r="C150" s="336"/>
      <c r="D150" s="336"/>
      <c r="E150" s="337"/>
      <c r="F150" s="337"/>
      <c r="G150" s="337"/>
      <c r="H150" s="337"/>
      <c r="I150" s="336"/>
      <c r="J150" s="337"/>
      <c r="K150" s="337"/>
      <c r="L150" s="337"/>
      <c r="M150" s="337"/>
      <c r="N150" s="336"/>
      <c r="O150" s="337"/>
      <c r="P150" s="337"/>
      <c r="Q150" s="338"/>
      <c r="R150" s="338"/>
      <c r="S150" s="336"/>
      <c r="T150" s="337"/>
      <c r="U150" s="337"/>
      <c r="V150" s="337"/>
      <c r="W150" s="338"/>
      <c r="X150" s="336"/>
      <c r="Y150" s="338"/>
      <c r="Z150" s="338"/>
      <c r="AA150" s="338"/>
      <c r="AB150" s="338"/>
      <c r="AC150" s="336"/>
      <c r="AD150" s="338"/>
      <c r="AE150" s="338"/>
      <c r="AF150" s="338"/>
      <c r="AG150" s="338"/>
      <c r="AH150" s="336"/>
      <c r="AI150" s="338"/>
      <c r="AJ150" s="338"/>
      <c r="AK150" s="338"/>
      <c r="AL150" s="338"/>
      <c r="AM150" s="336"/>
      <c r="AN150" s="339"/>
      <c r="AO150" s="339"/>
      <c r="AP150" s="339"/>
      <c r="AQ150" s="339"/>
      <c r="AR150" s="339"/>
      <c r="AS150" s="339"/>
      <c r="AT150" s="339"/>
      <c r="AU150" s="339"/>
      <c r="AV150" s="339"/>
      <c r="AW150" s="339"/>
      <c r="AX150" s="339"/>
      <c r="AY150" s="339"/>
      <c r="AZ150" s="339"/>
      <c r="BA150" s="109"/>
    </row>
    <row r="151" spans="1:53" ht="12.75" hidden="1" customHeight="1" outlineLevel="1">
      <c r="A151" s="209"/>
      <c r="B151" s="210" t="s">
        <v>114</v>
      </c>
      <c r="C151" s="211">
        <v>3.984</v>
      </c>
      <c r="D151" s="211">
        <v>8.82</v>
      </c>
      <c r="E151" s="223">
        <v>4.2649999999999997</v>
      </c>
      <c r="F151" s="223">
        <v>5.556</v>
      </c>
      <c r="G151" s="223">
        <v>7.0860000000000003</v>
      </c>
      <c r="H151" s="223">
        <v>7.851</v>
      </c>
      <c r="I151" s="151">
        <f>SUM(E151:H151)</f>
        <v>24.757999999999999</v>
      </c>
      <c r="J151" s="223">
        <v>8.9580000000000002</v>
      </c>
      <c r="K151" s="223">
        <v>10.391</v>
      </c>
      <c r="L151" s="223">
        <v>13.938000000000001</v>
      </c>
      <c r="M151" s="223"/>
      <c r="N151" s="151"/>
      <c r="O151" s="223"/>
      <c r="P151" s="223"/>
      <c r="Q151" s="135"/>
      <c r="R151" s="135"/>
      <c r="S151" s="151"/>
      <c r="T151" s="223"/>
      <c r="U151" s="223"/>
      <c r="V151" s="223"/>
      <c r="W151" s="135"/>
      <c r="X151" s="151"/>
      <c r="Y151" s="135"/>
      <c r="Z151" s="135"/>
      <c r="AA151" s="135"/>
      <c r="AB151" s="135"/>
      <c r="AC151" s="151"/>
      <c r="AD151" s="135"/>
      <c r="AE151" s="135"/>
      <c r="AF151" s="135"/>
      <c r="AG151" s="135"/>
      <c r="AH151" s="151"/>
      <c r="AI151" s="135"/>
      <c r="AJ151" s="135"/>
      <c r="AK151" s="135"/>
      <c r="AL151" s="135"/>
      <c r="AM151" s="151"/>
      <c r="AN151" s="214"/>
      <c r="AO151" s="214"/>
      <c r="AP151" s="214"/>
      <c r="AQ151" s="214"/>
      <c r="AR151" s="214"/>
      <c r="AS151" s="214"/>
      <c r="AT151" s="214"/>
      <c r="AU151" s="214"/>
      <c r="AV151" s="214"/>
      <c r="AW151" s="214"/>
      <c r="AX151" s="214"/>
      <c r="AY151" s="214"/>
      <c r="AZ151" s="214"/>
      <c r="BA151" s="214"/>
    </row>
    <row r="152" spans="1:53" ht="12.75" hidden="1" customHeight="1" outlineLevel="1">
      <c r="A152" s="209"/>
      <c r="B152" s="210" t="s">
        <v>116</v>
      </c>
      <c r="C152" s="211">
        <v>0.66800000000000004</v>
      </c>
      <c r="D152" s="211">
        <v>1.2350000000000001</v>
      </c>
      <c r="E152" s="223">
        <v>0.64400000000000002</v>
      </c>
      <c r="F152" s="223">
        <v>0.83899999999999997</v>
      </c>
      <c r="G152" s="223">
        <v>1.07</v>
      </c>
      <c r="H152" s="223">
        <v>1.1850000000000001</v>
      </c>
      <c r="I152" s="151">
        <f>SUM(E152:H152)</f>
        <v>3.738</v>
      </c>
      <c r="J152" s="223">
        <v>1.429</v>
      </c>
      <c r="K152" s="223">
        <v>1.345</v>
      </c>
      <c r="L152" s="223">
        <v>1.75</v>
      </c>
      <c r="M152" s="223"/>
      <c r="N152" s="151"/>
      <c r="O152" s="223"/>
      <c r="P152" s="223"/>
      <c r="Q152" s="135"/>
      <c r="R152" s="135"/>
      <c r="S152" s="151"/>
      <c r="T152" s="223"/>
      <c r="U152" s="223"/>
      <c r="V152" s="223"/>
      <c r="W152" s="135"/>
      <c r="X152" s="151"/>
      <c r="Y152" s="135"/>
      <c r="Z152" s="135"/>
      <c r="AA152" s="135"/>
      <c r="AB152" s="135"/>
      <c r="AC152" s="151"/>
      <c r="AD152" s="135"/>
      <c r="AE152" s="135"/>
      <c r="AF152" s="135"/>
      <c r="AG152" s="135"/>
      <c r="AH152" s="151"/>
      <c r="AI152" s="135">
        <f>AI57+AI64+AI71-AI154</f>
        <v>285.0656804740434</v>
      </c>
      <c r="AJ152" s="135">
        <f>AJ57+AJ64+AJ71-AJ154</f>
        <v>339.69836676331693</v>
      </c>
      <c r="AK152" s="135">
        <f>AK57+AK64+AK71-AK154</f>
        <v>362.26912708682943</v>
      </c>
      <c r="AL152" s="135">
        <f>AL57+AL64+AL71-AL154</f>
        <v>397.44928991270382</v>
      </c>
      <c r="AM152" s="151"/>
      <c r="AN152" s="214"/>
      <c r="AO152" s="214"/>
      <c r="AP152" s="214"/>
      <c r="AQ152" s="214"/>
      <c r="AR152" s="214"/>
      <c r="AS152" s="214"/>
      <c r="AT152" s="214"/>
      <c r="AU152" s="214"/>
      <c r="AV152" s="214"/>
      <c r="AW152" s="214"/>
      <c r="AX152" s="214"/>
      <c r="AY152" s="214"/>
      <c r="AZ152" s="214"/>
      <c r="BA152" s="214"/>
    </row>
    <row r="153" spans="1:53" ht="12.75" hidden="1" customHeight="1" outlineLevel="1">
      <c r="A153" s="209"/>
      <c r="B153" s="210" t="s">
        <v>117</v>
      </c>
      <c r="C153" s="211">
        <v>3.4620000000000002</v>
      </c>
      <c r="D153" s="211">
        <v>4.6029999999999998</v>
      </c>
      <c r="E153" s="223">
        <v>1.31</v>
      </c>
      <c r="F153" s="223">
        <v>1.7070000000000001</v>
      </c>
      <c r="G153" s="223">
        <v>2.1760000000000002</v>
      </c>
      <c r="H153" s="223">
        <v>2.411</v>
      </c>
      <c r="I153" s="151">
        <f>SUM(E153:H153)</f>
        <v>7.604000000000001</v>
      </c>
      <c r="J153" s="223">
        <v>3.0739999999999998</v>
      </c>
      <c r="K153" s="223">
        <v>3.496</v>
      </c>
      <c r="L153" s="223">
        <v>5.1050000000000004</v>
      </c>
      <c r="M153" s="223"/>
      <c r="N153" s="151"/>
      <c r="O153" s="223"/>
      <c r="P153" s="223"/>
      <c r="Q153" s="135"/>
      <c r="R153" s="135"/>
      <c r="S153" s="151"/>
      <c r="T153" s="223"/>
      <c r="U153" s="223"/>
      <c r="V153" s="223"/>
      <c r="W153" s="135"/>
      <c r="X153" s="151"/>
      <c r="Y153" s="135"/>
      <c r="Z153" s="135"/>
      <c r="AA153" s="135"/>
      <c r="AB153" s="135"/>
      <c r="AC153" s="151"/>
      <c r="AD153" s="135"/>
      <c r="AE153" s="135"/>
      <c r="AF153" s="135"/>
      <c r="AG153" s="135"/>
      <c r="AH153" s="151"/>
      <c r="AI153" s="135"/>
      <c r="AJ153" s="135"/>
      <c r="AK153" s="135"/>
      <c r="AL153" s="135"/>
      <c r="AM153" s="151"/>
      <c r="AN153" s="214"/>
      <c r="AO153" s="214"/>
      <c r="AP153" s="214"/>
      <c r="AQ153" s="214"/>
      <c r="AR153" s="214"/>
      <c r="AS153" s="214"/>
      <c r="AT153" s="214"/>
      <c r="AU153" s="214"/>
      <c r="AV153" s="214"/>
      <c r="AW153" s="214"/>
      <c r="AX153" s="214"/>
      <c r="AY153" s="214"/>
      <c r="AZ153" s="214"/>
      <c r="BA153" s="214"/>
    </row>
    <row r="154" spans="1:53" ht="13.5" customHeight="1" collapsed="1">
      <c r="A154" s="340"/>
      <c r="B154" s="149" t="s">
        <v>151</v>
      </c>
      <c r="C154" s="341">
        <f t="shared" ref="C154:L154" si="165">SUM(C151:C153)</f>
        <v>8.1140000000000008</v>
      </c>
      <c r="D154" s="341">
        <f t="shared" si="165"/>
        <v>14.657999999999999</v>
      </c>
      <c r="E154" s="342">
        <f t="shared" si="165"/>
        <v>6.2189999999999994</v>
      </c>
      <c r="F154" s="342">
        <f t="shared" si="165"/>
        <v>8.1020000000000003</v>
      </c>
      <c r="G154" s="342">
        <f t="shared" si="165"/>
        <v>10.332000000000001</v>
      </c>
      <c r="H154" s="342">
        <f t="shared" si="165"/>
        <v>11.446999999999999</v>
      </c>
      <c r="I154" s="341">
        <f t="shared" si="165"/>
        <v>36.1</v>
      </c>
      <c r="J154" s="342">
        <f t="shared" si="165"/>
        <v>13.461</v>
      </c>
      <c r="K154" s="342">
        <f t="shared" si="165"/>
        <v>15.232000000000001</v>
      </c>
      <c r="L154" s="342">
        <f t="shared" si="165"/>
        <v>20.792999999999999</v>
      </c>
      <c r="M154" s="343">
        <v>32.805999999999997</v>
      </c>
      <c r="N154" s="341">
        <f>SUM(J154:M154)</f>
        <v>82.292000000000002</v>
      </c>
      <c r="O154" s="343">
        <v>31.198</v>
      </c>
      <c r="P154" s="343">
        <v>36.921999999999997</v>
      </c>
      <c r="Q154" s="343">
        <v>36.779000000000003</v>
      </c>
      <c r="R154" s="343">
        <v>33.887</v>
      </c>
      <c r="S154" s="341">
        <f>SUM(O154:R154)</f>
        <v>138.786</v>
      </c>
      <c r="T154" s="343">
        <v>31.67</v>
      </c>
      <c r="U154" s="343">
        <v>39.593000000000004</v>
      </c>
      <c r="V154" s="343">
        <v>40.048000000000002</v>
      </c>
      <c r="W154" s="344">
        <f t="shared" ref="W154" si="166">V154+1</f>
        <v>41.048000000000002</v>
      </c>
      <c r="X154" s="341">
        <f>SUM(T154:W154)</f>
        <v>152.35900000000001</v>
      </c>
      <c r="Y154" s="344">
        <f>W154+1</f>
        <v>42.048000000000002</v>
      </c>
      <c r="Z154" s="344">
        <f>Y154+1</f>
        <v>43.048000000000002</v>
      </c>
      <c r="AA154" s="344">
        <f t="shared" ref="AA154:AB154" si="167">Z154+1</f>
        <v>44.048000000000002</v>
      </c>
      <c r="AB154" s="344">
        <f t="shared" si="167"/>
        <v>45.048000000000002</v>
      </c>
      <c r="AC154" s="341">
        <f>SUM(Y154:AB154)</f>
        <v>174.19200000000001</v>
      </c>
      <c r="AD154" s="344">
        <f>AB154+1</f>
        <v>46.048000000000002</v>
      </c>
      <c r="AE154" s="344">
        <f>AD154+1.5</f>
        <v>47.548000000000002</v>
      </c>
      <c r="AF154" s="344">
        <f t="shared" ref="AF154:AG154" si="168">AE154+1.5</f>
        <v>49.048000000000002</v>
      </c>
      <c r="AG154" s="344">
        <f t="shared" si="168"/>
        <v>50.548000000000002</v>
      </c>
      <c r="AH154" s="341">
        <f>SUM(AD154:AG154)</f>
        <v>193.19200000000001</v>
      </c>
      <c r="AI154" s="344">
        <f>AG154+1</f>
        <v>51.548000000000002</v>
      </c>
      <c r="AJ154" s="344">
        <f>AI154+1.5</f>
        <v>53.048000000000002</v>
      </c>
      <c r="AK154" s="344">
        <f t="shared" ref="AK154:AL154" si="169">AJ154+1.5</f>
        <v>54.548000000000002</v>
      </c>
      <c r="AL154" s="344">
        <f t="shared" si="169"/>
        <v>56.048000000000002</v>
      </c>
      <c r="AM154" s="341">
        <f>SUM(AI154:AL154)</f>
        <v>215.19200000000001</v>
      </c>
      <c r="AN154" s="345"/>
      <c r="AO154" s="346"/>
      <c r="AP154" s="346"/>
      <c r="AQ154" s="346"/>
      <c r="AR154" s="346"/>
      <c r="AS154" s="345"/>
      <c r="AT154" s="345"/>
      <c r="AU154" s="345"/>
      <c r="AV154" s="345"/>
      <c r="AW154" s="345"/>
      <c r="AX154" s="345"/>
      <c r="AY154" s="345"/>
      <c r="AZ154" s="345"/>
      <c r="BA154" s="347"/>
    </row>
    <row r="155" spans="1:53" ht="12.75" customHeight="1">
      <c r="A155" s="221"/>
      <c r="B155" s="215" t="s">
        <v>135</v>
      </c>
      <c r="C155" s="145">
        <f t="shared" ref="C155:AM155" si="170">C154/C26</f>
        <v>0.1199816641282328</v>
      </c>
      <c r="D155" s="145">
        <f t="shared" si="170"/>
        <v>9.1530122889399573E-2</v>
      </c>
      <c r="E155" s="216">
        <f t="shared" si="170"/>
        <v>0.1188169885940276</v>
      </c>
      <c r="F155" s="216">
        <f t="shared" si="170"/>
        <v>0.12120033508855912</v>
      </c>
      <c r="G155" s="216">
        <f t="shared" si="170"/>
        <v>0.13757656458055925</v>
      </c>
      <c r="H155" s="216">
        <f t="shared" si="170"/>
        <v>0.13956181953402177</v>
      </c>
      <c r="I155" s="145">
        <f t="shared" si="170"/>
        <v>0.13065035648365969</v>
      </c>
      <c r="J155" s="216">
        <f t="shared" si="170"/>
        <v>0.15098254744492795</v>
      </c>
      <c r="K155" s="216">
        <f t="shared" si="170"/>
        <v>0.13895274584929762</v>
      </c>
      <c r="L155" s="216">
        <f t="shared" si="170"/>
        <v>0.17643764478273044</v>
      </c>
      <c r="M155" s="216">
        <f t="shared" si="170"/>
        <v>0.24382738988895986</v>
      </c>
      <c r="N155" s="145">
        <f t="shared" si="170"/>
        <v>0.1823964749507393</v>
      </c>
      <c r="O155" s="216">
        <f t="shared" si="170"/>
        <v>0.21345831480277791</v>
      </c>
      <c r="P155" s="216">
        <f t="shared" si="170"/>
        <v>0.21615957004607492</v>
      </c>
      <c r="Q155" s="216">
        <f t="shared" si="170"/>
        <v>0.20688278011216304</v>
      </c>
      <c r="R155" s="216">
        <f t="shared" si="170"/>
        <v>0.176607931122542</v>
      </c>
      <c r="S155" s="145">
        <f t="shared" si="170"/>
        <v>0.20212985968908484</v>
      </c>
      <c r="T155" s="216">
        <f t="shared" si="170"/>
        <v>0.1554157506281407</v>
      </c>
      <c r="U155" s="216">
        <f t="shared" si="170"/>
        <v>0.16468743370782779</v>
      </c>
      <c r="V155" s="216">
        <f t="shared" si="170"/>
        <v>0.15575849033121231</v>
      </c>
      <c r="W155" s="348">
        <f t="shared" si="170"/>
        <v>0.15431705395626188</v>
      </c>
      <c r="X155" s="145">
        <f t="shared" si="170"/>
        <v>0.15750910344701735</v>
      </c>
      <c r="Y155" s="348">
        <f t="shared" si="170"/>
        <v>0.15126977796040414</v>
      </c>
      <c r="Z155" s="348">
        <f t="shared" si="170"/>
        <v>0.12889744666629685</v>
      </c>
      <c r="AA155" s="348">
        <f t="shared" si="170"/>
        <v>0.12348337293837074</v>
      </c>
      <c r="AB155" s="348">
        <f t="shared" si="170"/>
        <v>0.12056725853644799</v>
      </c>
      <c r="AC155" s="145">
        <f t="shared" si="170"/>
        <v>0.12977286833934243</v>
      </c>
      <c r="AD155" s="348">
        <f t="shared" si="170"/>
        <v>0.12192155559301932</v>
      </c>
      <c r="AE155" s="348">
        <f t="shared" si="170"/>
        <v>0.10475501821083182</v>
      </c>
      <c r="AF155" s="348">
        <f t="shared" si="170"/>
        <v>0.10097543556941134</v>
      </c>
      <c r="AG155" s="348">
        <f t="shared" si="170"/>
        <v>9.8897477629681402E-2</v>
      </c>
      <c r="AH155" s="145">
        <f t="shared" si="170"/>
        <v>0.10565949012155836</v>
      </c>
      <c r="AI155" s="348">
        <f t="shared" si="170"/>
        <v>0.10234641316731374</v>
      </c>
      <c r="AJ155" s="348">
        <f t="shared" si="170"/>
        <v>8.7616487083762726E-2</v>
      </c>
      <c r="AK155" s="348">
        <f t="shared" si="170"/>
        <v>8.4043828029449319E-2</v>
      </c>
      <c r="AL155" s="348">
        <f t="shared" si="170"/>
        <v>8.1755178751204707E-2</v>
      </c>
      <c r="AM155" s="145">
        <f t="shared" si="170"/>
        <v>8.8059182822585805E-2</v>
      </c>
      <c r="AN155" s="147"/>
      <c r="AO155" s="147"/>
      <c r="AP155" s="147"/>
      <c r="AQ155" s="147"/>
      <c r="AR155" s="147"/>
      <c r="AS155" s="147"/>
      <c r="AT155" s="147"/>
      <c r="AU155" s="147"/>
      <c r="AV155" s="147"/>
      <c r="AW155" s="147"/>
      <c r="AX155" s="147"/>
      <c r="AY155" s="147"/>
      <c r="AZ155" s="147"/>
      <c r="BA155" s="147"/>
    </row>
    <row r="156" spans="1:53" ht="12.75" customHeight="1">
      <c r="A156" s="209"/>
      <c r="B156" s="210" t="s">
        <v>152</v>
      </c>
      <c r="C156" s="211">
        <v>1.2999999999999999E-2</v>
      </c>
      <c r="D156" s="211">
        <f>2.705</f>
        <v>2.7050000000000001</v>
      </c>
      <c r="E156" s="223">
        <v>0</v>
      </c>
      <c r="F156" s="223">
        <v>0</v>
      </c>
      <c r="G156" s="223">
        <v>0</v>
      </c>
      <c r="H156" s="223">
        <v>0.13300000000000001</v>
      </c>
      <c r="I156" s="151">
        <f>SUM(E156:H156)</f>
        <v>0.13300000000000001</v>
      </c>
      <c r="J156" s="223">
        <v>0.24</v>
      </c>
      <c r="K156" s="223">
        <v>0</v>
      </c>
      <c r="L156" s="223">
        <v>0</v>
      </c>
      <c r="M156" s="223">
        <v>0</v>
      </c>
      <c r="N156" s="151">
        <f>SUM(J156:M156)</f>
        <v>0.24</v>
      </c>
      <c r="O156" s="223">
        <v>0</v>
      </c>
      <c r="P156" s="223">
        <v>0</v>
      </c>
      <c r="Q156" s="223">
        <v>-0.219</v>
      </c>
      <c r="R156" s="223">
        <v>0</v>
      </c>
      <c r="S156" s="151">
        <f>SUM(O156:R156)</f>
        <v>-0.219</v>
      </c>
      <c r="T156" s="223">
        <v>0</v>
      </c>
      <c r="U156" s="223">
        <v>0</v>
      </c>
      <c r="V156" s="223">
        <v>0</v>
      </c>
      <c r="W156" s="349">
        <v>0</v>
      </c>
      <c r="X156" s="151">
        <f>SUM(T156:W156)</f>
        <v>0</v>
      </c>
      <c r="Y156" s="349">
        <v>0</v>
      </c>
      <c r="Z156" s="349">
        <v>0</v>
      </c>
      <c r="AA156" s="349">
        <v>0</v>
      </c>
      <c r="AB156" s="349">
        <v>0</v>
      </c>
      <c r="AC156" s="151">
        <f>SUM(Y156:AB156)</f>
        <v>0</v>
      </c>
      <c r="AD156" s="349">
        <v>0</v>
      </c>
      <c r="AE156" s="349">
        <v>0</v>
      </c>
      <c r="AF156" s="349">
        <v>0</v>
      </c>
      <c r="AG156" s="349">
        <v>0</v>
      </c>
      <c r="AH156" s="151">
        <f>SUM(AD156:AG156)</f>
        <v>0</v>
      </c>
      <c r="AI156" s="349">
        <v>0</v>
      </c>
      <c r="AJ156" s="349">
        <v>0</v>
      </c>
      <c r="AK156" s="349">
        <v>0</v>
      </c>
      <c r="AL156" s="349">
        <v>0</v>
      </c>
      <c r="AM156" s="151">
        <f>SUM(AI156:AL156)</f>
        <v>0</v>
      </c>
      <c r="AN156" s="214"/>
      <c r="AO156" s="214"/>
      <c r="AP156" s="214"/>
      <c r="AQ156" s="214"/>
      <c r="AR156" s="214"/>
      <c r="AS156" s="214"/>
      <c r="AT156" s="214"/>
      <c r="AU156" s="214"/>
      <c r="AV156" s="214"/>
      <c r="AW156" s="214"/>
      <c r="AX156" s="214"/>
      <c r="AY156" s="214"/>
      <c r="AZ156" s="214"/>
      <c r="BA156" s="214"/>
    </row>
    <row r="157" spans="1:53" ht="13.5" customHeight="1">
      <c r="A157" s="104"/>
      <c r="B157" s="350"/>
      <c r="C157" s="336"/>
      <c r="D157" s="336"/>
      <c r="E157" s="337"/>
      <c r="F157" s="337"/>
      <c r="G157" s="337"/>
      <c r="H157" s="337"/>
      <c r="I157" s="336"/>
      <c r="J157" s="351"/>
      <c r="K157" s="351"/>
      <c r="L157" s="351"/>
      <c r="M157" s="351"/>
      <c r="N157" s="336"/>
      <c r="O157" s="351"/>
      <c r="P157" s="351"/>
      <c r="Q157" s="338"/>
      <c r="R157" s="338"/>
      <c r="S157" s="336"/>
      <c r="T157" s="351"/>
      <c r="U157" s="351"/>
      <c r="V157" s="351"/>
      <c r="W157" s="338"/>
      <c r="X157" s="336"/>
      <c r="Y157" s="338"/>
      <c r="Z157" s="338"/>
      <c r="AA157" s="338"/>
      <c r="AB157" s="338"/>
      <c r="AC157" s="336"/>
      <c r="AD157" s="338"/>
      <c r="AE157" s="338"/>
      <c r="AF157" s="338"/>
      <c r="AG157" s="338"/>
      <c r="AH157" s="336"/>
      <c r="AI157" s="338"/>
      <c r="AJ157" s="338"/>
      <c r="AK157" s="338"/>
      <c r="AL157" s="338"/>
      <c r="AM157" s="336"/>
      <c r="AN157" s="339"/>
      <c r="AO157" s="339"/>
      <c r="AP157" s="339"/>
      <c r="AQ157" s="339"/>
      <c r="AR157" s="339"/>
      <c r="AS157" s="339"/>
      <c r="AT157" s="339"/>
      <c r="AU157" s="339"/>
      <c r="AV157" s="339"/>
      <c r="AW157" s="339"/>
      <c r="AX157" s="339"/>
      <c r="AY157" s="339"/>
      <c r="AZ157" s="339"/>
      <c r="BA157" s="109"/>
    </row>
    <row r="158" spans="1:53" ht="13.5" customHeight="1">
      <c r="A158" s="104"/>
      <c r="B158" s="352"/>
      <c r="C158" s="353"/>
      <c r="D158" s="353"/>
      <c r="E158" s="354"/>
      <c r="F158" s="354"/>
      <c r="G158" s="354"/>
      <c r="H158" s="354"/>
      <c r="I158" s="353"/>
      <c r="J158" s="354"/>
      <c r="K158" s="354"/>
      <c r="L158" s="354"/>
      <c r="M158" s="354"/>
      <c r="N158" s="353"/>
      <c r="O158" s="354"/>
      <c r="P158" s="354"/>
      <c r="Q158" s="354"/>
      <c r="R158" s="354"/>
      <c r="S158" s="353"/>
      <c r="T158" s="354"/>
      <c r="U158" s="354"/>
      <c r="V158" s="354"/>
      <c r="W158" s="354"/>
      <c r="X158" s="353"/>
      <c r="Y158" s="354"/>
      <c r="Z158" s="354"/>
      <c r="AA158" s="354"/>
      <c r="AB158" s="354"/>
      <c r="AC158" s="353"/>
      <c r="AD158" s="354"/>
      <c r="AE158" s="354"/>
      <c r="AF158" s="354"/>
      <c r="AG158" s="354"/>
      <c r="AH158" s="353"/>
      <c r="AI158" s="354"/>
      <c r="AJ158" s="354"/>
      <c r="AK158" s="354"/>
      <c r="AL158" s="354"/>
      <c r="AM158" s="353"/>
      <c r="AN158" s="109"/>
      <c r="AO158" s="109"/>
      <c r="AP158" s="109"/>
      <c r="AQ158" s="109"/>
      <c r="AR158" s="109"/>
      <c r="AS158" s="109"/>
      <c r="AT158" s="109"/>
      <c r="AU158" s="109"/>
      <c r="AV158" s="109"/>
      <c r="AW158" s="109"/>
      <c r="AX158" s="109"/>
      <c r="AY158" s="109"/>
      <c r="AZ158" s="109"/>
      <c r="BA158" s="109"/>
    </row>
    <row r="159" spans="1:53" ht="13.5" customHeight="1">
      <c r="A159" s="104"/>
      <c r="B159" s="355"/>
      <c r="C159" s="356"/>
      <c r="D159" s="356"/>
      <c r="E159" s="356"/>
      <c r="F159" s="356"/>
      <c r="G159" s="356"/>
      <c r="H159" s="356"/>
      <c r="I159" s="357"/>
      <c r="J159" s="358"/>
      <c r="K159" s="358"/>
      <c r="L159" s="358"/>
      <c r="M159" s="358"/>
      <c r="N159" s="358"/>
      <c r="O159" s="358"/>
      <c r="P159" s="358"/>
      <c r="Q159" s="356"/>
      <c r="R159" s="356"/>
      <c r="S159" s="356"/>
      <c r="T159" s="358"/>
      <c r="U159" s="358"/>
      <c r="V159" s="358"/>
      <c r="W159" s="356"/>
      <c r="X159" s="356"/>
      <c r="Y159" s="356"/>
      <c r="Z159" s="356"/>
      <c r="AA159" s="356"/>
      <c r="AB159" s="356"/>
      <c r="AC159" s="356"/>
      <c r="AD159" s="356"/>
      <c r="AE159" s="356"/>
      <c r="AF159" s="356"/>
      <c r="AG159" s="356"/>
      <c r="AH159" s="356"/>
      <c r="AI159" s="356"/>
      <c r="AJ159" s="356"/>
      <c r="AK159" s="356"/>
      <c r="AL159" s="356"/>
      <c r="AM159" s="356"/>
      <c r="AN159" s="359"/>
      <c r="AO159" s="359"/>
      <c r="AP159" s="359"/>
      <c r="AQ159" s="359"/>
      <c r="AR159" s="359"/>
      <c r="AS159" s="359"/>
      <c r="AT159" s="359"/>
      <c r="AU159" s="359"/>
      <c r="AV159" s="359"/>
      <c r="AW159" s="359"/>
      <c r="AX159" s="359"/>
      <c r="AY159" s="359"/>
      <c r="AZ159" s="359"/>
      <c r="BA159" s="359"/>
    </row>
    <row r="160" spans="1:53" ht="18">
      <c r="A160" s="360"/>
      <c r="B160" s="110" t="s">
        <v>153</v>
      </c>
      <c r="C160" s="135"/>
      <c r="D160" s="135"/>
      <c r="E160" s="135"/>
      <c r="F160" s="135"/>
      <c r="G160" s="135"/>
      <c r="H160" s="135"/>
      <c r="I160" s="135"/>
      <c r="J160" s="135"/>
      <c r="K160" s="135"/>
      <c r="L160" s="135"/>
      <c r="M160" s="135"/>
      <c r="N160" s="361"/>
      <c r="O160" s="135"/>
      <c r="P160" s="135"/>
      <c r="Q160" s="360"/>
      <c r="R160" s="360"/>
      <c r="S160" s="361"/>
      <c r="T160" s="135"/>
      <c r="U160" s="135"/>
      <c r="V160" s="135"/>
      <c r="W160" s="360"/>
      <c r="X160" s="361"/>
      <c r="Y160" s="360"/>
      <c r="Z160" s="360"/>
      <c r="AA160" s="360"/>
      <c r="AB160" s="360"/>
      <c r="AC160" s="361"/>
      <c r="AD160" s="360"/>
      <c r="AE160" s="360"/>
      <c r="AF160" s="360"/>
      <c r="AG160" s="360"/>
      <c r="AH160" s="361"/>
      <c r="AI160" s="360"/>
      <c r="AJ160" s="360"/>
      <c r="AK160" s="360"/>
      <c r="AL160" s="360"/>
      <c r="AM160" s="361"/>
      <c r="AN160" s="360"/>
      <c r="AO160" s="360"/>
      <c r="AP160" s="360"/>
      <c r="AQ160" s="360"/>
      <c r="AR160" s="360"/>
      <c r="AS160" s="360"/>
      <c r="AT160" s="360"/>
      <c r="AU160" s="360"/>
      <c r="AV160" s="360"/>
      <c r="AW160" s="360"/>
      <c r="AX160" s="360"/>
      <c r="AY160" s="360"/>
      <c r="AZ160" s="360"/>
      <c r="BA160" s="360"/>
    </row>
    <row r="161" spans="1:61" ht="12.75">
      <c r="A161" s="360"/>
      <c r="B161" s="95" t="s">
        <v>55</v>
      </c>
      <c r="C161" s="361"/>
      <c r="D161" s="361"/>
      <c r="E161" s="360"/>
      <c r="F161" s="360"/>
      <c r="G161" s="360"/>
      <c r="H161" s="360"/>
      <c r="I161" s="361"/>
      <c r="J161" s="360"/>
      <c r="K161" s="360"/>
      <c r="L161" s="360"/>
      <c r="M161" s="360"/>
      <c r="N161" s="361"/>
      <c r="O161" s="360"/>
      <c r="P161" s="360"/>
      <c r="Q161" s="360"/>
      <c r="R161" s="360"/>
      <c r="S161" s="361"/>
      <c r="T161" s="360"/>
      <c r="U161" s="360"/>
      <c r="V161" s="360"/>
      <c r="W161" s="360"/>
      <c r="X161" s="361"/>
      <c r="Y161" s="360"/>
      <c r="Z161" s="360"/>
      <c r="AA161" s="360"/>
      <c r="AB161" s="360"/>
      <c r="AC161" s="361"/>
      <c r="AD161" s="360"/>
      <c r="AE161" s="360"/>
      <c r="AF161" s="360"/>
      <c r="AG161" s="360"/>
      <c r="AH161" s="361"/>
      <c r="AI161" s="360"/>
      <c r="AJ161" s="360"/>
      <c r="AK161" s="360"/>
      <c r="AL161" s="360"/>
      <c r="AM161" s="361"/>
      <c r="AN161" s="360"/>
      <c r="AO161" s="360"/>
      <c r="AP161" s="360"/>
      <c r="AQ161" s="360"/>
      <c r="AR161" s="360"/>
      <c r="AS161" s="360"/>
      <c r="AT161" s="360"/>
      <c r="AU161" s="360"/>
      <c r="AV161" s="360"/>
      <c r="AW161" s="360"/>
      <c r="AX161" s="360"/>
      <c r="AY161" s="360"/>
      <c r="AZ161" s="360"/>
      <c r="BA161" s="360"/>
    </row>
    <row r="162" spans="1:61" ht="13.5" customHeight="1">
      <c r="A162" s="104"/>
      <c r="B162" s="106"/>
      <c r="C162" s="27" t="str">
        <f t="shared" ref="C162:AM162" si="171">C5</f>
        <v>2012A</v>
      </c>
      <c r="D162" s="27" t="str">
        <f t="shared" si="171"/>
        <v>2013A</v>
      </c>
      <c r="E162" s="107" t="str">
        <f t="shared" si="171"/>
        <v>1Q14A</v>
      </c>
      <c r="F162" s="107" t="str">
        <f t="shared" si="171"/>
        <v>2Q14A</v>
      </c>
      <c r="G162" s="107" t="str">
        <f t="shared" si="171"/>
        <v>3Q14A</v>
      </c>
      <c r="H162" s="107" t="str">
        <f t="shared" si="171"/>
        <v>4Q14A</v>
      </c>
      <c r="I162" s="27" t="str">
        <f t="shared" si="171"/>
        <v>2014A</v>
      </c>
      <c r="J162" s="107" t="str">
        <f t="shared" si="171"/>
        <v>1Q15A</v>
      </c>
      <c r="K162" s="107" t="str">
        <f t="shared" si="171"/>
        <v>2Q15A</v>
      </c>
      <c r="L162" s="107" t="str">
        <f t="shared" si="171"/>
        <v>3Q15A</v>
      </c>
      <c r="M162" s="107" t="str">
        <f t="shared" si="171"/>
        <v>4Q15A</v>
      </c>
      <c r="N162" s="27" t="str">
        <f t="shared" si="171"/>
        <v>2015A</v>
      </c>
      <c r="O162" s="107" t="str">
        <f t="shared" si="171"/>
        <v>1Q16A</v>
      </c>
      <c r="P162" s="107" t="str">
        <f t="shared" si="171"/>
        <v>2Q16A</v>
      </c>
      <c r="Q162" s="107" t="str">
        <f t="shared" si="171"/>
        <v>3Q16A</v>
      </c>
      <c r="R162" s="107" t="str">
        <f t="shared" si="171"/>
        <v>4Q16A</v>
      </c>
      <c r="S162" s="27" t="str">
        <f t="shared" si="171"/>
        <v>2016A</v>
      </c>
      <c r="T162" s="107" t="str">
        <f t="shared" si="171"/>
        <v>1Q17A</v>
      </c>
      <c r="U162" s="107" t="str">
        <f t="shared" si="171"/>
        <v>2Q17A</v>
      </c>
      <c r="V162" s="107" t="str">
        <f t="shared" si="171"/>
        <v>3Q17A</v>
      </c>
      <c r="W162" s="107" t="str">
        <f t="shared" si="171"/>
        <v>4Q17E</v>
      </c>
      <c r="X162" s="27" t="str">
        <f t="shared" si="171"/>
        <v>2017E</v>
      </c>
      <c r="Y162" s="107" t="str">
        <f t="shared" si="171"/>
        <v>1Q18E</v>
      </c>
      <c r="Z162" s="107" t="str">
        <f t="shared" si="171"/>
        <v>2Q18E</v>
      </c>
      <c r="AA162" s="107" t="str">
        <f t="shared" si="171"/>
        <v>3Q18E</v>
      </c>
      <c r="AB162" s="107" t="str">
        <f t="shared" si="171"/>
        <v>4Q18E</v>
      </c>
      <c r="AC162" s="27" t="str">
        <f t="shared" si="171"/>
        <v>2018E</v>
      </c>
      <c r="AD162" s="107" t="str">
        <f t="shared" si="171"/>
        <v>1Q19E</v>
      </c>
      <c r="AE162" s="107" t="str">
        <f t="shared" si="171"/>
        <v>2Q19E</v>
      </c>
      <c r="AF162" s="107" t="str">
        <f t="shared" si="171"/>
        <v>3Q19E</v>
      </c>
      <c r="AG162" s="107" t="str">
        <f t="shared" si="171"/>
        <v>4Q19E</v>
      </c>
      <c r="AH162" s="27" t="str">
        <f t="shared" si="171"/>
        <v>2019E</v>
      </c>
      <c r="AI162" s="107" t="str">
        <f t="shared" si="171"/>
        <v>1Q20E</v>
      </c>
      <c r="AJ162" s="107" t="str">
        <f t="shared" si="171"/>
        <v>2Q20E</v>
      </c>
      <c r="AK162" s="107" t="str">
        <f t="shared" si="171"/>
        <v>3Q20E</v>
      </c>
      <c r="AL162" s="107" t="str">
        <f t="shared" si="171"/>
        <v>4Q20E</v>
      </c>
      <c r="AM162" s="27" t="str">
        <f t="shared" si="171"/>
        <v>2020E</v>
      </c>
      <c r="AN162" s="104"/>
      <c r="AO162" s="104"/>
      <c r="AP162" s="104"/>
      <c r="AQ162" s="104"/>
      <c r="AR162" s="104"/>
      <c r="AS162" s="104"/>
      <c r="AT162" s="104"/>
      <c r="AU162" s="104"/>
      <c r="AV162" s="104"/>
      <c r="AW162" s="104"/>
      <c r="AX162" s="104"/>
      <c r="AY162" s="104"/>
      <c r="AZ162" s="104"/>
      <c r="BA162" s="104"/>
    </row>
    <row r="163" spans="1:61" ht="15.75">
      <c r="A163" s="104"/>
      <c r="B163" s="362" t="s">
        <v>154</v>
      </c>
      <c r="C163" s="363"/>
      <c r="D163" s="363"/>
      <c r="E163" s="364"/>
      <c r="F163" s="364"/>
      <c r="G163" s="364"/>
      <c r="H163" s="364"/>
      <c r="I163" s="365"/>
      <c r="J163" s="364"/>
      <c r="K163" s="364"/>
      <c r="L163" s="364"/>
      <c r="M163" s="364"/>
      <c r="N163" s="365"/>
      <c r="O163" s="364"/>
      <c r="P163" s="364"/>
      <c r="Q163" s="364"/>
      <c r="R163" s="364"/>
      <c r="S163" s="365"/>
      <c r="T163" s="364"/>
      <c r="U163" s="364"/>
      <c r="V163" s="364"/>
      <c r="W163" s="364"/>
      <c r="X163" s="365"/>
      <c r="Y163" s="364"/>
      <c r="Z163" s="364"/>
      <c r="AA163" s="364"/>
      <c r="AB163" s="364"/>
      <c r="AC163" s="365"/>
      <c r="AD163" s="364"/>
      <c r="AE163" s="364"/>
      <c r="AF163" s="364"/>
      <c r="AG163" s="364"/>
      <c r="AH163" s="365"/>
      <c r="AI163" s="364"/>
      <c r="AJ163" s="364"/>
      <c r="AK163" s="364"/>
      <c r="AL163" s="364"/>
      <c r="AM163" s="365"/>
      <c r="AN163" s="104"/>
      <c r="AO163" s="104"/>
      <c r="AP163" s="104"/>
      <c r="AQ163" s="104"/>
      <c r="AR163" s="104"/>
      <c r="AS163" s="104"/>
      <c r="AT163" s="104"/>
      <c r="AU163" s="104"/>
      <c r="AV163" s="104"/>
      <c r="AW163" s="104"/>
      <c r="AX163" s="104"/>
      <c r="AY163" s="104"/>
      <c r="AZ163" s="104"/>
      <c r="BA163" s="104"/>
    </row>
    <row r="164" spans="1:61" ht="13.5" customHeight="1">
      <c r="A164" s="366"/>
      <c r="B164" s="367" t="s">
        <v>155</v>
      </c>
      <c r="C164" s="211">
        <v>-85.198999999999998</v>
      </c>
      <c r="D164" s="211">
        <v>-104.49299999999999</v>
      </c>
      <c r="E164" s="368"/>
      <c r="F164" s="368"/>
      <c r="G164" s="368"/>
      <c r="H164" s="368"/>
      <c r="I164" s="211">
        <v>-154.09299999999999</v>
      </c>
      <c r="J164" s="368">
        <v>-47.978000000000002</v>
      </c>
      <c r="K164" s="368">
        <v>-29.62</v>
      </c>
      <c r="L164" s="368">
        <f>-131.528-K164-J164</f>
        <v>-53.929999999999986</v>
      </c>
      <c r="M164" s="368">
        <f>-179.817-L164-K164-J164</f>
        <v>-48.289000000000023</v>
      </c>
      <c r="N164" s="151">
        <f>SUM(J164:M164)</f>
        <v>-179.81700000000001</v>
      </c>
      <c r="O164" s="368">
        <v>-96.754999999999995</v>
      </c>
      <c r="P164" s="368">
        <f>-124.1-O164</f>
        <v>-27.344999999999999</v>
      </c>
      <c r="Q164" s="368">
        <f>-156.423-P164-O164</f>
        <v>-32.323000000000008</v>
      </c>
      <c r="R164" s="368">
        <f>-171.59-Q164-P164-O164</f>
        <v>-15.167000000000002</v>
      </c>
      <c r="S164" s="151">
        <f>SUM(O164:R164)</f>
        <v>-171.59</v>
      </c>
      <c r="T164" s="368">
        <v>-15.09</v>
      </c>
      <c r="U164" s="368">
        <f>-31.052-T164</f>
        <v>-15.962</v>
      </c>
      <c r="V164" s="368">
        <f>-47.15-U164-T164</f>
        <v>-16.097999999999999</v>
      </c>
      <c r="W164" s="152">
        <f>W135</f>
        <v>-20.286888754986006</v>
      </c>
      <c r="X164" s="151">
        <f>SUM(T164:W164)</f>
        <v>-67.436888754986001</v>
      </c>
      <c r="Y164" s="152">
        <f>Y135</f>
        <v>-2.8147817547511713</v>
      </c>
      <c r="Z164" s="152">
        <f>Z135</f>
        <v>7.6543801744984297</v>
      </c>
      <c r="AA164" s="152">
        <f>AA135</f>
        <v>12.487129955724104</v>
      </c>
      <c r="AB164" s="152">
        <f>AB135</f>
        <v>5.1275446774304942</v>
      </c>
      <c r="AC164" s="151">
        <f>SUM(Y164:AB164)</f>
        <v>22.454273052901854</v>
      </c>
      <c r="AD164" s="152">
        <f>AD135</f>
        <v>27.934654392679747</v>
      </c>
      <c r="AE164" s="152">
        <f>AE135</f>
        <v>49.41218347690328</v>
      </c>
      <c r="AF164" s="152">
        <f>AF135</f>
        <v>58.676159070199489</v>
      </c>
      <c r="AG164" s="152">
        <f>AG135</f>
        <v>50.427133074266628</v>
      </c>
      <c r="AH164" s="151">
        <f>SUM(AD164:AG164)</f>
        <v>186.45013001404914</v>
      </c>
      <c r="AI164" s="152">
        <f>AI135</f>
        <v>68.175139631376382</v>
      </c>
      <c r="AJ164" s="152">
        <f>AJ135</f>
        <v>103.49668529646105</v>
      </c>
      <c r="AK164" s="152">
        <f>AK135</f>
        <v>118.82910636308026</v>
      </c>
      <c r="AL164" s="152">
        <f>AL135</f>
        <v>110.68255326033362</v>
      </c>
      <c r="AM164" s="151">
        <f>SUM(AI164:AL164)</f>
        <v>401.18348455125135</v>
      </c>
      <c r="AN164" s="369"/>
      <c r="AO164" s="369"/>
      <c r="AP164" s="369"/>
      <c r="AQ164" s="369"/>
      <c r="AR164" s="369"/>
      <c r="AS164" s="369"/>
      <c r="AT164" s="369"/>
      <c r="AU164" s="369"/>
      <c r="AV164" s="369"/>
      <c r="AW164" s="369"/>
      <c r="AX164" s="369"/>
      <c r="AY164" s="369"/>
      <c r="AZ164" s="369"/>
      <c r="BA164" s="366"/>
      <c r="BH164" s="370"/>
      <c r="BI164" s="370"/>
    </row>
    <row r="165" spans="1:61" ht="13.5" customHeight="1">
      <c r="A165" s="366"/>
      <c r="B165" s="371" t="s">
        <v>156</v>
      </c>
      <c r="C165" s="211"/>
      <c r="D165" s="211"/>
      <c r="E165" s="152"/>
      <c r="F165" s="152"/>
      <c r="G165" s="152"/>
      <c r="H165" s="152"/>
      <c r="I165" s="211"/>
      <c r="J165" s="152"/>
      <c r="K165" s="152"/>
      <c r="L165" s="152"/>
      <c r="M165" s="152"/>
      <c r="N165" s="151"/>
      <c r="O165" s="152"/>
      <c r="P165" s="152"/>
      <c r="Q165" s="152"/>
      <c r="R165" s="152"/>
      <c r="S165" s="151"/>
      <c r="T165" s="152"/>
      <c r="U165" s="152"/>
      <c r="V165" s="152"/>
      <c r="W165" s="152"/>
      <c r="X165" s="151"/>
      <c r="Y165" s="152"/>
      <c r="Z165" s="152"/>
      <c r="AA165" s="152"/>
      <c r="AB165" s="152"/>
      <c r="AC165" s="151"/>
      <c r="AD165" s="152"/>
      <c r="AE165" s="152"/>
      <c r="AF165" s="152"/>
      <c r="AG165" s="152"/>
      <c r="AH165" s="151"/>
      <c r="AI165" s="152"/>
      <c r="AJ165" s="152"/>
      <c r="AK165" s="152"/>
      <c r="AL165" s="152"/>
      <c r="AM165" s="151"/>
      <c r="AN165" s="369"/>
      <c r="AO165" s="369"/>
      <c r="AP165" s="369"/>
      <c r="AQ165" s="369"/>
      <c r="AR165" s="369"/>
      <c r="AS165" s="369"/>
      <c r="AT165" s="369"/>
      <c r="AU165" s="369"/>
      <c r="AV165" s="369"/>
      <c r="AW165" s="369"/>
      <c r="AX165" s="369"/>
      <c r="AY165" s="369"/>
      <c r="AZ165" s="369"/>
      <c r="BA165" s="366"/>
      <c r="BH165" s="370"/>
      <c r="BI165" s="370"/>
    </row>
    <row r="166" spans="1:61" ht="13.5" customHeight="1">
      <c r="A166" s="366"/>
      <c r="B166" s="372" t="s">
        <v>157</v>
      </c>
      <c r="C166" s="211">
        <v>3.5790000000000002</v>
      </c>
      <c r="D166" s="211">
        <v>8.2720000000000002</v>
      </c>
      <c r="E166" s="368"/>
      <c r="F166" s="368"/>
      <c r="G166" s="368"/>
      <c r="H166" s="368"/>
      <c r="I166" s="211">
        <v>18.585999999999999</v>
      </c>
      <c r="J166" s="368">
        <v>5.5460000000000003</v>
      </c>
      <c r="K166" s="97">
        <v>6.4089999999999998</v>
      </c>
      <c r="L166" s="97">
        <f>18.526-K166-J166</f>
        <v>6.5710000000000006</v>
      </c>
      <c r="M166" s="97">
        <f>27.626-L166-K166-J166</f>
        <v>9.1000000000000014</v>
      </c>
      <c r="N166" s="151">
        <f>SUM(J166:M166)</f>
        <v>27.626000000000001</v>
      </c>
      <c r="O166" s="368">
        <v>9.1180000000000003</v>
      </c>
      <c r="P166" s="368">
        <f>18.136-O166</f>
        <v>9.0179999999999989</v>
      </c>
      <c r="Q166" s="368">
        <f>27.817-P166-O166</f>
        <v>9.6809999999999992</v>
      </c>
      <c r="R166" s="368">
        <f>37.745-Q166-P166-O166</f>
        <v>9.927999999999999</v>
      </c>
      <c r="S166" s="151">
        <f>S103</f>
        <v>37.745000000000005</v>
      </c>
      <c r="T166" s="368">
        <v>9.4369999999999994</v>
      </c>
      <c r="U166" s="368">
        <f>18.562-T166</f>
        <v>9.1250000000000018</v>
      </c>
      <c r="V166" s="368">
        <f>27.647-U166-T166</f>
        <v>9.0849999999999991</v>
      </c>
      <c r="W166" s="152">
        <f t="shared" ref="W166:AM166" si="172">W103</f>
        <v>10.63991281524445</v>
      </c>
      <c r="X166" s="151">
        <f t="shared" si="172"/>
        <v>38.283912815244449</v>
      </c>
      <c r="Y166" s="152">
        <f t="shared" si="172"/>
        <v>10.788079658582083</v>
      </c>
      <c r="Z166" s="152">
        <f t="shared" si="172"/>
        <v>10.171257708478771</v>
      </c>
      <c r="AA166" s="152">
        <f t="shared" si="172"/>
        <v>10.816427264247416</v>
      </c>
      <c r="AB166" s="152">
        <f t="shared" si="172"/>
        <v>14.198083466271305</v>
      </c>
      <c r="AC166" s="151">
        <f t="shared" si="172"/>
        <v>45.973848097579577</v>
      </c>
      <c r="AD166" s="152">
        <f t="shared" si="172"/>
        <v>13.33632126009959</v>
      </c>
      <c r="AE166" s="152">
        <f t="shared" si="172"/>
        <v>12.235031809016652</v>
      </c>
      <c r="AF166" s="152">
        <f t="shared" si="172"/>
        <v>13.028850086090175</v>
      </c>
      <c r="AG166" s="152">
        <f t="shared" si="172"/>
        <v>17.633472984316171</v>
      </c>
      <c r="AH166" s="151">
        <f t="shared" si="172"/>
        <v>56.233676139522586</v>
      </c>
      <c r="AI166" s="152">
        <f t="shared" si="172"/>
        <v>16.525480309274897</v>
      </c>
      <c r="AJ166" s="152">
        <f t="shared" si="172"/>
        <v>14.806760386223242</v>
      </c>
      <c r="AK166" s="152">
        <f t="shared" si="172"/>
        <v>15.786382215887194</v>
      </c>
      <c r="AL166" s="152">
        <f t="shared" si="172"/>
        <v>21.937888552088463</v>
      </c>
      <c r="AM166" s="151">
        <f t="shared" si="172"/>
        <v>69.056511463473797</v>
      </c>
      <c r="AN166" s="366"/>
      <c r="AO166" s="366"/>
      <c r="AP166" s="366"/>
      <c r="AQ166" s="366"/>
      <c r="AR166" s="366"/>
      <c r="AS166" s="366"/>
      <c r="AT166" s="366"/>
      <c r="AU166" s="366"/>
      <c r="AV166" s="366"/>
      <c r="AW166" s="366"/>
      <c r="AX166" s="366"/>
      <c r="AY166" s="366"/>
      <c r="AZ166" s="366"/>
      <c r="BA166" s="366"/>
      <c r="BH166" s="370"/>
      <c r="BI166" s="370"/>
    </row>
    <row r="167" spans="1:61" ht="13.5" hidden="1" customHeight="1" outlineLevel="1">
      <c r="A167" s="366"/>
      <c r="B167" s="373" t="s">
        <v>158</v>
      </c>
      <c r="C167" s="151">
        <f>C166-C168</f>
        <v>3.2789999999999999</v>
      </c>
      <c r="D167" s="151">
        <f>D166-D168</f>
        <v>7.6720000000000006</v>
      </c>
      <c r="E167" s="152"/>
      <c r="F167" s="152"/>
      <c r="G167" s="152"/>
      <c r="H167" s="152"/>
      <c r="I167" s="151">
        <f>I166-I168</f>
        <v>13.785999999999998</v>
      </c>
      <c r="J167" s="152">
        <f>J166-J168</f>
        <v>3.9460000000000002</v>
      </c>
      <c r="K167" s="152">
        <f>K166-K168</f>
        <v>4.8089999999999993</v>
      </c>
      <c r="L167" s="152">
        <f t="shared" ref="L167:M167" si="173">L166-L168</f>
        <v>4.9710000000000001</v>
      </c>
      <c r="M167" s="152">
        <f t="shared" si="173"/>
        <v>7.5000000000000018</v>
      </c>
      <c r="N167" s="151">
        <f>SUM(J167:M167)</f>
        <v>21.225999999999999</v>
      </c>
      <c r="O167" s="152">
        <f t="shared" ref="O167:R167" si="174">O166-O168</f>
        <v>7.718</v>
      </c>
      <c r="P167" s="152">
        <f t="shared" si="174"/>
        <v>7.8179999999999987</v>
      </c>
      <c r="Q167" s="152">
        <f>Q166-Q168</f>
        <v>8.5809999999999995</v>
      </c>
      <c r="R167" s="152">
        <f t="shared" si="174"/>
        <v>8.8279999999999994</v>
      </c>
      <c r="S167" s="151">
        <f>SUM(O167:R167)</f>
        <v>32.944999999999993</v>
      </c>
      <c r="T167" s="152">
        <f t="shared" ref="T167:W167" si="175">T166-T168</f>
        <v>8.3369999999999997</v>
      </c>
      <c r="U167" s="152">
        <f t="shared" si="175"/>
        <v>8.0250000000000021</v>
      </c>
      <c r="V167" s="152">
        <f t="shared" si="175"/>
        <v>7.9849999999999994</v>
      </c>
      <c r="W167" s="152">
        <f t="shared" si="175"/>
        <v>9.5399128152444508</v>
      </c>
      <c r="X167" s="151">
        <f>SUM(T167:W167)</f>
        <v>33.88691281524445</v>
      </c>
      <c r="Y167" s="152">
        <f t="shared" ref="Y167:AB167" si="176">Y166-Y168</f>
        <v>9.7880796585820828</v>
      </c>
      <c r="Z167" s="152">
        <f t="shared" si="176"/>
        <v>9.1712577084787714</v>
      </c>
      <c r="AA167" s="152">
        <f t="shared" si="176"/>
        <v>9.816427264247416</v>
      </c>
      <c r="AB167" s="152">
        <f t="shared" si="176"/>
        <v>13.198083466271305</v>
      </c>
      <c r="AC167" s="151">
        <f>SUM(Y167:AB167)</f>
        <v>41.973848097579577</v>
      </c>
      <c r="AD167" s="152">
        <f t="shared" ref="AD167:AG167" si="177">AD166-AD168</f>
        <v>12.33632126009959</v>
      </c>
      <c r="AE167" s="152">
        <f t="shared" si="177"/>
        <v>11.235031809016652</v>
      </c>
      <c r="AF167" s="152">
        <f t="shared" si="177"/>
        <v>12.028850086090175</v>
      </c>
      <c r="AG167" s="152">
        <f t="shared" si="177"/>
        <v>16.633472984316171</v>
      </c>
      <c r="AH167" s="151">
        <f>SUM(AD167:AG167)</f>
        <v>52.233676139522586</v>
      </c>
      <c r="AI167" s="152">
        <f t="shared" ref="AI167:AL167" si="178">AI166-AI168</f>
        <v>15.525480309274897</v>
      </c>
      <c r="AJ167" s="152">
        <f t="shared" si="178"/>
        <v>13.806760386223242</v>
      </c>
      <c r="AK167" s="152">
        <f t="shared" si="178"/>
        <v>14.786382215887194</v>
      </c>
      <c r="AL167" s="152">
        <f t="shared" si="178"/>
        <v>20.937888552088463</v>
      </c>
      <c r="AM167" s="151">
        <f>SUM(AI167:AL167)</f>
        <v>65.056511463473797</v>
      </c>
      <c r="AN167" s="366"/>
      <c r="AO167" s="366"/>
      <c r="AP167" s="366"/>
      <c r="AQ167" s="366"/>
      <c r="AR167" s="366"/>
      <c r="AS167" s="366"/>
      <c r="AT167" s="366"/>
      <c r="AU167" s="366"/>
      <c r="AV167" s="366"/>
      <c r="AW167" s="366"/>
      <c r="AX167" s="366"/>
      <c r="AY167" s="366"/>
      <c r="AZ167" s="366"/>
      <c r="BA167" s="366"/>
      <c r="BH167" s="370"/>
      <c r="BI167" s="370"/>
    </row>
    <row r="168" spans="1:61" ht="13.5" hidden="1" customHeight="1" outlineLevel="1">
      <c r="A168" s="366"/>
      <c r="B168" s="373" t="s">
        <v>159</v>
      </c>
      <c r="C168" s="374">
        <f>0.2+0.1</f>
        <v>0.30000000000000004</v>
      </c>
      <c r="D168" s="374">
        <f>0.5+0.1</f>
        <v>0.6</v>
      </c>
      <c r="E168" s="152"/>
      <c r="F168" s="152"/>
      <c r="G168" s="152"/>
      <c r="H168" s="152"/>
      <c r="I168" s="374">
        <f>2.7+2.1</f>
        <v>4.8000000000000007</v>
      </c>
      <c r="J168" s="368">
        <f>0.5+1.1</f>
        <v>1.6</v>
      </c>
      <c r="K168" s="368">
        <f>J168</f>
        <v>1.6</v>
      </c>
      <c r="L168" s="368">
        <v>1.6</v>
      </c>
      <c r="M168" s="368">
        <v>1.6</v>
      </c>
      <c r="N168" s="151">
        <f>SUM(J168:M168)</f>
        <v>6.4</v>
      </c>
      <c r="O168" s="368">
        <v>1.4</v>
      </c>
      <c r="P168" s="368">
        <v>1.2</v>
      </c>
      <c r="Q168" s="368">
        <v>1.1000000000000001</v>
      </c>
      <c r="R168" s="368">
        <v>1.1000000000000001</v>
      </c>
      <c r="S168" s="151">
        <f>SUM(O168:R168)</f>
        <v>4.8</v>
      </c>
      <c r="T168" s="368">
        <v>1.1000000000000001</v>
      </c>
      <c r="U168" s="368">
        <f>+T168</f>
        <v>1.1000000000000001</v>
      </c>
      <c r="V168" s="368">
        <f t="shared" ref="V168:W168" si="179">+U168</f>
        <v>1.1000000000000001</v>
      </c>
      <c r="W168" s="97">
        <f t="shared" si="179"/>
        <v>1.1000000000000001</v>
      </c>
      <c r="X168" s="151">
        <f>SUM(T168:W168)</f>
        <v>4.4000000000000004</v>
      </c>
      <c r="Y168" s="97">
        <v>1</v>
      </c>
      <c r="Z168" s="97">
        <f>+Y168</f>
        <v>1</v>
      </c>
      <c r="AA168" s="97">
        <f t="shared" ref="AA168:AB168" si="180">+Z168</f>
        <v>1</v>
      </c>
      <c r="AB168" s="97">
        <f t="shared" si="180"/>
        <v>1</v>
      </c>
      <c r="AC168" s="151">
        <f>SUM(Y168:AB168)</f>
        <v>4</v>
      </c>
      <c r="AD168" s="97">
        <v>1</v>
      </c>
      <c r="AE168" s="97">
        <f>+AD168</f>
        <v>1</v>
      </c>
      <c r="AF168" s="97">
        <f t="shared" ref="AF168:AG168" si="181">+AE168</f>
        <v>1</v>
      </c>
      <c r="AG168" s="97">
        <f t="shared" si="181"/>
        <v>1</v>
      </c>
      <c r="AH168" s="151">
        <f>SUM(AD168:AG168)</f>
        <v>4</v>
      </c>
      <c r="AI168" s="97">
        <v>1</v>
      </c>
      <c r="AJ168" s="97">
        <f>+AI168</f>
        <v>1</v>
      </c>
      <c r="AK168" s="97">
        <f t="shared" ref="AK168:AL168" si="182">+AJ168</f>
        <v>1</v>
      </c>
      <c r="AL168" s="97">
        <f t="shared" si="182"/>
        <v>1</v>
      </c>
      <c r="AM168" s="151">
        <f>SUM(AI168:AL168)</f>
        <v>4</v>
      </c>
      <c r="AN168" s="366"/>
      <c r="AO168" s="366"/>
      <c r="AP168" s="366"/>
      <c r="AQ168" s="366"/>
      <c r="AR168" s="366"/>
      <c r="AS168" s="366"/>
      <c r="AT168" s="366"/>
      <c r="AU168" s="366"/>
      <c r="AV168" s="366"/>
      <c r="AW168" s="366"/>
      <c r="AX168" s="366"/>
      <c r="AY168" s="366"/>
      <c r="AZ168" s="366"/>
      <c r="BA168" s="366"/>
      <c r="BH168" s="370"/>
      <c r="BI168" s="370"/>
    </row>
    <row r="169" spans="1:61" ht="13.5" customHeight="1" collapsed="1">
      <c r="A169" s="366"/>
      <c r="B169" s="372" t="s">
        <v>160</v>
      </c>
      <c r="C169" s="211">
        <v>8.1140000000000008</v>
      </c>
      <c r="D169" s="211">
        <v>14.657999999999999</v>
      </c>
      <c r="E169" s="368"/>
      <c r="F169" s="368"/>
      <c r="G169" s="368"/>
      <c r="H169" s="368"/>
      <c r="I169" s="211">
        <v>36.1</v>
      </c>
      <c r="J169" s="368">
        <v>13.461</v>
      </c>
      <c r="K169" s="368">
        <v>15.231999999999999</v>
      </c>
      <c r="L169" s="368">
        <f>49.486-K169-J169</f>
        <v>20.792999999999999</v>
      </c>
      <c r="M169" s="368">
        <f>82.292-L169-K169-J169</f>
        <v>32.806000000000004</v>
      </c>
      <c r="N169" s="151">
        <f>SUM(J169:M169)</f>
        <v>82.292000000000002</v>
      </c>
      <c r="O169" s="368">
        <v>31.198</v>
      </c>
      <c r="P169" s="368">
        <f>68.12-O169</f>
        <v>36.922000000000004</v>
      </c>
      <c r="Q169" s="368">
        <f>104.899-P169-O169</f>
        <v>36.779000000000003</v>
      </c>
      <c r="R169" s="368">
        <f>138.786-Q169-P169-O169</f>
        <v>33.887000000000008</v>
      </c>
      <c r="S169" s="151">
        <f>SUM(O169:R169)</f>
        <v>138.786</v>
      </c>
      <c r="T169" s="368">
        <v>31.67</v>
      </c>
      <c r="U169" s="368">
        <f>71.263-T169</f>
        <v>39.593000000000004</v>
      </c>
      <c r="V169" s="368">
        <f>111.311-U169-T169</f>
        <v>40.048000000000002</v>
      </c>
      <c r="W169" s="152">
        <f>W154</f>
        <v>41.048000000000002</v>
      </c>
      <c r="X169" s="151">
        <f>SUM(T169:W169)</f>
        <v>152.35900000000001</v>
      </c>
      <c r="Y169" s="375">
        <f>Y154</f>
        <v>42.048000000000002</v>
      </c>
      <c r="Z169" s="152">
        <f>Z154</f>
        <v>43.048000000000002</v>
      </c>
      <c r="AA169" s="152">
        <f>AA154</f>
        <v>44.048000000000002</v>
      </c>
      <c r="AB169" s="152">
        <f>AB154</f>
        <v>45.048000000000002</v>
      </c>
      <c r="AC169" s="151">
        <f>SUM(Y169:AB169)</f>
        <v>174.19200000000001</v>
      </c>
      <c r="AD169" s="375">
        <f>AD154</f>
        <v>46.048000000000002</v>
      </c>
      <c r="AE169" s="152">
        <f>AE154</f>
        <v>47.548000000000002</v>
      </c>
      <c r="AF169" s="152">
        <f>AF154</f>
        <v>49.048000000000002</v>
      </c>
      <c r="AG169" s="152">
        <f>AG154</f>
        <v>50.548000000000002</v>
      </c>
      <c r="AH169" s="151">
        <f>SUM(AD169:AG169)</f>
        <v>193.19200000000001</v>
      </c>
      <c r="AI169" s="375">
        <f>AI154</f>
        <v>51.548000000000002</v>
      </c>
      <c r="AJ169" s="152">
        <f>AJ154</f>
        <v>53.048000000000002</v>
      </c>
      <c r="AK169" s="152">
        <f>AK154</f>
        <v>54.548000000000002</v>
      </c>
      <c r="AL169" s="152">
        <f>AL154</f>
        <v>56.048000000000002</v>
      </c>
      <c r="AM169" s="151">
        <f>SUM(AI169:AL169)</f>
        <v>215.19200000000001</v>
      </c>
      <c r="AN169" s="366"/>
      <c r="AO169" s="366"/>
      <c r="AP169" s="366"/>
      <c r="AQ169" s="366"/>
      <c r="AR169" s="366"/>
      <c r="AS169" s="366"/>
      <c r="AT169" s="366"/>
      <c r="AU169" s="366"/>
      <c r="AV169" s="366"/>
      <c r="AW169" s="366"/>
      <c r="AX169" s="366"/>
      <c r="AY169" s="366"/>
      <c r="AZ169" s="366"/>
      <c r="BA169" s="366"/>
      <c r="BH169" s="370"/>
      <c r="BI169" s="370"/>
    </row>
    <row r="170" spans="1:61" ht="13.5" customHeight="1">
      <c r="A170" s="366"/>
      <c r="B170" s="372" t="s">
        <v>161</v>
      </c>
      <c r="C170" s="211">
        <v>1.9990000000000001</v>
      </c>
      <c r="D170" s="211">
        <v>0</v>
      </c>
      <c r="E170" s="368"/>
      <c r="F170" s="368"/>
      <c r="G170" s="368"/>
      <c r="H170" s="368"/>
      <c r="I170" s="211">
        <v>0</v>
      </c>
      <c r="J170" s="368">
        <v>0</v>
      </c>
      <c r="K170" s="368">
        <v>0</v>
      </c>
      <c r="L170" s="368">
        <f>1.485-K170-J170</f>
        <v>1.4850000000000001</v>
      </c>
      <c r="M170" s="368">
        <f>0-L170-K170-J170</f>
        <v>-1.4850000000000001</v>
      </c>
      <c r="N170" s="151">
        <f t="shared" ref="N170:N171" si="183">SUM(J170:M170)</f>
        <v>0</v>
      </c>
      <c r="O170" s="368">
        <v>0</v>
      </c>
      <c r="P170" s="368">
        <v>0</v>
      </c>
      <c r="Q170" s="368">
        <v>0</v>
      </c>
      <c r="R170" s="368">
        <f>0-Q170-P170-O170</f>
        <v>0</v>
      </c>
      <c r="S170" s="151">
        <f t="shared" ref="S170:S171" si="184">SUM(O170:R170)</f>
        <v>0</v>
      </c>
      <c r="T170" s="368">
        <v>0</v>
      </c>
      <c r="U170" s="368">
        <v>3.0000000000000001E-3</v>
      </c>
      <c r="V170" s="368">
        <v>1.6140000000000001</v>
      </c>
      <c r="W170" s="376">
        <v>0</v>
      </c>
      <c r="X170" s="151">
        <f t="shared" ref="X170:X171" si="185">SUM(T170:W170)</f>
        <v>1.617</v>
      </c>
      <c r="Y170" s="377">
        <v>0</v>
      </c>
      <c r="Z170" s="97">
        <v>0</v>
      </c>
      <c r="AA170" s="97">
        <v>0</v>
      </c>
      <c r="AB170" s="376">
        <v>0</v>
      </c>
      <c r="AC170" s="151">
        <f t="shared" ref="AC170:AC171" si="186">SUM(Y170:AB170)</f>
        <v>0</v>
      </c>
      <c r="AD170" s="377">
        <v>0</v>
      </c>
      <c r="AE170" s="97">
        <v>0</v>
      </c>
      <c r="AF170" s="97">
        <v>0</v>
      </c>
      <c r="AG170" s="376">
        <v>0</v>
      </c>
      <c r="AH170" s="151">
        <f t="shared" ref="AH170:AH171" si="187">SUM(AD170:AG170)</f>
        <v>0</v>
      </c>
      <c r="AI170" s="377">
        <v>0</v>
      </c>
      <c r="AJ170" s="97">
        <v>0</v>
      </c>
      <c r="AK170" s="97">
        <v>0</v>
      </c>
      <c r="AL170" s="376">
        <v>0</v>
      </c>
      <c r="AM170" s="151">
        <f t="shared" ref="AM170:AM171" si="188">SUM(AI170:AL170)</f>
        <v>0</v>
      </c>
      <c r="AN170" s="366"/>
      <c r="AO170" s="366"/>
      <c r="AP170" s="366"/>
      <c r="AQ170" s="366"/>
      <c r="AR170" s="366"/>
      <c r="AS170" s="366"/>
      <c r="AT170" s="366"/>
      <c r="AU170" s="366"/>
      <c r="AV170" s="366"/>
      <c r="AW170" s="366"/>
      <c r="AX170" s="366"/>
      <c r="AY170" s="366"/>
      <c r="AZ170" s="366"/>
      <c r="BA170" s="366"/>
      <c r="BH170" s="370"/>
      <c r="BI170" s="370"/>
    </row>
    <row r="171" spans="1:61" ht="13.5" customHeight="1">
      <c r="A171" s="366"/>
      <c r="B171" s="372" t="s">
        <v>162</v>
      </c>
      <c r="C171" s="211">
        <v>0</v>
      </c>
      <c r="D171" s="211">
        <v>0</v>
      </c>
      <c r="E171" s="368"/>
      <c r="F171" s="368"/>
      <c r="G171" s="368"/>
      <c r="H171" s="368"/>
      <c r="I171" s="211">
        <v>-1.3480000000000001</v>
      </c>
      <c r="J171" s="368">
        <v>0</v>
      </c>
      <c r="K171" s="368">
        <v>0</v>
      </c>
      <c r="L171" s="368">
        <v>0</v>
      </c>
      <c r="M171" s="368">
        <f>-1.101-L171-K171-J171</f>
        <v>-1.101</v>
      </c>
      <c r="N171" s="151">
        <f t="shared" si="183"/>
        <v>-1.101</v>
      </c>
      <c r="O171" s="368">
        <v>0</v>
      </c>
      <c r="P171" s="368">
        <v>0</v>
      </c>
      <c r="Q171" s="368">
        <v>0</v>
      </c>
      <c r="R171" s="368">
        <f>0-Q171-P171-O171</f>
        <v>0</v>
      </c>
      <c r="S171" s="151">
        <f t="shared" si="184"/>
        <v>0</v>
      </c>
      <c r="T171" s="368">
        <v>0</v>
      </c>
      <c r="U171" s="368">
        <v>0</v>
      </c>
      <c r="V171" s="368">
        <v>0</v>
      </c>
      <c r="W171" s="376">
        <v>0</v>
      </c>
      <c r="X171" s="151">
        <f t="shared" si="185"/>
        <v>0</v>
      </c>
      <c r="Y171" s="377">
        <v>0</v>
      </c>
      <c r="Z171" s="97">
        <v>0</v>
      </c>
      <c r="AA171" s="97">
        <v>0</v>
      </c>
      <c r="AB171" s="376">
        <v>0</v>
      </c>
      <c r="AC171" s="151">
        <f t="shared" si="186"/>
        <v>0</v>
      </c>
      <c r="AD171" s="377">
        <v>0</v>
      </c>
      <c r="AE171" s="97">
        <v>0</v>
      </c>
      <c r="AF171" s="97">
        <v>0</v>
      </c>
      <c r="AG171" s="376">
        <v>0</v>
      </c>
      <c r="AH171" s="151">
        <f t="shared" si="187"/>
        <v>0</v>
      </c>
      <c r="AI171" s="377">
        <v>0</v>
      </c>
      <c r="AJ171" s="97">
        <v>0</v>
      </c>
      <c r="AK171" s="97">
        <v>0</v>
      </c>
      <c r="AL171" s="376">
        <v>0</v>
      </c>
      <c r="AM171" s="151">
        <f t="shared" si="188"/>
        <v>0</v>
      </c>
      <c r="AN171" s="366"/>
      <c r="AO171" s="366"/>
      <c r="AP171" s="366"/>
      <c r="AQ171" s="366"/>
      <c r="AR171" s="366"/>
      <c r="AS171" s="366"/>
      <c r="AT171" s="366"/>
      <c r="AU171" s="366"/>
      <c r="AV171" s="366"/>
      <c r="AW171" s="366"/>
      <c r="AX171" s="366"/>
      <c r="AY171" s="366"/>
      <c r="AZ171" s="366"/>
      <c r="BA171" s="366"/>
      <c r="BH171" s="370"/>
      <c r="BI171" s="370"/>
    </row>
    <row r="172" spans="1:61" ht="13.5" customHeight="1">
      <c r="A172" s="366"/>
      <c r="B172" s="372" t="s">
        <v>163</v>
      </c>
      <c r="C172" s="211">
        <v>10.512</v>
      </c>
      <c r="D172" s="211">
        <v>15.08</v>
      </c>
      <c r="E172" s="368"/>
      <c r="F172" s="368"/>
      <c r="G172" s="368"/>
      <c r="H172" s="368"/>
      <c r="I172" s="211">
        <v>18.478000000000002</v>
      </c>
      <c r="J172" s="368">
        <v>13.757</v>
      </c>
      <c r="K172" s="368">
        <v>7.8090000000000002</v>
      </c>
      <c r="L172" s="368">
        <f>32.967-K172-J172</f>
        <v>11.400999999999998</v>
      </c>
      <c r="M172" s="368">
        <f>43.379-L172-K172-J172</f>
        <v>10.412000000000001</v>
      </c>
      <c r="N172" s="151">
        <f t="shared" ref="N172:N186" si="189">SUM(J172:M172)</f>
        <v>43.378999999999998</v>
      </c>
      <c r="O172" s="368">
        <v>7.1820000000000004</v>
      </c>
      <c r="P172" s="368">
        <f>23.392-O172</f>
        <v>16.21</v>
      </c>
      <c r="Q172" s="368">
        <f>36.875-P172-O172</f>
        <v>13.482999999999999</v>
      </c>
      <c r="R172" s="368">
        <f>50.819-Q172-P172-O172</f>
        <v>13.944000000000004</v>
      </c>
      <c r="S172" s="151">
        <f>SUM(O172:R172)</f>
        <v>50.819000000000003</v>
      </c>
      <c r="T172" s="368">
        <v>11.558</v>
      </c>
      <c r="U172" s="368">
        <f>30.292-T172</f>
        <v>18.734000000000002</v>
      </c>
      <c r="V172" s="368">
        <f>50.185-U172-T172</f>
        <v>19.893000000000001</v>
      </c>
      <c r="W172" s="152">
        <f>W277</f>
        <v>15.045255449999996</v>
      </c>
      <c r="X172" s="151">
        <f>SUM(T172:W172)</f>
        <v>65.230255450000001</v>
      </c>
      <c r="Y172" s="375">
        <f>Y277</f>
        <v>15.05195865</v>
      </c>
      <c r="Z172" s="152">
        <f>Z277</f>
        <v>18.111541949999999</v>
      </c>
      <c r="AA172" s="152">
        <f>AA277</f>
        <v>19.175888700000002</v>
      </c>
      <c r="AB172" s="152">
        <f>AB277</f>
        <v>19.408379530499996</v>
      </c>
      <c r="AC172" s="151">
        <f>SUM(Y172:AB172)</f>
        <v>71.747768830499993</v>
      </c>
      <c r="AD172" s="375">
        <f>AD277</f>
        <v>19.266507072</v>
      </c>
      <c r="AE172" s="152">
        <f>AE277</f>
        <v>23.182773695999998</v>
      </c>
      <c r="AF172" s="152">
        <f>AF277</f>
        <v>24.545137536000002</v>
      </c>
      <c r="AG172" s="152">
        <f>AG277</f>
        <v>24.842725799039997</v>
      </c>
      <c r="AH172" s="151">
        <f>SUM(AD172:AG172)</f>
        <v>91.837144103039989</v>
      </c>
      <c r="AI172" s="375">
        <f>AI277</f>
        <v>24.275798910719999</v>
      </c>
      <c r="AJ172" s="152">
        <f>AJ277</f>
        <v>29.210294856960001</v>
      </c>
      <c r="AK172" s="152">
        <f>AK277</f>
        <v>30.92687329536</v>
      </c>
      <c r="AL172" s="152">
        <f>AL277</f>
        <v>31.301834506790396</v>
      </c>
      <c r="AM172" s="151">
        <f>SUM(AI172:AL172)</f>
        <v>115.7148015698304</v>
      </c>
      <c r="AN172" s="366"/>
      <c r="AO172" s="366"/>
      <c r="AP172" s="366"/>
      <c r="AQ172" s="366"/>
      <c r="AR172" s="366"/>
      <c r="AS172" s="366"/>
      <c r="AT172" s="366"/>
      <c r="AU172" s="366"/>
      <c r="AV172" s="366"/>
      <c r="AW172" s="366"/>
      <c r="AX172" s="366"/>
      <c r="AY172" s="366"/>
      <c r="AZ172" s="366"/>
      <c r="BA172" s="366"/>
      <c r="BH172" s="370"/>
      <c r="BI172" s="370"/>
    </row>
    <row r="173" spans="1:61" ht="13.5" customHeight="1">
      <c r="A173" s="366"/>
      <c r="B173" s="372" t="s">
        <v>164</v>
      </c>
      <c r="C173" s="211">
        <v>0</v>
      </c>
      <c r="D173" s="211">
        <v>0</v>
      </c>
      <c r="E173" s="368"/>
      <c r="F173" s="368"/>
      <c r="G173" s="368"/>
      <c r="H173" s="368"/>
      <c r="I173" s="211">
        <v>2.431</v>
      </c>
      <c r="J173" s="368">
        <v>2.504</v>
      </c>
      <c r="K173" s="368">
        <v>0.63300000000000001</v>
      </c>
      <c r="L173" s="368">
        <f>4.616-K173-J173</f>
        <v>1.4789999999999996</v>
      </c>
      <c r="M173" s="368">
        <f>6.24-L173-K173-J173</f>
        <v>1.624000000000001</v>
      </c>
      <c r="N173" s="151">
        <f t="shared" si="189"/>
        <v>6.24</v>
      </c>
      <c r="O173" s="368">
        <v>7.2999999999999995E-2</v>
      </c>
      <c r="P173" s="368">
        <f>-0.093-O173</f>
        <v>-0.16599999999999998</v>
      </c>
      <c r="Q173" s="368">
        <f>0.509-P173-O173</f>
        <v>0.60200000000000009</v>
      </c>
      <c r="R173" s="368">
        <f>1.159-Q173-P173-O173</f>
        <v>0.64999999999999991</v>
      </c>
      <c r="S173" s="151">
        <f t="shared" ref="S173:S175" si="190">SUM(O173:R173)</f>
        <v>1.159</v>
      </c>
      <c r="T173" s="368">
        <v>0.219</v>
      </c>
      <c r="U173" s="368">
        <f>0-T173</f>
        <v>-0.219</v>
      </c>
      <c r="V173" s="368">
        <f>0-U173-T173</f>
        <v>0</v>
      </c>
      <c r="W173" s="376">
        <v>0</v>
      </c>
      <c r="X173" s="151">
        <f t="shared" ref="X173:X175" si="191">SUM(T173:W173)</f>
        <v>0</v>
      </c>
      <c r="Y173" s="377">
        <v>0</v>
      </c>
      <c r="Z173" s="97">
        <v>0</v>
      </c>
      <c r="AA173" s="97">
        <v>0</v>
      </c>
      <c r="AB173" s="376">
        <v>0</v>
      </c>
      <c r="AC173" s="151">
        <f t="shared" ref="AC173:AC175" si="192">SUM(Y173:AB173)</f>
        <v>0</v>
      </c>
      <c r="AD173" s="377">
        <v>0</v>
      </c>
      <c r="AE173" s="97">
        <v>0</v>
      </c>
      <c r="AF173" s="97">
        <v>0</v>
      </c>
      <c r="AG173" s="376">
        <v>0</v>
      </c>
      <c r="AH173" s="151">
        <f t="shared" ref="AH173:AH175" si="193">SUM(AD173:AG173)</f>
        <v>0</v>
      </c>
      <c r="AI173" s="377">
        <v>0</v>
      </c>
      <c r="AJ173" s="97">
        <v>0</v>
      </c>
      <c r="AK173" s="97">
        <v>0</v>
      </c>
      <c r="AL173" s="376">
        <v>0</v>
      </c>
      <c r="AM173" s="151">
        <f t="shared" ref="AM173:AM175" si="194">SUM(AI173:AL173)</f>
        <v>0</v>
      </c>
      <c r="AN173" s="366"/>
      <c r="AO173" s="366"/>
      <c r="AP173" s="366"/>
      <c r="AQ173" s="366"/>
      <c r="AR173" s="366"/>
      <c r="AS173" s="366"/>
      <c r="AT173" s="366"/>
      <c r="AU173" s="366"/>
      <c r="AV173" s="366"/>
      <c r="AW173" s="366"/>
      <c r="AX173" s="366"/>
      <c r="AY173" s="366"/>
      <c r="AZ173" s="366"/>
      <c r="BA173" s="366"/>
      <c r="BH173" s="370"/>
      <c r="BI173" s="370"/>
    </row>
    <row r="174" spans="1:61" ht="13.5" customHeight="1">
      <c r="A174" s="366"/>
      <c r="B174" s="372" t="s">
        <v>165</v>
      </c>
      <c r="C174" s="211">
        <v>0</v>
      </c>
      <c r="D174" s="211">
        <v>0</v>
      </c>
      <c r="E174" s="368"/>
      <c r="F174" s="368"/>
      <c r="G174" s="368"/>
      <c r="H174" s="368"/>
      <c r="I174" s="211">
        <v>-2.6640000000000001</v>
      </c>
      <c r="J174" s="368">
        <v>-0.20699999999999999</v>
      </c>
      <c r="K174" s="368">
        <v>0</v>
      </c>
      <c r="L174" s="368">
        <f>-0.207-K174-J174</f>
        <v>0</v>
      </c>
      <c r="M174" s="368">
        <f>0.026-L174-K174-J174</f>
        <v>0.23299999999999998</v>
      </c>
      <c r="N174" s="151">
        <f t="shared" si="189"/>
        <v>2.5999999999999995E-2</v>
      </c>
      <c r="O174" s="368">
        <v>7.8E-2</v>
      </c>
      <c r="P174" s="368">
        <f>0.063-O174</f>
        <v>-1.4999999999999999E-2</v>
      </c>
      <c r="Q174" s="368">
        <f>-0.104-P174-O174</f>
        <v>-0.16699999999999998</v>
      </c>
      <c r="R174" s="368">
        <f>0.058-Q174-P174-O174</f>
        <v>0.16199999999999998</v>
      </c>
      <c r="S174" s="151">
        <f t="shared" si="190"/>
        <v>5.7999999999999996E-2</v>
      </c>
      <c r="T174" s="368">
        <v>9.9000000000000005E-2</v>
      </c>
      <c r="U174" s="368">
        <f>0.099-T174</f>
        <v>0</v>
      </c>
      <c r="V174" s="368">
        <f>0.133-U174-T174</f>
        <v>3.4000000000000002E-2</v>
      </c>
      <c r="W174" s="376">
        <v>0</v>
      </c>
      <c r="X174" s="151">
        <f t="shared" si="191"/>
        <v>0.13300000000000001</v>
      </c>
      <c r="Y174" s="377">
        <v>0</v>
      </c>
      <c r="Z174" s="97">
        <v>0</v>
      </c>
      <c r="AA174" s="97">
        <v>0</v>
      </c>
      <c r="AB174" s="376">
        <v>0</v>
      </c>
      <c r="AC174" s="151">
        <f t="shared" si="192"/>
        <v>0</v>
      </c>
      <c r="AD174" s="377">
        <v>0</v>
      </c>
      <c r="AE174" s="97">
        <v>0</v>
      </c>
      <c r="AF174" s="97">
        <v>0</v>
      </c>
      <c r="AG174" s="376">
        <v>0</v>
      </c>
      <c r="AH174" s="151">
        <f t="shared" si="193"/>
        <v>0</v>
      </c>
      <c r="AI174" s="377">
        <v>0</v>
      </c>
      <c r="AJ174" s="97">
        <v>0</v>
      </c>
      <c r="AK174" s="97">
        <v>0</v>
      </c>
      <c r="AL174" s="376">
        <v>0</v>
      </c>
      <c r="AM174" s="151">
        <f t="shared" si="194"/>
        <v>0</v>
      </c>
      <c r="AN174" s="378"/>
      <c r="AO174" s="366"/>
      <c r="AP174" s="366"/>
      <c r="AQ174" s="366"/>
      <c r="AR174" s="366"/>
      <c r="AS174" s="366"/>
      <c r="AT174" s="366"/>
      <c r="AU174" s="366"/>
      <c r="AV174" s="366"/>
      <c r="AW174" s="366"/>
      <c r="AX174" s="366"/>
      <c r="AY174" s="366"/>
      <c r="AZ174" s="366"/>
      <c r="BA174" s="366"/>
      <c r="BH174" s="370"/>
      <c r="BI174" s="370"/>
    </row>
    <row r="175" spans="1:61" ht="13.5" customHeight="1">
      <c r="A175" s="366"/>
      <c r="B175" s="372" t="s">
        <v>166</v>
      </c>
      <c r="C175" s="211">
        <v>0</v>
      </c>
      <c r="D175" s="211">
        <v>2.4300000000000002</v>
      </c>
      <c r="E175" s="368"/>
      <c r="F175" s="368"/>
      <c r="G175" s="368"/>
      <c r="H175" s="368"/>
      <c r="I175" s="211">
        <v>0</v>
      </c>
      <c r="J175" s="368">
        <v>0</v>
      </c>
      <c r="K175" s="368">
        <v>0</v>
      </c>
      <c r="L175" s="368">
        <v>0</v>
      </c>
      <c r="M175" s="368">
        <f>0.27-L175-K175-J175</f>
        <v>0.27</v>
      </c>
      <c r="N175" s="151">
        <f t="shared" si="189"/>
        <v>0.27</v>
      </c>
      <c r="O175" s="368">
        <v>-3.7999999999999999E-2</v>
      </c>
      <c r="P175" s="368">
        <f>0.131-O175</f>
        <v>0.16900000000000001</v>
      </c>
      <c r="Q175" s="368">
        <f>-0.088-P175-O175</f>
        <v>-0.219</v>
      </c>
      <c r="R175" s="368">
        <f>-0.049-9.446-Q175-P175-O175</f>
        <v>-9.407</v>
      </c>
      <c r="S175" s="151">
        <f t="shared" si="190"/>
        <v>-9.4949999999999992</v>
      </c>
      <c r="T175" s="368">
        <v>1.534</v>
      </c>
      <c r="U175" s="368">
        <f>0-T175+5.68</f>
        <v>4.1459999999999999</v>
      </c>
      <c r="V175" s="368">
        <f>0-U175-T175+9.969</f>
        <v>4.2889999999999997</v>
      </c>
      <c r="W175" s="376">
        <v>0</v>
      </c>
      <c r="X175" s="151">
        <f t="shared" si="191"/>
        <v>9.9689999999999994</v>
      </c>
      <c r="Y175" s="377">
        <v>0</v>
      </c>
      <c r="Z175" s="97">
        <v>0</v>
      </c>
      <c r="AA175" s="97">
        <v>0</v>
      </c>
      <c r="AB175" s="376">
        <v>0</v>
      </c>
      <c r="AC175" s="151">
        <f t="shared" si="192"/>
        <v>0</v>
      </c>
      <c r="AD175" s="377">
        <v>0</v>
      </c>
      <c r="AE175" s="97">
        <v>0</v>
      </c>
      <c r="AF175" s="97">
        <v>0</v>
      </c>
      <c r="AG175" s="376">
        <v>0</v>
      </c>
      <c r="AH175" s="151">
        <f t="shared" si="193"/>
        <v>0</v>
      </c>
      <c r="AI175" s="377">
        <v>0</v>
      </c>
      <c r="AJ175" s="97">
        <v>0</v>
      </c>
      <c r="AK175" s="97">
        <v>0</v>
      </c>
      <c r="AL175" s="376">
        <v>0</v>
      </c>
      <c r="AM175" s="151">
        <f t="shared" si="194"/>
        <v>0</v>
      </c>
      <c r="AN175" s="378"/>
      <c r="AO175" s="366"/>
      <c r="AP175" s="366"/>
      <c r="AQ175" s="366"/>
      <c r="AR175" s="366"/>
      <c r="AS175" s="366"/>
      <c r="AT175" s="366"/>
      <c r="AU175" s="366"/>
      <c r="AV175" s="366"/>
      <c r="AW175" s="366"/>
      <c r="AX175" s="366"/>
      <c r="AY175" s="366"/>
      <c r="AZ175" s="366"/>
      <c r="BA175" s="366"/>
      <c r="BH175" s="370"/>
      <c r="BI175" s="370"/>
    </row>
    <row r="176" spans="1:61" ht="13.5" customHeight="1">
      <c r="A176" s="366"/>
      <c r="B176" s="371" t="s">
        <v>167</v>
      </c>
      <c r="C176" s="211"/>
      <c r="D176" s="211"/>
      <c r="E176" s="368"/>
      <c r="F176" s="368"/>
      <c r="G176" s="368"/>
      <c r="H176" s="368"/>
      <c r="I176" s="211"/>
      <c r="J176" s="368"/>
      <c r="K176" s="368"/>
      <c r="L176" s="368"/>
      <c r="M176" s="368"/>
      <c r="N176" s="151"/>
      <c r="O176" s="368"/>
      <c r="P176" s="368"/>
      <c r="Q176" s="368"/>
      <c r="R176" s="368"/>
      <c r="S176" s="151"/>
      <c r="T176" s="368"/>
      <c r="U176" s="368"/>
      <c r="V176" s="368"/>
      <c r="W176" s="152"/>
      <c r="X176" s="151"/>
      <c r="Y176" s="152"/>
      <c r="Z176" s="152"/>
      <c r="AA176" s="152"/>
      <c r="AB176" s="152"/>
      <c r="AC176" s="151"/>
      <c r="AD176" s="152"/>
      <c r="AE176" s="152"/>
      <c r="AF176" s="152"/>
      <c r="AG176" s="152"/>
      <c r="AH176" s="151"/>
      <c r="AI176" s="152"/>
      <c r="AJ176" s="152"/>
      <c r="AK176" s="152"/>
      <c r="AL176" s="152"/>
      <c r="AM176" s="151"/>
      <c r="AN176" s="378"/>
      <c r="AO176" s="366"/>
      <c r="AP176" s="366"/>
      <c r="AQ176" s="366"/>
      <c r="AR176" s="366"/>
      <c r="AS176" s="366"/>
      <c r="AT176" s="366"/>
      <c r="AU176" s="366"/>
      <c r="AV176" s="366"/>
      <c r="AW176" s="366"/>
      <c r="AX176" s="366"/>
      <c r="AY176" s="366"/>
      <c r="AZ176" s="366"/>
      <c r="BA176" s="366"/>
      <c r="BH176" s="370"/>
      <c r="BI176" s="370"/>
    </row>
    <row r="177" spans="1:61" ht="13.5" customHeight="1">
      <c r="A177" s="366"/>
      <c r="B177" s="372" t="s">
        <v>168</v>
      </c>
      <c r="C177" s="211">
        <v>-19.853999999999999</v>
      </c>
      <c r="D177" s="211">
        <v>-27.704000000000001</v>
      </c>
      <c r="E177" s="368"/>
      <c r="F177" s="368"/>
      <c r="G177" s="368"/>
      <c r="H177" s="368"/>
      <c r="I177" s="211">
        <v>-50.360999999999997</v>
      </c>
      <c r="J177" s="368">
        <v>-34.03</v>
      </c>
      <c r="K177" s="368">
        <v>-22.295999999999999</v>
      </c>
      <c r="L177" s="368">
        <f>-40.729-K177-J177</f>
        <v>15.597000000000001</v>
      </c>
      <c r="M177" s="368">
        <f>-27.42-L177-K177-J177</f>
        <v>13.308999999999997</v>
      </c>
      <c r="N177" s="151">
        <f t="shared" si="189"/>
        <v>-27.42</v>
      </c>
      <c r="O177" s="368">
        <v>-46.503</v>
      </c>
      <c r="P177" s="368">
        <f>-62.169-O177</f>
        <v>-15.665999999999997</v>
      </c>
      <c r="Q177" s="368">
        <f>-91.39-P177-O177</f>
        <v>-29.221000000000004</v>
      </c>
      <c r="R177" s="368">
        <f>-178.405-Q177-P177-O177</f>
        <v>-87.015000000000001</v>
      </c>
      <c r="S177" s="151">
        <f t="shared" ref="S177:S186" si="195">SUM(O177:R177)</f>
        <v>-178.405</v>
      </c>
      <c r="T177" s="368">
        <v>54.918999999999997</v>
      </c>
      <c r="U177" s="368">
        <f>8.934-T177</f>
        <v>-45.984999999999999</v>
      </c>
      <c r="V177" s="368">
        <f>-271.235-U177-T177</f>
        <v>-280.16899999999998</v>
      </c>
      <c r="W177" s="152">
        <f t="shared" ref="W177:W179" si="196">V224-W224</f>
        <v>182.75330176979855</v>
      </c>
      <c r="X177" s="151">
        <f t="shared" ref="X177:X186" si="197">SUM(T177:W177)</f>
        <v>-88.481698230201459</v>
      </c>
      <c r="Y177" s="152">
        <f t="shared" ref="Y177:AB179" si="198">X224-Y224</f>
        <v>42.399910687989575</v>
      </c>
      <c r="Z177" s="152">
        <f t="shared" si="198"/>
        <v>-73.679974253835724</v>
      </c>
      <c r="AA177" s="152">
        <f t="shared" si="198"/>
        <v>28.761123370319126</v>
      </c>
      <c r="AB177" s="152">
        <f t="shared" si="198"/>
        <v>-14.905959639023649</v>
      </c>
      <c r="AC177" s="151">
        <f t="shared" ref="AC177:AC186" si="199">SUM(Y177:AB177)</f>
        <v>-17.424899834550672</v>
      </c>
      <c r="AD177" s="152">
        <f t="shared" ref="AD177:AG179" si="200">AC224-AD224</f>
        <v>12.980753976245751</v>
      </c>
      <c r="AE177" s="152">
        <f t="shared" si="200"/>
        <v>-83.201877445703587</v>
      </c>
      <c r="AF177" s="152">
        <f t="shared" si="200"/>
        <v>-41.548182730763415</v>
      </c>
      <c r="AG177" s="152">
        <f t="shared" si="200"/>
        <v>-6.4751412579092857</v>
      </c>
      <c r="AH177" s="151">
        <f t="shared" ref="AH177:AH186" si="201">SUM(AD177:AG177)</f>
        <v>-118.24444745813054</v>
      </c>
      <c r="AI177" s="152">
        <f t="shared" ref="AI177:AL179" si="202">AH224-AI224</f>
        <v>12.33560640893154</v>
      </c>
      <c r="AJ177" s="152">
        <f t="shared" si="202"/>
        <v>-107.36834162102298</v>
      </c>
      <c r="AK177" s="152">
        <f t="shared" si="202"/>
        <v>-37.35055863889238</v>
      </c>
      <c r="AL177" s="152">
        <f t="shared" si="202"/>
        <v>-8.1586779849657205</v>
      </c>
      <c r="AM177" s="151">
        <f t="shared" ref="AM177:AM186" si="203">SUM(AI177:AL177)</f>
        <v>-140.54197183594954</v>
      </c>
      <c r="AN177" s="378"/>
      <c r="AO177" s="366"/>
      <c r="AP177" s="366"/>
      <c r="AQ177" s="366"/>
      <c r="AR177" s="366"/>
      <c r="AS177" s="366"/>
      <c r="AT177" s="366"/>
      <c r="AU177" s="366"/>
      <c r="AV177" s="366"/>
      <c r="AW177" s="366"/>
      <c r="AX177" s="366"/>
      <c r="AY177" s="366"/>
      <c r="AZ177" s="366"/>
      <c r="BA177" s="366"/>
      <c r="BH177" s="370"/>
      <c r="BI177" s="370"/>
    </row>
    <row r="178" spans="1:61" ht="13.5" customHeight="1">
      <c r="A178" s="366"/>
      <c r="B178" s="372" t="s">
        <v>169</v>
      </c>
      <c r="C178" s="211">
        <v>0</v>
      </c>
      <c r="D178" s="211">
        <v>0</v>
      </c>
      <c r="E178" s="368"/>
      <c r="F178" s="368"/>
      <c r="G178" s="368"/>
      <c r="H178" s="368"/>
      <c r="I178" s="211">
        <v>-31.733000000000001</v>
      </c>
      <c r="J178" s="368">
        <v>-3.895</v>
      </c>
      <c r="K178" s="368">
        <v>-2.2389999999999999</v>
      </c>
      <c r="L178" s="368">
        <f>-18.725-K178-J178</f>
        <v>-12.591000000000001</v>
      </c>
      <c r="M178" s="368">
        <f>-13.411-L178-K178-J178</f>
        <v>5.3140000000000018</v>
      </c>
      <c r="N178" s="151">
        <f t="shared" si="189"/>
        <v>-13.411</v>
      </c>
      <c r="O178" s="368">
        <v>-11.756</v>
      </c>
      <c r="P178" s="368">
        <f>15.298-O178</f>
        <v>27.054000000000002</v>
      </c>
      <c r="Q178" s="368">
        <f>27.696-P178-O178</f>
        <v>12.398</v>
      </c>
      <c r="R178" s="368">
        <f>31.102-Q178-P178-O178</f>
        <v>3.4059999999999988</v>
      </c>
      <c r="S178" s="151">
        <f t="shared" si="195"/>
        <v>31.102</v>
      </c>
      <c r="T178" s="368">
        <v>0</v>
      </c>
      <c r="U178" s="368">
        <v>0</v>
      </c>
      <c r="V178" s="368">
        <f>0-U178-T178</f>
        <v>0</v>
      </c>
      <c r="W178" s="152">
        <f t="shared" si="196"/>
        <v>0</v>
      </c>
      <c r="X178" s="151">
        <f t="shared" si="197"/>
        <v>0</v>
      </c>
      <c r="Y178" s="152">
        <f t="shared" si="198"/>
        <v>0</v>
      </c>
      <c r="Z178" s="152">
        <f t="shared" si="198"/>
        <v>0</v>
      </c>
      <c r="AA178" s="152">
        <f t="shared" si="198"/>
        <v>0</v>
      </c>
      <c r="AB178" s="152">
        <f t="shared" si="198"/>
        <v>0</v>
      </c>
      <c r="AC178" s="151">
        <f t="shared" si="199"/>
        <v>0</v>
      </c>
      <c r="AD178" s="152">
        <f t="shared" si="200"/>
        <v>0</v>
      </c>
      <c r="AE178" s="152">
        <f t="shared" si="200"/>
        <v>0</v>
      </c>
      <c r="AF178" s="152">
        <f t="shared" si="200"/>
        <v>0</v>
      </c>
      <c r="AG178" s="152">
        <f t="shared" si="200"/>
        <v>0</v>
      </c>
      <c r="AH178" s="151">
        <f t="shared" si="201"/>
        <v>0</v>
      </c>
      <c r="AI178" s="152">
        <f t="shared" si="202"/>
        <v>0</v>
      </c>
      <c r="AJ178" s="152">
        <f t="shared" si="202"/>
        <v>0</v>
      </c>
      <c r="AK178" s="152">
        <f t="shared" si="202"/>
        <v>0</v>
      </c>
      <c r="AL178" s="152">
        <f t="shared" si="202"/>
        <v>0</v>
      </c>
      <c r="AM178" s="151">
        <f t="shared" si="203"/>
        <v>0</v>
      </c>
      <c r="AN178" s="378"/>
      <c r="AO178" s="366"/>
      <c r="AP178" s="366"/>
      <c r="AQ178" s="366"/>
      <c r="AR178" s="366"/>
      <c r="AS178" s="366"/>
      <c r="AT178" s="366"/>
      <c r="AU178" s="366"/>
      <c r="AV178" s="366"/>
      <c r="AW178" s="366"/>
      <c r="AX178" s="366"/>
      <c r="AY178" s="366"/>
      <c r="AZ178" s="366"/>
      <c r="BA178" s="366"/>
      <c r="BH178" s="370"/>
      <c r="BI178" s="370"/>
    </row>
    <row r="179" spans="1:61" ht="13.5" customHeight="1">
      <c r="A179" s="366"/>
      <c r="B179" s="372" t="s">
        <v>170</v>
      </c>
      <c r="C179" s="211">
        <v>-7.6050000000000004</v>
      </c>
      <c r="D179" s="211">
        <v>-2.3839999999999999</v>
      </c>
      <c r="E179" s="368"/>
      <c r="F179" s="368"/>
      <c r="G179" s="368"/>
      <c r="H179" s="368"/>
      <c r="I179" s="211">
        <v>-14.19</v>
      </c>
      <c r="J179" s="368">
        <v>3.45</v>
      </c>
      <c r="K179" s="368">
        <v>-8.1829999999999998</v>
      </c>
      <c r="L179" s="368">
        <f>-4.457-K179-J179</f>
        <v>0.2759999999999998</v>
      </c>
      <c r="M179" s="368">
        <f>-13.225-L179-K179-J179</f>
        <v>-8.7680000000000007</v>
      </c>
      <c r="N179" s="151">
        <f t="shared" si="189"/>
        <v>-13.225000000000001</v>
      </c>
      <c r="O179" s="368">
        <v>-13.327</v>
      </c>
      <c r="P179" s="368">
        <f>-7.313-O179</f>
        <v>6.0140000000000002</v>
      </c>
      <c r="Q179" s="368">
        <f>-3.011-P179-O179</f>
        <v>4.3019999999999996</v>
      </c>
      <c r="R179" s="368">
        <f>-14.986-Q179-P179-O179</f>
        <v>-11.975</v>
      </c>
      <c r="S179" s="151">
        <f t="shared" si="195"/>
        <v>-14.986000000000001</v>
      </c>
      <c r="T179" s="368">
        <v>6.1050000000000004</v>
      </c>
      <c r="U179" s="368">
        <f>-2.201-T179</f>
        <v>-8.3060000000000009</v>
      </c>
      <c r="V179" s="368">
        <f>-6.262-U179-T179</f>
        <v>-4.0609999999999991</v>
      </c>
      <c r="W179" s="152">
        <f t="shared" si="196"/>
        <v>-9.2362693231813182</v>
      </c>
      <c r="X179" s="151">
        <f t="shared" si="197"/>
        <v>-15.498269323181319</v>
      </c>
      <c r="Y179" s="152">
        <f t="shared" si="198"/>
        <v>-7.8405949878866181</v>
      </c>
      <c r="Z179" s="152">
        <f t="shared" si="198"/>
        <v>-88.547588368315758</v>
      </c>
      <c r="AA179" s="152">
        <f t="shared" si="198"/>
        <v>-33.1440136022361</v>
      </c>
      <c r="AB179" s="152">
        <f t="shared" si="198"/>
        <v>-15.826256239346549</v>
      </c>
      <c r="AC179" s="151">
        <f t="shared" si="199"/>
        <v>-145.35845319778502</v>
      </c>
      <c r="AD179" s="152">
        <f t="shared" si="200"/>
        <v>1.7582735818613173</v>
      </c>
      <c r="AE179" s="152">
        <f t="shared" si="200"/>
        <v>-116.09870454523821</v>
      </c>
      <c r="AF179" s="152">
        <f t="shared" si="200"/>
        <v>-44.218013809852664</v>
      </c>
      <c r="AG179" s="152">
        <f t="shared" si="200"/>
        <v>-22.887313876533995</v>
      </c>
      <c r="AH179" s="151">
        <f t="shared" si="201"/>
        <v>-181.44575864976355</v>
      </c>
      <c r="AI179" s="152">
        <f t="shared" si="202"/>
        <v>18.31444175355125</v>
      </c>
      <c r="AJ179" s="152">
        <f t="shared" si="202"/>
        <v>-149.59837897819887</v>
      </c>
      <c r="AK179" s="152">
        <f t="shared" si="202"/>
        <v>-57.912248815413477</v>
      </c>
      <c r="AL179" s="152">
        <f t="shared" si="202"/>
        <v>-32.040561191097709</v>
      </c>
      <c r="AM179" s="151">
        <f t="shared" si="203"/>
        <v>-221.2367472311588</v>
      </c>
      <c r="AN179" s="378"/>
      <c r="AO179" s="366"/>
      <c r="AP179" s="366"/>
      <c r="AQ179" s="366"/>
      <c r="AR179" s="366"/>
      <c r="AS179" s="366"/>
      <c r="AT179" s="366"/>
      <c r="AU179" s="366"/>
      <c r="AV179" s="366"/>
      <c r="AW179" s="366"/>
      <c r="AX179" s="366"/>
      <c r="AY179" s="366"/>
      <c r="AZ179" s="366"/>
      <c r="BA179" s="366"/>
      <c r="BH179" s="370"/>
      <c r="BI179" s="370"/>
    </row>
    <row r="180" spans="1:61" ht="13.5" customHeight="1">
      <c r="A180" s="366"/>
      <c r="B180" s="372" t="s">
        <v>171</v>
      </c>
      <c r="C180" s="211">
        <v>-1.615</v>
      </c>
      <c r="D180" s="211">
        <v>2.6680000000000001</v>
      </c>
      <c r="E180" s="368"/>
      <c r="F180" s="368"/>
      <c r="G180" s="368"/>
      <c r="H180" s="368"/>
      <c r="I180" s="211">
        <v>-0.63600000000000001</v>
      </c>
      <c r="J180" s="368">
        <v>0.82099999999999995</v>
      </c>
      <c r="K180" s="368">
        <v>0.35599999999999998</v>
      </c>
      <c r="L180" s="368">
        <f>1.102-K180-J180</f>
        <v>-7.4999999999999845E-2</v>
      </c>
      <c r="M180" s="368">
        <f>1.22-L180-K180-J180</f>
        <v>0.11799999999999999</v>
      </c>
      <c r="N180" s="151">
        <f t="shared" si="189"/>
        <v>1.2200000000000002</v>
      </c>
      <c r="O180" s="368">
        <v>-6.3010000000000002</v>
      </c>
      <c r="P180" s="368">
        <f>-0.377-O180</f>
        <v>5.9240000000000004</v>
      </c>
      <c r="Q180" s="368">
        <f>0.145-421.243+393.221-P180-O180</f>
        <v>-27.500000000000007</v>
      </c>
      <c r="R180" s="368">
        <f>0.631+627.627-668.976-Q180-P180-O180</f>
        <v>-12.841000000000067</v>
      </c>
      <c r="S180" s="151">
        <f t="shared" si="195"/>
        <v>-40.718000000000075</v>
      </c>
      <c r="T180" s="368">
        <f>0.141-252.17+242.431-13.953</f>
        <v>-23.550999999999984</v>
      </c>
      <c r="U180" s="368">
        <f>-0.11-T180+560.209-570.819</f>
        <v>12.831000000000017</v>
      </c>
      <c r="V180" s="368">
        <f>-1.699-U180-T180+852.187-874.498</f>
        <v>-13.290000000000077</v>
      </c>
      <c r="W180" s="152">
        <f t="shared" ref="W180" si="204">V232-W232</f>
        <v>0</v>
      </c>
      <c r="X180" s="151">
        <f t="shared" si="197"/>
        <v>-24.010000000000044</v>
      </c>
      <c r="Y180" s="152">
        <f t="shared" ref="Y180:AB180" si="205">X232-Y232</f>
        <v>0</v>
      </c>
      <c r="Z180" s="152">
        <f t="shared" si="205"/>
        <v>0</v>
      </c>
      <c r="AA180" s="152">
        <f t="shared" si="205"/>
        <v>0</v>
      </c>
      <c r="AB180" s="152">
        <f t="shared" si="205"/>
        <v>0</v>
      </c>
      <c r="AC180" s="151">
        <f t="shared" si="199"/>
        <v>0</v>
      </c>
      <c r="AD180" s="152">
        <f t="shared" ref="AD180:AG180" si="206">AC232-AD232</f>
        <v>0</v>
      </c>
      <c r="AE180" s="152">
        <f t="shared" si="206"/>
        <v>0</v>
      </c>
      <c r="AF180" s="152">
        <f t="shared" si="206"/>
        <v>0</v>
      </c>
      <c r="AG180" s="152">
        <f t="shared" si="206"/>
        <v>0</v>
      </c>
      <c r="AH180" s="151">
        <f t="shared" si="201"/>
        <v>0</v>
      </c>
      <c r="AI180" s="152">
        <f t="shared" ref="AI180:AL180" si="207">AH232-AI232</f>
        <v>0</v>
      </c>
      <c r="AJ180" s="152">
        <f t="shared" si="207"/>
        <v>0</v>
      </c>
      <c r="AK180" s="152">
        <f t="shared" si="207"/>
        <v>0</v>
      </c>
      <c r="AL180" s="152">
        <f t="shared" si="207"/>
        <v>0</v>
      </c>
      <c r="AM180" s="151">
        <f t="shared" si="203"/>
        <v>0</v>
      </c>
      <c r="AN180" s="378"/>
      <c r="AO180" s="366"/>
      <c r="AP180" s="366"/>
      <c r="AQ180" s="366"/>
      <c r="AR180" s="366"/>
      <c r="AS180" s="366"/>
      <c r="AT180" s="366"/>
      <c r="AU180" s="366"/>
      <c r="AV180" s="366"/>
      <c r="AW180" s="366"/>
      <c r="AX180" s="366"/>
      <c r="AY180" s="366"/>
      <c r="AZ180" s="366"/>
      <c r="BA180" s="366"/>
      <c r="BH180" s="370"/>
      <c r="BI180" s="370"/>
    </row>
    <row r="181" spans="1:61" ht="13.5" customHeight="1">
      <c r="A181" s="366"/>
      <c r="B181" s="372" t="s">
        <v>172</v>
      </c>
      <c r="C181" s="211">
        <v>2.028</v>
      </c>
      <c r="D181" s="211">
        <v>-0.94199999999999995</v>
      </c>
      <c r="E181" s="368"/>
      <c r="F181" s="368"/>
      <c r="G181" s="368"/>
      <c r="H181" s="368"/>
      <c r="I181" s="211">
        <v>0.17899999999999999</v>
      </c>
      <c r="J181" s="368">
        <v>4.6829999999999998</v>
      </c>
      <c r="K181" s="368">
        <v>-1.2749999999999999</v>
      </c>
      <c r="L181" s="368">
        <f>2.048-K181-J181</f>
        <v>-1.3599999999999999</v>
      </c>
      <c r="M181" s="368">
        <f>7.831-L181-K181-J181</f>
        <v>5.7830000000000013</v>
      </c>
      <c r="N181" s="151">
        <f t="shared" si="189"/>
        <v>7.8310000000000013</v>
      </c>
      <c r="O181" s="368">
        <v>2.5760000000000001</v>
      </c>
      <c r="P181" s="368">
        <f>2.538-O181</f>
        <v>-3.8000000000000256E-2</v>
      </c>
      <c r="Q181" s="368">
        <f>-0.867-P181-O181</f>
        <v>-3.4049999999999998</v>
      </c>
      <c r="R181" s="368">
        <f>-2.147-Q181-P181-O181</f>
        <v>-1.2799999999999998</v>
      </c>
      <c r="S181" s="151">
        <f t="shared" si="195"/>
        <v>-2.1469999999999998</v>
      </c>
      <c r="T181" s="368">
        <v>-1.4590000000000001</v>
      </c>
      <c r="U181" s="368">
        <f>0.143-T181</f>
        <v>1.6020000000000001</v>
      </c>
      <c r="V181" s="368">
        <f>1.223-U181-T181</f>
        <v>1.08</v>
      </c>
      <c r="W181" s="152">
        <f t="shared" ref="W181:W182" si="208">W236-V236</f>
        <v>2.6096947145226927</v>
      </c>
      <c r="X181" s="151">
        <f t="shared" si="197"/>
        <v>3.8326947145226926</v>
      </c>
      <c r="Y181" s="152">
        <f t="shared" ref="Y181:AB182" si="209">Y236-X236</f>
        <v>-0.7090673760244357</v>
      </c>
      <c r="Z181" s="152">
        <f t="shared" si="209"/>
        <v>2.6829975773752217</v>
      </c>
      <c r="AA181" s="152">
        <f t="shared" si="209"/>
        <v>1.0685926957697092</v>
      </c>
      <c r="AB181" s="152">
        <f t="shared" si="209"/>
        <v>1.323203826229939</v>
      </c>
      <c r="AC181" s="151">
        <f t="shared" si="199"/>
        <v>4.3657267233504342</v>
      </c>
      <c r="AD181" s="152">
        <f t="shared" ref="AD181:AG182" si="210">AD236-AC236</f>
        <v>-1.2633808951847101</v>
      </c>
      <c r="AE181" s="152">
        <f t="shared" si="210"/>
        <v>3.3030860085137945</v>
      </c>
      <c r="AF181" s="152">
        <f t="shared" si="210"/>
        <v>1.3564772214454521</v>
      </c>
      <c r="AG181" s="152">
        <f t="shared" si="210"/>
        <v>1.8164507774696403</v>
      </c>
      <c r="AH181" s="151">
        <f t="shared" si="201"/>
        <v>5.2126331122441769</v>
      </c>
      <c r="AI181" s="152">
        <f t="shared" ref="AI181:AL182" si="211">AI236-AH236</f>
        <v>-1.8902817015306077</v>
      </c>
      <c r="AJ181" s="152">
        <f t="shared" si="211"/>
        <v>4.0418730936751501</v>
      </c>
      <c r="AK181" s="152">
        <f t="shared" si="211"/>
        <v>1.7027688811381445</v>
      </c>
      <c r="AL181" s="152">
        <f t="shared" si="211"/>
        <v>2.4221958655692148</v>
      </c>
      <c r="AM181" s="151">
        <f t="shared" si="203"/>
        <v>6.2765561388519018</v>
      </c>
      <c r="AN181" s="378"/>
      <c r="AO181" s="366"/>
      <c r="AP181" s="366"/>
      <c r="AQ181" s="366"/>
      <c r="AR181" s="366"/>
      <c r="AS181" s="366"/>
      <c r="AT181" s="366"/>
      <c r="AU181" s="366"/>
      <c r="AV181" s="366"/>
      <c r="AW181" s="366"/>
      <c r="AX181" s="366"/>
      <c r="AY181" s="366"/>
      <c r="AZ181" s="366"/>
      <c r="BA181" s="366"/>
      <c r="BH181" s="370"/>
      <c r="BI181" s="370"/>
    </row>
    <row r="182" spans="1:61" ht="13.5" customHeight="1">
      <c r="A182" s="366"/>
      <c r="B182" s="372" t="s">
        <v>173</v>
      </c>
      <c r="C182" s="211">
        <v>47.100999999999999</v>
      </c>
      <c r="D182" s="211">
        <v>21.148</v>
      </c>
      <c r="E182" s="368"/>
      <c r="F182" s="368"/>
      <c r="G182" s="368"/>
      <c r="H182" s="368"/>
      <c r="I182" s="211">
        <v>52.956000000000003</v>
      </c>
      <c r="J182" s="368">
        <v>38.631</v>
      </c>
      <c r="K182" s="368">
        <v>28.655000000000001</v>
      </c>
      <c r="L182" s="368">
        <f>89.446-K182-J182</f>
        <v>22.159999999999997</v>
      </c>
      <c r="M182" s="368">
        <f>76.008-L182-K182-J182</f>
        <v>-13.438000000000002</v>
      </c>
      <c r="N182" s="151">
        <f t="shared" si="189"/>
        <v>76.007999999999996</v>
      </c>
      <c r="O182" s="368">
        <v>58.866</v>
      </c>
      <c r="P182" s="368">
        <f>84.826-O182</f>
        <v>25.959999999999994</v>
      </c>
      <c r="Q182" s="368">
        <f>139.105-P182-O182</f>
        <v>54.278999999999996</v>
      </c>
      <c r="R182" s="368">
        <f>172.446-Q182-P182-O182</f>
        <v>33.341000000000008</v>
      </c>
      <c r="S182" s="151">
        <f t="shared" si="195"/>
        <v>172.446</v>
      </c>
      <c r="T182" s="368">
        <f>-25.085+13.953-15.378</f>
        <v>-26.51</v>
      </c>
      <c r="U182" s="368">
        <f>34.149-T182-30.022-9.317</f>
        <v>21.320000000000007</v>
      </c>
      <c r="V182" s="368">
        <f>295.406-U182-T182+30.263-41.899</f>
        <v>288.95999999999998</v>
      </c>
      <c r="W182" s="152">
        <f t="shared" si="208"/>
        <v>-251.5233166666668</v>
      </c>
      <c r="X182" s="151">
        <f t="shared" si="197"/>
        <v>32.246683333333181</v>
      </c>
      <c r="Y182" s="152">
        <f t="shared" si="209"/>
        <v>-58.354984885838007</v>
      </c>
      <c r="Z182" s="152">
        <f t="shared" si="209"/>
        <v>101.40572737549292</v>
      </c>
      <c r="AA182" s="152">
        <f t="shared" si="209"/>
        <v>-39.583925822988022</v>
      </c>
      <c r="AB182" s="152">
        <f t="shared" si="209"/>
        <v>20.515067964294872</v>
      </c>
      <c r="AC182" s="151">
        <f t="shared" si="199"/>
        <v>23.981884630961758</v>
      </c>
      <c r="AD182" s="152">
        <f t="shared" si="210"/>
        <v>-17.865407964294945</v>
      </c>
      <c r="AE182" s="152">
        <f t="shared" si="210"/>
        <v>114.51071999999999</v>
      </c>
      <c r="AF182" s="152">
        <f t="shared" si="210"/>
        <v>57.182751943261223</v>
      </c>
      <c r="AG182" s="152">
        <f t="shared" si="210"/>
        <v>8.911735051036203</v>
      </c>
      <c r="AH182" s="151">
        <f t="shared" si="201"/>
        <v>162.73979903000247</v>
      </c>
      <c r="AI182" s="152">
        <f t="shared" si="211"/>
        <v>-16.977491552942183</v>
      </c>
      <c r="AJ182" s="152">
        <f t="shared" si="211"/>
        <v>147.77101769431522</v>
      </c>
      <c r="AK182" s="152">
        <f t="shared" si="211"/>
        <v>51.405563112838649</v>
      </c>
      <c r="AL182" s="152">
        <f t="shared" si="211"/>
        <v>11.228786164305689</v>
      </c>
      <c r="AM182" s="151">
        <f t="shared" si="203"/>
        <v>193.42787541851737</v>
      </c>
      <c r="AN182" s="378"/>
      <c r="AO182" s="366"/>
      <c r="AP182" s="366"/>
      <c r="AQ182" s="366"/>
      <c r="AR182" s="366"/>
      <c r="AS182" s="366"/>
      <c r="AT182" s="366"/>
      <c r="AU182" s="366"/>
      <c r="AV182" s="366"/>
      <c r="AW182" s="366"/>
      <c r="AX182" s="366"/>
      <c r="AY182" s="366"/>
      <c r="AZ182" s="366"/>
      <c r="BA182" s="366"/>
      <c r="BH182" s="370"/>
      <c r="BI182" s="370"/>
    </row>
    <row r="183" spans="1:61" ht="13.5" customHeight="1">
      <c r="A183" s="366"/>
      <c r="B183" s="372" t="s">
        <v>174</v>
      </c>
      <c r="C183" s="211">
        <v>-7.335</v>
      </c>
      <c r="D183" s="211">
        <v>-13.613</v>
      </c>
      <c r="E183" s="368"/>
      <c r="F183" s="368"/>
      <c r="G183" s="368"/>
      <c r="H183" s="368"/>
      <c r="I183" s="211">
        <v>-17.513999999999999</v>
      </c>
      <c r="J183" s="368">
        <v>-5.3979999999999997</v>
      </c>
      <c r="K183" s="368">
        <v>-8.7769999999999992</v>
      </c>
      <c r="L183" s="368">
        <f>-25.415-K183-J183</f>
        <v>-11.239999999999998</v>
      </c>
      <c r="M183" s="368">
        <f>-34.655-L183-K183-J183</f>
        <v>-9.2400000000000038</v>
      </c>
      <c r="N183" s="151">
        <f t="shared" si="189"/>
        <v>-34.655000000000001</v>
      </c>
      <c r="O183" s="368">
        <v>-8.9390000000000001</v>
      </c>
      <c r="P183" s="368">
        <f>-24.475-O183</f>
        <v>-15.536000000000001</v>
      </c>
      <c r="Q183" s="368">
        <f>-32.623-P183-O183</f>
        <v>-8.1479999999999961</v>
      </c>
      <c r="R183" s="368">
        <f>-47.931-Q183-P183-O183</f>
        <v>-15.308</v>
      </c>
      <c r="S183" s="151">
        <f t="shared" si="195"/>
        <v>-47.930999999999997</v>
      </c>
      <c r="T183" s="368">
        <v>-11.178000000000001</v>
      </c>
      <c r="U183" s="368">
        <f>-22.243-T183</f>
        <v>-11.064999999999998</v>
      </c>
      <c r="V183" s="368">
        <f>-33.081-U183-T183</f>
        <v>-10.838000000000005</v>
      </c>
      <c r="W183" s="152">
        <f>W284</f>
        <v>-13.841635013999996</v>
      </c>
      <c r="X183" s="151">
        <f t="shared" si="197"/>
        <v>-46.922635014000001</v>
      </c>
      <c r="Y183" s="152">
        <f>Y284</f>
        <v>-13.847801958</v>
      </c>
      <c r="Z183" s="152">
        <f>Z284</f>
        <v>-16.662618594000001</v>
      </c>
      <c r="AA183" s="152">
        <f>AA284</f>
        <v>-17.641817604000003</v>
      </c>
      <c r="AB183" s="152">
        <f>AB284</f>
        <v>-17.855709168059995</v>
      </c>
      <c r="AC183" s="151">
        <f t="shared" si="199"/>
        <v>-66.007947324059998</v>
      </c>
      <c r="AD183" s="152">
        <f>AD284</f>
        <v>-17.72518650624</v>
      </c>
      <c r="AE183" s="152">
        <f>AE284</f>
        <v>-21.328151800320001</v>
      </c>
      <c r="AF183" s="152">
        <f>AF284</f>
        <v>-22.581526533120002</v>
      </c>
      <c r="AG183" s="152">
        <f>AG284</f>
        <v>-22.855307735116799</v>
      </c>
      <c r="AH183" s="151">
        <f t="shared" si="201"/>
        <v>-84.490172574796802</v>
      </c>
      <c r="AI183" s="152">
        <f>AI284</f>
        <v>-22.3337349978624</v>
      </c>
      <c r="AJ183" s="152">
        <f>AJ284</f>
        <v>-26.8734712684032</v>
      </c>
      <c r="AK183" s="152">
        <f>AK284</f>
        <v>-28.452723431731201</v>
      </c>
      <c r="AL183" s="152">
        <f>AL284</f>
        <v>-28.797687746247167</v>
      </c>
      <c r="AM183" s="151">
        <f t="shared" si="203"/>
        <v>-106.45761744424397</v>
      </c>
      <c r="AN183" s="378"/>
      <c r="AO183" s="366"/>
      <c r="AP183" s="366"/>
      <c r="AQ183" s="366"/>
      <c r="AR183" s="366"/>
      <c r="AS183" s="366"/>
      <c r="AT183" s="366"/>
      <c r="AU183" s="366"/>
      <c r="AV183" s="366"/>
      <c r="AW183" s="366"/>
      <c r="AX183" s="366"/>
      <c r="AY183" s="366"/>
      <c r="AZ183" s="366"/>
      <c r="BA183" s="366"/>
      <c r="BH183" s="370"/>
      <c r="BI183" s="370"/>
    </row>
    <row r="184" spans="1:61" ht="13.5" customHeight="1">
      <c r="A184" s="366"/>
      <c r="B184" s="372" t="s">
        <v>175</v>
      </c>
      <c r="C184" s="211">
        <v>3.9089999999999998</v>
      </c>
      <c r="D184" s="211">
        <v>9.9120000000000008</v>
      </c>
      <c r="E184" s="368"/>
      <c r="F184" s="368"/>
      <c r="G184" s="368"/>
      <c r="H184" s="368"/>
      <c r="I184" s="211">
        <v>8.1129999999999995</v>
      </c>
      <c r="J184" s="368">
        <v>-5.4429999999999996</v>
      </c>
      <c r="K184" s="368">
        <v>9.2769999999999992</v>
      </c>
      <c r="L184" s="368">
        <f>13.95-K184-J184</f>
        <v>10.116</v>
      </c>
      <c r="M184" s="368">
        <f>21.45-L184-K184-J184</f>
        <v>7.5</v>
      </c>
      <c r="N184" s="151">
        <f t="shared" si="189"/>
        <v>21.45</v>
      </c>
      <c r="O184" s="368">
        <v>55.81</v>
      </c>
      <c r="P184" s="368">
        <f>-13.784-O184</f>
        <v>-69.594000000000008</v>
      </c>
      <c r="Q184" s="368">
        <f>0.086-P184-O184</f>
        <v>13.870000000000005</v>
      </c>
      <c r="R184" s="368">
        <f>-0.409-Q184-P184-O184</f>
        <v>-0.49499999999999744</v>
      </c>
      <c r="S184" s="151">
        <f t="shared" si="195"/>
        <v>-0.40899999999999892</v>
      </c>
      <c r="T184" s="368">
        <v>3.93</v>
      </c>
      <c r="U184" s="368">
        <f>17-T184</f>
        <v>13.07</v>
      </c>
      <c r="V184" s="368">
        <f>20.328-U184-T184</f>
        <v>3.327999999999999</v>
      </c>
      <c r="W184" s="152">
        <f t="shared" ref="W184:W185" si="212">W239-V239</f>
        <v>-17.655487692620547</v>
      </c>
      <c r="X184" s="151">
        <f t="shared" si="197"/>
        <v>2.6725123073794528</v>
      </c>
      <c r="Y184" s="152">
        <f t="shared" ref="Y184:AB185" si="213">Y239-X239</f>
        <v>-1.8879462649975807</v>
      </c>
      <c r="Z184" s="152">
        <f t="shared" si="213"/>
        <v>7.1436868011094816</v>
      </c>
      <c r="AA184" s="152">
        <f t="shared" si="213"/>
        <v>2.8452099997794775</v>
      </c>
      <c r="AB184" s="152">
        <f t="shared" si="213"/>
        <v>3.5231316600232674</v>
      </c>
      <c r="AC184" s="151">
        <f t="shared" si="199"/>
        <v>11.624082195914646</v>
      </c>
      <c r="AD184" s="152">
        <f t="shared" ref="AD184:AG185" si="214">AD239-AC239</f>
        <v>-3.3638485184672646</v>
      </c>
      <c r="AE184" s="152">
        <f t="shared" si="214"/>
        <v>8.7947198018097339</v>
      </c>
      <c r="AF184" s="152">
        <f t="shared" si="214"/>
        <v>3.6117246264253211</v>
      </c>
      <c r="AG184" s="152">
        <f t="shared" si="214"/>
        <v>4.8364394933854271</v>
      </c>
      <c r="AH184" s="151">
        <f t="shared" si="201"/>
        <v>13.879035403153217</v>
      </c>
      <c r="AI184" s="152">
        <f t="shared" ref="AI184:AL185" si="215">AI239-AH239</f>
        <v>-5.0330199905784312</v>
      </c>
      <c r="AJ184" s="152">
        <f t="shared" si="215"/>
        <v>10.76179707150316</v>
      </c>
      <c r="AK184" s="152">
        <f t="shared" si="215"/>
        <v>4.5337527264659769</v>
      </c>
      <c r="AL184" s="152">
        <f t="shared" si="215"/>
        <v>6.4492822432947179</v>
      </c>
      <c r="AM184" s="151">
        <f t="shared" si="203"/>
        <v>16.711812050685424</v>
      </c>
      <c r="AN184" s="378"/>
      <c r="AO184" s="366"/>
      <c r="AP184" s="366"/>
      <c r="AQ184" s="366"/>
      <c r="AR184" s="366"/>
      <c r="AS184" s="366"/>
      <c r="AT184" s="366"/>
      <c r="AU184" s="366"/>
      <c r="AV184" s="366"/>
      <c r="AW184" s="366"/>
      <c r="AX184" s="366"/>
      <c r="AY184" s="366"/>
      <c r="AZ184" s="366"/>
      <c r="BA184" s="366"/>
      <c r="BH184" s="370"/>
      <c r="BI184" s="370"/>
    </row>
    <row r="185" spans="1:61" ht="13.5" customHeight="1">
      <c r="A185" s="366"/>
      <c r="B185" s="372" t="s">
        <v>176</v>
      </c>
      <c r="C185" s="211">
        <v>1.4330000000000001</v>
      </c>
      <c r="D185" s="211">
        <v>0.10299999999999999</v>
      </c>
      <c r="E185" s="368"/>
      <c r="F185" s="368"/>
      <c r="G185" s="368"/>
      <c r="H185" s="368"/>
      <c r="I185" s="211">
        <v>3.0070000000000001</v>
      </c>
      <c r="J185" s="368">
        <v>-1.931</v>
      </c>
      <c r="K185" s="368">
        <v>1.921</v>
      </c>
      <c r="L185" s="368">
        <f>1.524-K185-J185</f>
        <v>1.534</v>
      </c>
      <c r="M185" s="368">
        <f>19.76-L185-K185-J185</f>
        <v>18.236000000000004</v>
      </c>
      <c r="N185" s="151">
        <f t="shared" si="189"/>
        <v>19.760000000000005</v>
      </c>
      <c r="O185" s="368">
        <v>4.5670000000000002</v>
      </c>
      <c r="P185" s="368">
        <f>13.446-O185</f>
        <v>8.8789999999999996</v>
      </c>
      <c r="Q185" s="368">
        <f>15.255-P185-O185</f>
        <v>1.8090000000000011</v>
      </c>
      <c r="R185" s="368">
        <f>44.102-Q185-P185-O185</f>
        <v>28.846999999999994</v>
      </c>
      <c r="S185" s="151">
        <f t="shared" si="195"/>
        <v>44.101999999999997</v>
      </c>
      <c r="T185" s="368">
        <v>-0.36799999999999999</v>
      </c>
      <c r="U185" s="368">
        <f>4.327-T185</f>
        <v>4.6950000000000003</v>
      </c>
      <c r="V185" s="368">
        <f>-1.125-U185-T185</f>
        <v>-5.452</v>
      </c>
      <c r="W185" s="152">
        <f t="shared" si="212"/>
        <v>-6.8905132259095367</v>
      </c>
      <c r="X185" s="151">
        <f t="shared" si="197"/>
        <v>-8.0155132259095367</v>
      </c>
      <c r="Y185" s="152">
        <f t="shared" si="213"/>
        <v>-0.62206524399689833</v>
      </c>
      <c r="Z185" s="152">
        <f t="shared" si="213"/>
        <v>2.353795420642065</v>
      </c>
      <c r="AA185" s="152">
        <f t="shared" si="213"/>
        <v>0.93747702757710805</v>
      </c>
      <c r="AB185" s="152">
        <f t="shared" si="213"/>
        <v>1.1608475285330115</v>
      </c>
      <c r="AC185" s="151">
        <f t="shared" si="199"/>
        <v>3.8300547327552863</v>
      </c>
      <c r="AD185" s="152">
        <f t="shared" si="214"/>
        <v>-1.1083648344258492</v>
      </c>
      <c r="AE185" s="152">
        <f t="shared" si="214"/>
        <v>2.8977993817022885</v>
      </c>
      <c r="AF185" s="152">
        <f t="shared" si="214"/>
        <v>1.1900382985687088</v>
      </c>
      <c r="AG185" s="152">
        <f t="shared" si="214"/>
        <v>1.5935733814610984</v>
      </c>
      <c r="AH185" s="151">
        <f t="shared" si="201"/>
        <v>4.5730462273062464</v>
      </c>
      <c r="AI185" s="152">
        <f t="shared" si="215"/>
        <v>-1.6583452964348311</v>
      </c>
      <c r="AJ185" s="152">
        <f t="shared" si="215"/>
        <v>3.5459377447579534</v>
      </c>
      <c r="AK185" s="152">
        <f t="shared" si="215"/>
        <v>1.4938401840659807</v>
      </c>
      <c r="AL185" s="152">
        <f t="shared" si="215"/>
        <v>2.1249939188736064</v>
      </c>
      <c r="AM185" s="151">
        <f t="shared" si="203"/>
        <v>5.5064265512627095</v>
      </c>
      <c r="AN185" s="378"/>
      <c r="AO185" s="366"/>
      <c r="AP185" s="366"/>
      <c r="AQ185" s="366"/>
      <c r="AR185" s="366"/>
      <c r="AS185" s="366"/>
      <c r="AT185" s="366"/>
      <c r="AU185" s="366"/>
      <c r="AV185" s="366"/>
      <c r="AW185" s="366"/>
      <c r="AX185" s="366"/>
      <c r="AY185" s="366"/>
      <c r="AZ185" s="366"/>
      <c r="BA185" s="366"/>
      <c r="BH185" s="370"/>
      <c r="BI185" s="370"/>
    </row>
    <row r="186" spans="1:61" ht="13.5" customHeight="1">
      <c r="A186" s="366"/>
      <c r="B186" s="372" t="s">
        <v>177</v>
      </c>
      <c r="C186" s="211">
        <v>8.0000000000000002E-3</v>
      </c>
      <c r="D186" s="211">
        <v>14.288</v>
      </c>
      <c r="E186" s="368"/>
      <c r="F186" s="368"/>
      <c r="G186" s="368"/>
      <c r="H186" s="368"/>
      <c r="I186" s="211">
        <v>23.295000000000002</v>
      </c>
      <c r="J186" s="368">
        <v>5.08</v>
      </c>
      <c r="K186" s="368">
        <v>2.3079999999999998</v>
      </c>
      <c r="L186" s="368">
        <f>8.801-K186-J186</f>
        <v>1.4130000000000003</v>
      </c>
      <c r="M186" s="368">
        <f>11.111-L186-K186-J186</f>
        <v>2.3100000000000005</v>
      </c>
      <c r="N186" s="151">
        <f t="shared" si="189"/>
        <v>11.111000000000001</v>
      </c>
      <c r="O186" s="368">
        <v>-1.36</v>
      </c>
      <c r="P186" s="368">
        <f>-0.431-212.727+183.748-O186</f>
        <v>-28.050000000000026</v>
      </c>
      <c r="Q186" s="368">
        <f>2.376-P186-O186</f>
        <v>31.786000000000026</v>
      </c>
      <c r="R186" s="368">
        <f>3.149-34.128+34.128-Q186-P186-O186</f>
        <v>0.77300000000000035</v>
      </c>
      <c r="S186" s="151">
        <f t="shared" si="195"/>
        <v>3.1490000000000018</v>
      </c>
      <c r="T186" s="368">
        <f>2.902</f>
        <v>2.9020000000000001</v>
      </c>
      <c r="U186" s="368">
        <f>5.696-T186</f>
        <v>2.7939999999999996</v>
      </c>
      <c r="V186" s="368">
        <f>8.614-U186-T186</f>
        <v>2.918000000000001</v>
      </c>
      <c r="W186" s="152">
        <f t="shared" ref="W186" si="216">W243-V243</f>
        <v>0</v>
      </c>
      <c r="X186" s="151">
        <f t="shared" si="197"/>
        <v>8.6140000000000008</v>
      </c>
      <c r="Y186" s="152">
        <f t="shared" ref="Y186:AB186" si="217">Y243-X243</f>
        <v>0</v>
      </c>
      <c r="Z186" s="152">
        <f t="shared" si="217"/>
        <v>0</v>
      </c>
      <c r="AA186" s="152">
        <f t="shared" si="217"/>
        <v>0</v>
      </c>
      <c r="AB186" s="152">
        <f t="shared" si="217"/>
        <v>0</v>
      </c>
      <c r="AC186" s="151">
        <f t="shared" si="199"/>
        <v>0</v>
      </c>
      <c r="AD186" s="152">
        <f t="shared" ref="AD186:AG186" si="218">AD243-AC243</f>
        <v>0</v>
      </c>
      <c r="AE186" s="152">
        <f t="shared" si="218"/>
        <v>0</v>
      </c>
      <c r="AF186" s="152">
        <f t="shared" si="218"/>
        <v>0</v>
      </c>
      <c r="AG186" s="152">
        <f t="shared" si="218"/>
        <v>0</v>
      </c>
      <c r="AH186" s="151">
        <f t="shared" si="201"/>
        <v>0</v>
      </c>
      <c r="AI186" s="152">
        <f t="shared" ref="AI186:AL186" si="219">AI243-AH243</f>
        <v>0</v>
      </c>
      <c r="AJ186" s="152">
        <f t="shared" si="219"/>
        <v>0</v>
      </c>
      <c r="AK186" s="152">
        <f t="shared" si="219"/>
        <v>0</v>
      </c>
      <c r="AL186" s="152">
        <f t="shared" si="219"/>
        <v>0</v>
      </c>
      <c r="AM186" s="151">
        <f t="shared" si="203"/>
        <v>0</v>
      </c>
      <c r="AN186" s="378"/>
      <c r="AO186" s="366"/>
      <c r="AP186" s="366"/>
      <c r="AQ186" s="366"/>
      <c r="AR186" s="366"/>
      <c r="AS186" s="366"/>
      <c r="AT186" s="366"/>
      <c r="AU186" s="366"/>
      <c r="AV186" s="366"/>
      <c r="AW186" s="366"/>
      <c r="AX186" s="366"/>
      <c r="AY186" s="366"/>
      <c r="AZ186" s="366"/>
      <c r="BA186" s="366"/>
      <c r="BH186" s="370"/>
      <c r="BI186" s="370"/>
    </row>
    <row r="187" spans="1:61" ht="13.5" customHeight="1">
      <c r="A187" s="366"/>
      <c r="B187" s="379" t="s">
        <v>178</v>
      </c>
      <c r="C187" s="137">
        <f>SUM(C169:C186,C164:C166)</f>
        <v>-42.924999999999997</v>
      </c>
      <c r="D187" s="137">
        <f>SUM(D169:D186,D164:D166)</f>
        <v>-60.576999999999991</v>
      </c>
      <c r="E187" s="138"/>
      <c r="F187" s="138"/>
      <c r="G187" s="138"/>
      <c r="H187" s="138"/>
      <c r="I187" s="137">
        <f>SUM(I169:I186,I164:I166)</f>
        <v>-109.39399999999999</v>
      </c>
      <c r="J187" s="138">
        <f>SUM(J169:J186,J164:J166)</f>
        <v>-10.948999999999998</v>
      </c>
      <c r="K187" s="138">
        <f>SUM(K169:K186,K164:K166)</f>
        <v>0.20999999999999819</v>
      </c>
      <c r="L187" s="138">
        <f t="shared" ref="L187:S187" si="220">SUM(L169:L186,L164:L166)</f>
        <v>13.629000000000016</v>
      </c>
      <c r="M187" s="138">
        <f t="shared" si="220"/>
        <v>24.693999999999988</v>
      </c>
      <c r="N187" s="137">
        <f t="shared" si="220"/>
        <v>27.583999999999971</v>
      </c>
      <c r="O187" s="138">
        <f>SUM(O169:O186,O164:O166)</f>
        <v>-15.510999999999976</v>
      </c>
      <c r="P187" s="138">
        <f t="shared" si="220"/>
        <v>-20.260000000000026</v>
      </c>
      <c r="Q187" s="138">
        <f t="shared" si="220"/>
        <v>78.006</v>
      </c>
      <c r="R187" s="138">
        <f t="shared" si="220"/>
        <v>-28.550000000000068</v>
      </c>
      <c r="S187" s="137">
        <f t="shared" si="220"/>
        <v>13.684999999999917</v>
      </c>
      <c r="T187" s="138">
        <f>SUM(T169:T186,T164:T166)</f>
        <v>44.216999999999999</v>
      </c>
      <c r="U187" s="138">
        <f t="shared" ref="U187:AM187" si="221">SUM(U169:U186,U164:U166)</f>
        <v>46.376000000000033</v>
      </c>
      <c r="V187" s="138">
        <f t="shared" si="221"/>
        <v>41.340999999999902</v>
      </c>
      <c r="W187" s="138">
        <f t="shared" si="221"/>
        <v>-67.337945927798472</v>
      </c>
      <c r="X187" s="137">
        <f t="shared" si="221"/>
        <v>64.593054072201411</v>
      </c>
      <c r="Y187" s="138">
        <f t="shared" si="221"/>
        <v>24.210706525076951</v>
      </c>
      <c r="Z187" s="138">
        <f t="shared" si="221"/>
        <v>13.681205791445404</v>
      </c>
      <c r="AA187" s="138">
        <f t="shared" si="221"/>
        <v>29.770091984192817</v>
      </c>
      <c r="AB187" s="138">
        <f t="shared" si="221"/>
        <v>61.7163336068527</v>
      </c>
      <c r="AC187" s="137">
        <f t="shared" si="221"/>
        <v>129.37833790756784</v>
      </c>
      <c r="AD187" s="138">
        <f t="shared" si="221"/>
        <v>79.998321564273638</v>
      </c>
      <c r="AE187" s="138">
        <f t="shared" si="221"/>
        <v>41.255580382683938</v>
      </c>
      <c r="AF187" s="138">
        <f t="shared" si="221"/>
        <v>100.29141570825429</v>
      </c>
      <c r="AG187" s="138">
        <f t="shared" si="221"/>
        <v>108.39176769141508</v>
      </c>
      <c r="AH187" s="137">
        <f t="shared" si="221"/>
        <v>329.93708534662693</v>
      </c>
      <c r="AI187" s="138">
        <f t="shared" si="221"/>
        <v>143.2815934745056</v>
      </c>
      <c r="AJ187" s="138">
        <f t="shared" si="221"/>
        <v>82.842174276270725</v>
      </c>
      <c r="AK187" s="138">
        <f t="shared" si="221"/>
        <v>155.51075589279912</v>
      </c>
      <c r="AL187" s="138">
        <f t="shared" si="221"/>
        <v>173.19860758894509</v>
      </c>
      <c r="AM187" s="137">
        <f t="shared" si="221"/>
        <v>554.83313123252071</v>
      </c>
      <c r="AN187" s="378"/>
      <c r="AO187" s="366"/>
      <c r="AP187" s="366"/>
      <c r="AQ187" s="366"/>
      <c r="AR187" s="366"/>
      <c r="AS187" s="366"/>
      <c r="AT187" s="366"/>
      <c r="AU187" s="366"/>
      <c r="AV187" s="366"/>
      <c r="AW187" s="366"/>
      <c r="AX187" s="366"/>
      <c r="AY187" s="366"/>
      <c r="AZ187" s="366"/>
      <c r="BA187" s="366"/>
      <c r="BH187" s="370"/>
      <c r="BI187" s="370"/>
    </row>
    <row r="188" spans="1:61" ht="13.5" customHeight="1">
      <c r="A188" s="366"/>
      <c r="B188" s="380"/>
      <c r="C188" s="381"/>
      <c r="D188" s="381"/>
      <c r="E188" s="382"/>
      <c r="F188" s="382"/>
      <c r="G188" s="382"/>
      <c r="H188" s="382"/>
      <c r="I188" s="381"/>
      <c r="J188" s="382"/>
      <c r="K188" s="382"/>
      <c r="L188" s="382"/>
      <c r="M188" s="382"/>
      <c r="N188" s="381"/>
      <c r="O188" s="382"/>
      <c r="P188" s="382"/>
      <c r="Q188" s="383"/>
      <c r="R188" s="378"/>
      <c r="S188" s="381"/>
      <c r="T188" s="382"/>
      <c r="U188" s="384"/>
      <c r="V188" s="384"/>
      <c r="W188" s="378"/>
      <c r="X188" s="381"/>
      <c r="Y188" s="378"/>
      <c r="Z188" s="378"/>
      <c r="AA188" s="378"/>
      <c r="AB188" s="378"/>
      <c r="AC188" s="381"/>
      <c r="AD188" s="378"/>
      <c r="AE188" s="378"/>
      <c r="AF188" s="378"/>
      <c r="AG188" s="378"/>
      <c r="AH188" s="381"/>
      <c r="AI188" s="378"/>
      <c r="AJ188" s="378"/>
      <c r="AK188" s="378"/>
      <c r="AL188" s="378"/>
      <c r="AM188" s="381"/>
      <c r="AN188" s="378"/>
      <c r="AO188" s="366"/>
      <c r="AP188" s="366"/>
      <c r="AQ188" s="366"/>
      <c r="AR188" s="366"/>
      <c r="AS188" s="366"/>
      <c r="AT188" s="366"/>
      <c r="AU188" s="366"/>
      <c r="AV188" s="366"/>
      <c r="AW188" s="366"/>
      <c r="AX188" s="366"/>
      <c r="AY188" s="366"/>
      <c r="AZ188" s="366"/>
      <c r="BA188" s="366"/>
      <c r="BH188" s="370"/>
      <c r="BI188" s="370"/>
    </row>
    <row r="189" spans="1:61" ht="15.75">
      <c r="A189" s="366"/>
      <c r="B189" s="385" t="s">
        <v>179</v>
      </c>
      <c r="C189" s="151"/>
      <c r="D189" s="151"/>
      <c r="E189" s="378"/>
      <c r="F189" s="378"/>
      <c r="G189" s="378"/>
      <c r="H189" s="378"/>
      <c r="I189" s="151"/>
      <c r="J189" s="378"/>
      <c r="K189" s="378"/>
      <c r="L189" s="378"/>
      <c r="M189" s="378"/>
      <c r="N189" s="151"/>
      <c r="O189" s="378"/>
      <c r="P189" s="378"/>
      <c r="Q189" s="378"/>
      <c r="R189" s="378"/>
      <c r="S189" s="151"/>
      <c r="T189" s="378"/>
      <c r="U189" s="383"/>
      <c r="V189" s="383"/>
      <c r="W189" s="378"/>
      <c r="X189" s="151"/>
      <c r="Y189" s="378"/>
      <c r="Z189" s="378"/>
      <c r="AA189" s="378"/>
      <c r="AB189" s="378"/>
      <c r="AC189" s="151"/>
      <c r="AD189" s="378"/>
      <c r="AE189" s="378"/>
      <c r="AF189" s="378"/>
      <c r="AG189" s="378"/>
      <c r="AH189" s="151"/>
      <c r="AI189" s="378"/>
      <c r="AJ189" s="378"/>
      <c r="AK189" s="378"/>
      <c r="AL189" s="378"/>
      <c r="AM189" s="151"/>
      <c r="AN189" s="378"/>
      <c r="AO189" s="366"/>
      <c r="AP189" s="366"/>
      <c r="AQ189" s="366"/>
      <c r="AR189" s="366"/>
      <c r="AS189" s="366"/>
      <c r="AT189" s="366"/>
      <c r="AU189" s="366"/>
      <c r="AV189" s="366"/>
      <c r="AW189" s="366"/>
      <c r="AX189" s="366"/>
      <c r="AY189" s="366"/>
      <c r="AZ189" s="366"/>
      <c r="BA189" s="366"/>
      <c r="BH189" s="370"/>
      <c r="BI189" s="370"/>
    </row>
    <row r="190" spans="1:61" ht="13.5" customHeight="1">
      <c r="A190" s="366"/>
      <c r="B190" s="372" t="s">
        <v>180</v>
      </c>
      <c r="C190" s="211">
        <v>-13.032999999999999</v>
      </c>
      <c r="D190" s="211">
        <v>-47.930999999999997</v>
      </c>
      <c r="E190" s="368"/>
      <c r="F190" s="368"/>
      <c r="G190" s="368"/>
      <c r="H190" s="368"/>
      <c r="I190" s="211">
        <v>-28.794</v>
      </c>
      <c r="J190" s="368">
        <v>-10.42</v>
      </c>
      <c r="K190" s="368">
        <v>-10.1</v>
      </c>
      <c r="L190" s="368">
        <f>-30.484-K190-J190</f>
        <v>-9.9640000000000004</v>
      </c>
      <c r="M190" s="368">
        <f>-37.432-L190-K190-J190</f>
        <v>-6.9480000000000022</v>
      </c>
      <c r="N190" s="151">
        <f>SUM(J190:M190)</f>
        <v>-37.432000000000002</v>
      </c>
      <c r="O190" s="368">
        <v>-7.5270000000000001</v>
      </c>
      <c r="P190" s="368">
        <f>-15.84-O190</f>
        <v>-8.3129999999999988</v>
      </c>
      <c r="Q190" s="368">
        <f>-19.674-P190-O190</f>
        <v>-3.8340000000000005</v>
      </c>
      <c r="R190" s="368">
        <f>-25.433-Q190-P190-O190</f>
        <v>-5.7590000000000012</v>
      </c>
      <c r="S190" s="151">
        <f>SUM(O190:R190)</f>
        <v>-25.433</v>
      </c>
      <c r="T190" s="368">
        <v>-6.508</v>
      </c>
      <c r="U190" s="368">
        <f>-13.883-T190</f>
        <v>-7.3749999999999991</v>
      </c>
      <c r="V190" s="368">
        <f>-19.625-U190-T190</f>
        <v>-5.742</v>
      </c>
      <c r="W190" s="152">
        <f>-W266*W26</f>
        <v>-5.9403517658502007</v>
      </c>
      <c r="X190" s="151">
        <f>SUM(T190:W190)</f>
        <v>-25.565351765850203</v>
      </c>
      <c r="Y190" s="152">
        <f>-Y266*Y26</f>
        <v>-9.7288435260691806</v>
      </c>
      <c r="Z190" s="152">
        <f>-Z266*Z26</f>
        <v>-11.688982512591195</v>
      </c>
      <c r="AA190" s="152">
        <f>-AA266*AA26</f>
        <v>-12.484919737084251</v>
      </c>
      <c r="AB190" s="152">
        <f>-AB266*AB26</f>
        <v>-13.077182139986729</v>
      </c>
      <c r="AC190" s="151">
        <f>SUM(Y190:AB190)</f>
        <v>-46.979927915731352</v>
      </c>
      <c r="AD190" s="152">
        <f>-AD266*AD26</f>
        <v>-13.218991442168555</v>
      </c>
      <c r="AE190" s="152">
        <f>-AE266*AE26</f>
        <v>-15.886398842016732</v>
      </c>
      <c r="AF190" s="152">
        <f>-AF266*AF26</f>
        <v>-17.000966525367851</v>
      </c>
      <c r="AG190" s="152">
        <f>-AG266*AG26</f>
        <v>-17.889030563799018</v>
      </c>
      <c r="AH190" s="151">
        <f>SUM(AD190:AG190)</f>
        <v>-63.995387373352152</v>
      </c>
      <c r="AI190" s="152">
        <f>-AI266*AI26</f>
        <v>-17.628170291132385</v>
      </c>
      <c r="AJ190" s="152">
        <f>-AJ266*AJ26</f>
        <v>-21.19098884009108</v>
      </c>
      <c r="AK190" s="152">
        <f>-AK266*AK26</f>
        <v>-22.716480731113478</v>
      </c>
      <c r="AL190" s="152">
        <f>-AL266*AL26</f>
        <v>-23.994565603846766</v>
      </c>
      <c r="AM190" s="151">
        <f>SUM(AI190:AL190)</f>
        <v>-85.530205466183702</v>
      </c>
      <c r="AN190" s="378"/>
      <c r="AO190" s="366"/>
      <c r="AP190" s="366"/>
      <c r="AQ190" s="366"/>
      <c r="AR190" s="366"/>
      <c r="AS190" s="366"/>
      <c r="AT190" s="366"/>
      <c r="AU190" s="366"/>
      <c r="AV190" s="366"/>
      <c r="AW190" s="366"/>
      <c r="AX190" s="366"/>
      <c r="AY190" s="366"/>
      <c r="AZ190" s="366"/>
      <c r="BA190" s="366"/>
      <c r="BH190" s="370"/>
      <c r="BI190" s="370"/>
    </row>
    <row r="191" spans="1:61" ht="13.5" customHeight="1">
      <c r="A191" s="366"/>
      <c r="B191" s="372" t="s">
        <v>181</v>
      </c>
      <c r="C191" s="211">
        <v>0</v>
      </c>
      <c r="D191" s="211">
        <v>0</v>
      </c>
      <c r="E191" s="368"/>
      <c r="F191" s="368"/>
      <c r="G191" s="368"/>
      <c r="H191" s="368"/>
      <c r="I191" s="211">
        <v>-0.4</v>
      </c>
      <c r="J191" s="368">
        <v>-0.1</v>
      </c>
      <c r="K191" s="368">
        <v>-0.01</v>
      </c>
      <c r="L191" s="368">
        <f>-0.11-K191-J191</f>
        <v>0</v>
      </c>
      <c r="M191" s="368">
        <f>-1.286-L191-K191-J191</f>
        <v>-1.1759999999999999</v>
      </c>
      <c r="N191" s="151">
        <f>SUM(J191:M191)</f>
        <v>-1.286</v>
      </c>
      <c r="O191" s="368">
        <v>-0.4</v>
      </c>
      <c r="P191" s="368">
        <f>-0.4-O191</f>
        <v>0</v>
      </c>
      <c r="Q191" s="368">
        <f>-0.4-P191-O191</f>
        <v>0</v>
      </c>
      <c r="R191" s="368">
        <f>-0.4-Q191-P191-O191</f>
        <v>0</v>
      </c>
      <c r="S191" s="151">
        <f>SUM(O191:R191)</f>
        <v>-0.4</v>
      </c>
      <c r="T191" s="368">
        <v>0</v>
      </c>
      <c r="U191" s="368">
        <v>0</v>
      </c>
      <c r="V191" s="368">
        <f>0-U191-T191</f>
        <v>0</v>
      </c>
      <c r="W191" s="368">
        <v>0</v>
      </c>
      <c r="X191" s="151">
        <f>SUM(T191:W191)</f>
        <v>0</v>
      </c>
      <c r="Y191" s="368">
        <v>0</v>
      </c>
      <c r="Z191" s="368">
        <v>0</v>
      </c>
      <c r="AA191" s="368">
        <v>0</v>
      </c>
      <c r="AB191" s="368">
        <v>0</v>
      </c>
      <c r="AC191" s="151">
        <f>SUM(Y191:AB191)</f>
        <v>0</v>
      </c>
      <c r="AD191" s="368">
        <v>0</v>
      </c>
      <c r="AE191" s="368">
        <v>0</v>
      </c>
      <c r="AF191" s="368">
        <v>0</v>
      </c>
      <c r="AG191" s="368">
        <v>0</v>
      </c>
      <c r="AH191" s="151">
        <f>SUM(AD191:AG191)</f>
        <v>0</v>
      </c>
      <c r="AI191" s="368">
        <v>0</v>
      </c>
      <c r="AJ191" s="368">
        <v>0</v>
      </c>
      <c r="AK191" s="368">
        <v>0</v>
      </c>
      <c r="AL191" s="368">
        <v>0</v>
      </c>
      <c r="AM191" s="151">
        <f>SUM(AI191:AL191)</f>
        <v>0</v>
      </c>
      <c r="AN191" s="378"/>
      <c r="AO191" s="366"/>
      <c r="AP191" s="366"/>
      <c r="AQ191" s="366"/>
      <c r="AR191" s="366"/>
      <c r="AS191" s="366"/>
      <c r="AT191" s="366"/>
      <c r="AU191" s="366"/>
      <c r="AV191" s="366"/>
      <c r="AW191" s="366"/>
      <c r="AX191" s="366"/>
      <c r="AY191" s="366"/>
      <c r="AZ191" s="366"/>
      <c r="BA191" s="366"/>
      <c r="BH191" s="370"/>
      <c r="BI191" s="370"/>
    </row>
    <row r="192" spans="1:61" ht="13.5" customHeight="1">
      <c r="A192" s="366"/>
      <c r="B192" s="372" t="s">
        <v>182</v>
      </c>
      <c r="C192" s="211">
        <v>-34.758000000000003</v>
      </c>
      <c r="D192" s="211">
        <v>40</v>
      </c>
      <c r="E192" s="368"/>
      <c r="F192" s="368"/>
      <c r="G192" s="368"/>
      <c r="H192" s="368"/>
      <c r="I192" s="211">
        <v>-7.0750000000000002</v>
      </c>
      <c r="J192" s="368">
        <v>0</v>
      </c>
      <c r="K192" s="368">
        <v>0</v>
      </c>
      <c r="L192" s="368">
        <f>-0.252-K192-J192</f>
        <v>-0.252</v>
      </c>
      <c r="M192" s="368">
        <f>-1.878-L192-K192-J192</f>
        <v>-1.6259999999999999</v>
      </c>
      <c r="N192" s="151">
        <f>SUM(J192:M192)</f>
        <v>-1.8779999999999999</v>
      </c>
      <c r="O192" s="368">
        <f>-0.313-73.086</f>
        <v>-73.399000000000001</v>
      </c>
      <c r="P192" s="368">
        <f>-8.453-O192</f>
        <v>64.945999999999998</v>
      </c>
      <c r="Q192" s="368">
        <f>-8.473-P192-O192</f>
        <v>-1.9999999999996021E-2</v>
      </c>
      <c r="R192" s="368">
        <f>-8.492-Q192-P192-O192</f>
        <v>-1.9000000000005457E-2</v>
      </c>
      <c r="S192" s="151">
        <f>SUM(O192:R192)</f>
        <v>-8.4920000000000044</v>
      </c>
      <c r="T192" s="368">
        <f>-181.851+15.569+3.996</f>
        <v>-162.286</v>
      </c>
      <c r="U192" s="368">
        <f>-314.055+52.064+21.73-T192</f>
        <v>-77.974999999999994</v>
      </c>
      <c r="V192" s="368">
        <f>-485.484+106.079+65.121-25-U192-T192</f>
        <v>-99.022999999999968</v>
      </c>
      <c r="W192" s="152">
        <f t="shared" ref="W192" si="222">(V223-W223)+(V231-W231)</f>
        <v>0</v>
      </c>
      <c r="X192" s="151">
        <f>SUM(T192:W192)</f>
        <v>-339.28399999999999</v>
      </c>
      <c r="Y192" s="152">
        <f t="shared" ref="Y192:AB192" si="223">(X223-Y223)+(X231-Y231)</f>
        <v>0</v>
      </c>
      <c r="Z192" s="152">
        <f t="shared" si="223"/>
        <v>0</v>
      </c>
      <c r="AA192" s="152">
        <f t="shared" si="223"/>
        <v>0</v>
      </c>
      <c r="AB192" s="152">
        <f t="shared" si="223"/>
        <v>0</v>
      </c>
      <c r="AC192" s="151">
        <f>SUM(Y192:AB192)</f>
        <v>0</v>
      </c>
      <c r="AD192" s="152">
        <f t="shared" ref="AD192:AG192" si="224">(AC223-AD223)+(AC231-AD231)</f>
        <v>0</v>
      </c>
      <c r="AE192" s="152">
        <f t="shared" si="224"/>
        <v>0</v>
      </c>
      <c r="AF192" s="152">
        <f t="shared" si="224"/>
        <v>0</v>
      </c>
      <c r="AG192" s="152">
        <f t="shared" si="224"/>
        <v>0</v>
      </c>
      <c r="AH192" s="151">
        <f>SUM(AD192:AG192)</f>
        <v>0</v>
      </c>
      <c r="AI192" s="152">
        <f t="shared" ref="AI192:AL192" si="225">(AH223-AI223)+(AH231-AI231)</f>
        <v>0</v>
      </c>
      <c r="AJ192" s="152">
        <f t="shared" si="225"/>
        <v>0</v>
      </c>
      <c r="AK192" s="152">
        <f t="shared" si="225"/>
        <v>0</v>
      </c>
      <c r="AL192" s="152">
        <f t="shared" si="225"/>
        <v>0</v>
      </c>
      <c r="AM192" s="151">
        <f>SUM(AI192:AL192)</f>
        <v>0</v>
      </c>
      <c r="AN192" s="378"/>
      <c r="AO192" s="366"/>
      <c r="AP192" s="366"/>
      <c r="AQ192" s="366"/>
      <c r="AR192" s="366"/>
      <c r="AS192" s="366"/>
      <c r="AT192" s="366"/>
      <c r="AU192" s="366"/>
      <c r="AV192" s="366"/>
      <c r="AW192" s="366"/>
      <c r="AX192" s="366"/>
      <c r="AY192" s="366"/>
      <c r="AZ192" s="366"/>
      <c r="BA192" s="366"/>
      <c r="BH192" s="370"/>
      <c r="BI192" s="370"/>
    </row>
    <row r="193" spans="1:61" ht="14.25" customHeight="1">
      <c r="A193" s="366"/>
      <c r="B193" s="372" t="s">
        <v>183</v>
      </c>
      <c r="C193" s="211">
        <v>0</v>
      </c>
      <c r="D193" s="211">
        <v>-2.8719999999999999</v>
      </c>
      <c r="E193" s="368"/>
      <c r="F193" s="368"/>
      <c r="G193" s="368"/>
      <c r="H193" s="368"/>
      <c r="I193" s="211">
        <v>11.715</v>
      </c>
      <c r="J193" s="368">
        <v>-3.75</v>
      </c>
      <c r="K193" s="368">
        <v>0</v>
      </c>
      <c r="L193" s="368">
        <f>-4.5-K193-J193</f>
        <v>-0.75</v>
      </c>
      <c r="M193" s="368">
        <f>-4.5-L193-K193-J193</f>
        <v>0</v>
      </c>
      <c r="N193" s="151">
        <f>SUM(J193:M193)</f>
        <v>-4.5</v>
      </c>
      <c r="O193" s="368">
        <v>0</v>
      </c>
      <c r="P193" s="368">
        <f>-102.245+16.768+4.964-O193</f>
        <v>-80.513000000000005</v>
      </c>
      <c r="Q193" s="368">
        <f>-139.103+26.268+20.962-P193-O193</f>
        <v>-11.36</v>
      </c>
      <c r="R193" s="368">
        <f>-164.766+43.2+34.222+0.296-1.36-Q193-P193-O193</f>
        <v>3.4650000000000176</v>
      </c>
      <c r="S193" s="151">
        <f>SUM(O193:R193)</f>
        <v>-88.407999999999987</v>
      </c>
      <c r="T193" s="368">
        <v>-1.6</v>
      </c>
      <c r="U193" s="368">
        <f>-1.6-T193</f>
        <v>0</v>
      </c>
      <c r="V193" s="368">
        <f>-1.6-U193-T193</f>
        <v>0</v>
      </c>
      <c r="W193" s="368">
        <v>0</v>
      </c>
      <c r="X193" s="151">
        <f>SUM(T193:W193)</f>
        <v>-1.6</v>
      </c>
      <c r="Y193" s="368">
        <v>0</v>
      </c>
      <c r="Z193" s="368">
        <v>0</v>
      </c>
      <c r="AA193" s="368">
        <v>0</v>
      </c>
      <c r="AB193" s="368">
        <v>0</v>
      </c>
      <c r="AC193" s="151">
        <f>SUM(Y193:AB193)</f>
        <v>0</v>
      </c>
      <c r="AD193" s="368">
        <v>0</v>
      </c>
      <c r="AE193" s="368">
        <v>0</v>
      </c>
      <c r="AF193" s="368">
        <v>0</v>
      </c>
      <c r="AG193" s="368">
        <v>0</v>
      </c>
      <c r="AH193" s="151">
        <f>SUM(AD193:AG193)</f>
        <v>0</v>
      </c>
      <c r="AI193" s="368">
        <v>0</v>
      </c>
      <c r="AJ193" s="368">
        <v>0</v>
      </c>
      <c r="AK193" s="368">
        <v>0</v>
      </c>
      <c r="AL193" s="368">
        <v>0</v>
      </c>
      <c r="AM193" s="151">
        <f>SUM(AI193:AL193)</f>
        <v>0</v>
      </c>
      <c r="AN193" s="378"/>
      <c r="AO193" s="366"/>
      <c r="AP193" s="366"/>
      <c r="AQ193" s="366"/>
      <c r="AR193" s="366"/>
      <c r="AS193" s="366"/>
      <c r="AT193" s="366"/>
      <c r="AU193" s="366"/>
      <c r="AV193" s="366"/>
      <c r="AW193" s="366"/>
      <c r="AX193" s="366"/>
      <c r="AY193" s="366"/>
      <c r="AZ193" s="366"/>
      <c r="BA193" s="366"/>
      <c r="BH193" s="370"/>
      <c r="BI193" s="370"/>
    </row>
    <row r="194" spans="1:61" ht="13.5" customHeight="1">
      <c r="A194" s="366"/>
      <c r="B194" s="379" t="s">
        <v>184</v>
      </c>
      <c r="C194" s="137">
        <f>SUM(C190:C193)</f>
        <v>-47.791000000000004</v>
      </c>
      <c r="D194" s="137">
        <f>SUM(D190:D193)</f>
        <v>-10.802999999999997</v>
      </c>
      <c r="E194" s="138"/>
      <c r="F194" s="138"/>
      <c r="G194" s="138"/>
      <c r="H194" s="138"/>
      <c r="I194" s="137">
        <f>SUM(I190:I193)</f>
        <v>-24.553999999999998</v>
      </c>
      <c r="J194" s="138">
        <f>SUM(J190:J193)</f>
        <v>-14.27</v>
      </c>
      <c r="K194" s="138">
        <f>SUM(K190:K193)</f>
        <v>-10.11</v>
      </c>
      <c r="L194" s="138">
        <f t="shared" ref="L194:AM194" si="226">SUM(L190:L193)</f>
        <v>-10.966000000000001</v>
      </c>
      <c r="M194" s="138">
        <f t="shared" si="226"/>
        <v>-9.7500000000000018</v>
      </c>
      <c r="N194" s="137">
        <f t="shared" si="226"/>
        <v>-45.096000000000004</v>
      </c>
      <c r="O194" s="138">
        <f t="shared" si="226"/>
        <v>-81.326000000000008</v>
      </c>
      <c r="P194" s="138">
        <f t="shared" si="226"/>
        <v>-23.88000000000001</v>
      </c>
      <c r="Q194" s="138">
        <f t="shared" si="226"/>
        <v>-15.213999999999995</v>
      </c>
      <c r="R194" s="138">
        <f t="shared" si="226"/>
        <v>-2.3129999999999891</v>
      </c>
      <c r="S194" s="137">
        <f t="shared" si="226"/>
        <v>-122.73299999999999</v>
      </c>
      <c r="T194" s="138">
        <f t="shared" si="226"/>
        <v>-170.39400000000001</v>
      </c>
      <c r="U194" s="138">
        <f t="shared" si="226"/>
        <v>-85.35</v>
      </c>
      <c r="V194" s="138">
        <f t="shared" si="226"/>
        <v>-104.76499999999997</v>
      </c>
      <c r="W194" s="138">
        <f t="shared" si="226"/>
        <v>-5.9403517658502007</v>
      </c>
      <c r="X194" s="137">
        <f t="shared" si="226"/>
        <v>-366.44935176585022</v>
      </c>
      <c r="Y194" s="138">
        <f t="shared" si="226"/>
        <v>-9.7288435260691806</v>
      </c>
      <c r="Z194" s="138">
        <f t="shared" si="226"/>
        <v>-11.688982512591195</v>
      </c>
      <c r="AA194" s="138">
        <f t="shared" si="226"/>
        <v>-12.484919737084251</v>
      </c>
      <c r="AB194" s="138">
        <f t="shared" si="226"/>
        <v>-13.077182139986729</v>
      </c>
      <c r="AC194" s="137">
        <f t="shared" si="226"/>
        <v>-46.979927915731352</v>
      </c>
      <c r="AD194" s="138">
        <f t="shared" si="226"/>
        <v>-13.218991442168555</v>
      </c>
      <c r="AE194" s="138">
        <f t="shared" si="226"/>
        <v>-15.886398842016732</v>
      </c>
      <c r="AF194" s="138">
        <f t="shared" si="226"/>
        <v>-17.000966525367851</v>
      </c>
      <c r="AG194" s="138">
        <f t="shared" si="226"/>
        <v>-17.889030563799018</v>
      </c>
      <c r="AH194" s="137">
        <f t="shared" si="226"/>
        <v>-63.995387373352152</v>
      </c>
      <c r="AI194" s="138">
        <f t="shared" si="226"/>
        <v>-17.628170291132385</v>
      </c>
      <c r="AJ194" s="138">
        <f t="shared" si="226"/>
        <v>-21.19098884009108</v>
      </c>
      <c r="AK194" s="138">
        <f t="shared" si="226"/>
        <v>-22.716480731113478</v>
      </c>
      <c r="AL194" s="138">
        <f t="shared" si="226"/>
        <v>-23.994565603846766</v>
      </c>
      <c r="AM194" s="137">
        <f t="shared" si="226"/>
        <v>-85.530205466183702</v>
      </c>
      <c r="AN194" s="378"/>
      <c r="AO194" s="366"/>
      <c r="AP194" s="366"/>
      <c r="AQ194" s="366"/>
      <c r="AR194" s="366"/>
      <c r="AS194" s="366"/>
      <c r="AT194" s="366"/>
      <c r="AU194" s="366"/>
      <c r="AV194" s="366"/>
      <c r="AW194" s="366"/>
      <c r="AX194" s="366"/>
      <c r="AY194" s="366"/>
      <c r="AZ194" s="366"/>
      <c r="BA194" s="366"/>
      <c r="BH194" s="370"/>
      <c r="BI194" s="370"/>
    </row>
    <row r="195" spans="1:61" ht="13.5" customHeight="1">
      <c r="A195" s="366"/>
      <c r="B195" s="380"/>
      <c r="C195" s="374"/>
      <c r="D195" s="374"/>
      <c r="E195" s="382"/>
      <c r="F195" s="382"/>
      <c r="G195" s="382"/>
      <c r="H195" s="382"/>
      <c r="I195" s="374"/>
      <c r="J195" s="382"/>
      <c r="K195" s="382"/>
      <c r="L195" s="382"/>
      <c r="M195" s="382"/>
      <c r="N195" s="374"/>
      <c r="O195" s="382"/>
      <c r="P195" s="382"/>
      <c r="Q195" s="378"/>
      <c r="R195" s="378"/>
      <c r="S195" s="374"/>
      <c r="T195" s="382"/>
      <c r="U195" s="384"/>
      <c r="V195" s="384"/>
      <c r="W195" s="378"/>
      <c r="X195" s="374"/>
      <c r="Y195" s="378"/>
      <c r="Z195" s="378"/>
      <c r="AA195" s="378"/>
      <c r="AB195" s="378"/>
      <c r="AC195" s="374"/>
      <c r="AD195" s="378"/>
      <c r="AE195" s="378"/>
      <c r="AF195" s="378"/>
      <c r="AG195" s="378"/>
      <c r="AH195" s="374"/>
      <c r="AI195" s="378"/>
      <c r="AJ195" s="378"/>
      <c r="AK195" s="378"/>
      <c r="AL195" s="378"/>
      <c r="AM195" s="374"/>
      <c r="AN195" s="378"/>
      <c r="AO195" s="366"/>
      <c r="AP195" s="366"/>
      <c r="AQ195" s="366"/>
      <c r="AR195" s="366"/>
      <c r="AS195" s="366"/>
      <c r="AT195" s="366"/>
      <c r="AU195" s="366"/>
      <c r="AV195" s="366"/>
      <c r="AW195" s="366"/>
      <c r="AX195" s="366"/>
      <c r="AY195" s="366"/>
      <c r="AZ195" s="366"/>
      <c r="BA195" s="366"/>
      <c r="BH195" s="370"/>
      <c r="BI195" s="370"/>
    </row>
    <row r="196" spans="1:61" ht="15.75">
      <c r="A196" s="366"/>
      <c r="B196" s="385" t="s">
        <v>185</v>
      </c>
      <c r="C196" s="374"/>
      <c r="D196" s="374"/>
      <c r="E196" s="382"/>
      <c r="F196" s="382"/>
      <c r="G196" s="382"/>
      <c r="H196" s="382"/>
      <c r="I196" s="374"/>
      <c r="J196" s="382"/>
      <c r="K196" s="382"/>
      <c r="L196" s="382"/>
      <c r="M196" s="382"/>
      <c r="N196" s="374"/>
      <c r="O196" s="382"/>
      <c r="P196" s="382"/>
      <c r="Q196" s="378"/>
      <c r="R196" s="378"/>
      <c r="S196" s="374"/>
      <c r="T196" s="382"/>
      <c r="U196" s="382"/>
      <c r="V196" s="382"/>
      <c r="W196" s="378"/>
      <c r="X196" s="374"/>
      <c r="Y196" s="378"/>
      <c r="Z196" s="378"/>
      <c r="AA196" s="378"/>
      <c r="AB196" s="378"/>
      <c r="AC196" s="374"/>
      <c r="AD196" s="378"/>
      <c r="AE196" s="378"/>
      <c r="AF196" s="378"/>
      <c r="AG196" s="378"/>
      <c r="AH196" s="374"/>
      <c r="AI196" s="378"/>
      <c r="AJ196" s="378"/>
      <c r="AK196" s="378"/>
      <c r="AL196" s="378"/>
      <c r="AM196" s="374"/>
      <c r="AN196" s="378"/>
      <c r="AO196" s="366"/>
      <c r="AP196" s="366"/>
      <c r="AQ196" s="366"/>
      <c r="AR196" s="366"/>
      <c r="AS196" s="366"/>
      <c r="AT196" s="366"/>
      <c r="AU196" s="366"/>
      <c r="AV196" s="366"/>
      <c r="AW196" s="366"/>
      <c r="AX196" s="366"/>
      <c r="AY196" s="366"/>
      <c r="AZ196" s="366"/>
      <c r="BA196" s="366"/>
      <c r="BH196" s="370"/>
      <c r="BI196" s="370"/>
    </row>
    <row r="197" spans="1:61" ht="13.5" customHeight="1">
      <c r="A197" s="366"/>
      <c r="B197" s="372" t="s">
        <v>186</v>
      </c>
      <c r="C197" s="211">
        <v>221.75399999999999</v>
      </c>
      <c r="D197" s="211">
        <v>1E-3</v>
      </c>
      <c r="E197" s="368"/>
      <c r="F197" s="368"/>
      <c r="G197" s="368"/>
      <c r="H197" s="368"/>
      <c r="I197" s="211">
        <v>148.74799999999999</v>
      </c>
      <c r="J197" s="368">
        <v>0</v>
      </c>
      <c r="K197" s="368">
        <v>-1E-3</v>
      </c>
      <c r="L197" s="368">
        <f>0-K197-J197</f>
        <v>1E-3</v>
      </c>
      <c r="M197" s="368">
        <f>29.952-L197-K197-J197</f>
        <v>29.952000000000002</v>
      </c>
      <c r="N197" s="151">
        <f t="shared" ref="N197:N198" si="227">SUM(J197:M197)</f>
        <v>29.952000000000002</v>
      </c>
      <c r="O197" s="368">
        <v>0</v>
      </c>
      <c r="P197" s="368">
        <v>0</v>
      </c>
      <c r="Q197" s="97">
        <v>0</v>
      </c>
      <c r="R197" s="97">
        <v>0</v>
      </c>
      <c r="S197" s="151">
        <f t="shared" ref="S197:S198" si="228">SUM(O197:R197)</f>
        <v>0</v>
      </c>
      <c r="T197" s="368">
        <v>0</v>
      </c>
      <c r="U197" s="368">
        <v>0</v>
      </c>
      <c r="V197" s="368">
        <v>0</v>
      </c>
      <c r="W197" s="376">
        <v>0</v>
      </c>
      <c r="X197" s="151">
        <f t="shared" ref="X197:X203" si="229">SUM(T197:W197)</f>
        <v>0</v>
      </c>
      <c r="Y197" s="377">
        <v>0</v>
      </c>
      <c r="Z197" s="97">
        <v>0</v>
      </c>
      <c r="AA197" s="97">
        <v>0</v>
      </c>
      <c r="AB197" s="376">
        <v>0</v>
      </c>
      <c r="AC197" s="151">
        <f t="shared" ref="AC197:AC203" si="230">SUM(Y197:AB197)</f>
        <v>0</v>
      </c>
      <c r="AD197" s="377">
        <v>0</v>
      </c>
      <c r="AE197" s="97">
        <v>0</v>
      </c>
      <c r="AF197" s="97">
        <v>0</v>
      </c>
      <c r="AG197" s="376">
        <v>0</v>
      </c>
      <c r="AH197" s="151">
        <f t="shared" ref="AH197:AH200" si="231">SUM(AD197:AG197)</f>
        <v>0</v>
      </c>
      <c r="AI197" s="377">
        <v>0</v>
      </c>
      <c r="AJ197" s="97">
        <v>0</v>
      </c>
      <c r="AK197" s="97">
        <v>0</v>
      </c>
      <c r="AL197" s="376">
        <v>0</v>
      </c>
      <c r="AM197" s="151">
        <f t="shared" ref="AM197:AM200" si="232">SUM(AI197:AL197)</f>
        <v>0</v>
      </c>
      <c r="AN197" s="378"/>
      <c r="AO197" s="366"/>
      <c r="AP197" s="366"/>
      <c r="AQ197" s="366"/>
      <c r="AR197" s="366"/>
      <c r="AS197" s="366"/>
      <c r="AT197" s="366"/>
      <c r="AU197" s="366"/>
      <c r="AV197" s="366"/>
      <c r="AW197" s="366"/>
      <c r="AX197" s="366"/>
      <c r="AY197" s="366"/>
      <c r="AZ197" s="366"/>
      <c r="BA197" s="366"/>
      <c r="BH197" s="370"/>
      <c r="BI197" s="370"/>
    </row>
    <row r="198" spans="1:61" ht="13.5" customHeight="1">
      <c r="A198" s="366"/>
      <c r="B198" s="372" t="s">
        <v>187</v>
      </c>
      <c r="C198" s="211">
        <v>0</v>
      </c>
      <c r="D198" s="211">
        <v>0</v>
      </c>
      <c r="E198" s="368"/>
      <c r="F198" s="368"/>
      <c r="G198" s="368"/>
      <c r="H198" s="368"/>
      <c r="I198" s="211">
        <v>0</v>
      </c>
      <c r="J198" s="368">
        <v>0</v>
      </c>
      <c r="K198" s="368">
        <v>0</v>
      </c>
      <c r="L198" s="368">
        <v>0</v>
      </c>
      <c r="M198" s="368">
        <f>251.257-L198-K198-J198</f>
        <v>251.25700000000001</v>
      </c>
      <c r="N198" s="151">
        <f t="shared" si="227"/>
        <v>251.25700000000001</v>
      </c>
      <c r="O198" s="368">
        <v>-5.4059999999999997</v>
      </c>
      <c r="P198" s="368">
        <f>-5.53-O198</f>
        <v>-0.12400000000000055</v>
      </c>
      <c r="Q198" s="97">
        <f>-5.53-P198-O198</f>
        <v>0</v>
      </c>
      <c r="R198" s="97">
        <f>-5.53-Q198-P198-O198</f>
        <v>0</v>
      </c>
      <c r="S198" s="151">
        <f t="shared" si="228"/>
        <v>-5.53</v>
      </c>
      <c r="T198" s="368">
        <v>39.28</v>
      </c>
      <c r="U198" s="368">
        <f>57.244-T198</f>
        <v>17.963999999999999</v>
      </c>
      <c r="V198" s="368">
        <f>57.244-U198-T198</f>
        <v>0</v>
      </c>
      <c r="W198" s="376">
        <v>0</v>
      </c>
      <c r="X198" s="151">
        <f t="shared" si="229"/>
        <v>57.244</v>
      </c>
      <c r="Y198" s="377"/>
      <c r="Z198" s="97"/>
      <c r="AA198" s="97"/>
      <c r="AB198" s="376"/>
      <c r="AC198" s="151">
        <f t="shared" si="230"/>
        <v>0</v>
      </c>
      <c r="AD198" s="377"/>
      <c r="AE198" s="97"/>
      <c r="AF198" s="97"/>
      <c r="AG198" s="376"/>
      <c r="AH198" s="151">
        <f t="shared" si="231"/>
        <v>0</v>
      </c>
      <c r="AI198" s="377"/>
      <c r="AJ198" s="97"/>
      <c r="AK198" s="97"/>
      <c r="AL198" s="376"/>
      <c r="AM198" s="151">
        <f t="shared" si="232"/>
        <v>0</v>
      </c>
      <c r="AN198" s="378"/>
      <c r="AO198" s="366"/>
      <c r="AP198" s="366"/>
      <c r="AQ198" s="366"/>
      <c r="AR198" s="366"/>
      <c r="AS198" s="366"/>
      <c r="AT198" s="366"/>
      <c r="AU198" s="366"/>
      <c r="AV198" s="366"/>
      <c r="AW198" s="366"/>
      <c r="AX198" s="366"/>
      <c r="AY198" s="366"/>
      <c r="AZ198" s="366"/>
      <c r="BA198" s="366"/>
      <c r="BH198" s="370"/>
      <c r="BI198" s="370"/>
    </row>
    <row r="199" spans="1:61" ht="13.5" customHeight="1">
      <c r="A199" s="366"/>
      <c r="B199" s="372" t="s">
        <v>188</v>
      </c>
      <c r="C199" s="211">
        <v>-0.19</v>
      </c>
      <c r="D199" s="211">
        <v>0</v>
      </c>
      <c r="E199" s="368"/>
      <c r="F199" s="368"/>
      <c r="G199" s="368"/>
      <c r="H199" s="368"/>
      <c r="I199" s="211">
        <v>0</v>
      </c>
      <c r="J199" s="368">
        <v>0</v>
      </c>
      <c r="K199" s="368">
        <v>0</v>
      </c>
      <c r="L199" s="368">
        <f>0-K199-J199</f>
        <v>0</v>
      </c>
      <c r="M199" s="368">
        <v>0</v>
      </c>
      <c r="N199" s="151">
        <f t="shared" ref="N199:N200" si="233">SUM(J199:M199)</f>
        <v>0</v>
      </c>
      <c r="O199" s="368">
        <v>0</v>
      </c>
      <c r="P199" s="368">
        <v>0</v>
      </c>
      <c r="Q199" s="97">
        <v>0</v>
      </c>
      <c r="R199" s="97">
        <f>-0.168-Q199-P199-O199</f>
        <v>-0.16800000000000001</v>
      </c>
      <c r="S199" s="151">
        <f t="shared" ref="S199:S200" si="234">SUM(O199:R199)</f>
        <v>-0.16800000000000001</v>
      </c>
      <c r="T199" s="368">
        <v>-0.247</v>
      </c>
      <c r="U199" s="368">
        <f>-0.634-T199</f>
        <v>-0.38700000000000001</v>
      </c>
      <c r="V199" s="368">
        <f>-1.02-U199-T199</f>
        <v>-0.38600000000000001</v>
      </c>
      <c r="W199" s="376">
        <v>0</v>
      </c>
      <c r="X199" s="151">
        <f t="shared" si="229"/>
        <v>-1.02</v>
      </c>
      <c r="Y199" s="377">
        <v>0</v>
      </c>
      <c r="Z199" s="97">
        <v>0</v>
      </c>
      <c r="AA199" s="97">
        <v>0</v>
      </c>
      <c r="AB199" s="376">
        <v>0</v>
      </c>
      <c r="AC199" s="151">
        <f t="shared" si="230"/>
        <v>0</v>
      </c>
      <c r="AD199" s="377">
        <v>0</v>
      </c>
      <c r="AE199" s="97">
        <v>0</v>
      </c>
      <c r="AF199" s="97">
        <v>0</v>
      </c>
      <c r="AG199" s="376">
        <v>0</v>
      </c>
      <c r="AH199" s="151">
        <f t="shared" si="231"/>
        <v>0</v>
      </c>
      <c r="AI199" s="377">
        <v>0</v>
      </c>
      <c r="AJ199" s="97">
        <v>0</v>
      </c>
      <c r="AK199" s="97">
        <v>0</v>
      </c>
      <c r="AL199" s="376">
        <v>0</v>
      </c>
      <c r="AM199" s="151">
        <f t="shared" si="232"/>
        <v>0</v>
      </c>
      <c r="AN199" s="378"/>
      <c r="AO199" s="366"/>
      <c r="AP199" s="366"/>
      <c r="AQ199" s="366"/>
      <c r="AR199" s="366"/>
      <c r="AS199" s="366"/>
      <c r="AT199" s="366"/>
      <c r="AU199" s="366"/>
      <c r="AV199" s="366"/>
      <c r="AW199" s="366"/>
      <c r="AX199" s="366"/>
      <c r="AY199" s="366"/>
      <c r="AZ199" s="366"/>
      <c r="BA199" s="366"/>
      <c r="BH199" s="370"/>
      <c r="BI199" s="370"/>
    </row>
    <row r="200" spans="1:61" ht="13.5" customHeight="1">
      <c r="A200" s="366"/>
      <c r="B200" s="372" t="s">
        <v>189</v>
      </c>
      <c r="C200" s="211">
        <v>0</v>
      </c>
      <c r="D200" s="211">
        <v>0</v>
      </c>
      <c r="E200" s="368"/>
      <c r="F200" s="368"/>
      <c r="G200" s="368"/>
      <c r="H200" s="368"/>
      <c r="I200" s="211">
        <v>30</v>
      </c>
      <c r="J200" s="368">
        <v>0</v>
      </c>
      <c r="K200" s="368">
        <v>0</v>
      </c>
      <c r="L200" s="368">
        <f>0-K200-J200</f>
        <v>0</v>
      </c>
      <c r="M200" s="368">
        <v>0</v>
      </c>
      <c r="N200" s="151">
        <f t="shared" si="233"/>
        <v>0</v>
      </c>
      <c r="O200" s="368">
        <v>0</v>
      </c>
      <c r="P200" s="368">
        <v>0</v>
      </c>
      <c r="Q200" s="97">
        <v>0</v>
      </c>
      <c r="R200" s="97">
        <v>0</v>
      </c>
      <c r="S200" s="151">
        <f t="shared" si="234"/>
        <v>0</v>
      </c>
      <c r="T200" s="368">
        <v>428.25</v>
      </c>
      <c r="U200" s="368">
        <f>428.25-T200-92.136</f>
        <v>-92.135999999999996</v>
      </c>
      <c r="V200" s="368">
        <f>-92.136-U200-T200+428.25</f>
        <v>0</v>
      </c>
      <c r="W200" s="376">
        <v>0</v>
      </c>
      <c r="X200" s="151">
        <f t="shared" si="229"/>
        <v>336.11400000000003</v>
      </c>
      <c r="Y200" s="377">
        <v>0</v>
      </c>
      <c r="Z200" s="97">
        <v>0</v>
      </c>
      <c r="AA200" s="97">
        <v>0</v>
      </c>
      <c r="AB200" s="376">
        <v>0</v>
      </c>
      <c r="AC200" s="151">
        <f t="shared" si="230"/>
        <v>0</v>
      </c>
      <c r="AD200" s="377">
        <v>0</v>
      </c>
      <c r="AE200" s="97">
        <v>0</v>
      </c>
      <c r="AF200" s="97">
        <v>0</v>
      </c>
      <c r="AG200" s="376">
        <v>0</v>
      </c>
      <c r="AH200" s="151">
        <f t="shared" si="231"/>
        <v>0</v>
      </c>
      <c r="AI200" s="377">
        <v>0</v>
      </c>
      <c r="AJ200" s="97">
        <v>0</v>
      </c>
      <c r="AK200" s="97">
        <v>0</v>
      </c>
      <c r="AL200" s="376">
        <v>0</v>
      </c>
      <c r="AM200" s="151">
        <f t="shared" si="232"/>
        <v>0</v>
      </c>
      <c r="AN200" s="378"/>
      <c r="AO200" s="366"/>
      <c r="AP200" s="366"/>
      <c r="AQ200" s="366"/>
      <c r="AR200" s="366"/>
      <c r="AS200" s="366"/>
      <c r="AT200" s="366"/>
      <c r="AU200" s="366"/>
      <c r="AV200" s="366"/>
      <c r="AW200" s="366"/>
      <c r="AX200" s="366"/>
      <c r="AY200" s="366"/>
      <c r="AZ200" s="366"/>
      <c r="BA200" s="366"/>
      <c r="BH200" s="370"/>
      <c r="BI200" s="370"/>
    </row>
    <row r="201" spans="1:61" ht="13.5" customHeight="1">
      <c r="A201" s="366"/>
      <c r="B201" s="372" t="s">
        <v>190</v>
      </c>
      <c r="C201" s="211">
        <v>0</v>
      </c>
      <c r="D201" s="211">
        <v>0</v>
      </c>
      <c r="E201" s="368">
        <v>0</v>
      </c>
      <c r="F201" s="368">
        <v>0</v>
      </c>
      <c r="G201" s="368">
        <v>0</v>
      </c>
      <c r="H201" s="368">
        <v>0</v>
      </c>
      <c r="I201" s="211">
        <v>0</v>
      </c>
      <c r="J201" s="368">
        <v>0</v>
      </c>
      <c r="K201" s="368">
        <v>0</v>
      </c>
      <c r="L201" s="368">
        <f>-30-K201-J201</f>
        <v>-30</v>
      </c>
      <c r="M201" s="368">
        <f>-30-1.387-L201-K201-J201</f>
        <v>-1.3870000000000005</v>
      </c>
      <c r="N201" s="151">
        <f t="shared" ref="N201" si="235">SUM(J201:M201)</f>
        <v>-31.387</v>
      </c>
      <c r="O201" s="368">
        <v>0</v>
      </c>
      <c r="P201" s="368">
        <v>0</v>
      </c>
      <c r="Q201" s="97">
        <v>0</v>
      </c>
      <c r="R201" s="97">
        <v>0</v>
      </c>
      <c r="S201" s="151">
        <f t="shared" ref="S201" si="236">SUM(O201:R201)</f>
        <v>0</v>
      </c>
      <c r="T201" s="368">
        <v>0</v>
      </c>
      <c r="U201" s="368">
        <v>0</v>
      </c>
      <c r="V201" s="368">
        <v>0</v>
      </c>
      <c r="W201" s="376">
        <v>0</v>
      </c>
      <c r="X201" s="151">
        <f t="shared" ref="X201" si="237">SUM(T201:W201)</f>
        <v>0</v>
      </c>
      <c r="Y201" s="377">
        <v>0</v>
      </c>
      <c r="Z201" s="97">
        <v>0</v>
      </c>
      <c r="AA201" s="97">
        <v>0</v>
      </c>
      <c r="AB201" s="376">
        <v>0</v>
      </c>
      <c r="AC201" s="151">
        <f t="shared" ref="AC201" si="238">SUM(Y201:AB201)</f>
        <v>0</v>
      </c>
      <c r="AD201" s="377">
        <v>0</v>
      </c>
      <c r="AE201" s="97">
        <v>0</v>
      </c>
      <c r="AF201" s="97">
        <v>0</v>
      </c>
      <c r="AG201" s="376">
        <v>0</v>
      </c>
      <c r="AH201" s="151">
        <f t="shared" ref="AH201" si="239">SUM(AD201:AG201)</f>
        <v>0</v>
      </c>
      <c r="AI201" s="377">
        <v>0</v>
      </c>
      <c r="AJ201" s="97">
        <v>0</v>
      </c>
      <c r="AK201" s="97">
        <v>0</v>
      </c>
      <c r="AL201" s="376">
        <v>0</v>
      </c>
      <c r="AM201" s="151">
        <f t="shared" ref="AM201" si="240">SUM(AI201:AL201)</f>
        <v>0</v>
      </c>
      <c r="AN201" s="378"/>
      <c r="AO201" s="366"/>
      <c r="AP201" s="366"/>
      <c r="AQ201" s="366"/>
      <c r="AR201" s="366"/>
      <c r="AS201" s="366"/>
      <c r="AT201" s="366"/>
      <c r="AU201" s="366"/>
      <c r="AV201" s="366"/>
      <c r="AW201" s="366"/>
      <c r="AX201" s="366"/>
      <c r="AY201" s="366"/>
      <c r="AZ201" s="366"/>
      <c r="BA201" s="366"/>
      <c r="BH201" s="370"/>
      <c r="BI201" s="370"/>
    </row>
    <row r="202" spans="1:61" ht="13.5" customHeight="1">
      <c r="A202" s="366"/>
      <c r="B202" s="372" t="s">
        <v>191</v>
      </c>
      <c r="C202" s="211">
        <v>5.6159999999999997</v>
      </c>
      <c r="D202" s="211">
        <v>18.905999999999999</v>
      </c>
      <c r="E202" s="368"/>
      <c r="F202" s="368"/>
      <c r="G202" s="368"/>
      <c r="H202" s="368"/>
      <c r="I202" s="211">
        <v>14.055999999999999</v>
      </c>
      <c r="J202" s="368">
        <v>1.7490000000000001</v>
      </c>
      <c r="K202" s="368">
        <v>6.8849999999999998</v>
      </c>
      <c r="L202" s="368">
        <f>12.209-K202-J202</f>
        <v>3.5749999999999997</v>
      </c>
      <c r="M202" s="368">
        <f>13.84-L202-K202-J202</f>
        <v>1.6310000000000007</v>
      </c>
      <c r="N202" s="151">
        <f t="shared" ref="N202:N203" si="241">SUM(J202:M202)</f>
        <v>13.84</v>
      </c>
      <c r="O202" s="368">
        <v>0.55600000000000005</v>
      </c>
      <c r="P202" s="368">
        <f>15.496-O202</f>
        <v>14.940000000000001</v>
      </c>
      <c r="Q202" s="97">
        <f>48.304-P202-O202</f>
        <v>32.808000000000007</v>
      </c>
      <c r="R202" s="97">
        <f>96.439-Q202-P202-O202</f>
        <v>48.134999999999991</v>
      </c>
      <c r="S202" s="151">
        <f t="shared" ref="S202:S203" si="242">SUM(O202:R202)</f>
        <v>96.438999999999993</v>
      </c>
      <c r="T202" s="368">
        <f>57.244-92.136</f>
        <v>-34.891999999999996</v>
      </c>
      <c r="U202" s="368">
        <f>-54.808-T202+89.863</f>
        <v>69.947000000000003</v>
      </c>
      <c r="V202" s="368">
        <f>111.889-U202-T202</f>
        <v>76.833999999999989</v>
      </c>
      <c r="W202" s="376">
        <v>0</v>
      </c>
      <c r="X202" s="151">
        <f t="shared" si="229"/>
        <v>111.889</v>
      </c>
      <c r="Y202" s="377">
        <v>0</v>
      </c>
      <c r="Z202" s="97">
        <v>0</v>
      </c>
      <c r="AA202" s="97">
        <v>0</v>
      </c>
      <c r="AB202" s="376">
        <v>0</v>
      </c>
      <c r="AC202" s="151">
        <f t="shared" si="230"/>
        <v>0</v>
      </c>
      <c r="AD202" s="377">
        <v>0</v>
      </c>
      <c r="AE202" s="97">
        <v>0</v>
      </c>
      <c r="AF202" s="97">
        <v>0</v>
      </c>
      <c r="AG202" s="376">
        <v>0</v>
      </c>
      <c r="AH202" s="151">
        <f t="shared" ref="AH202:AH203" si="243">SUM(AD202:AG202)</f>
        <v>0</v>
      </c>
      <c r="AI202" s="377">
        <v>0</v>
      </c>
      <c r="AJ202" s="97">
        <v>0</v>
      </c>
      <c r="AK202" s="97">
        <v>0</v>
      </c>
      <c r="AL202" s="376">
        <v>0</v>
      </c>
      <c r="AM202" s="151">
        <f t="shared" ref="AM202:AM203" si="244">SUM(AI202:AL202)</f>
        <v>0</v>
      </c>
      <c r="AN202" s="378"/>
      <c r="AO202" s="366"/>
      <c r="AP202" s="366"/>
      <c r="AQ202" s="366"/>
      <c r="AR202" s="366"/>
      <c r="AS202" s="366"/>
      <c r="AT202" s="366"/>
      <c r="AU202" s="366"/>
      <c r="AV202" s="366"/>
      <c r="AW202" s="366"/>
      <c r="AX202" s="366"/>
      <c r="AY202" s="366"/>
      <c r="AZ202" s="366"/>
      <c r="BA202" s="366"/>
      <c r="BH202" s="370"/>
      <c r="BI202" s="370"/>
    </row>
    <row r="203" spans="1:61" ht="13.5" customHeight="1">
      <c r="A203" s="366"/>
      <c r="B203" s="372" t="s">
        <v>192</v>
      </c>
      <c r="C203" s="211">
        <v>0</v>
      </c>
      <c r="D203" s="211">
        <v>0</v>
      </c>
      <c r="E203" s="368"/>
      <c r="F203" s="368"/>
      <c r="G203" s="368"/>
      <c r="H203" s="368"/>
      <c r="I203" s="211">
        <v>1.3480000000000001</v>
      </c>
      <c r="J203" s="368">
        <v>0</v>
      </c>
      <c r="K203" s="368">
        <v>0</v>
      </c>
      <c r="L203" s="368">
        <f>0-K203-J203</f>
        <v>0</v>
      </c>
      <c r="M203" s="368">
        <f>1.101-L203-K203-J203</f>
        <v>1.101</v>
      </c>
      <c r="N203" s="151">
        <f t="shared" si="241"/>
        <v>1.101</v>
      </c>
      <c r="O203" s="368">
        <v>0</v>
      </c>
      <c r="P203" s="368">
        <v>0</v>
      </c>
      <c r="Q203" s="97">
        <v>0</v>
      </c>
      <c r="R203" s="97">
        <v>0</v>
      </c>
      <c r="S203" s="151">
        <f t="shared" si="242"/>
        <v>0</v>
      </c>
      <c r="T203" s="368">
        <f>-54.808</f>
        <v>-54.808</v>
      </c>
      <c r="U203" s="368">
        <f>0-T203</f>
        <v>54.808</v>
      </c>
      <c r="V203" s="368">
        <f>-18.298-54.808-U203-T203</f>
        <v>-73.105999999999995</v>
      </c>
      <c r="W203" s="376">
        <v>0</v>
      </c>
      <c r="X203" s="151">
        <f t="shared" si="229"/>
        <v>-73.105999999999995</v>
      </c>
      <c r="Y203" s="377">
        <v>0</v>
      </c>
      <c r="Z203" s="97">
        <v>0</v>
      </c>
      <c r="AA203" s="97">
        <v>0</v>
      </c>
      <c r="AB203" s="376">
        <v>0</v>
      </c>
      <c r="AC203" s="151">
        <f t="shared" si="230"/>
        <v>0</v>
      </c>
      <c r="AD203" s="377">
        <v>0</v>
      </c>
      <c r="AE203" s="97">
        <v>0</v>
      </c>
      <c r="AF203" s="97">
        <v>0</v>
      </c>
      <c r="AG203" s="376">
        <v>0</v>
      </c>
      <c r="AH203" s="151">
        <f t="shared" si="243"/>
        <v>0</v>
      </c>
      <c r="AI203" s="377">
        <v>0</v>
      </c>
      <c r="AJ203" s="97">
        <v>0</v>
      </c>
      <c r="AK203" s="97">
        <v>0</v>
      </c>
      <c r="AL203" s="376">
        <v>0</v>
      </c>
      <c r="AM203" s="151">
        <f t="shared" si="244"/>
        <v>0</v>
      </c>
      <c r="AN203" s="378"/>
      <c r="AO203" s="366"/>
      <c r="AP203" s="366"/>
      <c r="AQ203" s="366"/>
      <c r="AR203" s="366"/>
      <c r="AS203" s="366"/>
      <c r="AT203" s="366"/>
      <c r="AU203" s="366"/>
      <c r="AV203" s="366"/>
      <c r="AW203" s="366"/>
      <c r="AX203" s="366"/>
      <c r="AY203" s="366"/>
      <c r="AZ203" s="366"/>
      <c r="BA203" s="366"/>
      <c r="BH203" s="370"/>
      <c r="BI203" s="370"/>
    </row>
    <row r="204" spans="1:61" ht="13.5" customHeight="1">
      <c r="A204" s="366"/>
      <c r="B204" s="379" t="s">
        <v>193</v>
      </c>
      <c r="C204" s="137">
        <f>SUM(C197:C203)</f>
        <v>227.18</v>
      </c>
      <c r="D204" s="137">
        <f>SUM(D197:D203)</f>
        <v>18.907</v>
      </c>
      <c r="E204" s="138"/>
      <c r="F204" s="138"/>
      <c r="G204" s="138"/>
      <c r="H204" s="138"/>
      <c r="I204" s="137">
        <f>SUM(I197:I203)</f>
        <v>194.15200000000002</v>
      </c>
      <c r="J204" s="138">
        <f>SUM(J197:J203)</f>
        <v>1.7490000000000001</v>
      </c>
      <c r="K204" s="138">
        <f>SUM(K197:K203)</f>
        <v>6.8839999999999995</v>
      </c>
      <c r="L204" s="138">
        <f>SUM(L197:L203)</f>
        <v>-26.423999999999999</v>
      </c>
      <c r="M204" s="138">
        <f t="shared" ref="M204:AM204" si="245">SUM(M197:M203)</f>
        <v>282.55400000000003</v>
      </c>
      <c r="N204" s="137">
        <f t="shared" si="245"/>
        <v>264.76299999999998</v>
      </c>
      <c r="O204" s="138">
        <f t="shared" si="245"/>
        <v>-4.8499999999999996</v>
      </c>
      <c r="P204" s="138">
        <f t="shared" si="245"/>
        <v>14.816000000000001</v>
      </c>
      <c r="Q204" s="138">
        <f t="shared" si="245"/>
        <v>32.808000000000007</v>
      </c>
      <c r="R204" s="138">
        <f t="shared" si="245"/>
        <v>47.966999999999992</v>
      </c>
      <c r="S204" s="137">
        <f t="shared" si="245"/>
        <v>90.740999999999985</v>
      </c>
      <c r="T204" s="138">
        <f t="shared" si="245"/>
        <v>377.58300000000003</v>
      </c>
      <c r="U204" s="138">
        <f t="shared" si="245"/>
        <v>50.196000000000005</v>
      </c>
      <c r="V204" s="138">
        <f t="shared" si="245"/>
        <v>3.3419999999999987</v>
      </c>
      <c r="W204" s="138">
        <f t="shared" si="245"/>
        <v>0</v>
      </c>
      <c r="X204" s="137">
        <f t="shared" si="245"/>
        <v>431.12100000000004</v>
      </c>
      <c r="Y204" s="138">
        <f t="shared" si="245"/>
        <v>0</v>
      </c>
      <c r="Z204" s="138">
        <f t="shared" si="245"/>
        <v>0</v>
      </c>
      <c r="AA204" s="138">
        <f t="shared" si="245"/>
        <v>0</v>
      </c>
      <c r="AB204" s="138">
        <f t="shared" si="245"/>
        <v>0</v>
      </c>
      <c r="AC204" s="137">
        <f t="shared" si="245"/>
        <v>0</v>
      </c>
      <c r="AD204" s="138">
        <f t="shared" si="245"/>
        <v>0</v>
      </c>
      <c r="AE204" s="138">
        <f t="shared" si="245"/>
        <v>0</v>
      </c>
      <c r="AF204" s="138">
        <f t="shared" si="245"/>
        <v>0</v>
      </c>
      <c r="AG204" s="138">
        <f t="shared" si="245"/>
        <v>0</v>
      </c>
      <c r="AH204" s="137">
        <f t="shared" si="245"/>
        <v>0</v>
      </c>
      <c r="AI204" s="138">
        <f t="shared" si="245"/>
        <v>0</v>
      </c>
      <c r="AJ204" s="138">
        <f t="shared" si="245"/>
        <v>0</v>
      </c>
      <c r="AK204" s="138">
        <f t="shared" si="245"/>
        <v>0</v>
      </c>
      <c r="AL204" s="138">
        <f t="shared" si="245"/>
        <v>0</v>
      </c>
      <c r="AM204" s="137">
        <f t="shared" si="245"/>
        <v>0</v>
      </c>
      <c r="AN204" s="378"/>
      <c r="AO204" s="366"/>
      <c r="AP204" s="366"/>
      <c r="AQ204" s="366"/>
      <c r="AR204" s="366"/>
      <c r="AS204" s="366"/>
      <c r="AT204" s="366"/>
      <c r="AU204" s="366"/>
      <c r="AV204" s="366"/>
      <c r="AW204" s="366"/>
      <c r="AX204" s="366"/>
      <c r="AY204" s="366"/>
      <c r="AZ204" s="366"/>
      <c r="BA204" s="366"/>
      <c r="BH204" s="370"/>
      <c r="BI204" s="370"/>
    </row>
    <row r="205" spans="1:61" ht="13.5" customHeight="1">
      <c r="A205" s="366"/>
      <c r="B205" s="386"/>
      <c r="C205" s="151"/>
      <c r="D205" s="151"/>
      <c r="E205" s="268"/>
      <c r="F205" s="268"/>
      <c r="G205" s="268"/>
      <c r="H205" s="268"/>
      <c r="I205" s="151"/>
      <c r="J205" s="268"/>
      <c r="K205" s="268"/>
      <c r="L205" s="268"/>
      <c r="M205" s="268"/>
      <c r="N205" s="151"/>
      <c r="O205" s="268"/>
      <c r="P205" s="268"/>
      <c r="Q205" s="268"/>
      <c r="R205" s="268"/>
      <c r="S205" s="151"/>
      <c r="T205" s="268"/>
      <c r="U205" s="384"/>
      <c r="V205" s="384"/>
      <c r="W205" s="268"/>
      <c r="X205" s="151"/>
      <c r="Y205" s="268"/>
      <c r="Z205" s="268"/>
      <c r="AA205" s="268"/>
      <c r="AB205" s="268"/>
      <c r="AC205" s="151"/>
      <c r="AD205" s="268"/>
      <c r="AE205" s="268"/>
      <c r="AF205" s="268"/>
      <c r="AG205" s="268"/>
      <c r="AH205" s="151"/>
      <c r="AI205" s="268"/>
      <c r="AJ205" s="268"/>
      <c r="AK205" s="268"/>
      <c r="AL205" s="268"/>
      <c r="AM205" s="151"/>
      <c r="AN205" s="378"/>
      <c r="AO205" s="366"/>
      <c r="AP205" s="366"/>
      <c r="AQ205" s="366"/>
      <c r="AR205" s="366"/>
      <c r="AS205" s="366"/>
      <c r="AT205" s="366"/>
      <c r="AU205" s="366"/>
      <c r="AV205" s="366"/>
      <c r="AW205" s="366"/>
      <c r="AX205" s="366"/>
      <c r="AY205" s="366"/>
      <c r="AZ205" s="366"/>
      <c r="BA205" s="366"/>
      <c r="BH205" s="370"/>
      <c r="BI205" s="370"/>
    </row>
    <row r="206" spans="1:61" ht="13.5" customHeight="1">
      <c r="A206" s="366"/>
      <c r="B206" s="372" t="s">
        <v>194</v>
      </c>
      <c r="C206" s="211">
        <v>-4.0000000000000001E-3</v>
      </c>
      <c r="D206" s="211">
        <v>-0.76</v>
      </c>
      <c r="E206" s="368"/>
      <c r="F206" s="368"/>
      <c r="G206" s="368"/>
      <c r="H206" s="368"/>
      <c r="I206" s="211">
        <v>-1.08</v>
      </c>
      <c r="J206" s="368">
        <v>-0.86</v>
      </c>
      <c r="K206" s="368">
        <v>-1.4E-2</v>
      </c>
      <c r="L206" s="368">
        <f>-0.97-K206-J206</f>
        <v>-9.5999999999999974E-2</v>
      </c>
      <c r="M206" s="368">
        <f>-1.776-L206-K206-J206</f>
        <v>-0.80600000000000016</v>
      </c>
      <c r="N206" s="151">
        <f>SUM(J206:M206)</f>
        <v>-1.7760000000000002</v>
      </c>
      <c r="O206" s="368">
        <v>1.5580000000000001</v>
      </c>
      <c r="P206" s="368">
        <f>2.672-O206</f>
        <v>1.1140000000000001</v>
      </c>
      <c r="Q206" s="368">
        <f>2.536-P206-O206</f>
        <v>-0.13600000000000012</v>
      </c>
      <c r="R206" s="368">
        <f>-0.438-Q206-P206-O206</f>
        <v>-2.9740000000000002</v>
      </c>
      <c r="S206" s="151">
        <f>SUM(O206:R206)</f>
        <v>-0.43800000000000017</v>
      </c>
      <c r="T206" s="368">
        <v>1.0580000000000001</v>
      </c>
      <c r="U206" s="368">
        <f>2.331-T206</f>
        <v>1.2729999999999999</v>
      </c>
      <c r="V206" s="368">
        <f>3.836-U206-T206</f>
        <v>1.5049999999999997</v>
      </c>
      <c r="W206" s="368">
        <v>0</v>
      </c>
      <c r="X206" s="151">
        <f>SUM(T206:W206)</f>
        <v>3.8359999999999994</v>
      </c>
      <c r="Y206" s="368">
        <v>0</v>
      </c>
      <c r="Z206" s="368">
        <v>0</v>
      </c>
      <c r="AA206" s="368">
        <v>0</v>
      </c>
      <c r="AB206" s="368">
        <v>0</v>
      </c>
      <c r="AC206" s="151">
        <f>SUM(Y206:AB206)</f>
        <v>0</v>
      </c>
      <c r="AD206" s="368">
        <v>0</v>
      </c>
      <c r="AE206" s="368">
        <v>0</v>
      </c>
      <c r="AF206" s="368">
        <v>0</v>
      </c>
      <c r="AG206" s="368">
        <v>0</v>
      </c>
      <c r="AH206" s="151">
        <f>SUM(AD206:AG206)</f>
        <v>0</v>
      </c>
      <c r="AI206" s="368">
        <v>0</v>
      </c>
      <c r="AJ206" s="368">
        <v>0</v>
      </c>
      <c r="AK206" s="368">
        <v>0</v>
      </c>
      <c r="AL206" s="368">
        <v>0</v>
      </c>
      <c r="AM206" s="151">
        <f>SUM(AI206:AL206)</f>
        <v>0</v>
      </c>
      <c r="AN206" s="378"/>
      <c r="AO206" s="366"/>
      <c r="AP206" s="366"/>
      <c r="AQ206" s="366"/>
      <c r="AR206" s="366"/>
      <c r="AS206" s="366"/>
      <c r="AT206" s="366"/>
      <c r="AU206" s="366"/>
      <c r="AV206" s="366"/>
      <c r="AW206" s="366"/>
      <c r="AX206" s="366"/>
      <c r="AY206" s="366"/>
      <c r="AZ206" s="366"/>
      <c r="BA206" s="366"/>
      <c r="BH206" s="370"/>
      <c r="BI206" s="370"/>
    </row>
    <row r="207" spans="1:61" ht="13.5" customHeight="1" thickBot="1">
      <c r="A207" s="366"/>
      <c r="B207" s="387" t="s">
        <v>195</v>
      </c>
      <c r="C207" s="388">
        <f>C187+C194+C204+C206</f>
        <v>136.46</v>
      </c>
      <c r="D207" s="388">
        <f>D187+D194+D204+D206</f>
        <v>-53.232999999999997</v>
      </c>
      <c r="E207" s="389"/>
      <c r="F207" s="389"/>
      <c r="G207" s="389"/>
      <c r="H207" s="389"/>
      <c r="I207" s="388">
        <f>I187+I194+I204+I206</f>
        <v>59.124000000000038</v>
      </c>
      <c r="J207" s="389">
        <f>J187+J194+J204+J206</f>
        <v>-24.33</v>
      </c>
      <c r="K207" s="389">
        <f>K187+K194+K204+K206</f>
        <v>-3.0300000000000025</v>
      </c>
      <c r="L207" s="389">
        <f t="shared" ref="L207:AM207" si="246">L187+L194+L204+L206</f>
        <v>-23.856999999999985</v>
      </c>
      <c r="M207" s="389">
        <f t="shared" si="246"/>
        <v>296.69200000000001</v>
      </c>
      <c r="N207" s="388">
        <f t="shared" si="246"/>
        <v>245.47499999999994</v>
      </c>
      <c r="O207" s="389">
        <f t="shared" si="246"/>
        <v>-100.12899999999998</v>
      </c>
      <c r="P207" s="389">
        <f t="shared" si="246"/>
        <v>-28.210000000000033</v>
      </c>
      <c r="Q207" s="389">
        <f t="shared" si="246"/>
        <v>95.464000000000013</v>
      </c>
      <c r="R207" s="389">
        <f t="shared" si="246"/>
        <v>14.129999999999935</v>
      </c>
      <c r="S207" s="388">
        <f t="shared" si="246"/>
        <v>-18.745000000000086</v>
      </c>
      <c r="T207" s="389">
        <f t="shared" si="246"/>
        <v>252.464</v>
      </c>
      <c r="U207" s="389">
        <f t="shared" si="246"/>
        <v>12.495000000000044</v>
      </c>
      <c r="V207" s="389">
        <f t="shared" si="246"/>
        <v>-58.577000000000069</v>
      </c>
      <c r="W207" s="389">
        <f t="shared" si="246"/>
        <v>-73.278297693648668</v>
      </c>
      <c r="X207" s="388">
        <f t="shared" si="246"/>
        <v>133.10070230635125</v>
      </c>
      <c r="Y207" s="389">
        <f t="shared" si="246"/>
        <v>14.48186299900777</v>
      </c>
      <c r="Z207" s="389">
        <f t="shared" si="246"/>
        <v>1.9922232788542082</v>
      </c>
      <c r="AA207" s="389">
        <f t="shared" si="246"/>
        <v>17.285172247108566</v>
      </c>
      <c r="AB207" s="389">
        <f t="shared" si="246"/>
        <v>48.639151466865968</v>
      </c>
      <c r="AC207" s="388">
        <f t="shared" si="246"/>
        <v>82.398409991836488</v>
      </c>
      <c r="AD207" s="389">
        <f t="shared" si="246"/>
        <v>66.77933012210508</v>
      </c>
      <c r="AE207" s="389">
        <f t="shared" si="246"/>
        <v>25.369181540667206</v>
      </c>
      <c r="AF207" s="389">
        <f t="shared" si="246"/>
        <v>83.290449182886448</v>
      </c>
      <c r="AG207" s="389">
        <f t="shared" si="246"/>
        <v>90.502737127616058</v>
      </c>
      <c r="AH207" s="388">
        <f t="shared" si="246"/>
        <v>265.94169797327476</v>
      </c>
      <c r="AI207" s="389">
        <f t="shared" si="246"/>
        <v>125.65342318337321</v>
      </c>
      <c r="AJ207" s="389">
        <f t="shared" si="246"/>
        <v>61.651185436179645</v>
      </c>
      <c r="AK207" s="389">
        <f t="shared" si="246"/>
        <v>132.79427516168565</v>
      </c>
      <c r="AL207" s="389">
        <f t="shared" si="246"/>
        <v>149.20404198509834</v>
      </c>
      <c r="AM207" s="388">
        <f t="shared" si="246"/>
        <v>469.30292576633701</v>
      </c>
      <c r="AN207" s="378"/>
      <c r="AO207" s="366"/>
      <c r="AP207" s="366"/>
      <c r="AQ207" s="366"/>
      <c r="AR207" s="366"/>
      <c r="AS207" s="366"/>
      <c r="AT207" s="366"/>
      <c r="AU207" s="366"/>
      <c r="AV207" s="366"/>
      <c r="AW207" s="366"/>
      <c r="AX207" s="366"/>
      <c r="AY207" s="366"/>
      <c r="AZ207" s="366"/>
      <c r="BA207" s="366"/>
      <c r="BH207" s="370"/>
      <c r="BI207" s="370"/>
    </row>
    <row r="208" spans="1:61" ht="13.5" customHeight="1" thickTop="1">
      <c r="A208" s="366"/>
      <c r="B208" s="380"/>
      <c r="C208" s="151"/>
      <c r="D208" s="151"/>
      <c r="E208" s="378"/>
      <c r="F208" s="378"/>
      <c r="G208" s="378"/>
      <c r="H208" s="378"/>
      <c r="I208" s="151"/>
      <c r="J208" s="378"/>
      <c r="K208" s="378"/>
      <c r="L208" s="378"/>
      <c r="M208" s="378"/>
      <c r="N208" s="151"/>
      <c r="O208" s="378"/>
      <c r="P208" s="378"/>
      <c r="Q208" s="378"/>
      <c r="R208" s="378"/>
      <c r="S208" s="151"/>
      <c r="T208" s="378"/>
      <c r="U208" s="384"/>
      <c r="V208" s="384"/>
      <c r="W208" s="378"/>
      <c r="X208" s="151"/>
      <c r="Y208" s="378"/>
      <c r="Z208" s="378"/>
      <c r="AA208" s="378"/>
      <c r="AB208" s="378"/>
      <c r="AC208" s="151"/>
      <c r="AD208" s="378"/>
      <c r="AE208" s="378"/>
      <c r="AF208" s="378"/>
      <c r="AG208" s="378"/>
      <c r="AH208" s="151"/>
      <c r="AI208" s="378"/>
      <c r="AJ208" s="378"/>
      <c r="AK208" s="378"/>
      <c r="AL208" s="378"/>
      <c r="AM208" s="151"/>
      <c r="AN208" s="378"/>
      <c r="AO208" s="366"/>
      <c r="AP208" s="366"/>
      <c r="AQ208" s="366"/>
      <c r="AR208" s="366"/>
      <c r="AS208" s="366"/>
      <c r="AT208" s="366"/>
      <c r="AU208" s="366"/>
      <c r="AV208" s="366"/>
      <c r="AW208" s="366"/>
      <c r="AX208" s="366"/>
      <c r="AY208" s="366"/>
      <c r="AZ208" s="366"/>
      <c r="BA208" s="366"/>
      <c r="BH208" s="370"/>
      <c r="BI208" s="370"/>
    </row>
    <row r="209" spans="1:61" ht="13.5" customHeight="1">
      <c r="A209" s="390"/>
      <c r="B209" s="391" t="s">
        <v>196</v>
      </c>
      <c r="C209" s="211">
        <v>82.948999999999998</v>
      </c>
      <c r="D209" s="151">
        <f>C210</f>
        <v>219.40899999999999</v>
      </c>
      <c r="E209" s="290"/>
      <c r="F209" s="290"/>
      <c r="G209" s="290"/>
      <c r="H209" s="290"/>
      <c r="I209" s="151">
        <f>D210</f>
        <v>166.17599999999999</v>
      </c>
      <c r="J209" s="290">
        <f>I210</f>
        <v>225.3</v>
      </c>
      <c r="K209" s="290">
        <f>J210</f>
        <v>200.97000000000003</v>
      </c>
      <c r="L209" s="290">
        <f t="shared" ref="L209" si="247">K210</f>
        <v>197.94000000000003</v>
      </c>
      <c r="M209" s="290">
        <f>L210</f>
        <v>174.08300000000003</v>
      </c>
      <c r="N209" s="151">
        <f>J209</f>
        <v>225.3</v>
      </c>
      <c r="O209" s="290">
        <f t="shared" ref="O209:AB209" si="248">N210</f>
        <v>470.77499999999998</v>
      </c>
      <c r="P209" s="290">
        <f t="shared" si="248"/>
        <v>370.64600000000002</v>
      </c>
      <c r="Q209" s="290">
        <f t="shared" si="248"/>
        <v>342.43599999999998</v>
      </c>
      <c r="R209" s="290">
        <f t="shared" si="248"/>
        <v>437.9</v>
      </c>
      <c r="S209" s="151">
        <f>O209</f>
        <v>470.77499999999998</v>
      </c>
      <c r="T209" s="290">
        <f t="shared" si="248"/>
        <v>452.02999999999992</v>
      </c>
      <c r="U209" s="290">
        <f t="shared" si="248"/>
        <v>704.49399999999991</v>
      </c>
      <c r="V209" s="290">
        <f t="shared" si="248"/>
        <v>716.98899999999992</v>
      </c>
      <c r="W209" s="290">
        <f t="shared" si="248"/>
        <v>658.41199999999981</v>
      </c>
      <c r="X209" s="151">
        <f>T209</f>
        <v>452.02999999999992</v>
      </c>
      <c r="Y209" s="290">
        <f t="shared" si="248"/>
        <v>585.13070230635117</v>
      </c>
      <c r="Z209" s="290">
        <f t="shared" si="248"/>
        <v>599.61256530535888</v>
      </c>
      <c r="AA209" s="290">
        <f t="shared" si="248"/>
        <v>601.60478858421311</v>
      </c>
      <c r="AB209" s="290">
        <f t="shared" si="248"/>
        <v>618.88996083132167</v>
      </c>
      <c r="AC209" s="151">
        <f>Y209</f>
        <v>585.13070230635117</v>
      </c>
      <c r="AD209" s="290">
        <f t="shared" ref="AD209:AG209" si="249">AC210</f>
        <v>667.52911229818767</v>
      </c>
      <c r="AE209" s="290">
        <f t="shared" si="249"/>
        <v>734.30844242029275</v>
      </c>
      <c r="AF209" s="290">
        <f t="shared" si="249"/>
        <v>759.67762396095998</v>
      </c>
      <c r="AG209" s="290">
        <f t="shared" si="249"/>
        <v>842.96807314384637</v>
      </c>
      <c r="AH209" s="151">
        <f>AD209</f>
        <v>667.52911229818767</v>
      </c>
      <c r="AI209" s="290">
        <f t="shared" ref="AI209:AL209" si="250">AH210</f>
        <v>933.47081027146237</v>
      </c>
      <c r="AJ209" s="290">
        <f t="shared" si="250"/>
        <v>1059.1242334548356</v>
      </c>
      <c r="AK209" s="290">
        <f t="shared" si="250"/>
        <v>1120.7754188910153</v>
      </c>
      <c r="AL209" s="290">
        <f t="shared" si="250"/>
        <v>1253.5696940527009</v>
      </c>
      <c r="AM209" s="151">
        <f>AI209</f>
        <v>933.47081027146237</v>
      </c>
      <c r="AN209" s="392"/>
      <c r="AO209" s="390"/>
      <c r="AP209" s="390"/>
      <c r="AQ209" s="390"/>
      <c r="AR209" s="390"/>
      <c r="AS209" s="390"/>
      <c r="AT209" s="390"/>
      <c r="AU209" s="390"/>
      <c r="AV209" s="390"/>
      <c r="AW209" s="390"/>
      <c r="AX209" s="390"/>
      <c r="AY209" s="390"/>
      <c r="AZ209" s="390"/>
      <c r="BA209" s="390"/>
      <c r="BH209" s="370"/>
      <c r="BI209" s="370"/>
    </row>
    <row r="210" spans="1:61" ht="13.5" customHeight="1">
      <c r="A210" s="366"/>
      <c r="B210" s="386" t="s">
        <v>197</v>
      </c>
      <c r="C210" s="151">
        <f>C207+C209</f>
        <v>219.40899999999999</v>
      </c>
      <c r="D210" s="151">
        <f>D207+D209</f>
        <v>166.17599999999999</v>
      </c>
      <c r="E210" s="268"/>
      <c r="F210" s="268"/>
      <c r="G210" s="268"/>
      <c r="H210" s="268"/>
      <c r="I210" s="151">
        <f>I207+I209</f>
        <v>225.3</v>
      </c>
      <c r="J210" s="268">
        <f>J207+J209</f>
        <v>200.97000000000003</v>
      </c>
      <c r="K210" s="268">
        <f>K207+K209</f>
        <v>197.94000000000003</v>
      </c>
      <c r="L210" s="268">
        <f t="shared" ref="L210:AM210" si="251">L207+L209</f>
        <v>174.08300000000003</v>
      </c>
      <c r="M210" s="268">
        <f t="shared" si="251"/>
        <v>470.77500000000003</v>
      </c>
      <c r="N210" s="151">
        <f t="shared" si="251"/>
        <v>470.77499999999998</v>
      </c>
      <c r="O210" s="268">
        <f t="shared" si="251"/>
        <v>370.64600000000002</v>
      </c>
      <c r="P210" s="268">
        <f>P207+P209</f>
        <v>342.43599999999998</v>
      </c>
      <c r="Q210" s="268">
        <f t="shared" si="251"/>
        <v>437.9</v>
      </c>
      <c r="R210" s="268">
        <f t="shared" si="251"/>
        <v>452.02999999999992</v>
      </c>
      <c r="S210" s="151">
        <f t="shared" si="251"/>
        <v>452.02999999999992</v>
      </c>
      <c r="T210" s="268">
        <f t="shared" si="251"/>
        <v>704.49399999999991</v>
      </c>
      <c r="U210" s="268">
        <f t="shared" si="251"/>
        <v>716.98899999999992</v>
      </c>
      <c r="V210" s="268">
        <f t="shared" si="251"/>
        <v>658.41199999999981</v>
      </c>
      <c r="W210" s="268">
        <f t="shared" si="251"/>
        <v>585.1337023063511</v>
      </c>
      <c r="X210" s="151">
        <f t="shared" si="251"/>
        <v>585.13070230635117</v>
      </c>
      <c r="Y210" s="268">
        <f t="shared" si="251"/>
        <v>599.61256530535888</v>
      </c>
      <c r="Z210" s="268">
        <f t="shared" si="251"/>
        <v>601.60478858421311</v>
      </c>
      <c r="AA210" s="268">
        <f t="shared" si="251"/>
        <v>618.88996083132167</v>
      </c>
      <c r="AB210" s="268">
        <f t="shared" si="251"/>
        <v>667.52911229818767</v>
      </c>
      <c r="AC210" s="151">
        <f t="shared" si="251"/>
        <v>667.52911229818767</v>
      </c>
      <c r="AD210" s="268">
        <f t="shared" si="251"/>
        <v>734.30844242029275</v>
      </c>
      <c r="AE210" s="268">
        <f t="shared" si="251"/>
        <v>759.67762396095998</v>
      </c>
      <c r="AF210" s="268">
        <f t="shared" si="251"/>
        <v>842.96807314384637</v>
      </c>
      <c r="AG210" s="268">
        <f t="shared" si="251"/>
        <v>933.47081027146237</v>
      </c>
      <c r="AH210" s="151">
        <f t="shared" si="251"/>
        <v>933.47081027146237</v>
      </c>
      <c r="AI210" s="268">
        <f t="shared" si="251"/>
        <v>1059.1242334548356</v>
      </c>
      <c r="AJ210" s="268">
        <f t="shared" si="251"/>
        <v>1120.7754188910153</v>
      </c>
      <c r="AK210" s="268">
        <f t="shared" si="251"/>
        <v>1253.5696940527009</v>
      </c>
      <c r="AL210" s="268">
        <f t="shared" si="251"/>
        <v>1402.7737360377992</v>
      </c>
      <c r="AM210" s="151">
        <f t="shared" si="251"/>
        <v>1402.7737360377994</v>
      </c>
      <c r="AN210" s="378"/>
      <c r="AO210" s="366"/>
      <c r="AP210" s="366"/>
      <c r="AQ210" s="366"/>
      <c r="AR210" s="366"/>
      <c r="AS210" s="366"/>
      <c r="AT210" s="366"/>
      <c r="AU210" s="366"/>
      <c r="AV210" s="366"/>
      <c r="AW210" s="366"/>
      <c r="AX210" s="366"/>
      <c r="AY210" s="366"/>
      <c r="AZ210" s="366"/>
      <c r="BA210" s="366"/>
      <c r="BH210" s="370"/>
      <c r="BI210" s="370"/>
    </row>
    <row r="211" spans="1:61" ht="13.5" customHeight="1">
      <c r="A211" s="104"/>
      <c r="B211" s="393"/>
      <c r="C211" s="394"/>
      <c r="D211" s="394"/>
      <c r="E211" s="395"/>
      <c r="F211" s="395"/>
      <c r="G211" s="395"/>
      <c r="H211" s="395"/>
      <c r="I211" s="394"/>
      <c r="J211" s="395"/>
      <c r="K211" s="395"/>
      <c r="L211" s="395"/>
      <c r="M211" s="395"/>
      <c r="N211" s="394"/>
      <c r="O211" s="395"/>
      <c r="P211" s="395"/>
      <c r="Q211" s="395"/>
      <c r="R211" s="395"/>
      <c r="S211" s="394"/>
      <c r="T211" s="395"/>
      <c r="U211" s="395"/>
      <c r="V211" s="395"/>
      <c r="W211" s="395"/>
      <c r="X211" s="394"/>
      <c r="Y211" s="395"/>
      <c r="Z211" s="395"/>
      <c r="AA211" s="395"/>
      <c r="AB211" s="395"/>
      <c r="AC211" s="394"/>
      <c r="AD211" s="395"/>
      <c r="AE211" s="395"/>
      <c r="AF211" s="395"/>
      <c r="AG211" s="395"/>
      <c r="AH211" s="394"/>
      <c r="AI211" s="395"/>
      <c r="AJ211" s="395"/>
      <c r="AK211" s="395"/>
      <c r="AL211" s="395"/>
      <c r="AM211" s="394"/>
      <c r="AN211" s="396"/>
      <c r="AO211" s="104"/>
      <c r="AP211" s="104"/>
      <c r="AQ211" s="104"/>
      <c r="AR211" s="104"/>
      <c r="AS211" s="104"/>
      <c r="AT211" s="104"/>
      <c r="AU211" s="104"/>
      <c r="AV211" s="104"/>
      <c r="AW211" s="104"/>
      <c r="AX211" s="104"/>
      <c r="AY211" s="104"/>
      <c r="AZ211" s="104"/>
      <c r="BA211" s="104"/>
      <c r="BH211" s="370"/>
      <c r="BI211" s="370"/>
    </row>
    <row r="212" spans="1:61" ht="13.5" customHeight="1">
      <c r="A212" s="397"/>
      <c r="B212" s="386" t="s">
        <v>198</v>
      </c>
      <c r="C212" s="398">
        <f>C187+C190</f>
        <v>-55.957999999999998</v>
      </c>
      <c r="D212" s="398">
        <f>D187+D190</f>
        <v>-108.50799999999998</v>
      </c>
      <c r="E212" s="399"/>
      <c r="F212" s="399"/>
      <c r="G212" s="399"/>
      <c r="H212" s="399"/>
      <c r="I212" s="398">
        <f>I187+I190</f>
        <v>-138.18799999999999</v>
      </c>
      <c r="J212" s="399">
        <f>J187+J190</f>
        <v>-21.369</v>
      </c>
      <c r="K212" s="399">
        <f>K187+K190</f>
        <v>-9.89</v>
      </c>
      <c r="L212" s="399">
        <f t="shared" ref="L212:N212" si="252">L187+L190</f>
        <v>3.6650000000000151</v>
      </c>
      <c r="M212" s="399">
        <f t="shared" si="252"/>
        <v>17.745999999999988</v>
      </c>
      <c r="N212" s="398">
        <f t="shared" si="252"/>
        <v>-9.848000000000031</v>
      </c>
      <c r="O212" s="399">
        <f>O187+O190</f>
        <v>-23.037999999999975</v>
      </c>
      <c r="P212" s="399">
        <f>P187+P190</f>
        <v>-28.573000000000025</v>
      </c>
      <c r="Q212" s="399">
        <f t="shared" ref="Q212:S212" si="253">Q187+Q190</f>
        <v>74.171999999999997</v>
      </c>
      <c r="R212" s="399">
        <f t="shared" si="253"/>
        <v>-34.309000000000069</v>
      </c>
      <c r="S212" s="398">
        <f t="shared" si="253"/>
        <v>-11.748000000000083</v>
      </c>
      <c r="T212" s="399">
        <f>T187+T190</f>
        <v>37.708999999999996</v>
      </c>
      <c r="U212" s="399">
        <f>U187+U190</f>
        <v>39.001000000000033</v>
      </c>
      <c r="V212" s="399">
        <f t="shared" ref="V212:X212" si="254">V187+V190</f>
        <v>35.598999999999904</v>
      </c>
      <c r="W212" s="399">
        <f t="shared" si="254"/>
        <v>-73.278297693648668</v>
      </c>
      <c r="X212" s="398">
        <f t="shared" si="254"/>
        <v>39.027702306351209</v>
      </c>
      <c r="Y212" s="399">
        <f>Y187+Y190</f>
        <v>14.48186299900777</v>
      </c>
      <c r="Z212" s="399">
        <f>Z187+Z190</f>
        <v>1.9922232788542082</v>
      </c>
      <c r="AA212" s="399">
        <f t="shared" ref="AA212:AC212" si="255">AA187+AA190</f>
        <v>17.285172247108566</v>
      </c>
      <c r="AB212" s="399">
        <f t="shared" si="255"/>
        <v>48.639151466865968</v>
      </c>
      <c r="AC212" s="398">
        <f t="shared" si="255"/>
        <v>82.398409991836488</v>
      </c>
      <c r="AD212" s="399">
        <f>AD187+AD190</f>
        <v>66.77933012210508</v>
      </c>
      <c r="AE212" s="399">
        <f>AE187+AE190</f>
        <v>25.369181540667206</v>
      </c>
      <c r="AF212" s="399">
        <f t="shared" ref="AF212:AH212" si="256">AF187+AF190</f>
        <v>83.290449182886448</v>
      </c>
      <c r="AG212" s="399">
        <f t="shared" si="256"/>
        <v>90.502737127616058</v>
      </c>
      <c r="AH212" s="398">
        <f t="shared" si="256"/>
        <v>265.94169797327476</v>
      </c>
      <c r="AI212" s="399">
        <f>AI187+AI190</f>
        <v>125.65342318337321</v>
      </c>
      <c r="AJ212" s="399">
        <f>AJ187+AJ190</f>
        <v>61.651185436179645</v>
      </c>
      <c r="AK212" s="399">
        <f t="shared" ref="AK212:AM212" si="257">AK187+AK190</f>
        <v>132.79427516168565</v>
      </c>
      <c r="AL212" s="399">
        <f t="shared" si="257"/>
        <v>149.20404198509834</v>
      </c>
      <c r="AM212" s="398">
        <f t="shared" si="257"/>
        <v>469.30292576633701</v>
      </c>
      <c r="AN212" s="96"/>
      <c r="AO212" s="397"/>
      <c r="AP212" s="397"/>
      <c r="AQ212" s="397"/>
      <c r="AR212" s="397"/>
      <c r="AS212" s="397"/>
      <c r="AT212" s="397"/>
      <c r="AU212" s="397"/>
      <c r="AV212" s="397"/>
      <c r="AW212" s="397"/>
      <c r="AX212" s="397"/>
      <c r="AY212" s="397"/>
      <c r="AZ212" s="397"/>
      <c r="BA212" s="397"/>
      <c r="BH212" s="370"/>
      <c r="BI212" s="370"/>
    </row>
    <row r="213" spans="1:61" ht="13.5" customHeight="1">
      <c r="A213" s="400"/>
      <c r="B213" s="401" t="s">
        <v>199</v>
      </c>
      <c r="C213" s="402">
        <f>C212/C135</f>
        <v>0.65679174638199989</v>
      </c>
      <c r="D213" s="402">
        <f>D212/D135</f>
        <v>1.038423626463016</v>
      </c>
      <c r="E213" s="403"/>
      <c r="F213" s="403"/>
      <c r="G213" s="403"/>
      <c r="H213" s="403"/>
      <c r="I213" s="402">
        <f t="shared" ref="I213:AM213" si="258">I212/I135</f>
        <v>0.89678311149760126</v>
      </c>
      <c r="J213" s="403">
        <f t="shared" si="258"/>
        <v>0.44539163783400743</v>
      </c>
      <c r="K213" s="403">
        <f t="shared" si="258"/>
        <v>0.3338960162052666</v>
      </c>
      <c r="L213" s="403">
        <f t="shared" si="258"/>
        <v>-6.7958464676432698E-2</v>
      </c>
      <c r="M213" s="403">
        <f t="shared" si="258"/>
        <v>-0.22047733230627781</v>
      </c>
      <c r="N213" s="402">
        <f t="shared" si="258"/>
        <v>4.6449105496257526E-2</v>
      </c>
      <c r="O213" s="403">
        <f t="shared" si="258"/>
        <v>0.23810655780063014</v>
      </c>
      <c r="P213" s="403">
        <f t="shared" si="258"/>
        <v>1.0449076613640496</v>
      </c>
      <c r="Q213" s="403">
        <f t="shared" si="258"/>
        <v>-2.2947127432478394</v>
      </c>
      <c r="R213" s="403">
        <f t="shared" si="258"/>
        <v>2.2620821520406289</v>
      </c>
      <c r="S213" s="402">
        <f t="shared" si="258"/>
        <v>6.8465528294190017E-2</v>
      </c>
      <c r="T213" s="403">
        <f t="shared" si="258"/>
        <v>-2.4989396951623615</v>
      </c>
      <c r="U213" s="403">
        <f t="shared" si="258"/>
        <v>-2.4433654930459912</v>
      </c>
      <c r="V213" s="403">
        <f t="shared" si="258"/>
        <v>-2.2113927195924994</v>
      </c>
      <c r="W213" s="403">
        <f t="shared" si="258"/>
        <v>3.6121013221230736</v>
      </c>
      <c r="X213" s="402">
        <f t="shared" si="258"/>
        <v>-0.57872928343636443</v>
      </c>
      <c r="Y213" s="403">
        <f t="shared" si="258"/>
        <v>-5.1449328085786092</v>
      </c>
      <c r="Z213" s="403">
        <f t="shared" si="258"/>
        <v>0.26027231904309656</v>
      </c>
      <c r="AA213" s="403">
        <f t="shared" si="258"/>
        <v>1.3842389971432176</v>
      </c>
      <c r="AB213" s="403">
        <f t="shared" si="258"/>
        <v>9.4858561995485005</v>
      </c>
      <c r="AC213" s="402">
        <f t="shared" si="258"/>
        <v>3.6696093343885416</v>
      </c>
      <c r="AD213" s="403">
        <f t="shared" si="258"/>
        <v>2.3905550855715814</v>
      </c>
      <c r="AE213" s="403">
        <f t="shared" si="258"/>
        <v>0.51341956083615525</v>
      </c>
      <c r="AF213" s="403">
        <f t="shared" si="258"/>
        <v>1.4194938881946704</v>
      </c>
      <c r="AG213" s="403">
        <f t="shared" si="258"/>
        <v>1.7947230312365374</v>
      </c>
      <c r="AH213" s="402">
        <f t="shared" si="258"/>
        <v>1.4263422500871232</v>
      </c>
      <c r="AI213" s="403">
        <f t="shared" si="258"/>
        <v>1.8430974085683203</v>
      </c>
      <c r="AJ213" s="403">
        <f t="shared" si="258"/>
        <v>0.59568270480917263</v>
      </c>
      <c r="AK213" s="403">
        <f t="shared" si="258"/>
        <v>1.1175231323875741</v>
      </c>
      <c r="AL213" s="403">
        <f t="shared" si="258"/>
        <v>1.3480357797146161</v>
      </c>
      <c r="AM213" s="402">
        <f t="shared" si="258"/>
        <v>1.169796225014798</v>
      </c>
      <c r="AN213" s="98"/>
      <c r="AO213" s="400"/>
      <c r="AP213" s="400"/>
      <c r="AQ213" s="400"/>
      <c r="AR213" s="400"/>
      <c r="AS213" s="400"/>
      <c r="AT213" s="400"/>
      <c r="AU213" s="400"/>
      <c r="AV213" s="400"/>
      <c r="AW213" s="400"/>
      <c r="AX213" s="400"/>
      <c r="AY213" s="400"/>
      <c r="AZ213" s="400"/>
      <c r="BA213" s="400"/>
    </row>
    <row r="214" spans="1:61" ht="13.5" customHeight="1">
      <c r="A214" s="404"/>
      <c r="B214" s="405"/>
      <c r="C214" s="406"/>
      <c r="D214" s="406"/>
      <c r="E214" s="407"/>
      <c r="F214" s="407"/>
      <c r="G214" s="407"/>
      <c r="H214" s="407"/>
      <c r="I214" s="406"/>
      <c r="J214" s="407"/>
      <c r="K214" s="407"/>
      <c r="L214" s="407"/>
      <c r="M214" s="407"/>
      <c r="N214" s="406"/>
      <c r="O214" s="407"/>
      <c r="P214" s="407"/>
      <c r="Q214" s="407"/>
      <c r="R214" s="407"/>
      <c r="S214" s="406"/>
      <c r="T214" s="407"/>
      <c r="U214" s="407"/>
      <c r="V214" s="407"/>
      <c r="W214" s="407"/>
      <c r="X214" s="406"/>
      <c r="Y214" s="407"/>
      <c r="Z214" s="407"/>
      <c r="AA214" s="407"/>
      <c r="AB214" s="407"/>
      <c r="AC214" s="406"/>
      <c r="AD214" s="407"/>
      <c r="AE214" s="407"/>
      <c r="AF214" s="407"/>
      <c r="AG214" s="407"/>
      <c r="AH214" s="406"/>
      <c r="AI214" s="407"/>
      <c r="AJ214" s="407"/>
      <c r="AK214" s="407"/>
      <c r="AL214" s="407"/>
      <c r="AM214" s="406"/>
      <c r="AN214" s="408"/>
      <c r="AO214" s="404"/>
      <c r="AP214" s="404"/>
      <c r="AQ214" s="404"/>
      <c r="AR214" s="404"/>
      <c r="AS214" s="404"/>
      <c r="AT214" s="404"/>
      <c r="AU214" s="404"/>
      <c r="AV214" s="404"/>
      <c r="AW214" s="404"/>
      <c r="AX214" s="404"/>
      <c r="AY214" s="404"/>
      <c r="AZ214" s="404"/>
      <c r="BA214" s="404"/>
    </row>
    <row r="215" spans="1:61" ht="13.5" customHeight="1">
      <c r="A215" s="404"/>
      <c r="B215" s="405" t="s">
        <v>50</v>
      </c>
      <c r="C215" s="409">
        <f>C212/C147</f>
        <v>-0.46936755577923167</v>
      </c>
      <c r="D215" s="409">
        <f>D212/D147</f>
        <v>-0.84874652899996073</v>
      </c>
      <c r="E215" s="410"/>
      <c r="F215" s="410"/>
      <c r="G215" s="410"/>
      <c r="H215" s="410"/>
      <c r="I215" s="409">
        <f t="shared" ref="I215:AM215" si="259">I212/I147</f>
        <v>-0.97286718012982065</v>
      </c>
      <c r="J215" s="410">
        <f t="shared" si="259"/>
        <v>-7.6223666469291518E-2</v>
      </c>
      <c r="K215" s="410">
        <f t="shared" si="259"/>
        <v>-3.5277835246445469E-2</v>
      </c>
      <c r="L215" s="410">
        <f t="shared" si="259"/>
        <v>1.0205088759017086E-2</v>
      </c>
      <c r="M215" s="410">
        <f t="shared" si="259"/>
        <v>7.5660419189249054E-2</v>
      </c>
      <c r="N215" s="409">
        <f t="shared" si="259"/>
        <v>-3.4124106308046812E-2</v>
      </c>
      <c r="O215" s="410">
        <f t="shared" si="259"/>
        <v>-6.9533145802899807E-2</v>
      </c>
      <c r="P215" s="410">
        <f t="shared" si="259"/>
        <v>-7.4549827199037605E-2</v>
      </c>
      <c r="Q215" s="410">
        <f t="shared" si="259"/>
        <v>0.19220523451671417</v>
      </c>
      <c r="R215" s="410">
        <f t="shared" si="259"/>
        <v>-8.9689463076195311E-2</v>
      </c>
      <c r="S215" s="409">
        <f t="shared" si="259"/>
        <v>-3.0553966189857173E-2</v>
      </c>
      <c r="T215" s="410">
        <f t="shared" si="259"/>
        <v>8.9145922414454459E-2</v>
      </c>
      <c r="U215" s="410">
        <f t="shared" si="259"/>
        <v>9.319948000802937E-2</v>
      </c>
      <c r="V215" s="410">
        <f t="shared" si="259"/>
        <v>8.2350954465119933E-2</v>
      </c>
      <c r="W215" s="410">
        <f t="shared" si="259"/>
        <v>-0.1624795957730569</v>
      </c>
      <c r="X215" s="409">
        <f t="shared" si="259"/>
        <v>9.0511870805645642E-2</v>
      </c>
      <c r="Y215" s="410">
        <f t="shared" si="259"/>
        <v>3.1989975703116506E-2</v>
      </c>
      <c r="Z215" s="410">
        <f t="shared" si="259"/>
        <v>4.384703188614285E-3</v>
      </c>
      <c r="AA215" s="410">
        <f t="shared" si="259"/>
        <v>3.790832937080723E-2</v>
      </c>
      <c r="AB215" s="410">
        <f t="shared" si="259"/>
        <v>0.1063043353650213</v>
      </c>
      <c r="AC215" s="409">
        <f t="shared" si="259"/>
        <v>0.18103802696241833</v>
      </c>
      <c r="AD215" s="410">
        <f t="shared" si="259"/>
        <v>0.14546403835589916</v>
      </c>
      <c r="AE215" s="410">
        <f t="shared" si="259"/>
        <v>5.5080444365994324E-2</v>
      </c>
      <c r="AF215" s="410">
        <f t="shared" si="259"/>
        <v>0.18025740086176473</v>
      </c>
      <c r="AG215" s="410">
        <f t="shared" si="259"/>
        <v>0.19525251192571549</v>
      </c>
      <c r="AH215" s="409">
        <f t="shared" si="259"/>
        <v>0.57649160750298445</v>
      </c>
      <c r="AI215" s="410">
        <f t="shared" si="259"/>
        <v>0.2702648472743478</v>
      </c>
      <c r="AJ215" s="410">
        <f t="shared" si="259"/>
        <v>0.13221086256027081</v>
      </c>
      <c r="AK215" s="410">
        <f t="shared" si="259"/>
        <v>0.28395263887122729</v>
      </c>
      <c r="AL215" s="410">
        <f t="shared" si="259"/>
        <v>0.31814016473241918</v>
      </c>
      <c r="AM215" s="409">
        <f t="shared" si="259"/>
        <v>1.0049913722427866</v>
      </c>
      <c r="AN215" s="408"/>
      <c r="AO215" s="404"/>
      <c r="AP215" s="404"/>
      <c r="AQ215" s="404"/>
      <c r="AR215" s="404"/>
      <c r="AS215" s="404"/>
      <c r="AT215" s="404"/>
      <c r="AU215" s="404"/>
      <c r="AV215" s="404"/>
      <c r="AW215" s="404"/>
      <c r="AX215" s="404"/>
      <c r="AY215" s="404"/>
      <c r="AZ215" s="404"/>
      <c r="BA215" s="404"/>
    </row>
    <row r="216" spans="1:61" ht="13.5" customHeight="1">
      <c r="A216" s="411"/>
      <c r="B216" s="412" t="s">
        <v>26</v>
      </c>
      <c r="C216" s="413"/>
      <c r="D216" s="413">
        <f>D215/C215-1</f>
        <v>0.80827694319624221</v>
      </c>
      <c r="E216" s="414"/>
      <c r="F216" s="414"/>
      <c r="G216" s="414"/>
      <c r="H216" s="414"/>
      <c r="I216" s="413">
        <f>I215/D215-1</f>
        <v>0.14623995137406398</v>
      </c>
      <c r="J216" s="414"/>
      <c r="K216" s="414"/>
      <c r="L216" s="414"/>
      <c r="M216" s="414"/>
      <c r="N216" s="413">
        <f t="shared" ref="N216:AM216" si="260">N215/I215-1</f>
        <v>-0.96492418800324498</v>
      </c>
      <c r="O216" s="414">
        <f t="shared" si="260"/>
        <v>-8.777484705602745E-2</v>
      </c>
      <c r="P216" s="414">
        <f t="shared" si="260"/>
        <v>1.1132200056563595</v>
      </c>
      <c r="Q216" s="414">
        <f t="shared" si="260"/>
        <v>17.834254072203347</v>
      </c>
      <c r="R216" s="414">
        <f t="shared" si="260"/>
        <v>-2.1854211757914728</v>
      </c>
      <c r="S216" s="413">
        <f t="shared" si="260"/>
        <v>-0.10462223057099562</v>
      </c>
      <c r="T216" s="414">
        <f t="shared" si="260"/>
        <v>-2.2820637033616955</v>
      </c>
      <c r="U216" s="414">
        <f t="shared" si="260"/>
        <v>-2.2501635954057919</v>
      </c>
      <c r="V216" s="414">
        <f t="shared" si="260"/>
        <v>-0.57154676524713122</v>
      </c>
      <c r="W216" s="414">
        <f t="shared" si="260"/>
        <v>0.81157953454379617</v>
      </c>
      <c r="X216" s="413">
        <f t="shared" si="260"/>
        <v>-3.9623607698987491</v>
      </c>
      <c r="Y216" s="414">
        <f t="shared" si="260"/>
        <v>-0.64115043249662396</v>
      </c>
      <c r="Z216" s="414">
        <f t="shared" si="260"/>
        <v>-0.952953565961564</v>
      </c>
      <c r="AA216" s="414">
        <f t="shared" si="260"/>
        <v>-0.5396734668465385</v>
      </c>
      <c r="AB216" s="414">
        <f t="shared" si="260"/>
        <v>-1.654262677471833</v>
      </c>
      <c r="AC216" s="413">
        <f t="shared" si="260"/>
        <v>1.0001578284815009</v>
      </c>
      <c r="AD216" s="414">
        <f t="shared" si="260"/>
        <v>3.5471756435791182</v>
      </c>
      <c r="AE216" s="414">
        <f t="shared" si="260"/>
        <v>11.56195505069104</v>
      </c>
      <c r="AF216" s="414">
        <f t="shared" si="260"/>
        <v>3.7550869123918416</v>
      </c>
      <c r="AG216" s="414">
        <f t="shared" si="260"/>
        <v>0.83673141133209095</v>
      </c>
      <c r="AH216" s="413">
        <f t="shared" si="260"/>
        <v>2.1843674899454042</v>
      </c>
      <c r="AI216" s="414">
        <f t="shared" si="260"/>
        <v>0.85794956835382985</v>
      </c>
      <c r="AJ216" s="414">
        <f t="shared" si="260"/>
        <v>1.4003230925619659</v>
      </c>
      <c r="AK216" s="414">
        <f t="shared" si="260"/>
        <v>0.57526202815375149</v>
      </c>
      <c r="AL216" s="414">
        <f t="shared" si="260"/>
        <v>0.62937808888961566</v>
      </c>
      <c r="AM216" s="413">
        <f t="shared" si="260"/>
        <v>0.74328881663309176</v>
      </c>
      <c r="AN216" s="415"/>
      <c r="AO216" s="411"/>
      <c r="AP216" s="411"/>
      <c r="AQ216" s="411"/>
      <c r="AR216" s="411"/>
      <c r="AS216" s="411"/>
      <c r="AT216" s="411"/>
      <c r="AU216" s="411"/>
      <c r="AV216" s="411"/>
      <c r="AW216" s="411"/>
      <c r="AX216" s="411"/>
      <c r="AY216" s="411"/>
      <c r="AZ216" s="411"/>
      <c r="BA216" s="411"/>
    </row>
    <row r="217" spans="1:61" ht="13.5" customHeight="1">
      <c r="A217" s="416"/>
      <c r="B217" s="417" t="s">
        <v>200</v>
      </c>
      <c r="C217" s="418"/>
      <c r="D217" s="418">
        <f>ROUND(D210-D222,6)</f>
        <v>0</v>
      </c>
      <c r="E217" s="418"/>
      <c r="F217" s="418"/>
      <c r="G217" s="418"/>
      <c r="H217" s="418"/>
      <c r="I217" s="418">
        <f>ROUND(I210-I222,6)</f>
        <v>0</v>
      </c>
      <c r="J217" s="418">
        <f>ROUND(J210-J222,6)</f>
        <v>0</v>
      </c>
      <c r="K217" s="418">
        <f>ROUND(K210-K222,6)</f>
        <v>0</v>
      </c>
      <c r="L217" s="418">
        <f t="shared" ref="L217:AM217" si="261">ROUND(L210-L222,6)</f>
        <v>0</v>
      </c>
      <c r="M217" s="418">
        <f t="shared" si="261"/>
        <v>0</v>
      </c>
      <c r="N217" s="418">
        <f t="shared" si="261"/>
        <v>0</v>
      </c>
      <c r="O217" s="418">
        <f t="shared" si="261"/>
        <v>0</v>
      </c>
      <c r="P217" s="418">
        <f t="shared" si="261"/>
        <v>0</v>
      </c>
      <c r="Q217" s="418">
        <f>ROUND(Q210-Q222,6)</f>
        <v>0</v>
      </c>
      <c r="R217" s="419">
        <f t="shared" si="261"/>
        <v>0</v>
      </c>
      <c r="S217" s="418">
        <f t="shared" si="261"/>
        <v>0</v>
      </c>
      <c r="T217" s="418">
        <f t="shared" si="261"/>
        <v>0</v>
      </c>
      <c r="U217" s="420">
        <f t="shared" si="261"/>
        <v>0</v>
      </c>
      <c r="V217" s="420">
        <f t="shared" si="261"/>
        <v>0</v>
      </c>
      <c r="W217" s="418">
        <f t="shared" si="261"/>
        <v>0</v>
      </c>
      <c r="X217" s="418">
        <f t="shared" si="261"/>
        <v>0</v>
      </c>
      <c r="Y217" s="418">
        <f t="shared" si="261"/>
        <v>0</v>
      </c>
      <c r="Z217" s="418">
        <f t="shared" si="261"/>
        <v>0</v>
      </c>
      <c r="AA217" s="418">
        <f t="shared" si="261"/>
        <v>0</v>
      </c>
      <c r="AB217" s="418">
        <f t="shared" si="261"/>
        <v>0</v>
      </c>
      <c r="AC217" s="418">
        <f t="shared" si="261"/>
        <v>0</v>
      </c>
      <c r="AD217" s="418">
        <f t="shared" si="261"/>
        <v>0</v>
      </c>
      <c r="AE217" s="418">
        <f t="shared" si="261"/>
        <v>0</v>
      </c>
      <c r="AF217" s="418">
        <f t="shared" si="261"/>
        <v>0</v>
      </c>
      <c r="AG217" s="418">
        <f t="shared" si="261"/>
        <v>0</v>
      </c>
      <c r="AH217" s="418">
        <f t="shared" si="261"/>
        <v>0</v>
      </c>
      <c r="AI217" s="418">
        <f t="shared" si="261"/>
        <v>0</v>
      </c>
      <c r="AJ217" s="418">
        <f t="shared" si="261"/>
        <v>0</v>
      </c>
      <c r="AK217" s="418">
        <f t="shared" si="261"/>
        <v>0</v>
      </c>
      <c r="AL217" s="418">
        <f t="shared" si="261"/>
        <v>0</v>
      </c>
      <c r="AM217" s="418">
        <f t="shared" si="261"/>
        <v>0</v>
      </c>
      <c r="AN217" s="416"/>
      <c r="AO217" s="416"/>
      <c r="AP217" s="416"/>
      <c r="AQ217" s="416"/>
      <c r="AR217" s="416"/>
      <c r="AS217" s="416"/>
      <c r="AT217" s="416"/>
      <c r="AU217" s="416"/>
      <c r="AV217" s="416"/>
      <c r="AW217" s="416"/>
      <c r="AX217" s="416"/>
      <c r="AY217" s="416"/>
      <c r="AZ217" s="416"/>
      <c r="BA217" s="416"/>
    </row>
    <row r="218" spans="1:61" ht="18">
      <c r="A218" s="360"/>
      <c r="B218" s="110" t="s">
        <v>201</v>
      </c>
      <c r="C218" s="360"/>
      <c r="D218" s="360"/>
      <c r="E218" s="360"/>
      <c r="F218" s="360"/>
      <c r="G218" s="360"/>
      <c r="H218" s="360"/>
      <c r="I218" s="360"/>
      <c r="J218" s="360"/>
      <c r="K218" s="360"/>
      <c r="L218" s="360"/>
      <c r="M218" s="360"/>
      <c r="N218" s="360"/>
      <c r="O218" s="360"/>
      <c r="P218" s="360"/>
      <c r="Q218" s="360"/>
      <c r="R218" s="360"/>
      <c r="S218" s="360"/>
      <c r="T218" s="360"/>
      <c r="U218" s="360"/>
      <c r="V218" s="360"/>
      <c r="W218" s="360"/>
      <c r="X218" s="360"/>
      <c r="Y218" s="360"/>
      <c r="Z218" s="360"/>
      <c r="AA218" s="360"/>
      <c r="AB218" s="360"/>
      <c r="AC218" s="360"/>
      <c r="AD218" s="360"/>
      <c r="AE218" s="360"/>
      <c r="AF218" s="360"/>
      <c r="AG218" s="360"/>
      <c r="AH218" s="360"/>
      <c r="AI218" s="360"/>
      <c r="AJ218" s="360"/>
      <c r="AK218" s="360"/>
      <c r="AL218" s="360"/>
      <c r="AM218" s="360"/>
      <c r="AN218" s="92"/>
      <c r="AO218" s="360"/>
      <c r="AP218" s="360"/>
      <c r="AQ218" s="360"/>
      <c r="AR218" s="360"/>
      <c r="AS218" s="360"/>
      <c r="AT218" s="360"/>
      <c r="AU218" s="360"/>
      <c r="AV218" s="360"/>
      <c r="AW218" s="360"/>
      <c r="AX218" s="360"/>
      <c r="AY218" s="360"/>
      <c r="AZ218" s="360"/>
      <c r="BA218" s="360"/>
    </row>
    <row r="219" spans="1:61" ht="12.75">
      <c r="A219" s="104"/>
      <c r="B219" s="95" t="s">
        <v>55</v>
      </c>
      <c r="C219" s="421"/>
      <c r="D219" s="421"/>
      <c r="E219" s="421"/>
      <c r="F219" s="421"/>
      <c r="G219" s="421"/>
      <c r="H219" s="421"/>
      <c r="I219" s="421"/>
      <c r="J219" s="421"/>
      <c r="K219" s="421"/>
      <c r="L219" s="421"/>
      <c r="M219" s="421">
        <f>M222+M223+M231</f>
        <v>498.99799999999993</v>
      </c>
      <c r="N219" s="421"/>
      <c r="O219" s="421"/>
      <c r="P219" s="421"/>
      <c r="Q219" s="421"/>
      <c r="R219" s="421"/>
      <c r="S219" s="421"/>
      <c r="T219" s="421"/>
      <c r="U219" s="421"/>
      <c r="V219" s="421"/>
      <c r="W219" s="421"/>
      <c r="X219" s="421"/>
      <c r="Y219" s="421"/>
      <c r="Z219" s="421"/>
      <c r="AA219" s="421"/>
      <c r="AB219" s="421"/>
      <c r="AC219" s="421"/>
      <c r="AD219" s="421"/>
      <c r="AE219" s="421"/>
      <c r="AF219" s="421"/>
      <c r="AG219" s="421"/>
      <c r="AH219" s="421"/>
      <c r="AI219" s="421"/>
      <c r="AJ219" s="421"/>
      <c r="AK219" s="421"/>
      <c r="AL219" s="421"/>
      <c r="AM219" s="421"/>
      <c r="AN219" s="396"/>
      <c r="AO219" s="104"/>
      <c r="AP219" s="104"/>
      <c r="AQ219" s="104"/>
      <c r="AR219" s="104"/>
      <c r="AS219" s="104"/>
      <c r="AT219" s="104"/>
      <c r="AU219" s="104"/>
      <c r="AV219" s="104"/>
      <c r="AW219" s="104"/>
      <c r="AX219" s="104"/>
      <c r="AY219" s="104"/>
      <c r="AZ219" s="104"/>
      <c r="BA219" s="104"/>
    </row>
    <row r="220" spans="1:61" ht="13.5" customHeight="1">
      <c r="A220" s="104"/>
      <c r="B220" s="106"/>
      <c r="C220" s="27" t="str">
        <f t="shared" ref="C220:AM220" si="262">C5</f>
        <v>2012A</v>
      </c>
      <c r="D220" s="27" t="str">
        <f t="shared" si="262"/>
        <v>2013A</v>
      </c>
      <c r="E220" s="107" t="str">
        <f t="shared" si="262"/>
        <v>1Q14A</v>
      </c>
      <c r="F220" s="107" t="str">
        <f t="shared" si="262"/>
        <v>2Q14A</v>
      </c>
      <c r="G220" s="107" t="str">
        <f t="shared" si="262"/>
        <v>3Q14A</v>
      </c>
      <c r="H220" s="107" t="str">
        <f t="shared" si="262"/>
        <v>4Q14A</v>
      </c>
      <c r="I220" s="27" t="str">
        <f t="shared" si="262"/>
        <v>2014A</v>
      </c>
      <c r="J220" s="107" t="str">
        <f t="shared" si="262"/>
        <v>1Q15A</v>
      </c>
      <c r="K220" s="107" t="str">
        <f t="shared" si="262"/>
        <v>2Q15A</v>
      </c>
      <c r="L220" s="107" t="str">
        <f t="shared" si="262"/>
        <v>3Q15A</v>
      </c>
      <c r="M220" s="107" t="str">
        <f t="shared" si="262"/>
        <v>4Q15A</v>
      </c>
      <c r="N220" s="27" t="str">
        <f t="shared" si="262"/>
        <v>2015A</v>
      </c>
      <c r="O220" s="107" t="str">
        <f t="shared" si="262"/>
        <v>1Q16A</v>
      </c>
      <c r="P220" s="107" t="str">
        <f t="shared" si="262"/>
        <v>2Q16A</v>
      </c>
      <c r="Q220" s="107" t="str">
        <f t="shared" si="262"/>
        <v>3Q16A</v>
      </c>
      <c r="R220" s="107" t="str">
        <f t="shared" si="262"/>
        <v>4Q16A</v>
      </c>
      <c r="S220" s="27" t="str">
        <f t="shared" si="262"/>
        <v>2016A</v>
      </c>
      <c r="T220" s="107" t="str">
        <f t="shared" si="262"/>
        <v>1Q17A</v>
      </c>
      <c r="U220" s="107" t="str">
        <f t="shared" si="262"/>
        <v>2Q17A</v>
      </c>
      <c r="V220" s="107" t="str">
        <f t="shared" si="262"/>
        <v>3Q17A</v>
      </c>
      <c r="W220" s="107" t="str">
        <f t="shared" si="262"/>
        <v>4Q17E</v>
      </c>
      <c r="X220" s="27" t="str">
        <f t="shared" si="262"/>
        <v>2017E</v>
      </c>
      <c r="Y220" s="107" t="str">
        <f t="shared" si="262"/>
        <v>1Q18E</v>
      </c>
      <c r="Z220" s="107" t="str">
        <f t="shared" si="262"/>
        <v>2Q18E</v>
      </c>
      <c r="AA220" s="107" t="str">
        <f t="shared" si="262"/>
        <v>3Q18E</v>
      </c>
      <c r="AB220" s="107" t="str">
        <f t="shared" si="262"/>
        <v>4Q18E</v>
      </c>
      <c r="AC220" s="27" t="str">
        <f t="shared" si="262"/>
        <v>2018E</v>
      </c>
      <c r="AD220" s="107" t="str">
        <f t="shared" si="262"/>
        <v>1Q19E</v>
      </c>
      <c r="AE220" s="107" t="str">
        <f t="shared" si="262"/>
        <v>2Q19E</v>
      </c>
      <c r="AF220" s="107" t="str">
        <f t="shared" si="262"/>
        <v>3Q19E</v>
      </c>
      <c r="AG220" s="107" t="str">
        <f t="shared" si="262"/>
        <v>4Q19E</v>
      </c>
      <c r="AH220" s="27" t="str">
        <f t="shared" si="262"/>
        <v>2019E</v>
      </c>
      <c r="AI220" s="107" t="str">
        <f t="shared" si="262"/>
        <v>1Q20E</v>
      </c>
      <c r="AJ220" s="107" t="str">
        <f t="shared" si="262"/>
        <v>2Q20E</v>
      </c>
      <c r="AK220" s="107" t="str">
        <f t="shared" si="262"/>
        <v>3Q20E</v>
      </c>
      <c r="AL220" s="107" t="str">
        <f t="shared" si="262"/>
        <v>4Q20E</v>
      </c>
      <c r="AM220" s="27" t="str">
        <f t="shared" si="262"/>
        <v>2020E</v>
      </c>
      <c r="AN220" s="396"/>
      <c r="AO220" s="104"/>
      <c r="AP220" s="104"/>
      <c r="AQ220" s="104"/>
      <c r="AR220" s="104"/>
      <c r="AS220" s="104"/>
      <c r="AT220" s="104"/>
      <c r="AU220" s="104"/>
      <c r="AV220" s="104"/>
      <c r="AW220" s="104"/>
      <c r="AX220" s="104"/>
      <c r="AY220" s="104"/>
      <c r="AZ220" s="104"/>
      <c r="BA220" s="104"/>
    </row>
    <row r="221" spans="1:61" ht="13.5" customHeight="1">
      <c r="A221" s="396"/>
      <c r="B221" s="422" t="s">
        <v>202</v>
      </c>
      <c r="C221" s="365"/>
      <c r="D221" s="365"/>
      <c r="E221" s="364"/>
      <c r="F221" s="364"/>
      <c r="G221" s="364"/>
      <c r="H221" s="364"/>
      <c r="I221" s="365"/>
      <c r="J221" s="364"/>
      <c r="K221" s="364"/>
      <c r="L221" s="364"/>
      <c r="M221" s="364"/>
      <c r="N221" s="365"/>
      <c r="O221" s="364"/>
      <c r="P221" s="364"/>
      <c r="Q221" s="364"/>
      <c r="R221" s="364"/>
      <c r="S221" s="365"/>
      <c r="T221" s="364"/>
      <c r="U221" s="364"/>
      <c r="V221" s="364"/>
      <c r="W221" s="364"/>
      <c r="X221" s="365"/>
      <c r="Y221" s="364"/>
      <c r="Z221" s="364"/>
      <c r="AA221" s="364"/>
      <c r="AB221" s="364"/>
      <c r="AC221" s="365"/>
      <c r="AD221" s="364"/>
      <c r="AE221" s="364"/>
      <c r="AF221" s="364"/>
      <c r="AG221" s="364"/>
      <c r="AH221" s="365"/>
      <c r="AI221" s="364"/>
      <c r="AJ221" s="364"/>
      <c r="AK221" s="364"/>
      <c r="AL221" s="364"/>
      <c r="AM221" s="365"/>
      <c r="AN221" s="396"/>
      <c r="AO221" s="396"/>
      <c r="AP221" s="396"/>
      <c r="AQ221" s="396"/>
      <c r="AR221" s="396"/>
      <c r="AS221" s="396"/>
      <c r="AT221" s="396"/>
      <c r="AU221" s="396"/>
      <c r="AV221" s="396"/>
      <c r="AW221" s="396"/>
      <c r="AX221" s="396"/>
      <c r="AY221" s="396"/>
      <c r="AZ221" s="396"/>
      <c r="BA221" s="396"/>
    </row>
    <row r="222" spans="1:61" ht="13.5" customHeight="1">
      <c r="A222" s="392"/>
      <c r="B222" s="423" t="s">
        <v>203</v>
      </c>
      <c r="C222" s="211"/>
      <c r="D222" s="211">
        <v>166.17599999999999</v>
      </c>
      <c r="E222" s="368"/>
      <c r="F222" s="97"/>
      <c r="G222" s="97"/>
      <c r="H222" s="97"/>
      <c r="I222" s="211">
        <v>225.3</v>
      </c>
      <c r="J222" s="368">
        <v>200.97</v>
      </c>
      <c r="K222" s="368">
        <v>197.94</v>
      </c>
      <c r="L222" s="368">
        <v>174.083</v>
      </c>
      <c r="M222" s="368">
        <v>470.77499999999998</v>
      </c>
      <c r="N222" s="151">
        <f t="shared" ref="N222:S222" si="263">N210</f>
        <v>470.77499999999998</v>
      </c>
      <c r="O222" s="368">
        <v>370.64600000000002</v>
      </c>
      <c r="P222" s="368">
        <v>342.43599999999998</v>
      </c>
      <c r="Q222" s="368">
        <f>437.9</f>
        <v>437.9</v>
      </c>
      <c r="R222" s="368">
        <v>452.03</v>
      </c>
      <c r="S222" s="151">
        <f t="shared" si="263"/>
        <v>452.02999999999992</v>
      </c>
      <c r="T222" s="368">
        <v>704.49400000000003</v>
      </c>
      <c r="U222" s="368">
        <v>716.98900000000003</v>
      </c>
      <c r="V222" s="368">
        <v>658.41200000000003</v>
      </c>
      <c r="W222" s="152">
        <f t="shared" ref="W222:AM222" si="264">W210</f>
        <v>585.1337023063511</v>
      </c>
      <c r="X222" s="151">
        <f t="shared" si="264"/>
        <v>585.13070230635117</v>
      </c>
      <c r="Y222" s="152">
        <f t="shared" si="264"/>
        <v>599.61256530535888</v>
      </c>
      <c r="Z222" s="152">
        <f t="shared" si="264"/>
        <v>601.60478858421311</v>
      </c>
      <c r="AA222" s="152">
        <f t="shared" si="264"/>
        <v>618.88996083132167</v>
      </c>
      <c r="AB222" s="152">
        <f t="shared" si="264"/>
        <v>667.52911229818767</v>
      </c>
      <c r="AC222" s="151">
        <f t="shared" si="264"/>
        <v>667.52911229818767</v>
      </c>
      <c r="AD222" s="152">
        <f t="shared" si="264"/>
        <v>734.30844242029275</v>
      </c>
      <c r="AE222" s="152">
        <f t="shared" si="264"/>
        <v>759.67762396095998</v>
      </c>
      <c r="AF222" s="152">
        <f t="shared" si="264"/>
        <v>842.96807314384637</v>
      </c>
      <c r="AG222" s="152">
        <f t="shared" si="264"/>
        <v>933.47081027146237</v>
      </c>
      <c r="AH222" s="151">
        <f t="shared" si="264"/>
        <v>933.47081027146237</v>
      </c>
      <c r="AI222" s="152">
        <f t="shared" si="264"/>
        <v>1059.1242334548356</v>
      </c>
      <c r="AJ222" s="152">
        <f t="shared" si="264"/>
        <v>1120.7754188910153</v>
      </c>
      <c r="AK222" s="152">
        <f t="shared" si="264"/>
        <v>1253.5696940527009</v>
      </c>
      <c r="AL222" s="152">
        <f t="shared" si="264"/>
        <v>1402.7737360377992</v>
      </c>
      <c r="AM222" s="151">
        <f t="shared" si="264"/>
        <v>1402.7737360377994</v>
      </c>
      <c r="AN222" s="378"/>
      <c r="AO222" s="378"/>
      <c r="AP222" s="378"/>
      <c r="AQ222" s="378"/>
      <c r="AR222" s="378"/>
      <c r="AS222" s="378"/>
      <c r="AT222" s="378"/>
      <c r="AU222" s="378"/>
      <c r="AV222" s="378"/>
      <c r="AW222" s="378"/>
      <c r="AX222" s="378"/>
      <c r="AY222" s="378"/>
      <c r="AZ222" s="378"/>
      <c r="BA222" s="392"/>
      <c r="BH222" s="424"/>
      <c r="BI222" s="424"/>
    </row>
    <row r="223" spans="1:61" ht="13.5" customHeight="1">
      <c r="A223" s="392"/>
      <c r="B223" s="423" t="s">
        <v>204</v>
      </c>
      <c r="C223" s="211"/>
      <c r="D223" s="211">
        <v>10</v>
      </c>
      <c r="E223" s="368"/>
      <c r="F223" s="97"/>
      <c r="G223" s="97"/>
      <c r="H223" s="97"/>
      <c r="I223" s="211">
        <v>11.95</v>
      </c>
      <c r="J223" s="368">
        <v>11.951000000000001</v>
      </c>
      <c r="K223" s="368">
        <v>11.951000000000001</v>
      </c>
      <c r="L223" s="368">
        <v>12.016999999999999</v>
      </c>
      <c r="M223" s="368">
        <v>13.537000000000001</v>
      </c>
      <c r="N223" s="151">
        <f t="shared" ref="N223:S223" si="265">M223</f>
        <v>13.537000000000001</v>
      </c>
      <c r="O223" s="368">
        <v>13.542</v>
      </c>
      <c r="P223" s="368">
        <v>13.545</v>
      </c>
      <c r="Q223" s="368">
        <v>13.558999999999999</v>
      </c>
      <c r="R223" s="368">
        <v>22.131</v>
      </c>
      <c r="S223" s="151">
        <f t="shared" si="265"/>
        <v>22.131</v>
      </c>
      <c r="T223" s="368">
        <v>22.001999999999999</v>
      </c>
      <c r="U223" s="368">
        <v>22.146999999999998</v>
      </c>
      <c r="V223" s="368">
        <v>20.533000000000001</v>
      </c>
      <c r="W223" s="152">
        <f t="shared" ref="W223:AM223" si="266">V223</f>
        <v>20.533000000000001</v>
      </c>
      <c r="X223" s="151">
        <f t="shared" si="266"/>
        <v>20.533000000000001</v>
      </c>
      <c r="Y223" s="152">
        <f t="shared" si="266"/>
        <v>20.533000000000001</v>
      </c>
      <c r="Z223" s="152">
        <f t="shared" si="266"/>
        <v>20.533000000000001</v>
      </c>
      <c r="AA223" s="152">
        <f t="shared" si="266"/>
        <v>20.533000000000001</v>
      </c>
      <c r="AB223" s="152">
        <f t="shared" si="266"/>
        <v>20.533000000000001</v>
      </c>
      <c r="AC223" s="151">
        <f t="shared" si="266"/>
        <v>20.533000000000001</v>
      </c>
      <c r="AD223" s="152">
        <f t="shared" si="266"/>
        <v>20.533000000000001</v>
      </c>
      <c r="AE223" s="152">
        <f t="shared" si="266"/>
        <v>20.533000000000001</v>
      </c>
      <c r="AF223" s="152">
        <f t="shared" si="266"/>
        <v>20.533000000000001</v>
      </c>
      <c r="AG223" s="152">
        <f t="shared" si="266"/>
        <v>20.533000000000001</v>
      </c>
      <c r="AH223" s="151">
        <f t="shared" si="266"/>
        <v>20.533000000000001</v>
      </c>
      <c r="AI223" s="152">
        <f t="shared" si="266"/>
        <v>20.533000000000001</v>
      </c>
      <c r="AJ223" s="152">
        <f t="shared" si="266"/>
        <v>20.533000000000001</v>
      </c>
      <c r="AK223" s="152">
        <f t="shared" si="266"/>
        <v>20.533000000000001</v>
      </c>
      <c r="AL223" s="152">
        <f t="shared" si="266"/>
        <v>20.533000000000001</v>
      </c>
      <c r="AM223" s="151">
        <f t="shared" si="266"/>
        <v>20.533000000000001</v>
      </c>
      <c r="AN223" s="378"/>
      <c r="AO223" s="378"/>
      <c r="AP223" s="378"/>
      <c r="AQ223" s="378"/>
      <c r="AR223" s="378"/>
      <c r="AS223" s="378"/>
      <c r="AT223" s="378"/>
      <c r="AU223" s="378"/>
      <c r="AV223" s="378"/>
      <c r="AW223" s="378"/>
      <c r="AX223" s="378"/>
      <c r="AY223" s="378"/>
      <c r="AZ223" s="378"/>
      <c r="BA223" s="392"/>
      <c r="BH223" s="424"/>
      <c r="BI223" s="424"/>
    </row>
    <row r="224" spans="1:61" ht="13.5" customHeight="1">
      <c r="A224" s="378"/>
      <c r="B224" s="423" t="s">
        <v>168</v>
      </c>
      <c r="C224" s="211"/>
      <c r="D224" s="211">
        <v>64.968000000000004</v>
      </c>
      <c r="E224" s="368"/>
      <c r="F224" s="97"/>
      <c r="G224" s="97"/>
      <c r="H224" s="97"/>
      <c r="I224" s="211">
        <v>115.48099999999999</v>
      </c>
      <c r="J224" s="368">
        <v>149.47999999999999</v>
      </c>
      <c r="K224" s="368">
        <v>171.845</v>
      </c>
      <c r="L224" s="368">
        <v>156.18799999999999</v>
      </c>
      <c r="M224" s="368">
        <v>142.727</v>
      </c>
      <c r="N224" s="151">
        <f>M224</f>
        <v>142.727</v>
      </c>
      <c r="O224" s="368">
        <v>189.04900000000001</v>
      </c>
      <c r="P224" s="368">
        <v>204.541</v>
      </c>
      <c r="Q224" s="368">
        <v>233.81200000000001</v>
      </c>
      <c r="R224" s="368">
        <v>321.10199999999998</v>
      </c>
      <c r="S224" s="151">
        <f>R224</f>
        <v>321.10199999999998</v>
      </c>
      <c r="T224" s="368">
        <v>266.08800000000002</v>
      </c>
      <c r="U224" s="368">
        <v>309.02100000000002</v>
      </c>
      <c r="V224" s="368">
        <v>587.63</v>
      </c>
      <c r="W224" s="152">
        <f>W267*W237</f>
        <v>404.87669823020144</v>
      </c>
      <c r="X224" s="151">
        <f>W224</f>
        <v>404.87669823020144</v>
      </c>
      <c r="Y224" s="152">
        <f>Y267*Y237</f>
        <v>362.47678754221187</v>
      </c>
      <c r="Z224" s="152">
        <f>Z267*Z237</f>
        <v>436.15676179604759</v>
      </c>
      <c r="AA224" s="152">
        <f>AA267*AA237</f>
        <v>407.39563842572846</v>
      </c>
      <c r="AB224" s="152">
        <f>AB267*AB237</f>
        <v>422.30159806475211</v>
      </c>
      <c r="AC224" s="151">
        <f>AB224</f>
        <v>422.30159806475211</v>
      </c>
      <c r="AD224" s="152">
        <f>AD267*AD237</f>
        <v>409.32084408850636</v>
      </c>
      <c r="AE224" s="152">
        <f>AE267*AE237</f>
        <v>492.52272153420995</v>
      </c>
      <c r="AF224" s="152">
        <f>AF267*AF237</f>
        <v>534.07090426497336</v>
      </c>
      <c r="AG224" s="152">
        <f>AG267*AG237</f>
        <v>540.54604552288265</v>
      </c>
      <c r="AH224" s="151">
        <f>AG224</f>
        <v>540.54604552288265</v>
      </c>
      <c r="AI224" s="152">
        <f>AI267*AI237</f>
        <v>528.21043911395111</v>
      </c>
      <c r="AJ224" s="152">
        <f>AJ267*AJ237</f>
        <v>635.57878073497409</v>
      </c>
      <c r="AK224" s="152">
        <f>AK267*AK237</f>
        <v>672.92933937386647</v>
      </c>
      <c r="AL224" s="152">
        <f>AL267*AL237</f>
        <v>681.08801735883219</v>
      </c>
      <c r="AM224" s="151">
        <f>AL224</f>
        <v>681.08801735883219</v>
      </c>
      <c r="AN224" s="378"/>
      <c r="AO224" s="378"/>
      <c r="AP224" s="378"/>
      <c r="AQ224" s="378"/>
      <c r="AR224" s="378"/>
      <c r="AS224" s="378"/>
      <c r="AT224" s="378"/>
      <c r="AU224" s="378"/>
      <c r="AV224" s="378"/>
      <c r="AW224" s="378"/>
      <c r="AX224" s="378"/>
      <c r="AY224" s="378"/>
      <c r="AZ224" s="378"/>
      <c r="BA224" s="378"/>
      <c r="BH224" s="424"/>
      <c r="BI224" s="424"/>
    </row>
    <row r="225" spans="1:61" ht="13.5" customHeight="1">
      <c r="A225" s="378"/>
      <c r="B225" s="423" t="s">
        <v>205</v>
      </c>
      <c r="C225" s="211"/>
      <c r="D225" s="211">
        <v>0</v>
      </c>
      <c r="E225" s="368"/>
      <c r="F225" s="97"/>
      <c r="G225" s="97"/>
      <c r="H225" s="97"/>
      <c r="I225" s="211">
        <v>29.302</v>
      </c>
      <c r="J225" s="368">
        <v>30.693000000000001</v>
      </c>
      <c r="K225" s="368">
        <v>32.485999999999997</v>
      </c>
      <c r="L225" s="368">
        <v>43.637999999999998</v>
      </c>
      <c r="M225" s="368">
        <v>36.472999999999999</v>
      </c>
      <c r="N225" s="151">
        <f>M225</f>
        <v>36.472999999999999</v>
      </c>
      <c r="O225" s="368">
        <v>48.156999999999996</v>
      </c>
      <c r="P225" s="368">
        <v>21.268000000000001</v>
      </c>
      <c r="Q225" s="368">
        <v>8.2680000000000007</v>
      </c>
      <c r="R225" s="368">
        <v>4.2119999999999997</v>
      </c>
      <c r="S225" s="151">
        <f>R225</f>
        <v>4.2119999999999997</v>
      </c>
      <c r="T225" s="368">
        <v>0</v>
      </c>
      <c r="U225" s="368">
        <f t="shared" ref="U225" si="267">T225</f>
        <v>0</v>
      </c>
      <c r="V225" s="368">
        <f>U225</f>
        <v>0</v>
      </c>
      <c r="W225" s="152">
        <f>V225</f>
        <v>0</v>
      </c>
      <c r="X225" s="151">
        <f>W225</f>
        <v>0</v>
      </c>
      <c r="Y225" s="152">
        <f>X225*1.15</f>
        <v>0</v>
      </c>
      <c r="Z225" s="152">
        <f t="shared" ref="Z225" si="268">Y225</f>
        <v>0</v>
      </c>
      <c r="AA225" s="152">
        <f>Z225</f>
        <v>0</v>
      </c>
      <c r="AB225" s="152">
        <f>AA225</f>
        <v>0</v>
      </c>
      <c r="AC225" s="151">
        <f>AB225</f>
        <v>0</v>
      </c>
      <c r="AD225" s="152">
        <f>AC225*1.15</f>
        <v>0</v>
      </c>
      <c r="AE225" s="152">
        <f t="shared" ref="AE225" si="269">AD225</f>
        <v>0</v>
      </c>
      <c r="AF225" s="152">
        <f>AE225</f>
        <v>0</v>
      </c>
      <c r="AG225" s="152">
        <f>AF225</f>
        <v>0</v>
      </c>
      <c r="AH225" s="151">
        <f>AG225</f>
        <v>0</v>
      </c>
      <c r="AI225" s="152">
        <f>AH225*1.15</f>
        <v>0</v>
      </c>
      <c r="AJ225" s="152">
        <f t="shared" ref="AJ225" si="270">AI225</f>
        <v>0</v>
      </c>
      <c r="AK225" s="152">
        <f>AJ225</f>
        <v>0</v>
      </c>
      <c r="AL225" s="152">
        <f>AK225</f>
        <v>0</v>
      </c>
      <c r="AM225" s="151">
        <f>AL225</f>
        <v>0</v>
      </c>
      <c r="AN225" s="378"/>
      <c r="AO225" s="378"/>
      <c r="AP225" s="378"/>
      <c r="AQ225" s="378"/>
      <c r="AR225" s="378"/>
      <c r="AS225" s="378"/>
      <c r="AT225" s="378"/>
      <c r="AU225" s="378"/>
      <c r="AV225" s="378"/>
      <c r="AW225" s="378"/>
      <c r="AX225" s="378"/>
      <c r="AY225" s="378"/>
      <c r="AZ225" s="378"/>
      <c r="BA225" s="378"/>
      <c r="BH225" s="424"/>
      <c r="BI225" s="424"/>
    </row>
    <row r="226" spans="1:61" ht="13.5" customHeight="1">
      <c r="A226" s="378"/>
      <c r="B226" s="423" t="s">
        <v>170</v>
      </c>
      <c r="C226" s="211"/>
      <c r="D226" s="211">
        <v>12.657999999999999</v>
      </c>
      <c r="E226" s="368"/>
      <c r="F226" s="97"/>
      <c r="G226" s="97"/>
      <c r="H226" s="97"/>
      <c r="I226" s="211">
        <v>27.834</v>
      </c>
      <c r="J226" s="368">
        <v>24.91</v>
      </c>
      <c r="K226" s="368">
        <v>32.582999999999998</v>
      </c>
      <c r="L226" s="368">
        <v>32.561</v>
      </c>
      <c r="M226" s="368">
        <v>42.051000000000002</v>
      </c>
      <c r="N226" s="151">
        <f>M226</f>
        <v>42.051000000000002</v>
      </c>
      <c r="O226" s="368">
        <f>55.211+43.447</f>
        <v>98.658000000000001</v>
      </c>
      <c r="P226" s="368">
        <f>48.473+60.991+29.774</f>
        <v>139.238</v>
      </c>
      <c r="Q226" s="368">
        <f>28.817+44.244+76.427</f>
        <v>149.488</v>
      </c>
      <c r="R226" s="368">
        <f>43.574+42.144+59.901+56.331</f>
        <v>201.95</v>
      </c>
      <c r="S226" s="151">
        <f>R226</f>
        <v>201.95</v>
      </c>
      <c r="T226" s="368">
        <f>57.527+51.883+54.605+186.756</f>
        <v>350.77099999999996</v>
      </c>
      <c r="U226" s="368">
        <f>73.596+50.079+62.798+203.287</f>
        <v>389.76</v>
      </c>
      <c r="V226" s="368">
        <f>209.959+85.473+58.331+66.539</f>
        <v>420.30200000000002</v>
      </c>
      <c r="W226" s="152">
        <f>W268*4*W16</f>
        <v>429.53826932318134</v>
      </c>
      <c r="X226" s="151">
        <f>W226</f>
        <v>429.53826932318134</v>
      </c>
      <c r="Y226" s="152">
        <f>Y268*4*Y16</f>
        <v>437.37886431106796</v>
      </c>
      <c r="Z226" s="152">
        <f>Z268*4*Z16</f>
        <v>525.92645267938371</v>
      </c>
      <c r="AA226" s="152">
        <f>AA268*4*AA16</f>
        <v>559.07046628161982</v>
      </c>
      <c r="AB226" s="152">
        <f>AB268*4*AB16</f>
        <v>574.89672252096636</v>
      </c>
      <c r="AC226" s="151">
        <f>AB226</f>
        <v>574.89672252096636</v>
      </c>
      <c r="AD226" s="152">
        <f>AD268*4*AD16</f>
        <v>573.13844893910505</v>
      </c>
      <c r="AE226" s="152">
        <f>AE268*4*AE16</f>
        <v>689.23715348434325</v>
      </c>
      <c r="AF226" s="152">
        <f>AF268*4*AF16</f>
        <v>733.45516729419592</v>
      </c>
      <c r="AG226" s="152">
        <f>AG268*4*AG16</f>
        <v>756.34248117072991</v>
      </c>
      <c r="AH226" s="151">
        <f>AG226</f>
        <v>756.34248117072991</v>
      </c>
      <c r="AI226" s="152">
        <f>AI268*4*AI16</f>
        <v>738.02803941717866</v>
      </c>
      <c r="AJ226" s="152">
        <f>AJ268*4*AJ16</f>
        <v>887.62641839537753</v>
      </c>
      <c r="AK226" s="152">
        <f>AK268*4*AK16</f>
        <v>945.538667210791</v>
      </c>
      <c r="AL226" s="152">
        <f>AL268*4*AL16</f>
        <v>977.57922840188871</v>
      </c>
      <c r="AM226" s="151">
        <f>AL226</f>
        <v>977.57922840188871</v>
      </c>
      <c r="AN226" s="378"/>
      <c r="AO226" s="378"/>
      <c r="AP226" s="378"/>
      <c r="AQ226" s="378"/>
      <c r="AR226" s="378"/>
      <c r="AS226" s="378"/>
      <c r="AT226" s="378"/>
      <c r="AU226" s="378"/>
      <c r="AV226" s="378"/>
      <c r="AW226" s="378"/>
      <c r="AX226" s="378"/>
      <c r="AY226" s="378"/>
      <c r="AZ226" s="378"/>
      <c r="BA226" s="378"/>
      <c r="BH226" s="424"/>
      <c r="BI226" s="424"/>
    </row>
    <row r="227" spans="1:61" ht="13.5" customHeight="1">
      <c r="A227" s="378"/>
      <c r="B227" s="425" t="s">
        <v>206</v>
      </c>
      <c r="C227" s="151"/>
      <c r="D227" s="151">
        <f>SUM(D222:D226)</f>
        <v>253.80199999999999</v>
      </c>
      <c r="E227" s="305"/>
      <c r="F227" s="305"/>
      <c r="G227" s="305"/>
      <c r="H227" s="305"/>
      <c r="I227" s="151">
        <f>SUM(I222:I226)</f>
        <v>409.86700000000002</v>
      </c>
      <c r="J227" s="305">
        <f>SUM(J222:J226)</f>
        <v>418.00399999999996</v>
      </c>
      <c r="K227" s="305">
        <f>SUM(K222:K226)</f>
        <v>446.80499999999995</v>
      </c>
      <c r="L227" s="305">
        <f t="shared" ref="L227:AM227" si="271">SUM(L222:L226)</f>
        <v>418.48699999999997</v>
      </c>
      <c r="M227" s="305">
        <f t="shared" si="271"/>
        <v>705.56299999999999</v>
      </c>
      <c r="N227" s="151">
        <f t="shared" si="271"/>
        <v>705.56299999999999</v>
      </c>
      <c r="O227" s="305">
        <f t="shared" si="271"/>
        <v>720.05200000000002</v>
      </c>
      <c r="P227" s="305">
        <f t="shared" si="271"/>
        <v>721.02800000000002</v>
      </c>
      <c r="Q227" s="305">
        <f t="shared" si="271"/>
        <v>843.02700000000004</v>
      </c>
      <c r="R227" s="305">
        <f t="shared" si="271"/>
        <v>1001.425</v>
      </c>
      <c r="S227" s="151">
        <f t="shared" si="271"/>
        <v>1001.425</v>
      </c>
      <c r="T227" s="305">
        <f t="shared" si="271"/>
        <v>1343.355</v>
      </c>
      <c r="U227" s="305">
        <f t="shared" si="271"/>
        <v>1437.9170000000001</v>
      </c>
      <c r="V227" s="305">
        <f t="shared" si="271"/>
        <v>1686.877</v>
      </c>
      <c r="W227" s="305">
        <f t="shared" si="271"/>
        <v>1440.0816698597339</v>
      </c>
      <c r="X227" s="151">
        <f t="shared" si="271"/>
        <v>1440.078669859734</v>
      </c>
      <c r="Y227" s="305">
        <f t="shared" si="271"/>
        <v>1420.0012171586386</v>
      </c>
      <c r="Z227" s="305">
        <f t="shared" si="271"/>
        <v>1584.2210030596443</v>
      </c>
      <c r="AA227" s="305">
        <f t="shared" si="271"/>
        <v>1605.8890655386699</v>
      </c>
      <c r="AB227" s="305">
        <f t="shared" si="271"/>
        <v>1685.2604328839061</v>
      </c>
      <c r="AC227" s="151">
        <f t="shared" si="271"/>
        <v>1685.2604328839061</v>
      </c>
      <c r="AD227" s="305">
        <f t="shared" si="271"/>
        <v>1737.3007354479041</v>
      </c>
      <c r="AE227" s="305">
        <f t="shared" si="271"/>
        <v>1961.9704989795132</v>
      </c>
      <c r="AF227" s="305">
        <f t="shared" si="271"/>
        <v>2131.0271447030154</v>
      </c>
      <c r="AG227" s="305">
        <f t="shared" si="271"/>
        <v>2250.8923369650752</v>
      </c>
      <c r="AH227" s="151">
        <f t="shared" si="271"/>
        <v>2250.8923369650752</v>
      </c>
      <c r="AI227" s="305">
        <f t="shared" si="271"/>
        <v>2345.8957119859651</v>
      </c>
      <c r="AJ227" s="305">
        <f t="shared" si="271"/>
        <v>2664.5136180213667</v>
      </c>
      <c r="AK227" s="305">
        <f t="shared" si="271"/>
        <v>2892.5707006373582</v>
      </c>
      <c r="AL227" s="305">
        <f t="shared" si="271"/>
        <v>3081.9739817985201</v>
      </c>
      <c r="AM227" s="151">
        <f t="shared" si="271"/>
        <v>3081.9739817985201</v>
      </c>
      <c r="AN227" s="378"/>
      <c r="AO227" s="378"/>
      <c r="AP227" s="378"/>
      <c r="AQ227" s="378"/>
      <c r="AR227" s="378"/>
      <c r="AS227" s="378"/>
      <c r="AT227" s="378"/>
      <c r="AU227" s="378"/>
      <c r="AV227" s="378"/>
      <c r="AW227" s="378"/>
      <c r="AX227" s="378"/>
      <c r="AY227" s="378"/>
      <c r="AZ227" s="378"/>
      <c r="BA227" s="378"/>
      <c r="BH227" s="424"/>
      <c r="BI227" s="424"/>
    </row>
    <row r="228" spans="1:61" ht="13.5" customHeight="1">
      <c r="A228" s="378"/>
      <c r="B228" s="426" t="s">
        <v>207</v>
      </c>
      <c r="C228" s="211"/>
      <c r="D228" s="211">
        <v>51.655999999999999</v>
      </c>
      <c r="E228" s="368"/>
      <c r="F228" s="97"/>
      <c r="G228" s="97"/>
      <c r="H228" s="97"/>
      <c r="I228" s="211">
        <v>63.732999999999997</v>
      </c>
      <c r="J228" s="368">
        <v>73.980999999999995</v>
      </c>
      <c r="K228" s="368">
        <v>81.293999999999997</v>
      </c>
      <c r="L228" s="368">
        <v>85.012</v>
      </c>
      <c r="M228" s="368">
        <v>87.221999999999994</v>
      </c>
      <c r="N228" s="151">
        <f>M228</f>
        <v>87.221999999999994</v>
      </c>
      <c r="O228" s="368">
        <v>89.039000000000001</v>
      </c>
      <c r="P228" s="368">
        <v>86.325000000000003</v>
      </c>
      <c r="Q228" s="368">
        <v>89.956999999999994</v>
      </c>
      <c r="R228" s="368">
        <v>88.328000000000003</v>
      </c>
      <c r="S228" s="151">
        <f>R228</f>
        <v>88.328000000000003</v>
      </c>
      <c r="T228" s="368">
        <v>91.013000000000005</v>
      </c>
      <c r="U228" s="368">
        <v>87.441999999999993</v>
      </c>
      <c r="V228" s="368">
        <v>88.665999999999997</v>
      </c>
      <c r="W228" s="152">
        <f>V228-W190-W167</f>
        <v>85.066438950605743</v>
      </c>
      <c r="X228" s="151">
        <f>W228</f>
        <v>85.066438950605743</v>
      </c>
      <c r="Y228" s="152">
        <f t="shared" ref="Y228:Z228" si="272">X228-Y190-Y167</f>
        <v>85.00720281809285</v>
      </c>
      <c r="Z228" s="152">
        <f t="shared" si="272"/>
        <v>87.524927622205269</v>
      </c>
      <c r="AA228" s="152">
        <f>Z228-AA190-AA167</f>
        <v>90.193420095042114</v>
      </c>
      <c r="AB228" s="152">
        <f>AA228-AB190-AB167</f>
        <v>90.072518768757547</v>
      </c>
      <c r="AC228" s="151">
        <f>AB228</f>
        <v>90.072518768757547</v>
      </c>
      <c r="AD228" s="152">
        <f t="shared" ref="AD228:AE228" si="273">AC228-AD190-AD167</f>
        <v>90.955188950826511</v>
      </c>
      <c r="AE228" s="152">
        <f t="shared" si="273"/>
        <v>95.606555983826595</v>
      </c>
      <c r="AF228" s="152">
        <f>AE228-AF190-AF167</f>
        <v>100.57867242310427</v>
      </c>
      <c r="AG228" s="152">
        <f>AF228-AG190-AG167</f>
        <v>101.83423000258711</v>
      </c>
      <c r="AH228" s="151">
        <f>AG228</f>
        <v>101.83423000258711</v>
      </c>
      <c r="AI228" s="152">
        <f t="shared" ref="AI228:AJ228" si="274">AH228-AI190-AI167</f>
        <v>103.9369199844446</v>
      </c>
      <c r="AJ228" s="152">
        <f t="shared" si="274"/>
        <v>111.32114843831243</v>
      </c>
      <c r="AK228" s="152">
        <f>AJ228-AK190-AK167</f>
        <v>119.25124695353873</v>
      </c>
      <c r="AL228" s="152">
        <f>AK228-AL190-AL167</f>
        <v>122.30792400529701</v>
      </c>
      <c r="AM228" s="151">
        <f>AL228</f>
        <v>122.30792400529701</v>
      </c>
      <c r="AN228" s="378"/>
      <c r="AO228" s="378"/>
      <c r="AP228" s="378"/>
      <c r="AQ228" s="378"/>
      <c r="AR228" s="378"/>
      <c r="AS228" s="378"/>
      <c r="AT228" s="378"/>
      <c r="AU228" s="378"/>
      <c r="AV228" s="378"/>
      <c r="AW228" s="378"/>
      <c r="AX228" s="378"/>
      <c r="AY228" s="378"/>
      <c r="AZ228" s="378"/>
      <c r="BA228" s="378"/>
      <c r="BH228" s="424"/>
      <c r="BI228" s="424"/>
    </row>
    <row r="229" spans="1:61" ht="13.5" customHeight="1">
      <c r="A229" s="378"/>
      <c r="B229" s="426" t="s">
        <v>208</v>
      </c>
      <c r="C229" s="211"/>
      <c r="D229" s="211">
        <v>0.60199999999999998</v>
      </c>
      <c r="E229" s="368"/>
      <c r="F229" s="97"/>
      <c r="G229" s="97"/>
      <c r="H229" s="97"/>
      <c r="I229" s="211">
        <v>40.267000000000003</v>
      </c>
      <c r="J229" s="368">
        <v>54.279000000000003</v>
      </c>
      <c r="K229" s="368">
        <v>54.279000000000003</v>
      </c>
      <c r="L229" s="368">
        <v>56.899000000000001</v>
      </c>
      <c r="M229" s="368">
        <v>56.698999999999998</v>
      </c>
      <c r="N229" s="151">
        <f t="shared" ref="N229:N232" si="275">M229</f>
        <v>56.698999999999998</v>
      </c>
      <c r="O229" s="368">
        <v>56.698999999999998</v>
      </c>
      <c r="P229" s="368">
        <v>56.698999999999998</v>
      </c>
      <c r="Q229" s="368">
        <v>56.698999999999998</v>
      </c>
      <c r="R229" s="368">
        <v>57.173000000000002</v>
      </c>
      <c r="S229" s="151">
        <f t="shared" ref="S229:W232" si="276">R229</f>
        <v>57.173000000000002</v>
      </c>
      <c r="T229" s="368">
        <v>58.103000000000002</v>
      </c>
      <c r="U229" s="368">
        <v>57.960999999999999</v>
      </c>
      <c r="V229" s="368">
        <v>57.960999999999999</v>
      </c>
      <c r="W229" s="152">
        <f t="shared" ref="W229" si="277">V229-W193</f>
        <v>57.960999999999999</v>
      </c>
      <c r="X229" s="151">
        <f t="shared" ref="X229:AG232" si="278">W229</f>
        <v>57.960999999999999</v>
      </c>
      <c r="Y229" s="152">
        <f t="shared" ref="Y229:AB229" si="279">X229-Y193</f>
        <v>57.960999999999999</v>
      </c>
      <c r="Z229" s="152">
        <f t="shared" si="279"/>
        <v>57.960999999999999</v>
      </c>
      <c r="AA229" s="152">
        <f t="shared" si="279"/>
        <v>57.960999999999999</v>
      </c>
      <c r="AB229" s="152">
        <f t="shared" si="279"/>
        <v>57.960999999999999</v>
      </c>
      <c r="AC229" s="151">
        <f t="shared" ref="AC229:AC230" si="280">AB229</f>
        <v>57.960999999999999</v>
      </c>
      <c r="AD229" s="152">
        <f t="shared" ref="AD229:AG229" si="281">AC229-AD193</f>
        <v>57.960999999999999</v>
      </c>
      <c r="AE229" s="152">
        <f t="shared" si="281"/>
        <v>57.960999999999999</v>
      </c>
      <c r="AF229" s="152">
        <f t="shared" si="281"/>
        <v>57.960999999999999</v>
      </c>
      <c r="AG229" s="152">
        <f t="shared" si="281"/>
        <v>57.960999999999999</v>
      </c>
      <c r="AH229" s="151">
        <f t="shared" ref="AH229:AL232" si="282">AG229</f>
        <v>57.960999999999999</v>
      </c>
      <c r="AI229" s="152">
        <f t="shared" ref="AI229:AL229" si="283">AH229-AI193</f>
        <v>57.960999999999999</v>
      </c>
      <c r="AJ229" s="152">
        <f t="shared" si="283"/>
        <v>57.960999999999999</v>
      </c>
      <c r="AK229" s="152">
        <f t="shared" si="283"/>
        <v>57.960999999999999</v>
      </c>
      <c r="AL229" s="152">
        <f t="shared" si="283"/>
        <v>57.960999999999999</v>
      </c>
      <c r="AM229" s="151">
        <f t="shared" ref="AM229:AM232" si="284">AL229</f>
        <v>57.960999999999999</v>
      </c>
      <c r="AN229" s="378"/>
      <c r="AO229" s="378"/>
      <c r="AP229" s="378"/>
      <c r="AQ229" s="378"/>
      <c r="AR229" s="378"/>
      <c r="AS229" s="378"/>
      <c r="AT229" s="378"/>
      <c r="AU229" s="378"/>
      <c r="AV229" s="378"/>
      <c r="AW229" s="378"/>
      <c r="AX229" s="378"/>
      <c r="AY229" s="378"/>
      <c r="AZ229" s="378"/>
      <c r="BA229" s="378"/>
      <c r="BH229" s="424"/>
      <c r="BI229" s="424"/>
    </row>
    <row r="230" spans="1:61" ht="13.5" customHeight="1">
      <c r="A230" s="378"/>
      <c r="B230" s="426" t="s">
        <v>209</v>
      </c>
      <c r="C230" s="211"/>
      <c r="D230" s="211">
        <v>0.61199999999999999</v>
      </c>
      <c r="E230" s="368"/>
      <c r="F230" s="97"/>
      <c r="G230" s="97"/>
      <c r="H230" s="97"/>
      <c r="I230" s="211">
        <v>10.279</v>
      </c>
      <c r="J230" s="368">
        <v>21.259</v>
      </c>
      <c r="K230" s="368">
        <v>19.617999999999999</v>
      </c>
      <c r="L230" s="368">
        <v>20.725999999999999</v>
      </c>
      <c r="M230" s="368">
        <v>26.776</v>
      </c>
      <c r="N230" s="151">
        <f t="shared" si="275"/>
        <v>26.776</v>
      </c>
      <c r="O230" s="368">
        <v>24.463000000000001</v>
      </c>
      <c r="P230" s="368">
        <v>22.329000000000001</v>
      </c>
      <c r="Q230" s="368">
        <v>20.251999999999999</v>
      </c>
      <c r="R230" s="368">
        <v>19.292000000000002</v>
      </c>
      <c r="S230" s="151">
        <f t="shared" si="276"/>
        <v>19.292000000000002</v>
      </c>
      <c r="T230" s="368">
        <v>18.395</v>
      </c>
      <c r="U230" s="368">
        <v>16.452000000000002</v>
      </c>
      <c r="V230" s="368">
        <v>14.648</v>
      </c>
      <c r="W230" s="152">
        <f t="shared" ref="W230" si="285">V230-W168-W191-W175</f>
        <v>13.548</v>
      </c>
      <c r="X230" s="151">
        <f t="shared" si="278"/>
        <v>13.548</v>
      </c>
      <c r="Y230" s="152">
        <f t="shared" ref="Y230:AB230" si="286">X230-Y168-Y191-Y175</f>
        <v>12.548</v>
      </c>
      <c r="Z230" s="152">
        <f t="shared" si="286"/>
        <v>11.548</v>
      </c>
      <c r="AA230" s="152">
        <f t="shared" si="286"/>
        <v>10.548</v>
      </c>
      <c r="AB230" s="152">
        <f t="shared" si="286"/>
        <v>9.548</v>
      </c>
      <c r="AC230" s="151">
        <f t="shared" si="280"/>
        <v>9.548</v>
      </c>
      <c r="AD230" s="152">
        <f t="shared" ref="AD230:AG230" si="287">AC230-AD168-AD191-AD175</f>
        <v>8.548</v>
      </c>
      <c r="AE230" s="152">
        <f t="shared" si="287"/>
        <v>7.548</v>
      </c>
      <c r="AF230" s="152">
        <f t="shared" si="287"/>
        <v>6.548</v>
      </c>
      <c r="AG230" s="152">
        <f t="shared" si="287"/>
        <v>5.548</v>
      </c>
      <c r="AH230" s="151">
        <f t="shared" si="282"/>
        <v>5.548</v>
      </c>
      <c r="AI230" s="152">
        <f t="shared" ref="AI230:AL230" si="288">AH230-AI168-AI191-AI175</f>
        <v>4.548</v>
      </c>
      <c r="AJ230" s="152">
        <f t="shared" si="288"/>
        <v>3.548</v>
      </c>
      <c r="AK230" s="152">
        <f t="shared" si="288"/>
        <v>2.548</v>
      </c>
      <c r="AL230" s="152">
        <f t="shared" si="288"/>
        <v>1.548</v>
      </c>
      <c r="AM230" s="151">
        <f t="shared" si="284"/>
        <v>1.548</v>
      </c>
      <c r="AN230" s="378"/>
      <c r="AO230" s="378"/>
      <c r="AP230" s="378"/>
      <c r="AQ230" s="378"/>
      <c r="AR230" s="378"/>
      <c r="AS230" s="378"/>
      <c r="AT230" s="378"/>
      <c r="AU230" s="378"/>
      <c r="AV230" s="378"/>
      <c r="AW230" s="378"/>
      <c r="AX230" s="378"/>
      <c r="AY230" s="378"/>
      <c r="AZ230" s="378"/>
      <c r="BA230" s="378"/>
      <c r="BH230" s="424"/>
      <c r="BI230" s="424"/>
    </row>
    <row r="231" spans="1:61" ht="13.5" customHeight="1">
      <c r="A231" s="378"/>
      <c r="B231" s="423" t="s">
        <v>204</v>
      </c>
      <c r="C231" s="211"/>
      <c r="D231" s="211">
        <v>9.27</v>
      </c>
      <c r="E231" s="368"/>
      <c r="F231" s="97"/>
      <c r="G231" s="97"/>
      <c r="H231" s="97"/>
      <c r="I231" s="211">
        <v>14.394</v>
      </c>
      <c r="J231" s="368">
        <v>14.394</v>
      </c>
      <c r="K231" s="368">
        <v>14.394</v>
      </c>
      <c r="L231" s="368">
        <v>14.579000000000001</v>
      </c>
      <c r="M231" s="368">
        <v>14.686</v>
      </c>
      <c r="N231" s="151">
        <f t="shared" si="275"/>
        <v>14.686</v>
      </c>
      <c r="O231" s="368">
        <v>14.994</v>
      </c>
      <c r="P231" s="368">
        <v>23.131</v>
      </c>
      <c r="Q231" s="368">
        <v>23.137</v>
      </c>
      <c r="R231" s="368">
        <v>14.584</v>
      </c>
      <c r="S231" s="151">
        <f t="shared" si="276"/>
        <v>14.584</v>
      </c>
      <c r="T231" s="368">
        <v>14.494</v>
      </c>
      <c r="U231" s="368">
        <v>14.565</v>
      </c>
      <c r="V231" s="368">
        <v>14.565</v>
      </c>
      <c r="W231" s="152">
        <f t="shared" si="276"/>
        <v>14.565</v>
      </c>
      <c r="X231" s="151">
        <f t="shared" si="278"/>
        <v>14.565</v>
      </c>
      <c r="Y231" s="152">
        <f t="shared" si="278"/>
        <v>14.565</v>
      </c>
      <c r="Z231" s="152">
        <f t="shared" si="278"/>
        <v>14.565</v>
      </c>
      <c r="AA231" s="152">
        <f t="shared" si="278"/>
        <v>14.565</v>
      </c>
      <c r="AB231" s="152">
        <f t="shared" si="278"/>
        <v>14.565</v>
      </c>
      <c r="AC231" s="151">
        <f t="shared" si="278"/>
        <v>14.565</v>
      </c>
      <c r="AD231" s="152">
        <f t="shared" si="278"/>
        <v>14.565</v>
      </c>
      <c r="AE231" s="152">
        <f t="shared" si="278"/>
        <v>14.565</v>
      </c>
      <c r="AF231" s="152">
        <f t="shared" si="278"/>
        <v>14.565</v>
      </c>
      <c r="AG231" s="152">
        <f t="shared" si="278"/>
        <v>14.565</v>
      </c>
      <c r="AH231" s="151">
        <f t="shared" si="282"/>
        <v>14.565</v>
      </c>
      <c r="AI231" s="152">
        <f t="shared" si="282"/>
        <v>14.565</v>
      </c>
      <c r="AJ231" s="152">
        <f t="shared" si="282"/>
        <v>14.565</v>
      </c>
      <c r="AK231" s="152">
        <f t="shared" si="282"/>
        <v>14.565</v>
      </c>
      <c r="AL231" s="152">
        <f t="shared" si="282"/>
        <v>14.565</v>
      </c>
      <c r="AM231" s="151">
        <f t="shared" si="284"/>
        <v>14.565</v>
      </c>
      <c r="AN231" s="378"/>
      <c r="AO231" s="378"/>
      <c r="AP231" s="378"/>
      <c r="AQ231" s="378"/>
      <c r="AR231" s="378"/>
      <c r="AS231" s="378"/>
      <c r="AT231" s="378"/>
      <c r="AU231" s="378"/>
      <c r="AV231" s="378"/>
      <c r="AW231" s="378"/>
      <c r="AX231" s="378"/>
      <c r="AY231" s="378"/>
      <c r="AZ231" s="378"/>
      <c r="BA231" s="378"/>
      <c r="BH231" s="424"/>
      <c r="BI231" s="424"/>
    </row>
    <row r="232" spans="1:61" ht="13.5" customHeight="1" thickBot="1">
      <c r="A232" s="378"/>
      <c r="B232" s="423" t="s">
        <v>171</v>
      </c>
      <c r="C232" s="211"/>
      <c r="D232" s="211">
        <v>2.399</v>
      </c>
      <c r="E232" s="368"/>
      <c r="F232" s="97"/>
      <c r="G232" s="97"/>
      <c r="H232" s="97"/>
      <c r="I232" s="211">
        <v>3.3479999999999999</v>
      </c>
      <c r="J232" s="368">
        <v>2.6040000000000001</v>
      </c>
      <c r="K232" s="368">
        <v>2.169</v>
      </c>
      <c r="L232" s="368">
        <v>2.2429999999999999</v>
      </c>
      <c r="M232" s="368">
        <v>3.8260000000000001</v>
      </c>
      <c r="N232" s="151">
        <f t="shared" si="275"/>
        <v>3.8260000000000001</v>
      </c>
      <c r="O232" s="368">
        <f>29.715+10.107</f>
        <v>39.822000000000003</v>
      </c>
      <c r="P232" s="368">
        <f>4.178+19.602</f>
        <v>23.78</v>
      </c>
      <c r="Q232" s="368">
        <f>3.658+15.478</f>
        <v>19.135999999999999</v>
      </c>
      <c r="R232" s="368">
        <f>3.194+27.366</f>
        <v>30.56</v>
      </c>
      <c r="S232" s="151">
        <f t="shared" si="276"/>
        <v>30.56</v>
      </c>
      <c r="T232" s="368">
        <f>62.711+3.042</f>
        <v>65.753</v>
      </c>
      <c r="U232" s="368">
        <f>124.099+3.278</f>
        <v>127.37700000000001</v>
      </c>
      <c r="V232" s="368">
        <f>29.8+191.335</f>
        <v>221.13500000000002</v>
      </c>
      <c r="W232" s="152">
        <f t="shared" si="276"/>
        <v>221.13500000000002</v>
      </c>
      <c r="X232" s="151">
        <f t="shared" si="278"/>
        <v>221.13500000000002</v>
      </c>
      <c r="Y232" s="152">
        <f t="shared" si="278"/>
        <v>221.13500000000002</v>
      </c>
      <c r="Z232" s="152">
        <f t="shared" si="278"/>
        <v>221.13500000000002</v>
      </c>
      <c r="AA232" s="152">
        <f t="shared" si="278"/>
        <v>221.13500000000002</v>
      </c>
      <c r="AB232" s="152">
        <f t="shared" si="278"/>
        <v>221.13500000000002</v>
      </c>
      <c r="AC232" s="151">
        <f t="shared" si="278"/>
        <v>221.13500000000002</v>
      </c>
      <c r="AD232" s="152">
        <f t="shared" si="278"/>
        <v>221.13500000000002</v>
      </c>
      <c r="AE232" s="152">
        <f t="shared" si="278"/>
        <v>221.13500000000002</v>
      </c>
      <c r="AF232" s="152">
        <f t="shared" si="278"/>
        <v>221.13500000000002</v>
      </c>
      <c r="AG232" s="152">
        <f t="shared" si="278"/>
        <v>221.13500000000002</v>
      </c>
      <c r="AH232" s="151">
        <f t="shared" si="282"/>
        <v>221.13500000000002</v>
      </c>
      <c r="AI232" s="152">
        <f t="shared" si="282"/>
        <v>221.13500000000002</v>
      </c>
      <c r="AJ232" s="152">
        <f t="shared" si="282"/>
        <v>221.13500000000002</v>
      </c>
      <c r="AK232" s="152">
        <f t="shared" si="282"/>
        <v>221.13500000000002</v>
      </c>
      <c r="AL232" s="152">
        <f t="shared" si="282"/>
        <v>221.13500000000002</v>
      </c>
      <c r="AM232" s="151">
        <f t="shared" si="284"/>
        <v>221.13500000000002</v>
      </c>
      <c r="AN232" s="378"/>
      <c r="AO232" s="378"/>
      <c r="AP232" s="378"/>
      <c r="AQ232" s="378"/>
      <c r="AR232" s="378"/>
      <c r="AS232" s="378"/>
      <c r="AT232" s="378"/>
      <c r="AU232" s="378"/>
      <c r="AV232" s="378"/>
      <c r="AW232" s="378"/>
      <c r="AX232" s="378"/>
      <c r="AY232" s="378"/>
      <c r="AZ232" s="378"/>
      <c r="BA232" s="378"/>
      <c r="BH232" s="424"/>
      <c r="BI232" s="424"/>
    </row>
    <row r="233" spans="1:61" ht="13.5" customHeight="1" thickTop="1" thickBot="1">
      <c r="A233" s="378"/>
      <c r="B233" s="427" t="s">
        <v>210</v>
      </c>
      <c r="C233" s="428"/>
      <c r="D233" s="428">
        <f>SUM(D227:D232)</f>
        <v>318.34099999999995</v>
      </c>
      <c r="E233" s="429"/>
      <c r="F233" s="429"/>
      <c r="G233" s="429"/>
      <c r="H233" s="429"/>
      <c r="I233" s="428">
        <f>SUM(I227:I232)</f>
        <v>541.88800000000003</v>
      </c>
      <c r="J233" s="429">
        <f>SUM(J227:J232)</f>
        <v>584.52100000000007</v>
      </c>
      <c r="K233" s="429">
        <f>SUM(K227:K232)</f>
        <v>618.55899999999997</v>
      </c>
      <c r="L233" s="429">
        <f t="shared" ref="L233:AM233" si="289">SUM(L227:L232)</f>
        <v>597.94599999999991</v>
      </c>
      <c r="M233" s="429">
        <f t="shared" si="289"/>
        <v>894.77199999999993</v>
      </c>
      <c r="N233" s="428">
        <f t="shared" si="289"/>
        <v>894.77199999999993</v>
      </c>
      <c r="O233" s="429">
        <f t="shared" si="289"/>
        <v>945.06899999999996</v>
      </c>
      <c r="P233" s="429">
        <f t="shared" si="289"/>
        <v>933.29199999999992</v>
      </c>
      <c r="Q233" s="429">
        <f t="shared" si="289"/>
        <v>1052.2079999999999</v>
      </c>
      <c r="R233" s="429">
        <f t="shared" si="289"/>
        <v>1211.3619999999999</v>
      </c>
      <c r="S233" s="428">
        <f t="shared" si="289"/>
        <v>1211.3619999999999</v>
      </c>
      <c r="T233" s="429">
        <f t="shared" si="289"/>
        <v>1591.1129999999998</v>
      </c>
      <c r="U233" s="429">
        <f t="shared" si="289"/>
        <v>1741.7140000000002</v>
      </c>
      <c r="V233" s="429">
        <f t="shared" si="289"/>
        <v>2083.8519999999999</v>
      </c>
      <c r="W233" s="429">
        <f t="shared" si="289"/>
        <v>1832.3571088103397</v>
      </c>
      <c r="X233" s="428">
        <f t="shared" si="289"/>
        <v>1832.3541088103398</v>
      </c>
      <c r="Y233" s="429">
        <f t="shared" si="289"/>
        <v>1811.2174199767314</v>
      </c>
      <c r="Z233" s="429">
        <f t="shared" si="289"/>
        <v>1976.9549306818496</v>
      </c>
      <c r="AA233" s="429">
        <f t="shared" si="289"/>
        <v>2000.291485633712</v>
      </c>
      <c r="AB233" s="429">
        <f t="shared" si="289"/>
        <v>2078.541951652664</v>
      </c>
      <c r="AC233" s="428">
        <f t="shared" si="289"/>
        <v>2078.541951652664</v>
      </c>
      <c r="AD233" s="429">
        <f t="shared" si="289"/>
        <v>2130.464924398731</v>
      </c>
      <c r="AE233" s="429">
        <f t="shared" si="289"/>
        <v>2358.7860549633397</v>
      </c>
      <c r="AF233" s="429">
        <f t="shared" si="289"/>
        <v>2531.8148171261196</v>
      </c>
      <c r="AG233" s="429">
        <f t="shared" si="289"/>
        <v>2651.935566967662</v>
      </c>
      <c r="AH233" s="428">
        <f t="shared" si="289"/>
        <v>2651.935566967662</v>
      </c>
      <c r="AI233" s="429">
        <f t="shared" si="289"/>
        <v>2748.0416319704095</v>
      </c>
      <c r="AJ233" s="429">
        <f t="shared" si="289"/>
        <v>3073.0437664596789</v>
      </c>
      <c r="AK233" s="429">
        <f t="shared" si="289"/>
        <v>3308.0309475908966</v>
      </c>
      <c r="AL233" s="429">
        <f t="shared" si="289"/>
        <v>3499.490905803817</v>
      </c>
      <c r="AM233" s="428">
        <f t="shared" si="289"/>
        <v>3499.490905803817</v>
      </c>
      <c r="AN233" s="378"/>
      <c r="AO233" s="378"/>
      <c r="AP233" s="378"/>
      <c r="AQ233" s="378"/>
      <c r="AR233" s="378"/>
      <c r="AS233" s="378"/>
      <c r="AT233" s="378"/>
      <c r="AU233" s="378"/>
      <c r="AV233" s="378"/>
      <c r="AW233" s="378"/>
      <c r="AX233" s="378"/>
      <c r="AY233" s="378"/>
      <c r="AZ233" s="378"/>
      <c r="BA233" s="378"/>
      <c r="BH233" s="424"/>
      <c r="BI233" s="424"/>
    </row>
    <row r="234" spans="1:61" ht="13.5" customHeight="1" thickTop="1">
      <c r="A234" s="396"/>
      <c r="B234" s="430"/>
      <c r="C234" s="431"/>
      <c r="D234" s="431"/>
      <c r="E234" s="395"/>
      <c r="F234" s="395"/>
      <c r="G234" s="395"/>
      <c r="H234" s="395"/>
      <c r="I234" s="431"/>
      <c r="J234" s="395"/>
      <c r="K234" s="395"/>
      <c r="L234" s="395"/>
      <c r="M234" s="395"/>
      <c r="N234" s="151"/>
      <c r="O234" s="395"/>
      <c r="P234" s="395"/>
      <c r="Q234" s="395"/>
      <c r="R234" s="395"/>
      <c r="S234" s="151"/>
      <c r="T234" s="395"/>
      <c r="U234" s="395"/>
      <c r="V234" s="395"/>
      <c r="W234" s="382"/>
      <c r="X234" s="151"/>
      <c r="Y234" s="382"/>
      <c r="Z234" s="382"/>
      <c r="AA234" s="382"/>
      <c r="AB234" s="382"/>
      <c r="AC234" s="151"/>
      <c r="AD234" s="382"/>
      <c r="AE234" s="382"/>
      <c r="AF234" s="382"/>
      <c r="AG234" s="382"/>
      <c r="AH234" s="151"/>
      <c r="AI234" s="382"/>
      <c r="AJ234" s="382"/>
      <c r="AK234" s="382"/>
      <c r="AL234" s="382"/>
      <c r="AM234" s="151"/>
      <c r="AN234" s="432"/>
      <c r="AO234" s="432"/>
      <c r="AP234" s="432"/>
      <c r="AQ234" s="432"/>
      <c r="AR234" s="432"/>
      <c r="AS234" s="432"/>
      <c r="AT234" s="432"/>
      <c r="AU234" s="432"/>
      <c r="AV234" s="432"/>
      <c r="AW234" s="432"/>
      <c r="AX234" s="432"/>
      <c r="AY234" s="432"/>
      <c r="AZ234" s="432"/>
      <c r="BA234" s="396"/>
      <c r="BH234" s="424"/>
      <c r="BI234" s="424"/>
    </row>
    <row r="235" spans="1:61" ht="13.5" customHeight="1">
      <c r="A235" s="396"/>
      <c r="B235" s="393" t="s">
        <v>211</v>
      </c>
      <c r="C235" s="433"/>
      <c r="D235" s="433"/>
      <c r="E235" s="395"/>
      <c r="F235" s="434"/>
      <c r="G235" s="434"/>
      <c r="H235" s="434"/>
      <c r="I235" s="433"/>
      <c r="J235" s="395"/>
      <c r="K235" s="395"/>
      <c r="L235" s="395"/>
      <c r="M235" s="395"/>
      <c r="N235" s="151"/>
      <c r="O235" s="395"/>
      <c r="P235" s="395"/>
      <c r="Q235" s="395"/>
      <c r="R235" s="395"/>
      <c r="S235" s="151"/>
      <c r="T235" s="395"/>
      <c r="U235" s="395"/>
      <c r="V235" s="395"/>
      <c r="W235" s="382"/>
      <c r="X235" s="151"/>
      <c r="Y235" s="382"/>
      <c r="Z235" s="382"/>
      <c r="AA235" s="382"/>
      <c r="AB235" s="382"/>
      <c r="AC235" s="151"/>
      <c r="AD235" s="382"/>
      <c r="AE235" s="382"/>
      <c r="AF235" s="382"/>
      <c r="AG235" s="382"/>
      <c r="AH235" s="151"/>
      <c r="AI235" s="382"/>
      <c r="AJ235" s="382"/>
      <c r="AK235" s="382"/>
      <c r="AL235" s="382"/>
      <c r="AM235" s="151"/>
      <c r="AN235" s="432"/>
      <c r="AO235" s="432"/>
      <c r="AP235" s="432"/>
      <c r="AQ235" s="432"/>
      <c r="AR235" s="432"/>
      <c r="AS235" s="432"/>
      <c r="AT235" s="432"/>
      <c r="AU235" s="432"/>
      <c r="AV235" s="432"/>
      <c r="AW235" s="432"/>
      <c r="AX235" s="432"/>
      <c r="AY235" s="432"/>
      <c r="AZ235" s="432"/>
      <c r="BA235" s="396"/>
      <c r="BH235" s="424"/>
      <c r="BI235" s="424"/>
    </row>
    <row r="236" spans="1:61" ht="13.5" customHeight="1">
      <c r="A236" s="392"/>
      <c r="B236" s="423" t="s">
        <v>172</v>
      </c>
      <c r="C236" s="211"/>
      <c r="D236" s="211">
        <v>4.5410000000000004</v>
      </c>
      <c r="E236" s="368"/>
      <c r="F236" s="97"/>
      <c r="G236" s="97"/>
      <c r="H236" s="97"/>
      <c r="I236" s="211">
        <v>5.4359999999999999</v>
      </c>
      <c r="J236" s="368">
        <v>10.125</v>
      </c>
      <c r="K236" s="368">
        <v>8.8640000000000008</v>
      </c>
      <c r="L236" s="368">
        <v>7.5279999999999996</v>
      </c>
      <c r="M236" s="368">
        <v>18.869</v>
      </c>
      <c r="N236" s="151">
        <f>M236</f>
        <v>18.869</v>
      </c>
      <c r="O236" s="368">
        <v>19.579999999999998</v>
      </c>
      <c r="P236" s="368">
        <v>16.210999999999999</v>
      </c>
      <c r="Q236" s="368">
        <v>13.718999999999999</v>
      </c>
      <c r="R236" s="368">
        <v>12.602</v>
      </c>
      <c r="S236" s="151">
        <f>R236</f>
        <v>12.602</v>
      </c>
      <c r="T236" s="368">
        <v>9.8260000000000005</v>
      </c>
      <c r="U236" s="368">
        <v>11.375</v>
      </c>
      <c r="V236" s="368">
        <v>13.529</v>
      </c>
      <c r="W236" s="152">
        <f>W269*SUM(W57,W64,W71,W78,W89)*4</f>
        <v>16.138694714522693</v>
      </c>
      <c r="X236" s="151">
        <f>W236</f>
        <v>16.138694714522693</v>
      </c>
      <c r="Y236" s="152">
        <f>Y269*SUM(Y57,Y64,Y71,Y78,Y89)*4</f>
        <v>15.429627338498257</v>
      </c>
      <c r="Z236" s="152">
        <f>Z269*SUM(Z57,Z64,Z71,Z78,Z89)*4</f>
        <v>18.112624915873479</v>
      </c>
      <c r="AA236" s="152">
        <f>AA269*SUM(AA57,AA64,AA71,AA78,AA89)*4</f>
        <v>19.181217611643188</v>
      </c>
      <c r="AB236" s="152">
        <f>AB269*SUM(AB57,AB64,AB71,AB78,AB89)*4</f>
        <v>20.504421437873127</v>
      </c>
      <c r="AC236" s="151">
        <f>AB236</f>
        <v>20.504421437873127</v>
      </c>
      <c r="AD236" s="152">
        <f>AD269*SUM(AD57,AD64,AD71,AD78,AD89)*4</f>
        <v>19.241040542688417</v>
      </c>
      <c r="AE236" s="152">
        <f>AE269*SUM(AE57,AE64,AE71,AE78,AE89)*4</f>
        <v>22.544126551202211</v>
      </c>
      <c r="AF236" s="152">
        <f>AF269*SUM(AF57,AF64,AF71,AF78,AF89)*4</f>
        <v>23.900603772647663</v>
      </c>
      <c r="AG236" s="152">
        <f>AG269*SUM(AG57,AG64,AG71,AG78,AG89)*4</f>
        <v>25.717054550117304</v>
      </c>
      <c r="AH236" s="151">
        <f>AG236</f>
        <v>25.717054550117304</v>
      </c>
      <c r="AI236" s="152">
        <f>AI269*SUM(AI57,AI64,AI71,AI78,AI89)*4</f>
        <v>23.826772848586696</v>
      </c>
      <c r="AJ236" s="152">
        <f>AJ269*SUM(AJ57,AJ64,AJ71,AJ78,AJ89)*4</f>
        <v>27.868645942261846</v>
      </c>
      <c r="AK236" s="152">
        <f>AK269*SUM(AK57,AK64,AK71,AK78,AK89)*4</f>
        <v>29.571414823399991</v>
      </c>
      <c r="AL236" s="152">
        <f>AL269*SUM(AL57,AL64,AL71,AL78,AL89)*4</f>
        <v>31.993610688969206</v>
      </c>
      <c r="AM236" s="151">
        <f>AL236</f>
        <v>31.993610688969206</v>
      </c>
      <c r="AN236" s="378"/>
      <c r="AO236" s="378"/>
      <c r="AP236" s="378"/>
      <c r="AQ236" s="378"/>
      <c r="AR236" s="378"/>
      <c r="AS236" s="378"/>
      <c r="AT236" s="378"/>
      <c r="AU236" s="378"/>
      <c r="AV236" s="378"/>
      <c r="AW236" s="378"/>
      <c r="AX236" s="378"/>
      <c r="AY236" s="378"/>
      <c r="AZ236" s="378"/>
      <c r="BA236" s="392"/>
      <c r="BH236" s="424"/>
      <c r="BI236" s="424"/>
    </row>
    <row r="237" spans="1:61" ht="13.5" customHeight="1">
      <c r="A237" s="392"/>
      <c r="B237" s="423" t="s">
        <v>173</v>
      </c>
      <c r="C237" s="211"/>
      <c r="D237" s="211">
        <v>95.793999999999997</v>
      </c>
      <c r="E237" s="368"/>
      <c r="F237" s="97"/>
      <c r="G237" s="97"/>
      <c r="H237" s="97"/>
      <c r="I237" s="211">
        <v>148.648</v>
      </c>
      <c r="J237" s="368">
        <v>187.29900000000001</v>
      </c>
      <c r="K237" s="368">
        <v>215.892</v>
      </c>
      <c r="L237" s="368">
        <v>238.08500000000001</v>
      </c>
      <c r="M237" s="368">
        <v>224.81100000000001</v>
      </c>
      <c r="N237" s="151">
        <f>M237</f>
        <v>224.81100000000001</v>
      </c>
      <c r="O237" s="368">
        <v>283.86</v>
      </c>
      <c r="P237" s="368">
        <v>310.24200000000002</v>
      </c>
      <c r="Q237" s="368">
        <v>364.43400000000003</v>
      </c>
      <c r="R237" s="368">
        <v>388.05799999999999</v>
      </c>
      <c r="S237" s="151">
        <f>R237</f>
        <v>388.05799999999999</v>
      </c>
      <c r="T237" s="368">
        <v>363.03899999999999</v>
      </c>
      <c r="U237" s="368">
        <v>465.92599999999999</v>
      </c>
      <c r="V237" s="368">
        <f>727.341+81.414</f>
        <v>808.755</v>
      </c>
      <c r="W237" s="152">
        <f t="shared" ref="W237" si="290">W301</f>
        <v>557.23168333333319</v>
      </c>
      <c r="X237" s="151">
        <f>W237</f>
        <v>557.23168333333319</v>
      </c>
      <c r="Y237" s="152">
        <f t="shared" ref="Y237:AB237" si="291">Y301</f>
        <v>498.87669844749519</v>
      </c>
      <c r="Z237" s="152">
        <f t="shared" si="291"/>
        <v>600.2824258229881</v>
      </c>
      <c r="AA237" s="152">
        <f t="shared" si="291"/>
        <v>560.69850000000008</v>
      </c>
      <c r="AB237" s="152">
        <f t="shared" si="291"/>
        <v>581.21356796429495</v>
      </c>
      <c r="AC237" s="151">
        <f>AB237</f>
        <v>581.21356796429495</v>
      </c>
      <c r="AD237" s="152">
        <f t="shared" ref="AD237:AG237" si="292">AD301</f>
        <v>563.34816000000001</v>
      </c>
      <c r="AE237" s="152">
        <f t="shared" si="292"/>
        <v>677.85888</v>
      </c>
      <c r="AF237" s="152">
        <f t="shared" si="292"/>
        <v>735.04163194326122</v>
      </c>
      <c r="AG237" s="152">
        <f t="shared" si="292"/>
        <v>743.95336699429743</v>
      </c>
      <c r="AH237" s="151">
        <f>AG237</f>
        <v>743.95336699429743</v>
      </c>
      <c r="AI237" s="152">
        <f t="shared" ref="AI237:AL237" si="293">AI301</f>
        <v>726.97587544135524</v>
      </c>
      <c r="AJ237" s="152">
        <f t="shared" si="293"/>
        <v>874.74689313567046</v>
      </c>
      <c r="AK237" s="152">
        <f t="shared" si="293"/>
        <v>926.15245624850911</v>
      </c>
      <c r="AL237" s="152">
        <f t="shared" si="293"/>
        <v>937.3812424128148</v>
      </c>
      <c r="AM237" s="151">
        <f>AL237</f>
        <v>937.3812424128148</v>
      </c>
      <c r="AN237" s="378"/>
      <c r="AO237" s="378"/>
      <c r="AP237" s="378"/>
      <c r="AQ237" s="378"/>
      <c r="AR237" s="378"/>
      <c r="AS237" s="378"/>
      <c r="AT237" s="378"/>
      <c r="AU237" s="378"/>
      <c r="AV237" s="378"/>
      <c r="AW237" s="378"/>
      <c r="AX237" s="378"/>
      <c r="AY237" s="378"/>
      <c r="AZ237" s="378"/>
      <c r="BA237" s="392"/>
      <c r="BH237" s="424"/>
      <c r="BI237" s="424"/>
    </row>
    <row r="238" spans="1:61" ht="13.5" customHeight="1">
      <c r="A238" s="392"/>
      <c r="B238" s="423" t="s">
        <v>212</v>
      </c>
      <c r="C238" s="211"/>
      <c r="D238" s="211">
        <v>7.4880000000000004</v>
      </c>
      <c r="E238" s="368"/>
      <c r="F238" s="97"/>
      <c r="G238" s="97"/>
      <c r="H238" s="97"/>
      <c r="I238" s="211">
        <v>8.452</v>
      </c>
      <c r="J238" s="368">
        <v>16.811</v>
      </c>
      <c r="K238" s="368">
        <v>15.843999999999999</v>
      </c>
      <c r="L238" s="368">
        <v>16.004000000000001</v>
      </c>
      <c r="M238" s="368">
        <v>17.175999999999998</v>
      </c>
      <c r="N238" s="151">
        <f>M238</f>
        <v>17.175999999999998</v>
      </c>
      <c r="O238" s="368">
        <v>15.419</v>
      </c>
      <c r="P238" s="368">
        <v>16.093</v>
      </c>
      <c r="Q238" s="368">
        <v>21.428000000000001</v>
      </c>
      <c r="R238" s="368">
        <v>20.064</v>
      </c>
      <c r="S238" s="151">
        <f>R238</f>
        <v>20.064</v>
      </c>
      <c r="T238" s="368">
        <v>20.443999999999999</v>
      </c>
      <c r="U238" s="368">
        <v>22.454999999999998</v>
      </c>
      <c r="V238" s="368">
        <v>26.72</v>
      </c>
      <c r="W238" s="152">
        <f>W285</f>
        <v>27.923620436</v>
      </c>
      <c r="X238" s="151">
        <f>W238</f>
        <v>27.923620436</v>
      </c>
      <c r="Y238" s="152">
        <f>Y285</f>
        <v>29.127777127999998</v>
      </c>
      <c r="Z238" s="152">
        <f>Z285</f>
        <v>30.576700483999993</v>
      </c>
      <c r="AA238" s="152">
        <f>AA285</f>
        <v>32.110771579999991</v>
      </c>
      <c r="AB238" s="152">
        <f>AB285</f>
        <v>33.663441942439995</v>
      </c>
      <c r="AC238" s="151">
        <f>AB238</f>
        <v>33.663441942439995</v>
      </c>
      <c r="AD238" s="152">
        <f>AD285</f>
        <v>35.204762508199998</v>
      </c>
      <c r="AE238" s="152">
        <f>AE285</f>
        <v>37.059384403879996</v>
      </c>
      <c r="AF238" s="152">
        <f>AF285</f>
        <v>39.022995406760003</v>
      </c>
      <c r="AG238" s="152">
        <f>AG285</f>
        <v>41.010413470683204</v>
      </c>
      <c r="AH238" s="151">
        <f>AG238</f>
        <v>41.010413470683204</v>
      </c>
      <c r="AI238" s="152">
        <f>AI285</f>
        <v>42.952477383540803</v>
      </c>
      <c r="AJ238" s="152">
        <f>AJ285</f>
        <v>45.2893009720976</v>
      </c>
      <c r="AK238" s="152">
        <f>AK285</f>
        <v>47.763450835726402</v>
      </c>
      <c r="AL238" s="152">
        <f>AL285</f>
        <v>50.267597596269638</v>
      </c>
      <c r="AM238" s="151">
        <f>AL238</f>
        <v>50.267597596269638</v>
      </c>
      <c r="AN238" s="378"/>
      <c r="AO238" s="378"/>
      <c r="AP238" s="378"/>
      <c r="AQ238" s="378"/>
      <c r="AR238" s="378"/>
      <c r="AS238" s="378"/>
      <c r="AT238" s="378"/>
      <c r="AU238" s="378"/>
      <c r="AV238" s="378"/>
      <c r="AW238" s="378"/>
      <c r="AX238" s="378"/>
      <c r="AY238" s="378"/>
      <c r="AZ238" s="378"/>
      <c r="BA238" s="392"/>
      <c r="BH238" s="424"/>
      <c r="BI238" s="424"/>
    </row>
    <row r="239" spans="1:61" ht="13.5" customHeight="1">
      <c r="A239" s="392"/>
      <c r="B239" s="423" t="s">
        <v>175</v>
      </c>
      <c r="C239" s="211"/>
      <c r="D239" s="211">
        <v>9.2720000000000002</v>
      </c>
      <c r="E239" s="368"/>
      <c r="F239" s="97"/>
      <c r="G239" s="97"/>
      <c r="H239" s="97"/>
      <c r="I239" s="211">
        <v>17.367999999999999</v>
      </c>
      <c r="J239" s="368">
        <v>15.586</v>
      </c>
      <c r="K239" s="368">
        <v>26.594999999999999</v>
      </c>
      <c r="L239" s="368">
        <v>35.668999999999997</v>
      </c>
      <c r="M239" s="368">
        <v>44.401000000000003</v>
      </c>
      <c r="N239" s="151">
        <f>M239</f>
        <v>44.401000000000003</v>
      </c>
      <c r="O239" s="368">
        <v>97.334999999999994</v>
      </c>
      <c r="P239" s="368">
        <v>26.132999999999999</v>
      </c>
      <c r="Q239" s="368">
        <v>41.942999999999998</v>
      </c>
      <c r="R239" s="368">
        <v>39.542999999999999</v>
      </c>
      <c r="S239" s="151">
        <f>R239</f>
        <v>39.542999999999999</v>
      </c>
      <c r="T239" s="368">
        <v>45.475000000000001</v>
      </c>
      <c r="U239" s="368">
        <v>56.698999999999998</v>
      </c>
      <c r="V239" s="368">
        <v>60.625999999999998</v>
      </c>
      <c r="W239" s="152">
        <f>W270*SUM(W57,W64,W71,W78,W89)*4</f>
        <v>42.970512307379451</v>
      </c>
      <c r="X239" s="151">
        <f>W239</f>
        <v>42.970512307379451</v>
      </c>
      <c r="Y239" s="152">
        <f>Y270*SUM(Y57,Y64,Y71,Y78,Y89)*4</f>
        <v>41.08256604238187</v>
      </c>
      <c r="Z239" s="152">
        <f>Z270*SUM(Z57,Z64,Z71,Z78,Z89)*4</f>
        <v>48.226252843491352</v>
      </c>
      <c r="AA239" s="152">
        <f>AA270*SUM(AA57,AA64,AA71,AA78,AA89)*4</f>
        <v>51.07146284327083</v>
      </c>
      <c r="AB239" s="152">
        <f>AB270*SUM(AB57,AB64,AB71,AB78,AB89)*4</f>
        <v>54.594594503294097</v>
      </c>
      <c r="AC239" s="151">
        <f>AB239</f>
        <v>54.594594503294097</v>
      </c>
      <c r="AD239" s="152">
        <f>AD270*SUM(AD57,AD64,AD71,AD78,AD89)*4</f>
        <v>51.230745984826832</v>
      </c>
      <c r="AE239" s="152">
        <f>AE270*SUM(AE57,AE64,AE71,AE78,AE89)*4</f>
        <v>60.025465786636566</v>
      </c>
      <c r="AF239" s="152">
        <f>AF270*SUM(AF57,AF64,AF71,AF78,AF89)*4</f>
        <v>63.637190413061887</v>
      </c>
      <c r="AG239" s="152">
        <f>AG270*SUM(AG57,AG64,AG71,AG78,AG89)*4</f>
        <v>68.473629906447314</v>
      </c>
      <c r="AH239" s="151">
        <f>AG239</f>
        <v>68.473629906447314</v>
      </c>
      <c r="AI239" s="152">
        <f>AI270*SUM(AI57,AI64,AI71,AI78,AI89)*4</f>
        <v>63.440609915868883</v>
      </c>
      <c r="AJ239" s="152">
        <f>AJ270*SUM(AJ57,AJ64,AJ71,AJ78,AJ89)*4</f>
        <v>74.202406987372044</v>
      </c>
      <c r="AK239" s="152">
        <f>AK270*SUM(AK57,AK64,AK71,AK78,AK89)*4</f>
        <v>78.73615971383802</v>
      </c>
      <c r="AL239" s="152">
        <f>AL270*SUM(AL57,AL64,AL71,AL78,AL89)*4</f>
        <v>85.185441957132738</v>
      </c>
      <c r="AM239" s="151">
        <f>AL239</f>
        <v>85.185441957132738</v>
      </c>
      <c r="AN239" s="378"/>
      <c r="AO239" s="378"/>
      <c r="AP239" s="378"/>
      <c r="AQ239" s="378"/>
      <c r="AR239" s="378"/>
      <c r="AS239" s="378"/>
      <c r="AT239" s="378"/>
      <c r="AU239" s="378"/>
      <c r="AV239" s="378"/>
      <c r="AW239" s="378"/>
      <c r="AX239" s="378"/>
      <c r="AY239" s="378"/>
      <c r="AZ239" s="378"/>
      <c r="BA239" s="392"/>
      <c r="BH239" s="424"/>
      <c r="BI239" s="424"/>
    </row>
    <row r="240" spans="1:61" ht="13.5" customHeight="1">
      <c r="A240" s="392"/>
      <c r="B240" s="423" t="s">
        <v>176</v>
      </c>
      <c r="C240" s="211"/>
      <c r="D240" s="211">
        <v>12.646000000000001</v>
      </c>
      <c r="E240" s="368"/>
      <c r="F240" s="97"/>
      <c r="G240" s="97"/>
      <c r="H240" s="97"/>
      <c r="I240" s="211">
        <v>11.202</v>
      </c>
      <c r="J240" s="368">
        <v>9.1660000000000004</v>
      </c>
      <c r="K240" s="368">
        <v>10.952</v>
      </c>
      <c r="L240" s="368">
        <v>13.954000000000001</v>
      </c>
      <c r="M240" s="368">
        <v>28.945</v>
      </c>
      <c r="N240" s="151">
        <f>M240</f>
        <v>28.945</v>
      </c>
      <c r="O240" s="368">
        <v>33.738</v>
      </c>
      <c r="P240" s="368">
        <v>42.79</v>
      </c>
      <c r="Q240" s="368">
        <v>44.5</v>
      </c>
      <c r="R240" s="368">
        <f>73.623+43.574</f>
        <v>117.197</v>
      </c>
      <c r="S240" s="151">
        <f>R240</f>
        <v>117.197</v>
      </c>
      <c r="T240" s="368">
        <f>22.812+35.773+57.527</f>
        <v>116.11200000000001</v>
      </c>
      <c r="U240" s="368">
        <f>26.639+41.834</f>
        <v>68.472999999999999</v>
      </c>
      <c r="V240" s="368">
        <v>21.048999999999999</v>
      </c>
      <c r="W240" s="152">
        <f>W271*SUM(W57,W64,W71,W78,W89)*4</f>
        <v>14.158486774090463</v>
      </c>
      <c r="X240" s="151">
        <f>W240</f>
        <v>14.158486774090463</v>
      </c>
      <c r="Y240" s="152">
        <f>Y271*SUM(Y57,Y64,Y71,Y78,Y89)*4</f>
        <v>13.536421530093564</v>
      </c>
      <c r="Z240" s="152">
        <f>Z271*SUM(Z57,Z64,Z71,Z78,Z89)*4</f>
        <v>15.890216950735629</v>
      </c>
      <c r="AA240" s="152">
        <f>AA271*SUM(AA57,AA64,AA71,AA78,AA89)*4</f>
        <v>16.827693978312737</v>
      </c>
      <c r="AB240" s="152">
        <f>AB271*SUM(AB57,AB64,AB71,AB78,AB89)*4</f>
        <v>17.988541506845749</v>
      </c>
      <c r="AC240" s="151">
        <f>AB240</f>
        <v>17.988541506845749</v>
      </c>
      <c r="AD240" s="152">
        <f>AD271*SUM(AD57,AD64,AD71,AD78,AD89)*4</f>
        <v>16.8801766724199</v>
      </c>
      <c r="AE240" s="152">
        <f>AE271*SUM(AE57,AE64,AE71,AE78,AE89)*4</f>
        <v>19.777976054122188</v>
      </c>
      <c r="AF240" s="152">
        <f>AF271*SUM(AF57,AF64,AF71,AF78,AF89)*4</f>
        <v>20.968014352690897</v>
      </c>
      <c r="AG240" s="152">
        <f>AG271*SUM(AG57,AG64,AG71,AG78,AG89)*4</f>
        <v>22.561587734151995</v>
      </c>
      <c r="AH240" s="151">
        <f>AG240</f>
        <v>22.561587734151995</v>
      </c>
      <c r="AI240" s="152">
        <f>AI271*SUM(AI57,AI64,AI71,AI78,AI89)*4</f>
        <v>20.903242437717164</v>
      </c>
      <c r="AJ240" s="152">
        <f>AJ271*SUM(AJ57,AJ64,AJ71,AJ78,AJ89)*4</f>
        <v>24.449180182475118</v>
      </c>
      <c r="AK240" s="152">
        <f>AK271*SUM(AK57,AK64,AK71,AK78,AK89)*4</f>
        <v>25.943020366541099</v>
      </c>
      <c r="AL240" s="152">
        <f>AL271*SUM(AL57,AL64,AL71,AL78,AL89)*4</f>
        <v>28.068014285414705</v>
      </c>
      <c r="AM240" s="151">
        <f>AL240</f>
        <v>28.068014285414705</v>
      </c>
      <c r="AN240" s="378"/>
      <c r="AO240" s="378"/>
      <c r="AP240" s="378"/>
      <c r="AQ240" s="378"/>
      <c r="AR240" s="378"/>
      <c r="AS240" s="378"/>
      <c r="AT240" s="378"/>
      <c r="AU240" s="378"/>
      <c r="AV240" s="378"/>
      <c r="AW240" s="378"/>
      <c r="AX240" s="378"/>
      <c r="AY240" s="378"/>
      <c r="AZ240" s="378"/>
      <c r="BA240" s="392"/>
      <c r="BH240" s="424"/>
      <c r="BI240" s="424"/>
    </row>
    <row r="241" spans="1:61" ht="13.5" customHeight="1">
      <c r="A241" s="378"/>
      <c r="B241" s="435" t="s">
        <v>213</v>
      </c>
      <c r="C241" s="255"/>
      <c r="D241" s="255">
        <f>SUM(D236:D240)</f>
        <v>129.74099999999999</v>
      </c>
      <c r="E241" s="436"/>
      <c r="F241" s="436"/>
      <c r="G241" s="436"/>
      <c r="H241" s="436"/>
      <c r="I241" s="255">
        <f>SUM(I236:I240)</f>
        <v>191.10599999999999</v>
      </c>
      <c r="J241" s="436">
        <f>SUM(J236:J240)</f>
        <v>238.98700000000002</v>
      </c>
      <c r="K241" s="436">
        <f>SUM(K236:K240)</f>
        <v>278.14699999999999</v>
      </c>
      <c r="L241" s="436">
        <f t="shared" ref="L241:AM241" si="294">SUM(L236:L240)</f>
        <v>311.24</v>
      </c>
      <c r="M241" s="436">
        <f t="shared" si="294"/>
        <v>334.202</v>
      </c>
      <c r="N241" s="255">
        <f t="shared" si="294"/>
        <v>334.202</v>
      </c>
      <c r="O241" s="436">
        <f t="shared" si="294"/>
        <v>449.93199999999996</v>
      </c>
      <c r="P241" s="436">
        <f t="shared" si="294"/>
        <v>411.46900000000005</v>
      </c>
      <c r="Q241" s="436">
        <f t="shared" si="294"/>
        <v>486.024</v>
      </c>
      <c r="R241" s="436">
        <f t="shared" si="294"/>
        <v>577.46399999999994</v>
      </c>
      <c r="S241" s="255">
        <f t="shared" si="294"/>
        <v>577.46399999999994</v>
      </c>
      <c r="T241" s="436">
        <f t="shared" si="294"/>
        <v>554.89600000000007</v>
      </c>
      <c r="U241" s="436">
        <f t="shared" si="294"/>
        <v>624.92799999999988</v>
      </c>
      <c r="V241" s="436">
        <f t="shared" si="294"/>
        <v>930.67899999999997</v>
      </c>
      <c r="W241" s="436">
        <f t="shared" si="294"/>
        <v>658.42299756532566</v>
      </c>
      <c r="X241" s="255">
        <f t="shared" si="294"/>
        <v>658.42299756532566</v>
      </c>
      <c r="Y241" s="436">
        <f t="shared" si="294"/>
        <v>598.05309048646882</v>
      </c>
      <c r="Z241" s="436">
        <f t="shared" si="294"/>
        <v>713.08822101708847</v>
      </c>
      <c r="AA241" s="436">
        <f t="shared" si="294"/>
        <v>679.88964601322687</v>
      </c>
      <c r="AB241" s="436">
        <f t="shared" si="294"/>
        <v>707.96456735474794</v>
      </c>
      <c r="AC241" s="255">
        <f t="shared" si="294"/>
        <v>707.96456735474794</v>
      </c>
      <c r="AD241" s="436">
        <f t="shared" si="294"/>
        <v>685.90488570813523</v>
      </c>
      <c r="AE241" s="436">
        <f t="shared" si="294"/>
        <v>817.26583279584099</v>
      </c>
      <c r="AF241" s="436">
        <f t="shared" si="294"/>
        <v>882.5704358884218</v>
      </c>
      <c r="AG241" s="436">
        <f t="shared" si="294"/>
        <v>901.71605265569724</v>
      </c>
      <c r="AH241" s="255">
        <f t="shared" si="294"/>
        <v>901.71605265569724</v>
      </c>
      <c r="AI241" s="436">
        <f t="shared" si="294"/>
        <v>878.09897802706871</v>
      </c>
      <c r="AJ241" s="436">
        <f t="shared" si="294"/>
        <v>1046.5564272198772</v>
      </c>
      <c r="AK241" s="436">
        <f t="shared" si="294"/>
        <v>1108.1665019880147</v>
      </c>
      <c r="AL241" s="436">
        <f t="shared" si="294"/>
        <v>1132.895906940601</v>
      </c>
      <c r="AM241" s="255">
        <f t="shared" si="294"/>
        <v>1132.895906940601</v>
      </c>
      <c r="AN241" s="378"/>
      <c r="AO241" s="378"/>
      <c r="AP241" s="378"/>
      <c r="AQ241" s="378"/>
      <c r="AR241" s="378"/>
      <c r="AS241" s="378"/>
      <c r="AT241" s="378"/>
      <c r="AU241" s="378"/>
      <c r="AV241" s="378"/>
      <c r="AW241" s="378"/>
      <c r="AX241" s="378"/>
      <c r="AY241" s="378"/>
      <c r="AZ241" s="378"/>
      <c r="BA241" s="378"/>
      <c r="BH241" s="424"/>
      <c r="BI241" s="424"/>
    </row>
    <row r="242" spans="1:61" ht="13.5" customHeight="1">
      <c r="A242" s="392"/>
      <c r="B242" s="423" t="s">
        <v>214</v>
      </c>
      <c r="C242" s="211"/>
      <c r="D242" s="211">
        <v>0</v>
      </c>
      <c r="E242" s="368"/>
      <c r="F242" s="97"/>
      <c r="G242" s="97"/>
      <c r="H242" s="97"/>
      <c r="I242" s="211">
        <v>30</v>
      </c>
      <c r="J242" s="368">
        <v>30</v>
      </c>
      <c r="K242" s="368">
        <v>30</v>
      </c>
      <c r="L242" s="368">
        <v>0</v>
      </c>
      <c r="M242" s="368">
        <v>0</v>
      </c>
      <c r="N242" s="151">
        <f t="shared" ref="N242:S243" si="295">M242</f>
        <v>0</v>
      </c>
      <c r="O242" s="368">
        <f t="shared" ref="O242" si="296">N242+O199+O200</f>
        <v>0</v>
      </c>
      <c r="P242" s="368">
        <v>0</v>
      </c>
      <c r="Q242" s="368">
        <v>0</v>
      </c>
      <c r="R242" s="368">
        <v>0</v>
      </c>
      <c r="S242" s="151">
        <f t="shared" si="295"/>
        <v>0</v>
      </c>
      <c r="T242" s="368">
        <v>345.73899999999998</v>
      </c>
      <c r="U242" s="368">
        <v>349.96</v>
      </c>
      <c r="V242" s="368">
        <v>354.23700000000002</v>
      </c>
      <c r="W242" s="152">
        <f t="shared" ref="W242" si="297">V242+W199+W200</f>
        <v>354.23700000000002</v>
      </c>
      <c r="X242" s="151">
        <f t="shared" ref="X242" si="298">W242</f>
        <v>354.23700000000002</v>
      </c>
      <c r="Y242" s="152">
        <f t="shared" ref="Y242:AB242" si="299">X242+Y199+Y200</f>
        <v>354.23700000000002</v>
      </c>
      <c r="Z242" s="152">
        <f t="shared" si="299"/>
        <v>354.23700000000002</v>
      </c>
      <c r="AA242" s="152">
        <f t="shared" si="299"/>
        <v>354.23700000000002</v>
      </c>
      <c r="AB242" s="152">
        <f t="shared" si="299"/>
        <v>354.23700000000002</v>
      </c>
      <c r="AC242" s="151">
        <f t="shared" ref="AC242" si="300">AB242</f>
        <v>354.23700000000002</v>
      </c>
      <c r="AD242" s="152">
        <f t="shared" ref="AD242:AG242" si="301">AC242+AD199+AD200</f>
        <v>354.23700000000002</v>
      </c>
      <c r="AE242" s="152">
        <f t="shared" si="301"/>
        <v>354.23700000000002</v>
      </c>
      <c r="AF242" s="152">
        <f t="shared" si="301"/>
        <v>354.23700000000002</v>
      </c>
      <c r="AG242" s="152">
        <f t="shared" si="301"/>
        <v>354.23700000000002</v>
      </c>
      <c r="AH242" s="151">
        <f t="shared" ref="AH242:AL243" si="302">AG242</f>
        <v>354.23700000000002</v>
      </c>
      <c r="AI242" s="152">
        <f t="shared" ref="AI242:AL242" si="303">AH242+AI199+AI200</f>
        <v>354.23700000000002</v>
      </c>
      <c r="AJ242" s="152">
        <f t="shared" si="303"/>
        <v>354.23700000000002</v>
      </c>
      <c r="AK242" s="152">
        <f t="shared" si="303"/>
        <v>354.23700000000002</v>
      </c>
      <c r="AL242" s="152">
        <f t="shared" si="303"/>
        <v>354.23700000000002</v>
      </c>
      <c r="AM242" s="151">
        <f t="shared" ref="AM242:AM243" si="304">AL242</f>
        <v>354.23700000000002</v>
      </c>
      <c r="AN242" s="378"/>
      <c r="AO242" s="378"/>
      <c r="AP242" s="378"/>
      <c r="AQ242" s="378"/>
      <c r="AR242" s="378"/>
      <c r="AS242" s="378"/>
      <c r="AT242" s="378"/>
      <c r="AU242" s="378"/>
      <c r="AV242" s="378"/>
      <c r="AW242" s="378"/>
      <c r="AX242" s="378"/>
      <c r="AY242" s="378"/>
      <c r="AZ242" s="378"/>
      <c r="BA242" s="392"/>
      <c r="BH242" s="424"/>
      <c r="BI242" s="424"/>
    </row>
    <row r="243" spans="1:61" ht="13.5" customHeight="1">
      <c r="A243" s="392"/>
      <c r="B243" s="423" t="s">
        <v>215</v>
      </c>
      <c r="C243" s="211"/>
      <c r="D243" s="211">
        <v>26.306000000000001</v>
      </c>
      <c r="E243" s="368"/>
      <c r="F243" s="97"/>
      <c r="G243" s="97"/>
      <c r="H243" s="97"/>
      <c r="I243" s="211">
        <v>47.11</v>
      </c>
      <c r="J243" s="368">
        <v>47.406999999999996</v>
      </c>
      <c r="K243" s="368">
        <v>48.365000000000002</v>
      </c>
      <c r="L243" s="368">
        <v>50.244</v>
      </c>
      <c r="M243" s="368">
        <v>52.521999999999998</v>
      </c>
      <c r="N243" s="151">
        <f t="shared" si="295"/>
        <v>52.521999999999998</v>
      </c>
      <c r="O243" s="368">
        <v>50.253</v>
      </c>
      <c r="P243" s="368">
        <v>50.363999999999997</v>
      </c>
      <c r="Q243" s="368">
        <v>55.795000000000002</v>
      </c>
      <c r="R243" s="368">
        <v>57.744999999999997</v>
      </c>
      <c r="S243" s="151">
        <f t="shared" si="295"/>
        <v>57.744999999999997</v>
      </c>
      <c r="T243" s="368">
        <v>62.545000000000002</v>
      </c>
      <c r="U243" s="368">
        <v>63.082000000000001</v>
      </c>
      <c r="V243" s="368">
        <v>66.027000000000001</v>
      </c>
      <c r="W243" s="152">
        <f t="shared" ref="W243:AG243" si="305">V243</f>
        <v>66.027000000000001</v>
      </c>
      <c r="X243" s="151">
        <f t="shared" si="305"/>
        <v>66.027000000000001</v>
      </c>
      <c r="Y243" s="152">
        <f t="shared" si="305"/>
        <v>66.027000000000001</v>
      </c>
      <c r="Z243" s="152">
        <f t="shared" si="305"/>
        <v>66.027000000000001</v>
      </c>
      <c r="AA243" s="152">
        <f t="shared" si="305"/>
        <v>66.027000000000001</v>
      </c>
      <c r="AB243" s="152">
        <f t="shared" si="305"/>
        <v>66.027000000000001</v>
      </c>
      <c r="AC243" s="151">
        <f t="shared" si="305"/>
        <v>66.027000000000001</v>
      </c>
      <c r="AD243" s="152">
        <f t="shared" si="305"/>
        <v>66.027000000000001</v>
      </c>
      <c r="AE243" s="152">
        <f t="shared" si="305"/>
        <v>66.027000000000001</v>
      </c>
      <c r="AF243" s="152">
        <f t="shared" si="305"/>
        <v>66.027000000000001</v>
      </c>
      <c r="AG243" s="152">
        <f t="shared" si="305"/>
        <v>66.027000000000001</v>
      </c>
      <c r="AH243" s="151">
        <f t="shared" si="302"/>
        <v>66.027000000000001</v>
      </c>
      <c r="AI243" s="152">
        <f t="shared" si="302"/>
        <v>66.027000000000001</v>
      </c>
      <c r="AJ243" s="152">
        <f t="shared" si="302"/>
        <v>66.027000000000001</v>
      </c>
      <c r="AK243" s="152">
        <f t="shared" si="302"/>
        <v>66.027000000000001</v>
      </c>
      <c r="AL243" s="152">
        <f t="shared" si="302"/>
        <v>66.027000000000001</v>
      </c>
      <c r="AM243" s="151">
        <f t="shared" si="304"/>
        <v>66.027000000000001</v>
      </c>
      <c r="AN243" s="378"/>
      <c r="AO243" s="378"/>
      <c r="AP243" s="378"/>
      <c r="AQ243" s="378"/>
      <c r="AR243" s="378"/>
      <c r="AS243" s="378"/>
      <c r="AT243" s="378"/>
      <c r="AU243" s="378"/>
      <c r="AV243" s="378"/>
      <c r="AW243" s="378"/>
      <c r="AX243" s="378"/>
      <c r="AY243" s="378"/>
      <c r="AZ243" s="378"/>
      <c r="BA243" s="392"/>
      <c r="BH243" s="424"/>
      <c r="BI243" s="424"/>
    </row>
    <row r="244" spans="1:61" ht="13.5" customHeight="1">
      <c r="A244" s="378"/>
      <c r="B244" s="435" t="s">
        <v>52</v>
      </c>
      <c r="C244" s="255"/>
      <c r="D244" s="255">
        <f>SUM(D241:D243)</f>
        <v>156.047</v>
      </c>
      <c r="E244" s="436"/>
      <c r="F244" s="436"/>
      <c r="G244" s="436"/>
      <c r="H244" s="436"/>
      <c r="I244" s="255">
        <f>SUM(I241:I243)</f>
        <v>268.21600000000001</v>
      </c>
      <c r="J244" s="436">
        <f>SUM(J241:J243)</f>
        <v>316.39400000000001</v>
      </c>
      <c r="K244" s="436">
        <f>SUM(K241:K243)</f>
        <v>356.512</v>
      </c>
      <c r="L244" s="436">
        <f t="shared" ref="L244:AM244" si="306">SUM(L241:L243)</f>
        <v>361.48400000000004</v>
      </c>
      <c r="M244" s="436">
        <f t="shared" si="306"/>
        <v>386.72399999999999</v>
      </c>
      <c r="N244" s="255">
        <f t="shared" si="306"/>
        <v>386.72399999999999</v>
      </c>
      <c r="O244" s="436">
        <f t="shared" si="306"/>
        <v>500.18499999999995</v>
      </c>
      <c r="P244" s="436">
        <f t="shared" si="306"/>
        <v>461.83300000000003</v>
      </c>
      <c r="Q244" s="436">
        <f t="shared" si="306"/>
        <v>541.81899999999996</v>
      </c>
      <c r="R244" s="436">
        <f t="shared" si="306"/>
        <v>635.20899999999995</v>
      </c>
      <c r="S244" s="255">
        <f t="shared" si="306"/>
        <v>635.20899999999995</v>
      </c>
      <c r="T244" s="436">
        <f t="shared" si="306"/>
        <v>963.18</v>
      </c>
      <c r="U244" s="436">
        <f t="shared" si="306"/>
        <v>1037.97</v>
      </c>
      <c r="V244" s="436">
        <f t="shared" si="306"/>
        <v>1350.943</v>
      </c>
      <c r="W244" s="436">
        <f t="shared" si="306"/>
        <v>1078.6869975653258</v>
      </c>
      <c r="X244" s="255">
        <f t="shared" si="306"/>
        <v>1078.6869975653258</v>
      </c>
      <c r="Y244" s="436">
        <f t="shared" si="306"/>
        <v>1018.3170904864689</v>
      </c>
      <c r="Z244" s="436">
        <f t="shared" si="306"/>
        <v>1133.3522210170886</v>
      </c>
      <c r="AA244" s="436">
        <f t="shared" si="306"/>
        <v>1100.153646013227</v>
      </c>
      <c r="AB244" s="436">
        <f t="shared" si="306"/>
        <v>1128.2285673547481</v>
      </c>
      <c r="AC244" s="255">
        <f t="shared" si="306"/>
        <v>1128.2285673547481</v>
      </c>
      <c r="AD244" s="436">
        <f t="shared" si="306"/>
        <v>1106.1688857081353</v>
      </c>
      <c r="AE244" s="436">
        <f t="shared" si="306"/>
        <v>1237.529832795841</v>
      </c>
      <c r="AF244" s="436">
        <f t="shared" si="306"/>
        <v>1302.8344358884219</v>
      </c>
      <c r="AG244" s="436">
        <f t="shared" si="306"/>
        <v>1321.9800526556974</v>
      </c>
      <c r="AH244" s="255">
        <f t="shared" si="306"/>
        <v>1321.9800526556974</v>
      </c>
      <c r="AI244" s="436">
        <f t="shared" si="306"/>
        <v>1298.3629780270687</v>
      </c>
      <c r="AJ244" s="436">
        <f t="shared" si="306"/>
        <v>1466.8204272198773</v>
      </c>
      <c r="AK244" s="436">
        <f t="shared" si="306"/>
        <v>1528.4305019880148</v>
      </c>
      <c r="AL244" s="436">
        <f t="shared" si="306"/>
        <v>1553.1599069406011</v>
      </c>
      <c r="AM244" s="255">
        <f t="shared" si="306"/>
        <v>1553.1599069406011</v>
      </c>
      <c r="AN244" s="378"/>
      <c r="AO244" s="378"/>
      <c r="AP244" s="378"/>
      <c r="AQ244" s="378"/>
      <c r="AR244" s="378"/>
      <c r="AS244" s="378"/>
      <c r="AT244" s="378"/>
      <c r="AU244" s="378"/>
      <c r="AV244" s="378"/>
      <c r="AW244" s="378"/>
      <c r="AX244" s="378"/>
      <c r="AY244" s="378"/>
      <c r="AZ244" s="378"/>
      <c r="BA244" s="378"/>
      <c r="BH244" s="424"/>
      <c r="BI244" s="424"/>
    </row>
    <row r="245" spans="1:61" ht="13.5" customHeight="1">
      <c r="A245" s="378"/>
      <c r="B245" s="437"/>
      <c r="C245" s="438"/>
      <c r="D245" s="438"/>
      <c r="E245" s="439"/>
      <c r="F245" s="439"/>
      <c r="G245" s="439"/>
      <c r="H245" s="439"/>
      <c r="I245" s="438"/>
      <c r="J245" s="439"/>
      <c r="K245" s="439"/>
      <c r="L245" s="439"/>
      <c r="M245" s="439"/>
      <c r="N245" s="438"/>
      <c r="O245" s="439"/>
      <c r="P245" s="439"/>
      <c r="Q245" s="439"/>
      <c r="R245" s="439"/>
      <c r="S245" s="438"/>
      <c r="T245" s="439"/>
      <c r="U245" s="439"/>
      <c r="V245" s="439"/>
      <c r="W245" s="439"/>
      <c r="X245" s="438"/>
      <c r="Y245" s="439"/>
      <c r="Z245" s="439"/>
      <c r="AA245" s="439"/>
      <c r="AB245" s="439"/>
      <c r="AC245" s="438"/>
      <c r="AD245" s="439"/>
      <c r="AE245" s="439"/>
      <c r="AF245" s="439"/>
      <c r="AG245" s="439"/>
      <c r="AH245" s="438"/>
      <c r="AI245" s="439"/>
      <c r="AJ245" s="439"/>
      <c r="AK245" s="439"/>
      <c r="AL245" s="439"/>
      <c r="AM245" s="438"/>
      <c r="AN245" s="378"/>
      <c r="AO245" s="378"/>
      <c r="AP245" s="378"/>
      <c r="AQ245" s="378"/>
      <c r="AR245" s="378"/>
      <c r="AS245" s="378"/>
      <c r="AT245" s="378"/>
      <c r="AU245" s="378"/>
      <c r="AV245" s="378"/>
      <c r="AW245" s="378"/>
      <c r="AX245" s="378"/>
      <c r="AY245" s="378"/>
      <c r="AZ245" s="378"/>
      <c r="BA245" s="378"/>
      <c r="BH245" s="424"/>
      <c r="BI245" s="424"/>
    </row>
    <row r="246" spans="1:61" ht="13.5" customHeight="1">
      <c r="A246" s="378"/>
      <c r="B246" s="423" t="s">
        <v>216</v>
      </c>
      <c r="C246" s="211"/>
      <c r="D246" s="211">
        <v>366.197</v>
      </c>
      <c r="E246" s="368"/>
      <c r="F246" s="97"/>
      <c r="G246" s="97"/>
      <c r="H246" s="97"/>
      <c r="I246" s="211">
        <v>514.94500000000005</v>
      </c>
      <c r="J246" s="368">
        <v>514.94500000000005</v>
      </c>
      <c r="K246" s="368">
        <v>514.94500000000005</v>
      </c>
      <c r="L246" s="368">
        <v>0</v>
      </c>
      <c r="M246" s="368">
        <v>0</v>
      </c>
      <c r="N246" s="151">
        <f t="shared" ref="N246:S250" si="307">M246</f>
        <v>0</v>
      </c>
      <c r="O246" s="368">
        <v>0</v>
      </c>
      <c r="P246" s="368">
        <v>0</v>
      </c>
      <c r="Q246" s="368">
        <v>0</v>
      </c>
      <c r="R246" s="368">
        <v>0</v>
      </c>
      <c r="S246" s="151">
        <f>R246</f>
        <v>0</v>
      </c>
      <c r="T246" s="368">
        <v>0</v>
      </c>
      <c r="U246" s="368">
        <f t="shared" ref="U246:W246" si="308">T246+U197</f>
        <v>0</v>
      </c>
      <c r="V246" s="368">
        <f t="shared" si="308"/>
        <v>0</v>
      </c>
      <c r="W246" s="152">
        <f t="shared" si="308"/>
        <v>0</v>
      </c>
      <c r="X246" s="151">
        <f>W246</f>
        <v>0</v>
      </c>
      <c r="Y246" s="152">
        <f t="shared" ref="Y246:AB246" si="309">X246+Y197</f>
        <v>0</v>
      </c>
      <c r="Z246" s="152">
        <f t="shared" si="309"/>
        <v>0</v>
      </c>
      <c r="AA246" s="152">
        <f t="shared" si="309"/>
        <v>0</v>
      </c>
      <c r="AB246" s="152">
        <f t="shared" si="309"/>
        <v>0</v>
      </c>
      <c r="AC246" s="151">
        <f>AB246</f>
        <v>0</v>
      </c>
      <c r="AD246" s="152">
        <f t="shared" ref="AD246:AG246" si="310">AC246+AD197</f>
        <v>0</v>
      </c>
      <c r="AE246" s="152">
        <f t="shared" si="310"/>
        <v>0</v>
      </c>
      <c r="AF246" s="152">
        <f t="shared" si="310"/>
        <v>0</v>
      </c>
      <c r="AG246" s="152">
        <f t="shared" si="310"/>
        <v>0</v>
      </c>
      <c r="AH246" s="151">
        <f>AG246</f>
        <v>0</v>
      </c>
      <c r="AI246" s="152">
        <f t="shared" ref="AI246:AL246" si="311">AH246+AI197</f>
        <v>0</v>
      </c>
      <c r="AJ246" s="152">
        <f t="shared" si="311"/>
        <v>0</v>
      </c>
      <c r="AK246" s="152">
        <f t="shared" si="311"/>
        <v>0</v>
      </c>
      <c r="AL246" s="152">
        <f t="shared" si="311"/>
        <v>0</v>
      </c>
      <c r="AM246" s="151">
        <f>AL246</f>
        <v>0</v>
      </c>
      <c r="AN246" s="378"/>
      <c r="AO246" s="378"/>
      <c r="AP246" s="378"/>
      <c r="AQ246" s="378"/>
      <c r="AR246" s="378"/>
      <c r="AS246" s="378"/>
      <c r="AT246" s="378"/>
      <c r="AU246" s="378"/>
      <c r="AV246" s="378"/>
      <c r="AW246" s="378"/>
      <c r="AX246" s="378"/>
      <c r="AY246" s="378"/>
      <c r="AZ246" s="378"/>
      <c r="BA246" s="378"/>
      <c r="BH246" s="424"/>
      <c r="BI246" s="424"/>
    </row>
    <row r="247" spans="1:61" ht="13.5" customHeight="1">
      <c r="A247" s="378"/>
      <c r="B247" s="423" t="s">
        <v>217</v>
      </c>
      <c r="C247" s="211"/>
      <c r="D247" s="211">
        <v>0</v>
      </c>
      <c r="E247" s="368"/>
      <c r="F247" s="97"/>
      <c r="G247" s="97"/>
      <c r="H247" s="97"/>
      <c r="I247" s="211">
        <v>0</v>
      </c>
      <c r="J247" s="368">
        <v>0</v>
      </c>
      <c r="K247" s="368">
        <v>0</v>
      </c>
      <c r="L247" s="368">
        <v>0</v>
      </c>
      <c r="M247" s="368">
        <v>0</v>
      </c>
      <c r="N247" s="151">
        <f t="shared" si="307"/>
        <v>0</v>
      </c>
      <c r="O247" s="368">
        <v>0</v>
      </c>
      <c r="P247" s="368">
        <v>0</v>
      </c>
      <c r="Q247" s="368">
        <v>0</v>
      </c>
      <c r="R247" s="368">
        <v>0</v>
      </c>
      <c r="S247" s="151">
        <f t="shared" si="307"/>
        <v>0</v>
      </c>
      <c r="T247" s="368">
        <v>0</v>
      </c>
      <c r="U247" s="368">
        <f t="shared" ref="U247:AJ250" si="312">T247</f>
        <v>0</v>
      </c>
      <c r="V247" s="368">
        <f t="shared" si="312"/>
        <v>0</v>
      </c>
      <c r="W247" s="152">
        <f t="shared" si="312"/>
        <v>0</v>
      </c>
      <c r="X247" s="151">
        <f t="shared" si="312"/>
        <v>0</v>
      </c>
      <c r="Y247" s="152">
        <f t="shared" si="312"/>
        <v>0</v>
      </c>
      <c r="Z247" s="152">
        <f t="shared" si="312"/>
        <v>0</v>
      </c>
      <c r="AA247" s="152">
        <f t="shared" si="312"/>
        <v>0</v>
      </c>
      <c r="AB247" s="152">
        <f t="shared" si="312"/>
        <v>0</v>
      </c>
      <c r="AC247" s="151">
        <f t="shared" si="312"/>
        <v>0</v>
      </c>
      <c r="AD247" s="152">
        <f t="shared" si="312"/>
        <v>0</v>
      </c>
      <c r="AE247" s="152">
        <f t="shared" si="312"/>
        <v>0</v>
      </c>
      <c r="AF247" s="152">
        <f t="shared" si="312"/>
        <v>0</v>
      </c>
      <c r="AG247" s="152">
        <f t="shared" si="312"/>
        <v>0</v>
      </c>
      <c r="AH247" s="151">
        <f t="shared" si="312"/>
        <v>0</v>
      </c>
      <c r="AI247" s="152">
        <f t="shared" si="312"/>
        <v>0</v>
      </c>
      <c r="AJ247" s="152">
        <f t="shared" si="312"/>
        <v>0</v>
      </c>
      <c r="AK247" s="152">
        <f t="shared" ref="AK247:AM250" si="313">AJ247</f>
        <v>0</v>
      </c>
      <c r="AL247" s="152">
        <f t="shared" si="313"/>
        <v>0</v>
      </c>
      <c r="AM247" s="151">
        <f t="shared" si="313"/>
        <v>0</v>
      </c>
      <c r="AN247" s="378"/>
      <c r="AO247" s="378"/>
      <c r="AP247" s="378"/>
      <c r="AQ247" s="378"/>
      <c r="AR247" s="378"/>
      <c r="AS247" s="378"/>
      <c r="AT247" s="378"/>
      <c r="AU247" s="378"/>
      <c r="AV247" s="378"/>
      <c r="AW247" s="378"/>
      <c r="AX247" s="378"/>
      <c r="AY247" s="378"/>
      <c r="AZ247" s="378"/>
      <c r="BA247" s="378"/>
      <c r="BH247" s="424"/>
      <c r="BI247" s="424"/>
    </row>
    <row r="248" spans="1:61" ht="13.5" customHeight="1">
      <c r="A248" s="378"/>
      <c r="B248" s="423" t="s">
        <v>218</v>
      </c>
      <c r="C248" s="211"/>
      <c r="D248" s="211">
        <v>38.329000000000001</v>
      </c>
      <c r="E248" s="368"/>
      <c r="F248" s="97"/>
      <c r="G248" s="97"/>
      <c r="H248" s="97"/>
      <c r="I248" s="211">
        <v>155.166</v>
      </c>
      <c r="J248" s="368">
        <v>197.82599999999999</v>
      </c>
      <c r="K248" s="368">
        <v>221.49100000000001</v>
      </c>
      <c r="L248" s="368">
        <v>764.899</v>
      </c>
      <c r="M248" s="368">
        <v>1116.8820000000001</v>
      </c>
      <c r="N248" s="151">
        <f t="shared" si="307"/>
        <v>1116.8820000000001</v>
      </c>
      <c r="O248" s="368">
        <v>1149.634</v>
      </c>
      <c r="P248" s="368">
        <v>1203.136</v>
      </c>
      <c r="Q248" s="368">
        <v>1274.248</v>
      </c>
      <c r="R248" s="368">
        <v>1357.3810000000001</v>
      </c>
      <c r="S248" s="151">
        <f t="shared" si="307"/>
        <v>1357.3810000000001</v>
      </c>
      <c r="T248" s="368">
        <v>1424.1869999999999</v>
      </c>
      <c r="U248" s="368">
        <v>1515.2370000000001</v>
      </c>
      <c r="V248" s="368">
        <v>1560.374</v>
      </c>
      <c r="W248" s="152">
        <f t="shared" ref="W248" si="314">V248+W202+W203+W169+W171</f>
        <v>1601.422</v>
      </c>
      <c r="X248" s="151">
        <f t="shared" si="312"/>
        <v>1601.422</v>
      </c>
      <c r="Y248" s="152">
        <f t="shared" ref="Y248:AB248" si="315">X248+Y202+Y203+Y169+Y171</f>
        <v>1643.47</v>
      </c>
      <c r="Z248" s="152">
        <f t="shared" si="315"/>
        <v>1686.518</v>
      </c>
      <c r="AA248" s="152">
        <f t="shared" si="315"/>
        <v>1730.566</v>
      </c>
      <c r="AB248" s="152">
        <f t="shared" si="315"/>
        <v>1775.614</v>
      </c>
      <c r="AC248" s="151">
        <f t="shared" si="312"/>
        <v>1775.614</v>
      </c>
      <c r="AD248" s="152">
        <f t="shared" ref="AD248:AG248" si="316">AC248+AD202+AD203+AD169+AD171</f>
        <v>1821.662</v>
      </c>
      <c r="AE248" s="152">
        <f t="shared" si="316"/>
        <v>1869.21</v>
      </c>
      <c r="AF248" s="152">
        <f t="shared" si="316"/>
        <v>1918.258</v>
      </c>
      <c r="AG248" s="152">
        <f t="shared" si="316"/>
        <v>1968.806</v>
      </c>
      <c r="AH248" s="151">
        <f t="shared" si="312"/>
        <v>1968.806</v>
      </c>
      <c r="AI248" s="152">
        <f t="shared" ref="AI248:AL248" si="317">AH248+AI202+AI203+AI169+AI171</f>
        <v>2020.354</v>
      </c>
      <c r="AJ248" s="152">
        <f t="shared" si="317"/>
        <v>2073.402</v>
      </c>
      <c r="AK248" s="152">
        <f t="shared" si="317"/>
        <v>2127.9499999999998</v>
      </c>
      <c r="AL248" s="152">
        <f t="shared" si="317"/>
        <v>2183.9979999999996</v>
      </c>
      <c r="AM248" s="151">
        <f t="shared" si="313"/>
        <v>2183.9979999999996</v>
      </c>
      <c r="AN248" s="378"/>
      <c r="AO248" s="378"/>
      <c r="AP248" s="378"/>
      <c r="AQ248" s="378"/>
      <c r="AR248" s="378"/>
      <c r="AS248" s="378"/>
      <c r="AT248" s="378"/>
      <c r="AU248" s="378"/>
      <c r="AV248" s="378"/>
      <c r="AW248" s="378"/>
      <c r="AX248" s="378"/>
      <c r="AY248" s="378"/>
      <c r="AZ248" s="378"/>
      <c r="BA248" s="378"/>
      <c r="BH248" s="424"/>
      <c r="BI248" s="424"/>
    </row>
    <row r="249" spans="1:61" ht="13.5" customHeight="1">
      <c r="A249" s="378"/>
      <c r="B249" s="423" t="s">
        <v>219</v>
      </c>
      <c r="C249" s="211"/>
      <c r="D249" s="211">
        <v>-0.69299999999999995</v>
      </c>
      <c r="E249" s="440"/>
      <c r="F249" s="441"/>
      <c r="G249" s="441"/>
      <c r="H249" s="441"/>
      <c r="I249" s="211">
        <v>-0.80700000000000005</v>
      </c>
      <c r="J249" s="440">
        <v>-1.034</v>
      </c>
      <c r="K249" s="440">
        <v>-1.159</v>
      </c>
      <c r="L249" s="440">
        <v>-1.2769999999999999</v>
      </c>
      <c r="M249" s="440">
        <v>-1.1850000000000001</v>
      </c>
      <c r="N249" s="151">
        <f t="shared" si="307"/>
        <v>-1.1850000000000001</v>
      </c>
      <c r="O249" s="440">
        <v>-0.34599999999999997</v>
      </c>
      <c r="P249" s="440">
        <v>7.1999999999999995E-2</v>
      </c>
      <c r="Q249" s="440">
        <v>0.21299999999999999</v>
      </c>
      <c r="R249" s="440">
        <v>-1.9890000000000001</v>
      </c>
      <c r="S249" s="151">
        <f t="shared" si="307"/>
        <v>-1.9890000000000001</v>
      </c>
      <c r="T249" s="440">
        <v>-1.242</v>
      </c>
      <c r="U249" s="440">
        <v>-0.51900000000000002</v>
      </c>
      <c r="V249" s="440">
        <v>-0.39300000000000002</v>
      </c>
      <c r="W249" s="442">
        <f t="shared" ref="W249" si="318">V249+W206</f>
        <v>-0.39300000000000002</v>
      </c>
      <c r="X249" s="151">
        <f t="shared" si="312"/>
        <v>-0.39300000000000002</v>
      </c>
      <c r="Y249" s="442">
        <f t="shared" ref="Y249:AB249" si="319">X249+Y206</f>
        <v>-0.39300000000000002</v>
      </c>
      <c r="Z249" s="442">
        <f t="shared" si="319"/>
        <v>-0.39300000000000002</v>
      </c>
      <c r="AA249" s="442">
        <f t="shared" si="319"/>
        <v>-0.39300000000000002</v>
      </c>
      <c r="AB249" s="442">
        <f t="shared" si="319"/>
        <v>-0.39300000000000002</v>
      </c>
      <c r="AC249" s="151">
        <f t="shared" si="312"/>
        <v>-0.39300000000000002</v>
      </c>
      <c r="AD249" s="442">
        <f t="shared" ref="AD249:AG249" si="320">AC249+AD206</f>
        <v>-0.39300000000000002</v>
      </c>
      <c r="AE249" s="442">
        <f t="shared" si="320"/>
        <v>-0.39300000000000002</v>
      </c>
      <c r="AF249" s="442">
        <f t="shared" si="320"/>
        <v>-0.39300000000000002</v>
      </c>
      <c r="AG249" s="442">
        <f t="shared" si="320"/>
        <v>-0.39300000000000002</v>
      </c>
      <c r="AH249" s="151">
        <f t="shared" si="312"/>
        <v>-0.39300000000000002</v>
      </c>
      <c r="AI249" s="442">
        <f t="shared" ref="AI249:AL249" si="321">AH249+AI206</f>
        <v>-0.39300000000000002</v>
      </c>
      <c r="AJ249" s="442">
        <f t="shared" si="321"/>
        <v>-0.39300000000000002</v>
      </c>
      <c r="AK249" s="442">
        <f t="shared" si="321"/>
        <v>-0.39300000000000002</v>
      </c>
      <c r="AL249" s="442">
        <f t="shared" si="321"/>
        <v>-0.39300000000000002</v>
      </c>
      <c r="AM249" s="151">
        <f t="shared" si="313"/>
        <v>-0.39300000000000002</v>
      </c>
      <c r="AN249" s="378"/>
      <c r="AO249" s="378"/>
      <c r="AP249" s="378"/>
      <c r="AQ249" s="378"/>
      <c r="AR249" s="378"/>
      <c r="AS249" s="378"/>
      <c r="AT249" s="378"/>
      <c r="AU249" s="378"/>
      <c r="AV249" s="378"/>
      <c r="AW249" s="378"/>
      <c r="AX249" s="378"/>
      <c r="AY249" s="378"/>
      <c r="AZ249" s="378"/>
      <c r="BA249" s="378"/>
      <c r="BH249" s="424"/>
      <c r="BI249" s="424"/>
    </row>
    <row r="250" spans="1:61" ht="13.5" customHeight="1">
      <c r="A250" s="378"/>
      <c r="B250" s="423" t="s">
        <v>220</v>
      </c>
      <c r="C250" s="211"/>
      <c r="D250" s="211">
        <v>-241.53899999999999</v>
      </c>
      <c r="E250" s="440"/>
      <c r="F250" s="441"/>
      <c r="G250" s="441"/>
      <c r="H250" s="441"/>
      <c r="I250" s="211">
        <v>-395.63200000000001</v>
      </c>
      <c r="J250" s="440">
        <v>-443.61</v>
      </c>
      <c r="K250" s="440">
        <v>-473.23</v>
      </c>
      <c r="L250" s="440">
        <v>-527.16</v>
      </c>
      <c r="M250" s="440">
        <v>-607.649</v>
      </c>
      <c r="N250" s="151">
        <f t="shared" si="307"/>
        <v>-607.649</v>
      </c>
      <c r="O250" s="440">
        <v>-704.404</v>
      </c>
      <c r="P250" s="440">
        <v>-731.74900000000002</v>
      </c>
      <c r="Q250" s="440">
        <v>-764.072</v>
      </c>
      <c r="R250" s="440">
        <v>-779.23900000000003</v>
      </c>
      <c r="S250" s="151">
        <f t="shared" si="307"/>
        <v>-779.23900000000003</v>
      </c>
      <c r="T250" s="440">
        <v>-795.01199999999994</v>
      </c>
      <c r="U250" s="440">
        <v>-810.97400000000005</v>
      </c>
      <c r="V250" s="440">
        <v>-827.072</v>
      </c>
      <c r="W250" s="442">
        <f t="shared" ref="W250" si="322">V250+W164</f>
        <v>-847.35888875498597</v>
      </c>
      <c r="X250" s="151">
        <f t="shared" si="312"/>
        <v>-847.35888875498597</v>
      </c>
      <c r="Y250" s="442">
        <f t="shared" ref="Y250:AB250" si="323">X250+Y164</f>
        <v>-850.17367050973712</v>
      </c>
      <c r="Z250" s="442">
        <f t="shared" si="323"/>
        <v>-842.51929033523868</v>
      </c>
      <c r="AA250" s="442">
        <f t="shared" si="323"/>
        <v>-830.03216037951461</v>
      </c>
      <c r="AB250" s="442">
        <f t="shared" si="323"/>
        <v>-824.90461570208413</v>
      </c>
      <c r="AC250" s="151">
        <f t="shared" si="312"/>
        <v>-824.90461570208413</v>
      </c>
      <c r="AD250" s="442">
        <f t="shared" ref="AD250:AG250" si="324">AC250+AD164</f>
        <v>-796.96996130940443</v>
      </c>
      <c r="AE250" s="442">
        <f t="shared" si="324"/>
        <v>-747.55777783250119</v>
      </c>
      <c r="AF250" s="442">
        <f t="shared" si="324"/>
        <v>-688.88161876230174</v>
      </c>
      <c r="AG250" s="442">
        <f t="shared" si="324"/>
        <v>-638.45448568803511</v>
      </c>
      <c r="AH250" s="151">
        <f t="shared" si="312"/>
        <v>-638.45448568803511</v>
      </c>
      <c r="AI250" s="442">
        <f t="shared" ref="AI250:AL250" si="325">AH250+AI164</f>
        <v>-570.27934605665871</v>
      </c>
      <c r="AJ250" s="442">
        <f t="shared" si="325"/>
        <v>-466.78266076019764</v>
      </c>
      <c r="AK250" s="442">
        <f t="shared" si="325"/>
        <v>-347.95355439711739</v>
      </c>
      <c r="AL250" s="442">
        <f t="shared" si="325"/>
        <v>-237.27100113678375</v>
      </c>
      <c r="AM250" s="151">
        <f t="shared" si="313"/>
        <v>-237.27100113678375</v>
      </c>
      <c r="AN250" s="378"/>
      <c r="AO250" s="378"/>
      <c r="AP250" s="378"/>
      <c r="AQ250" s="378"/>
      <c r="AR250" s="378"/>
      <c r="AS250" s="378"/>
      <c r="AT250" s="378"/>
      <c r="AU250" s="378"/>
      <c r="AV250" s="378"/>
      <c r="AW250" s="378"/>
      <c r="AX250" s="378"/>
      <c r="AY250" s="378"/>
      <c r="AZ250" s="378"/>
      <c r="BA250" s="378"/>
      <c r="BH250" s="424"/>
      <c r="BI250" s="424"/>
    </row>
    <row r="251" spans="1:61" ht="13.5" customHeight="1">
      <c r="A251" s="378"/>
      <c r="B251" s="443"/>
      <c r="C251" s="151"/>
      <c r="D251" s="151"/>
      <c r="E251" s="152"/>
      <c r="F251" s="152"/>
      <c r="G251" s="152"/>
      <c r="H251" s="152"/>
      <c r="I251" s="151"/>
      <c r="J251" s="152"/>
      <c r="K251" s="152"/>
      <c r="L251" s="152"/>
      <c r="M251" s="152"/>
      <c r="N251" s="151"/>
      <c r="O251" s="152"/>
      <c r="P251" s="152"/>
      <c r="Q251" s="152"/>
      <c r="R251" s="152"/>
      <c r="S251" s="151"/>
      <c r="T251" s="152"/>
      <c r="U251" s="152"/>
      <c r="V251" s="152"/>
      <c r="W251" s="152"/>
      <c r="X251" s="151"/>
      <c r="Y251" s="152"/>
      <c r="Z251" s="152"/>
      <c r="AA251" s="152"/>
      <c r="AB251" s="152"/>
      <c r="AC251" s="151"/>
      <c r="AD251" s="152"/>
      <c r="AE251" s="152"/>
      <c r="AF251" s="152"/>
      <c r="AG251" s="152"/>
      <c r="AH251" s="151"/>
      <c r="AI251" s="152"/>
      <c r="AJ251" s="152"/>
      <c r="AK251" s="152"/>
      <c r="AL251" s="152"/>
      <c r="AM251" s="151"/>
      <c r="AN251" s="378"/>
      <c r="AO251" s="378"/>
      <c r="AP251" s="378"/>
      <c r="AQ251" s="378"/>
      <c r="AR251" s="378"/>
      <c r="AS251" s="378"/>
      <c r="AT251" s="378"/>
      <c r="AU251" s="378"/>
      <c r="AV251" s="378"/>
      <c r="AW251" s="378"/>
      <c r="AX251" s="378"/>
      <c r="AY251" s="378"/>
      <c r="AZ251" s="378"/>
      <c r="BA251" s="378"/>
      <c r="BH251" s="424"/>
      <c r="BI251" s="424"/>
    </row>
    <row r="252" spans="1:61" ht="13.5" customHeight="1">
      <c r="A252" s="378"/>
      <c r="B252" s="435" t="s">
        <v>221</v>
      </c>
      <c r="C252" s="255"/>
      <c r="D252" s="255">
        <f>SUM(D246:D250)</f>
        <v>162.29400000000004</v>
      </c>
      <c r="E252" s="444"/>
      <c r="F252" s="444"/>
      <c r="G252" s="444"/>
      <c r="H252" s="444"/>
      <c r="I252" s="255">
        <f t="shared" ref="I252:AM252" si="326">SUM(I246:I250)</f>
        <v>273.67200000000008</v>
      </c>
      <c r="J252" s="444">
        <f t="shared" si="326"/>
        <v>268.12700000000007</v>
      </c>
      <c r="K252" s="444">
        <f t="shared" si="326"/>
        <v>262.04700000000003</v>
      </c>
      <c r="L252" s="444">
        <f t="shared" si="326"/>
        <v>236.46199999999999</v>
      </c>
      <c r="M252" s="444">
        <f t="shared" si="326"/>
        <v>508.04800000000012</v>
      </c>
      <c r="N252" s="255">
        <f t="shared" si="326"/>
        <v>508.04800000000012</v>
      </c>
      <c r="O252" s="444">
        <f t="shared" si="326"/>
        <v>444.88400000000001</v>
      </c>
      <c r="P252" s="444">
        <f t="shared" si="326"/>
        <v>471.45899999999983</v>
      </c>
      <c r="Q252" s="444">
        <f t="shared" si="326"/>
        <v>510.38900000000001</v>
      </c>
      <c r="R252" s="444">
        <f t="shared" si="326"/>
        <v>576.15300000000002</v>
      </c>
      <c r="S252" s="255">
        <f t="shared" si="326"/>
        <v>576.15300000000002</v>
      </c>
      <c r="T252" s="444">
        <f t="shared" si="326"/>
        <v>627.93299999999999</v>
      </c>
      <c r="U252" s="444">
        <f t="shared" si="326"/>
        <v>703.74400000000003</v>
      </c>
      <c r="V252" s="444">
        <f t="shared" si="326"/>
        <v>732.90899999999999</v>
      </c>
      <c r="W252" s="444">
        <f t="shared" si="326"/>
        <v>753.67011124501403</v>
      </c>
      <c r="X252" s="255">
        <f t="shared" si="326"/>
        <v>753.67011124501403</v>
      </c>
      <c r="Y252" s="444">
        <f t="shared" si="326"/>
        <v>792.90332949026288</v>
      </c>
      <c r="Z252" s="444">
        <f t="shared" si="326"/>
        <v>843.60570966476132</v>
      </c>
      <c r="AA252" s="444">
        <f t="shared" si="326"/>
        <v>900.14083962048539</v>
      </c>
      <c r="AB252" s="444">
        <f t="shared" si="326"/>
        <v>950.31638429791587</v>
      </c>
      <c r="AC252" s="255">
        <f t="shared" si="326"/>
        <v>950.31638429791587</v>
      </c>
      <c r="AD252" s="444">
        <f t="shared" si="326"/>
        <v>1024.2990386905956</v>
      </c>
      <c r="AE252" s="444">
        <f t="shared" si="326"/>
        <v>1121.2592221674988</v>
      </c>
      <c r="AF252" s="444">
        <f t="shared" si="326"/>
        <v>1228.9833812376983</v>
      </c>
      <c r="AG252" s="444">
        <f t="shared" si="326"/>
        <v>1329.9585143119648</v>
      </c>
      <c r="AH252" s="255">
        <f t="shared" si="326"/>
        <v>1329.9585143119648</v>
      </c>
      <c r="AI252" s="444">
        <f t="shared" si="326"/>
        <v>1449.6816539433412</v>
      </c>
      <c r="AJ252" s="444">
        <f t="shared" si="326"/>
        <v>1606.2263392398024</v>
      </c>
      <c r="AK252" s="444">
        <f t="shared" si="326"/>
        <v>1779.6034456028824</v>
      </c>
      <c r="AL252" s="444">
        <f t="shared" si="326"/>
        <v>1946.3339988632158</v>
      </c>
      <c r="AM252" s="255">
        <f t="shared" si="326"/>
        <v>1946.3339988632158</v>
      </c>
      <c r="AN252" s="378"/>
      <c r="AO252" s="378"/>
      <c r="AP252" s="378"/>
      <c r="AQ252" s="378"/>
      <c r="AR252" s="378"/>
      <c r="AS252" s="378"/>
      <c r="AT252" s="378"/>
      <c r="AU252" s="378"/>
      <c r="AV252" s="378"/>
      <c r="AW252" s="378"/>
      <c r="AX252" s="378"/>
      <c r="AY252" s="378"/>
      <c r="AZ252" s="378"/>
      <c r="BA252" s="378"/>
      <c r="BH252" s="424"/>
      <c r="BI252" s="424"/>
    </row>
    <row r="253" spans="1:61" ht="13.5" customHeight="1" thickBot="1">
      <c r="A253" s="378"/>
      <c r="B253" s="445" t="s">
        <v>222</v>
      </c>
      <c r="C253" s="388"/>
      <c r="D253" s="388">
        <f>D252+D244</f>
        <v>318.34100000000001</v>
      </c>
      <c r="E253" s="446"/>
      <c r="F253" s="446"/>
      <c r="G253" s="446"/>
      <c r="H253" s="446"/>
      <c r="I253" s="388">
        <f t="shared" ref="I253:AM253" si="327">I252+I244</f>
        <v>541.88800000000015</v>
      </c>
      <c r="J253" s="446">
        <f t="shared" si="327"/>
        <v>584.52100000000007</v>
      </c>
      <c r="K253" s="446">
        <f t="shared" si="327"/>
        <v>618.55899999999997</v>
      </c>
      <c r="L253" s="446">
        <f t="shared" si="327"/>
        <v>597.94600000000003</v>
      </c>
      <c r="M253" s="446">
        <f t="shared" si="327"/>
        <v>894.77200000000016</v>
      </c>
      <c r="N253" s="388">
        <f t="shared" si="327"/>
        <v>894.77200000000016</v>
      </c>
      <c r="O253" s="446">
        <f t="shared" si="327"/>
        <v>945.06899999999996</v>
      </c>
      <c r="P253" s="446">
        <f t="shared" si="327"/>
        <v>933.29199999999992</v>
      </c>
      <c r="Q253" s="446">
        <f t="shared" si="327"/>
        <v>1052.2080000000001</v>
      </c>
      <c r="R253" s="446">
        <f t="shared" si="327"/>
        <v>1211.3620000000001</v>
      </c>
      <c r="S253" s="388">
        <f t="shared" si="327"/>
        <v>1211.3620000000001</v>
      </c>
      <c r="T253" s="446">
        <f t="shared" si="327"/>
        <v>1591.1129999999998</v>
      </c>
      <c r="U253" s="446">
        <f t="shared" si="327"/>
        <v>1741.7139999999999</v>
      </c>
      <c r="V253" s="446">
        <f t="shared" si="327"/>
        <v>2083.8519999999999</v>
      </c>
      <c r="W253" s="446">
        <f t="shared" si="327"/>
        <v>1832.3571088103399</v>
      </c>
      <c r="X253" s="388">
        <f t="shared" si="327"/>
        <v>1832.3571088103399</v>
      </c>
      <c r="Y253" s="446">
        <f t="shared" si="327"/>
        <v>1811.2204199767318</v>
      </c>
      <c r="Z253" s="446">
        <f t="shared" si="327"/>
        <v>1976.95793068185</v>
      </c>
      <c r="AA253" s="446">
        <f t="shared" si="327"/>
        <v>2000.2944856337124</v>
      </c>
      <c r="AB253" s="446">
        <f t="shared" si="327"/>
        <v>2078.5449516526642</v>
      </c>
      <c r="AC253" s="388">
        <f t="shared" si="327"/>
        <v>2078.5449516526642</v>
      </c>
      <c r="AD253" s="446">
        <f t="shared" si="327"/>
        <v>2130.4679243987312</v>
      </c>
      <c r="AE253" s="446">
        <f t="shared" si="327"/>
        <v>2358.7890549633398</v>
      </c>
      <c r="AF253" s="446">
        <f t="shared" si="327"/>
        <v>2531.8178171261202</v>
      </c>
      <c r="AG253" s="446">
        <f t="shared" si="327"/>
        <v>2651.9385669676622</v>
      </c>
      <c r="AH253" s="388">
        <f t="shared" si="327"/>
        <v>2651.9385669676622</v>
      </c>
      <c r="AI253" s="446">
        <f t="shared" si="327"/>
        <v>2748.0446319704097</v>
      </c>
      <c r="AJ253" s="446">
        <f t="shared" si="327"/>
        <v>3073.0467664596799</v>
      </c>
      <c r="AK253" s="446">
        <f t="shared" si="327"/>
        <v>3308.0339475908972</v>
      </c>
      <c r="AL253" s="446">
        <f t="shared" si="327"/>
        <v>3499.4939058038171</v>
      </c>
      <c r="AM253" s="388">
        <f t="shared" si="327"/>
        <v>3499.4939058038171</v>
      </c>
      <c r="AN253" s="378"/>
      <c r="AO253" s="378"/>
      <c r="AP253" s="378"/>
      <c r="AQ253" s="378"/>
      <c r="AR253" s="378"/>
      <c r="AS253" s="378"/>
      <c r="AT253" s="378"/>
      <c r="AU253" s="378"/>
      <c r="AV253" s="378"/>
      <c r="AW253" s="378"/>
      <c r="AX253" s="378"/>
      <c r="AY253" s="378"/>
      <c r="AZ253" s="378"/>
      <c r="BA253" s="378"/>
      <c r="BH253" s="424"/>
      <c r="BI253" s="424"/>
    </row>
    <row r="254" spans="1:61" ht="13.5" customHeight="1" thickTop="1">
      <c r="A254" s="416"/>
      <c r="B254" s="417" t="s">
        <v>200</v>
      </c>
      <c r="C254" s="418"/>
      <c r="D254" s="418">
        <f>D253-D233</f>
        <v>0</v>
      </c>
      <c r="E254" s="418"/>
      <c r="F254" s="418"/>
      <c r="G254" s="418"/>
      <c r="H254" s="418"/>
      <c r="I254" s="418">
        <f t="shared" ref="I254:AM254" si="328">I253-I233</f>
        <v>0</v>
      </c>
      <c r="J254" s="418">
        <f t="shared" si="328"/>
        <v>0</v>
      </c>
      <c r="K254" s="418">
        <f t="shared" si="328"/>
        <v>0</v>
      </c>
      <c r="L254" s="418">
        <f t="shared" si="328"/>
        <v>0</v>
      </c>
      <c r="M254" s="418">
        <f t="shared" si="328"/>
        <v>0</v>
      </c>
      <c r="N254" s="418">
        <f t="shared" si="328"/>
        <v>0</v>
      </c>
      <c r="O254" s="418">
        <f t="shared" si="328"/>
        <v>0</v>
      </c>
      <c r="P254" s="418">
        <f t="shared" si="328"/>
        <v>0</v>
      </c>
      <c r="Q254" s="418">
        <f t="shared" si="328"/>
        <v>0</v>
      </c>
      <c r="R254" s="418">
        <f t="shared" si="328"/>
        <v>0</v>
      </c>
      <c r="S254" s="418">
        <f t="shared" si="328"/>
        <v>0</v>
      </c>
      <c r="T254" s="418">
        <f t="shared" si="328"/>
        <v>0</v>
      </c>
      <c r="U254" s="418">
        <f t="shared" si="328"/>
        <v>0</v>
      </c>
      <c r="V254" s="418">
        <f t="shared" si="328"/>
        <v>0</v>
      </c>
      <c r="W254" s="418">
        <f t="shared" si="328"/>
        <v>0</v>
      </c>
      <c r="X254" s="418">
        <f t="shared" si="328"/>
        <v>3.0000000001564331E-3</v>
      </c>
      <c r="Y254" s="418">
        <f t="shared" si="328"/>
        <v>3.0000000003838068E-3</v>
      </c>
      <c r="Z254" s="418">
        <f t="shared" si="328"/>
        <v>3.0000000003838068E-3</v>
      </c>
      <c r="AA254" s="418">
        <f t="shared" si="328"/>
        <v>3.0000000003838068E-3</v>
      </c>
      <c r="AB254" s="418">
        <f t="shared" si="328"/>
        <v>3.0000000001564331E-3</v>
      </c>
      <c r="AC254" s="418">
        <f t="shared" si="328"/>
        <v>3.0000000001564331E-3</v>
      </c>
      <c r="AD254" s="418">
        <f t="shared" si="328"/>
        <v>3.0000000001564331E-3</v>
      </c>
      <c r="AE254" s="418">
        <f t="shared" si="328"/>
        <v>3.0000000001564331E-3</v>
      </c>
      <c r="AF254" s="418">
        <f t="shared" si="328"/>
        <v>3.0000000006111804E-3</v>
      </c>
      <c r="AG254" s="418">
        <f t="shared" si="328"/>
        <v>3.0000000001564331E-3</v>
      </c>
      <c r="AH254" s="418">
        <f t="shared" si="328"/>
        <v>3.0000000001564331E-3</v>
      </c>
      <c r="AI254" s="418">
        <f t="shared" si="328"/>
        <v>3.0000000001564331E-3</v>
      </c>
      <c r="AJ254" s="418">
        <f t="shared" si="328"/>
        <v>3.0000000010659278E-3</v>
      </c>
      <c r="AK254" s="418">
        <f t="shared" si="328"/>
        <v>3.0000000006111804E-3</v>
      </c>
      <c r="AL254" s="418">
        <f t="shared" si="328"/>
        <v>3.0000000001564331E-3</v>
      </c>
      <c r="AM254" s="418">
        <f t="shared" si="328"/>
        <v>3.0000000001564331E-3</v>
      </c>
      <c r="AN254" s="416"/>
      <c r="AO254" s="416"/>
      <c r="AP254" s="416"/>
      <c r="AQ254" s="416"/>
      <c r="AR254" s="416"/>
      <c r="AS254" s="416"/>
      <c r="AT254" s="416"/>
      <c r="AU254" s="416"/>
      <c r="AV254" s="416"/>
      <c r="AW254" s="416"/>
      <c r="AX254" s="416"/>
      <c r="AY254" s="416"/>
      <c r="AZ254" s="416"/>
      <c r="BA254" s="416"/>
      <c r="BH254" s="424"/>
      <c r="BI254" s="424"/>
    </row>
    <row r="255" spans="1:61" ht="13.5" customHeight="1">
      <c r="A255" s="396"/>
      <c r="B255" s="447"/>
      <c r="C255" s="99"/>
      <c r="D255" s="99"/>
      <c r="E255" s="448"/>
      <c r="F255" s="449"/>
      <c r="G255" s="449"/>
      <c r="H255" s="449"/>
      <c r="I255" s="99"/>
      <c r="J255" s="448"/>
      <c r="K255" s="449"/>
      <c r="L255" s="449"/>
      <c r="M255" s="449"/>
      <c r="N255" s="99"/>
      <c r="O255" s="448"/>
      <c r="P255" s="448"/>
      <c r="Q255" s="449"/>
      <c r="R255" s="449"/>
      <c r="S255" s="99"/>
      <c r="T255" s="448"/>
      <c r="U255" s="448"/>
      <c r="V255" s="448"/>
      <c r="W255" s="449"/>
      <c r="X255" s="99"/>
      <c r="Y255" s="449"/>
      <c r="Z255" s="449"/>
      <c r="AA255" s="449"/>
      <c r="AB255" s="449"/>
      <c r="AC255" s="99"/>
      <c r="AD255" s="449"/>
      <c r="AE255" s="449"/>
      <c r="AF255" s="449"/>
      <c r="AG255" s="449"/>
      <c r="AH255" s="99"/>
      <c r="AI255" s="449"/>
      <c r="AJ255" s="449"/>
      <c r="AK255" s="449"/>
      <c r="AL255" s="449"/>
      <c r="AM255" s="99"/>
      <c r="AN255" s="396"/>
      <c r="AO255" s="396"/>
      <c r="AP255" s="396"/>
      <c r="AQ255" s="396"/>
      <c r="AR255" s="396"/>
      <c r="AS255" s="396"/>
      <c r="AT255" s="396"/>
      <c r="AU255" s="396"/>
      <c r="AV255" s="396"/>
      <c r="AW255" s="396"/>
      <c r="AX255" s="396"/>
      <c r="AY255" s="396"/>
      <c r="AZ255" s="396"/>
      <c r="BA255" s="396"/>
    </row>
    <row r="256" spans="1:61" ht="13.5" customHeight="1">
      <c r="A256" s="396"/>
      <c r="B256" s="450" t="s">
        <v>223</v>
      </c>
      <c r="C256" s="27" t="str">
        <f t="shared" ref="C256:AM256" si="329">C5</f>
        <v>2012A</v>
      </c>
      <c r="D256" s="27" t="str">
        <f t="shared" si="329"/>
        <v>2013A</v>
      </c>
      <c r="E256" s="107" t="str">
        <f t="shared" si="329"/>
        <v>1Q14A</v>
      </c>
      <c r="F256" s="107" t="str">
        <f t="shared" si="329"/>
        <v>2Q14A</v>
      </c>
      <c r="G256" s="107" t="str">
        <f t="shared" si="329"/>
        <v>3Q14A</v>
      </c>
      <c r="H256" s="107" t="str">
        <f t="shared" si="329"/>
        <v>4Q14A</v>
      </c>
      <c r="I256" s="27" t="str">
        <f t="shared" si="329"/>
        <v>2014A</v>
      </c>
      <c r="J256" s="107" t="str">
        <f t="shared" si="329"/>
        <v>1Q15A</v>
      </c>
      <c r="K256" s="107" t="str">
        <f t="shared" si="329"/>
        <v>2Q15A</v>
      </c>
      <c r="L256" s="107" t="str">
        <f t="shared" si="329"/>
        <v>3Q15A</v>
      </c>
      <c r="M256" s="107" t="str">
        <f t="shared" si="329"/>
        <v>4Q15A</v>
      </c>
      <c r="N256" s="27" t="str">
        <f t="shared" si="329"/>
        <v>2015A</v>
      </c>
      <c r="O256" s="107" t="str">
        <f t="shared" si="329"/>
        <v>1Q16A</v>
      </c>
      <c r="P256" s="107" t="str">
        <f t="shared" si="329"/>
        <v>2Q16A</v>
      </c>
      <c r="Q256" s="107" t="str">
        <f t="shared" si="329"/>
        <v>3Q16A</v>
      </c>
      <c r="R256" s="107" t="str">
        <f t="shared" si="329"/>
        <v>4Q16A</v>
      </c>
      <c r="S256" s="27" t="str">
        <f t="shared" si="329"/>
        <v>2016A</v>
      </c>
      <c r="T256" s="107" t="str">
        <f t="shared" si="329"/>
        <v>1Q17A</v>
      </c>
      <c r="U256" s="107" t="str">
        <f t="shared" si="329"/>
        <v>2Q17A</v>
      </c>
      <c r="V256" s="107" t="str">
        <f t="shared" si="329"/>
        <v>3Q17A</v>
      </c>
      <c r="W256" s="107" t="str">
        <f t="shared" si="329"/>
        <v>4Q17E</v>
      </c>
      <c r="X256" s="27" t="str">
        <f t="shared" si="329"/>
        <v>2017E</v>
      </c>
      <c r="Y256" s="107" t="str">
        <f t="shared" si="329"/>
        <v>1Q18E</v>
      </c>
      <c r="Z256" s="107" t="str">
        <f t="shared" si="329"/>
        <v>2Q18E</v>
      </c>
      <c r="AA256" s="107" t="str">
        <f t="shared" si="329"/>
        <v>3Q18E</v>
      </c>
      <c r="AB256" s="107" t="str">
        <f t="shared" si="329"/>
        <v>4Q18E</v>
      </c>
      <c r="AC256" s="27" t="str">
        <f t="shared" si="329"/>
        <v>2018E</v>
      </c>
      <c r="AD256" s="107" t="str">
        <f t="shared" si="329"/>
        <v>1Q19E</v>
      </c>
      <c r="AE256" s="107" t="str">
        <f t="shared" si="329"/>
        <v>2Q19E</v>
      </c>
      <c r="AF256" s="107" t="str">
        <f t="shared" si="329"/>
        <v>3Q19E</v>
      </c>
      <c r="AG256" s="107" t="str">
        <f t="shared" si="329"/>
        <v>4Q19E</v>
      </c>
      <c r="AH256" s="27" t="str">
        <f t="shared" si="329"/>
        <v>2019E</v>
      </c>
      <c r="AI256" s="107" t="str">
        <f t="shared" si="329"/>
        <v>1Q20E</v>
      </c>
      <c r="AJ256" s="107" t="str">
        <f t="shared" si="329"/>
        <v>2Q20E</v>
      </c>
      <c r="AK256" s="107" t="str">
        <f t="shared" si="329"/>
        <v>3Q20E</v>
      </c>
      <c r="AL256" s="107" t="str">
        <f t="shared" si="329"/>
        <v>4Q20E</v>
      </c>
      <c r="AM256" s="27" t="str">
        <f t="shared" si="329"/>
        <v>2020E</v>
      </c>
      <c r="AN256" s="396"/>
      <c r="AO256" s="396"/>
      <c r="AP256" s="396"/>
      <c r="AQ256" s="396"/>
      <c r="AR256" s="396"/>
      <c r="AS256" s="396"/>
      <c r="AT256" s="396"/>
      <c r="AU256" s="396"/>
      <c r="AV256" s="396"/>
      <c r="AW256" s="396"/>
      <c r="AX256" s="396"/>
      <c r="AY256" s="396"/>
      <c r="AZ256" s="396"/>
      <c r="BA256" s="396"/>
    </row>
    <row r="257" spans="1:53" ht="13.5" customHeight="1">
      <c r="A257" s="366"/>
      <c r="B257" s="371" t="s">
        <v>224</v>
      </c>
      <c r="C257" s="451"/>
      <c r="D257" s="451">
        <f>D242</f>
        <v>0</v>
      </c>
      <c r="E257" s="452"/>
      <c r="F257" s="452"/>
      <c r="G257" s="452"/>
      <c r="H257" s="452"/>
      <c r="I257" s="451">
        <f t="shared" ref="I257:AM257" si="330">I242</f>
        <v>30</v>
      </c>
      <c r="J257" s="452">
        <f t="shared" si="330"/>
        <v>30</v>
      </c>
      <c r="K257" s="452">
        <f t="shared" si="330"/>
        <v>30</v>
      </c>
      <c r="L257" s="452">
        <f t="shared" si="330"/>
        <v>0</v>
      </c>
      <c r="M257" s="452">
        <f t="shared" si="330"/>
        <v>0</v>
      </c>
      <c r="N257" s="451">
        <f t="shared" si="330"/>
        <v>0</v>
      </c>
      <c r="O257" s="452">
        <f t="shared" si="330"/>
        <v>0</v>
      </c>
      <c r="P257" s="452">
        <f t="shared" si="330"/>
        <v>0</v>
      </c>
      <c r="Q257" s="452">
        <f t="shared" si="330"/>
        <v>0</v>
      </c>
      <c r="R257" s="452">
        <f t="shared" si="330"/>
        <v>0</v>
      </c>
      <c r="S257" s="451">
        <f t="shared" si="330"/>
        <v>0</v>
      </c>
      <c r="T257" s="452">
        <f t="shared" si="330"/>
        <v>345.73899999999998</v>
      </c>
      <c r="U257" s="452">
        <f t="shared" si="330"/>
        <v>349.96</v>
      </c>
      <c r="V257" s="452">
        <f t="shared" si="330"/>
        <v>354.23700000000002</v>
      </c>
      <c r="W257" s="452">
        <f t="shared" si="330"/>
        <v>354.23700000000002</v>
      </c>
      <c r="X257" s="451">
        <f t="shared" si="330"/>
        <v>354.23700000000002</v>
      </c>
      <c r="Y257" s="452">
        <f t="shared" si="330"/>
        <v>354.23700000000002</v>
      </c>
      <c r="Z257" s="452">
        <f t="shared" si="330"/>
        <v>354.23700000000002</v>
      </c>
      <c r="AA257" s="452">
        <f t="shared" si="330"/>
        <v>354.23700000000002</v>
      </c>
      <c r="AB257" s="452">
        <f t="shared" si="330"/>
        <v>354.23700000000002</v>
      </c>
      <c r="AC257" s="451">
        <f t="shared" si="330"/>
        <v>354.23700000000002</v>
      </c>
      <c r="AD257" s="452">
        <f t="shared" si="330"/>
        <v>354.23700000000002</v>
      </c>
      <c r="AE257" s="452">
        <f t="shared" si="330"/>
        <v>354.23700000000002</v>
      </c>
      <c r="AF257" s="452">
        <f t="shared" si="330"/>
        <v>354.23700000000002</v>
      </c>
      <c r="AG257" s="452">
        <f t="shared" si="330"/>
        <v>354.23700000000002</v>
      </c>
      <c r="AH257" s="451">
        <f t="shared" si="330"/>
        <v>354.23700000000002</v>
      </c>
      <c r="AI257" s="452">
        <f t="shared" si="330"/>
        <v>354.23700000000002</v>
      </c>
      <c r="AJ257" s="452">
        <f t="shared" si="330"/>
        <v>354.23700000000002</v>
      </c>
      <c r="AK257" s="452">
        <f t="shared" si="330"/>
        <v>354.23700000000002</v>
      </c>
      <c r="AL257" s="452">
        <f t="shared" si="330"/>
        <v>354.23700000000002</v>
      </c>
      <c r="AM257" s="451">
        <f t="shared" si="330"/>
        <v>354.23700000000002</v>
      </c>
      <c r="AN257" s="378"/>
      <c r="AO257" s="378"/>
      <c r="AP257" s="378"/>
      <c r="AQ257" s="378"/>
      <c r="AR257" s="378"/>
      <c r="AS257" s="378"/>
      <c r="AT257" s="378"/>
      <c r="AU257" s="378"/>
      <c r="AV257" s="378"/>
      <c r="AW257" s="378"/>
      <c r="AX257" s="378"/>
      <c r="AY257" s="378"/>
      <c r="AZ257" s="378"/>
      <c r="BA257" s="378"/>
    </row>
    <row r="258" spans="1:53" ht="13.5" customHeight="1">
      <c r="A258" s="366"/>
      <c r="B258" s="371" t="s">
        <v>225</v>
      </c>
      <c r="C258" s="451"/>
      <c r="D258" s="451">
        <f>D257-D222</f>
        <v>-166.17599999999999</v>
      </c>
      <c r="E258" s="452"/>
      <c r="F258" s="452"/>
      <c r="G258" s="452"/>
      <c r="H258" s="452"/>
      <c r="I258" s="451">
        <f t="shared" ref="I258:AM258" si="331">I257-I222</f>
        <v>-195.3</v>
      </c>
      <c r="J258" s="452">
        <f t="shared" si="331"/>
        <v>-170.97</v>
      </c>
      <c r="K258" s="452">
        <f t="shared" si="331"/>
        <v>-167.94</v>
      </c>
      <c r="L258" s="452">
        <f t="shared" si="331"/>
        <v>-174.083</v>
      </c>
      <c r="M258" s="452">
        <f t="shared" si="331"/>
        <v>-470.77499999999998</v>
      </c>
      <c r="N258" s="451">
        <f t="shared" si="331"/>
        <v>-470.77499999999998</v>
      </c>
      <c r="O258" s="452">
        <f t="shared" si="331"/>
        <v>-370.64600000000002</v>
      </c>
      <c r="P258" s="452">
        <f t="shared" si="331"/>
        <v>-342.43599999999998</v>
      </c>
      <c r="Q258" s="452">
        <f t="shared" si="331"/>
        <v>-437.9</v>
      </c>
      <c r="R258" s="452">
        <f t="shared" si="331"/>
        <v>-452.03</v>
      </c>
      <c r="S258" s="451">
        <f t="shared" si="331"/>
        <v>-452.02999999999992</v>
      </c>
      <c r="T258" s="452">
        <f t="shared" si="331"/>
        <v>-358.75500000000005</v>
      </c>
      <c r="U258" s="452">
        <f t="shared" si="331"/>
        <v>-367.02900000000005</v>
      </c>
      <c r="V258" s="452">
        <f t="shared" si="331"/>
        <v>-304.17500000000001</v>
      </c>
      <c r="W258" s="452">
        <f t="shared" si="331"/>
        <v>-230.89670230635107</v>
      </c>
      <c r="X258" s="451">
        <f t="shared" si="331"/>
        <v>-230.89370230635114</v>
      </c>
      <c r="Y258" s="452">
        <f t="shared" si="331"/>
        <v>-245.37556530535886</v>
      </c>
      <c r="Z258" s="452">
        <f t="shared" si="331"/>
        <v>-247.36778858421309</v>
      </c>
      <c r="AA258" s="452">
        <f t="shared" si="331"/>
        <v>-264.65296083132165</v>
      </c>
      <c r="AB258" s="452">
        <f t="shared" si="331"/>
        <v>-313.29211229818765</v>
      </c>
      <c r="AC258" s="451">
        <f t="shared" si="331"/>
        <v>-313.29211229818765</v>
      </c>
      <c r="AD258" s="452">
        <f t="shared" si="331"/>
        <v>-380.07144242029273</v>
      </c>
      <c r="AE258" s="452">
        <f t="shared" si="331"/>
        <v>-405.44062396095995</v>
      </c>
      <c r="AF258" s="452">
        <f t="shared" si="331"/>
        <v>-488.73107314384634</v>
      </c>
      <c r="AG258" s="452">
        <f t="shared" si="331"/>
        <v>-579.23381027146229</v>
      </c>
      <c r="AH258" s="451">
        <f t="shared" si="331"/>
        <v>-579.23381027146229</v>
      </c>
      <c r="AI258" s="452">
        <f t="shared" si="331"/>
        <v>-704.8872334548355</v>
      </c>
      <c r="AJ258" s="452">
        <f t="shared" si="331"/>
        <v>-766.53841889101523</v>
      </c>
      <c r="AK258" s="452">
        <f t="shared" si="331"/>
        <v>-899.33269405270084</v>
      </c>
      <c r="AL258" s="452">
        <f t="shared" si="331"/>
        <v>-1048.5367360377991</v>
      </c>
      <c r="AM258" s="451">
        <f t="shared" si="331"/>
        <v>-1048.5367360377993</v>
      </c>
      <c r="AN258" s="378"/>
      <c r="AO258" s="378"/>
      <c r="AP258" s="378"/>
      <c r="AQ258" s="378"/>
      <c r="AR258" s="378"/>
      <c r="AS258" s="378"/>
      <c r="AT258" s="378"/>
      <c r="AU258" s="378"/>
      <c r="AV258" s="378"/>
      <c r="AW258" s="378"/>
      <c r="AX258" s="378"/>
      <c r="AY258" s="378"/>
      <c r="AZ258" s="378"/>
      <c r="BA258" s="378"/>
    </row>
    <row r="259" spans="1:53" ht="13.5" customHeight="1">
      <c r="A259" s="396"/>
      <c r="B259" s="453" t="s">
        <v>226</v>
      </c>
      <c r="C259" s="454"/>
      <c r="D259" s="454">
        <f>-D257/D252</f>
        <v>0</v>
      </c>
      <c r="E259" s="455"/>
      <c r="F259" s="455"/>
      <c r="G259" s="455"/>
      <c r="H259" s="455"/>
      <c r="I259" s="454">
        <f t="shared" ref="I259:AM259" si="332">-I257/I252</f>
        <v>-0.10962027536613168</v>
      </c>
      <c r="J259" s="455">
        <f t="shared" si="332"/>
        <v>-0.11188727729769846</v>
      </c>
      <c r="K259" s="455">
        <f t="shared" si="332"/>
        <v>-0.11448327971699732</v>
      </c>
      <c r="L259" s="455">
        <f t="shared" si="332"/>
        <v>0</v>
      </c>
      <c r="M259" s="455">
        <f t="shared" si="332"/>
        <v>0</v>
      </c>
      <c r="N259" s="454">
        <f t="shared" si="332"/>
        <v>0</v>
      </c>
      <c r="O259" s="455">
        <f t="shared" si="332"/>
        <v>0</v>
      </c>
      <c r="P259" s="455">
        <f t="shared" si="332"/>
        <v>0</v>
      </c>
      <c r="Q259" s="455">
        <f t="shared" si="332"/>
        <v>0</v>
      </c>
      <c r="R259" s="455">
        <f t="shared" si="332"/>
        <v>0</v>
      </c>
      <c r="S259" s="454">
        <f t="shared" si="332"/>
        <v>0</v>
      </c>
      <c r="T259" s="455">
        <f t="shared" si="332"/>
        <v>-0.55059855111930733</v>
      </c>
      <c r="U259" s="455">
        <f t="shared" si="332"/>
        <v>-0.49728310294652595</v>
      </c>
      <c r="V259" s="455">
        <f t="shared" si="332"/>
        <v>-0.48333012693253874</v>
      </c>
      <c r="W259" s="455">
        <f t="shared" si="332"/>
        <v>-0.47001598539555128</v>
      </c>
      <c r="X259" s="454">
        <f t="shared" si="332"/>
        <v>-0.47001598539555128</v>
      </c>
      <c r="Y259" s="455">
        <f t="shared" si="332"/>
        <v>-0.44675938014755201</v>
      </c>
      <c r="Z259" s="455">
        <f t="shared" si="332"/>
        <v>-0.41990825327719689</v>
      </c>
      <c r="AA259" s="455">
        <f t="shared" si="332"/>
        <v>-0.39353508296474177</v>
      </c>
      <c r="AB259" s="455">
        <f t="shared" si="332"/>
        <v>-0.37275691112250658</v>
      </c>
      <c r="AC259" s="454">
        <f t="shared" si="332"/>
        <v>-0.37275691112250658</v>
      </c>
      <c r="AD259" s="455">
        <f t="shared" si="332"/>
        <v>-0.34583357654307284</v>
      </c>
      <c r="AE259" s="455">
        <f t="shared" si="332"/>
        <v>-0.31592783630820609</v>
      </c>
      <c r="AF259" s="455">
        <f t="shared" si="332"/>
        <v>-0.28823579342728872</v>
      </c>
      <c r="AG259" s="455">
        <f t="shared" si="332"/>
        <v>-0.26635191713724959</v>
      </c>
      <c r="AH259" s="454">
        <f t="shared" si="332"/>
        <v>-0.26635191713724959</v>
      </c>
      <c r="AI259" s="455">
        <f t="shared" si="332"/>
        <v>-0.24435502721333666</v>
      </c>
      <c r="AJ259" s="455">
        <f t="shared" si="332"/>
        <v>-0.22053990234505427</v>
      </c>
      <c r="AK259" s="455">
        <f t="shared" si="332"/>
        <v>-0.19905389645949687</v>
      </c>
      <c r="AL259" s="455">
        <f t="shared" si="332"/>
        <v>-0.18200216417474965</v>
      </c>
      <c r="AM259" s="454">
        <f t="shared" si="332"/>
        <v>-0.18200216417474965</v>
      </c>
      <c r="AN259" s="396"/>
      <c r="AO259" s="396"/>
      <c r="AP259" s="396"/>
      <c r="AQ259" s="396"/>
      <c r="AR259" s="396"/>
      <c r="AS259" s="396"/>
      <c r="AT259" s="396"/>
      <c r="AU259" s="396"/>
      <c r="AV259" s="396"/>
      <c r="AW259" s="396"/>
      <c r="AX259" s="396"/>
      <c r="AY259" s="396"/>
      <c r="AZ259" s="396"/>
      <c r="BA259" s="396"/>
    </row>
    <row r="260" spans="1:53" ht="13.5" customHeight="1">
      <c r="A260" s="396"/>
      <c r="B260" s="453" t="s">
        <v>227</v>
      </c>
      <c r="C260" s="456"/>
      <c r="D260" s="456">
        <f>D258/(D115)</f>
        <v>3.2248398990879079</v>
      </c>
      <c r="E260" s="457"/>
      <c r="F260" s="457"/>
      <c r="G260" s="457"/>
      <c r="H260" s="457"/>
      <c r="I260" s="456">
        <f>I258/(I115)</f>
        <v>2.883039813406941</v>
      </c>
      <c r="J260" s="457">
        <f>J258/(J115*4)</f>
        <v>2.1234288837001358</v>
      </c>
      <c r="K260" s="457">
        <f>K258/(K115*4)</f>
        <v>-48.876600698487422</v>
      </c>
      <c r="L260" s="457">
        <f>L258/(L115*4)</f>
        <v>2.7586682302231229</v>
      </c>
      <c r="M260" s="457">
        <f>M258/(M115*4)</f>
        <v>19.297220855878066</v>
      </c>
      <c r="N260" s="456">
        <f>N258/(N115)</f>
        <v>11.441851986875685</v>
      </c>
      <c r="O260" s="457">
        <f>O258/(O115*4)</f>
        <v>10.244499723604184</v>
      </c>
      <c r="P260" s="457">
        <f>P258/(P115*4)</f>
        <v>-6.8192607933726768</v>
      </c>
      <c r="Q260" s="457">
        <f>Q258/(Q115*4)</f>
        <v>-9.4188247440420181</v>
      </c>
      <c r="R260" s="457">
        <f>R258/(R115*4)</f>
        <v>-3.7930889806330255</v>
      </c>
      <c r="S260" s="456">
        <f>S258/(S115)</f>
        <v>-10.061880912632226</v>
      </c>
      <c r="T260" s="457">
        <f>T258/(T115*4)</f>
        <v>-3.3187326549491192</v>
      </c>
      <c r="U260" s="457">
        <f>U258/(U115*4)</f>
        <v>-2.5141727860587437</v>
      </c>
      <c r="V260" s="457">
        <f>V258/(V115*4)</f>
        <v>-2.2169543162006891</v>
      </c>
      <c r="W260" s="457">
        <f>W258/(W115*4)</f>
        <v>-1.7317158480231301</v>
      </c>
      <c r="X260" s="456">
        <f>X258/(X115)</f>
        <v>-1.760457445772361</v>
      </c>
      <c r="Y260" s="457">
        <f>Y258/(Y115*4)</f>
        <v>-1.1656984404084578</v>
      </c>
      <c r="Z260" s="457">
        <f>Z258/(Z115*4)</f>
        <v>-0.96586540390521058</v>
      </c>
      <c r="AA260" s="457">
        <f>AA258/(AA115*4)</f>
        <v>-0.93504029082736451</v>
      </c>
      <c r="AB260" s="457">
        <f>AB258/(AB115*4)</f>
        <v>-1.1621575845817604</v>
      </c>
      <c r="AC260" s="456">
        <f>AC258/(AC115)</f>
        <v>-1.2295322893448397</v>
      </c>
      <c r="AD260" s="457">
        <f>AD258/(AD115*4)</f>
        <v>-1.0549337880512812</v>
      </c>
      <c r="AE260" s="457">
        <f>AE258/(AE115*4)</f>
        <v>-0.90543620194177832</v>
      </c>
      <c r="AF260" s="457">
        <f>AF258/(AF115*4)</f>
        <v>-0.98930204064342475</v>
      </c>
      <c r="AG260" s="457">
        <f>AG258/(AG115*4)</f>
        <v>-1.1932178858422093</v>
      </c>
      <c r="AH260" s="456">
        <f>AH258/(AH115)</f>
        <v>-1.29617360707592</v>
      </c>
      <c r="AI260" s="457">
        <f>AI258/(AI115*4)</f>
        <v>-1.2677862604153192</v>
      </c>
      <c r="AJ260" s="457">
        <f>AJ258/(AJ115*4)</f>
        <v>-1.100700245601508</v>
      </c>
      <c r="AK260" s="457">
        <f>AK258/(AK115*4)</f>
        <v>-1.1715278777436477</v>
      </c>
      <c r="AL260" s="457">
        <f>AL258/(AL115*4)</f>
        <v>-1.3694229882162299</v>
      </c>
      <c r="AM260" s="456">
        <f>AM258/(AM115)</f>
        <v>-1.5055751598681422</v>
      </c>
      <c r="AN260" s="396"/>
      <c r="AO260" s="396"/>
      <c r="AP260" s="396"/>
      <c r="AQ260" s="396"/>
      <c r="AR260" s="396"/>
      <c r="AS260" s="396"/>
      <c r="AT260" s="396"/>
      <c r="AU260" s="396"/>
      <c r="AV260" s="396"/>
      <c r="AW260" s="396"/>
      <c r="AX260" s="396"/>
      <c r="AY260" s="396"/>
      <c r="AZ260" s="396"/>
      <c r="BA260" s="396"/>
    </row>
    <row r="261" spans="1:53" ht="13.5" customHeight="1">
      <c r="A261" s="396"/>
      <c r="B261" s="453" t="s">
        <v>228</v>
      </c>
      <c r="C261" s="456"/>
      <c r="D261" s="456">
        <f>D257/(D115)</f>
        <v>0</v>
      </c>
      <c r="E261" s="457"/>
      <c r="F261" s="457"/>
      <c r="G261" s="457"/>
      <c r="H261" s="457"/>
      <c r="I261" s="456">
        <f>I257/(I115)</f>
        <v>-0.44286325858785575</v>
      </c>
      <c r="J261" s="457">
        <f>J257/(J115*4)</f>
        <v>-0.37259675095633199</v>
      </c>
      <c r="K261" s="457">
        <f>K257/(K115*4)</f>
        <v>8.7310826542492723</v>
      </c>
      <c r="L261" s="457">
        <f>L257/(L115*4)</f>
        <v>0</v>
      </c>
      <c r="M261" s="457">
        <f>M257/(M115*4)</f>
        <v>0</v>
      </c>
      <c r="N261" s="456">
        <f>N257/(N115)</f>
        <v>0</v>
      </c>
      <c r="O261" s="457">
        <f>O257/(O115*4)</f>
        <v>0</v>
      </c>
      <c r="P261" s="457">
        <f>P257/(P115*4)</f>
        <v>0</v>
      </c>
      <c r="Q261" s="457">
        <f>Q257/(Q115*4)</f>
        <v>0</v>
      </c>
      <c r="R261" s="457">
        <f>R257/(R115*4)</f>
        <v>0</v>
      </c>
      <c r="S261" s="456">
        <f>S257/(S115)</f>
        <v>0</v>
      </c>
      <c r="T261" s="457">
        <f>T257/(T115*4)</f>
        <v>3.198325624421829</v>
      </c>
      <c r="U261" s="457">
        <f>U257/(U115*4)</f>
        <v>2.3972490135905278</v>
      </c>
      <c r="V261" s="457">
        <f>V257/(V115*4)</f>
        <v>2.5818270604355504</v>
      </c>
      <c r="W261" s="457">
        <f>W257/(W115*4)</f>
        <v>2.6567630491416345</v>
      </c>
      <c r="X261" s="456">
        <f>X257/(X115)</f>
        <v>2.7008929130108634</v>
      </c>
      <c r="Y261" s="457">
        <f>Y257/(Y115*4)</f>
        <v>1.6828632383224209</v>
      </c>
      <c r="Z261" s="457">
        <f>Z257/(Z115*4)</f>
        <v>1.3831439616346464</v>
      </c>
      <c r="AA261" s="457">
        <f>AA257/(AA115*4)</f>
        <v>1.2515479383316712</v>
      </c>
      <c r="AB261" s="457">
        <f>AB257/(AB115*4)</f>
        <v>1.3140427100751833</v>
      </c>
      <c r="AC261" s="456">
        <f>AC257/(AC115)</f>
        <v>1.390222774476048</v>
      </c>
      <c r="AD261" s="457">
        <f>AD257/(AD115*4)</f>
        <v>0.98322720038691702</v>
      </c>
      <c r="AE261" s="457">
        <f>AE257/(AE115*4)</f>
        <v>0.79108748584141342</v>
      </c>
      <c r="AF261" s="457">
        <f>AF257/(AF115*4)</f>
        <v>0.71705566973078272</v>
      </c>
      <c r="AG261" s="457">
        <f>AG257/(AG115*4)</f>
        <v>0.72972591850084456</v>
      </c>
      <c r="AH261" s="456">
        <f>AH257/(AH115)</f>
        <v>0.79268965641796241</v>
      </c>
      <c r="AI261" s="457">
        <f>AI257/(AI115*4)</f>
        <v>0.63711864851006206</v>
      </c>
      <c r="AJ261" s="457">
        <f>AJ257/(AJ115*4)</f>
        <v>0.50866172300305512</v>
      </c>
      <c r="AK261" s="457">
        <f>AK257/(AK115*4)</f>
        <v>0.46145161136992718</v>
      </c>
      <c r="AL261" s="457">
        <f>AL257/(AL115*4)</f>
        <v>0.46264501223852694</v>
      </c>
      <c r="AM261" s="456">
        <f>AM257/(AM115)</f>
        <v>0.50864257738985386</v>
      </c>
      <c r="AN261" s="396"/>
      <c r="AO261" s="396"/>
      <c r="AP261" s="396"/>
      <c r="AQ261" s="396"/>
      <c r="AR261" s="396"/>
      <c r="AS261" s="396"/>
      <c r="AT261" s="396"/>
      <c r="AU261" s="396"/>
      <c r="AV261" s="396"/>
      <c r="AW261" s="396"/>
      <c r="AX261" s="396"/>
      <c r="AY261" s="396"/>
      <c r="AZ261" s="396"/>
      <c r="BA261" s="396"/>
    </row>
    <row r="262" spans="1:53" ht="13.5" customHeight="1">
      <c r="A262" s="458"/>
      <c r="B262" s="459" t="s">
        <v>229</v>
      </c>
      <c r="C262" s="460"/>
      <c r="D262" s="460"/>
      <c r="E262" s="461"/>
      <c r="F262" s="461"/>
      <c r="G262" s="461"/>
      <c r="H262" s="461"/>
      <c r="I262" s="460">
        <f>(I138)/AVERAGE(D233,I233)</f>
        <v>-0.28855107186574763</v>
      </c>
      <c r="J262" s="461">
        <f>(J138*4)/AVERAGE(I233,J233)</f>
        <v>-0.28361989295184947</v>
      </c>
      <c r="K262" s="461">
        <f>(K138*4)/AVERAGE(J233,K233)</f>
        <v>-0.13767995478272446</v>
      </c>
      <c r="L262" s="461">
        <f>(L138*4)/AVERAGE(K233,L233)</f>
        <v>-0.28466467462114831</v>
      </c>
      <c r="M262" s="461">
        <f>(M138*4)/AVERAGE(L233,M233)</f>
        <v>-0.24299298326944532</v>
      </c>
      <c r="N262" s="460">
        <f>(N138)/AVERAGE(I233,N233)</f>
        <v>-0.207795859841577</v>
      </c>
      <c r="O262" s="461">
        <f>(O138*4)/AVERAGE(N233,O233)</f>
        <v>-0.20130435184344744</v>
      </c>
      <c r="P262" s="461">
        <f>(P138*4)/AVERAGE(O233,P233)</f>
        <v>-0.13315012396445661</v>
      </c>
      <c r="Q262" s="461">
        <f>(Q138*4)/AVERAGE(P233,Q233)</f>
        <v>-0.13259733064719229</v>
      </c>
      <c r="R262" s="461">
        <f>(R138*4)/AVERAGE(Q233,R233)</f>
        <v>-4.6574216834469218E-2</v>
      </c>
      <c r="S262" s="460">
        <f>(S138)/AVERAGE(N233,S233)</f>
        <v>-0.11741513123096659</v>
      </c>
      <c r="T262" s="461">
        <f>(T138*4)/AVERAGE(S233,T233)</f>
        <v>-3.7021561298495043E-2</v>
      </c>
      <c r="U262" s="461">
        <f>(U138*4)/AVERAGE(T233,U233)</f>
        <v>-3.3645910813852542E-2</v>
      </c>
      <c r="V262" s="461">
        <f>(V138*4)/AVERAGE(U233,V233)</f>
        <v>-2.9761870531053298E-2</v>
      </c>
      <c r="W262" s="461">
        <f>(W138*4)/AVERAGE(V233,W233)</f>
        <v>-3.6568466054904054E-2</v>
      </c>
      <c r="X262" s="460">
        <f>(X138)/AVERAGE(S233,X233)</f>
        <v>-3.884673725733076E-2</v>
      </c>
      <c r="Y262" s="461">
        <f>(Y138*4)/AVERAGE(X233,Y233)</f>
        <v>-9.1949021805914021E-4</v>
      </c>
      <c r="Z262" s="461">
        <f>(Z138*4)/AVERAGE(Y233,Z233)</f>
        <v>2.1326882923859109E-2</v>
      </c>
      <c r="AA262" s="461">
        <f>(AA138*4)/AVERAGE(Z233,AA233)</f>
        <v>3.0073315882301357E-2</v>
      </c>
      <c r="AB262" s="461">
        <f>(AB138*4)/AVERAGE(AA233,AB233)</f>
        <v>1.4918282849994966E-2</v>
      </c>
      <c r="AC262" s="460">
        <f>(AC138)/AVERAGE(X233,AC233)</f>
        <v>1.6485854813468676E-2</v>
      </c>
      <c r="AD262" s="461">
        <f>(AD138*4)/AVERAGE(AC233,AD233)</f>
        <v>5.7812700817223103E-2</v>
      </c>
      <c r="AE262" s="461">
        <f>(AE138*4)/AVERAGE(AD233,AE233)</f>
        <v>9.2594669628210072E-2</v>
      </c>
      <c r="AF262" s="461">
        <f>(AF138*4)/AVERAGE(AE233,AF233)</f>
        <v>0.10019473950230574</v>
      </c>
      <c r="AG262" s="461">
        <f>(AG138*4)/AVERAGE(AF233,AG233)</f>
        <v>8.1831782769687694E-2</v>
      </c>
      <c r="AH262" s="460">
        <f>(AH138)/AVERAGE(AC233,AH233)</f>
        <v>8.3142916129214581E-2</v>
      </c>
      <c r="AI262" s="461">
        <f>(AI138*4)/AVERAGE(AH233,AI233)</f>
        <v>0.10483898082523921</v>
      </c>
      <c r="AJ262" s="461">
        <f>(AJ138*4)/AVERAGE(AI233,AJ233)</f>
        <v>0.14591842405626998</v>
      </c>
      <c r="AK262" s="461">
        <f>(AK138*4)/AVERAGE(AJ233,AK233)</f>
        <v>0.15238248752546971</v>
      </c>
      <c r="AL262" s="461">
        <f>(AL138*4)/AVERAGE(AK233,AL233)</f>
        <v>0.13330017410538114</v>
      </c>
      <c r="AM262" s="460">
        <f>(AM138)/AVERAGE(AH233,AM233)</f>
        <v>0.13392583064005961</v>
      </c>
      <c r="AN262" s="458"/>
      <c r="AO262" s="458"/>
      <c r="AP262" s="458"/>
      <c r="AQ262" s="458"/>
      <c r="AR262" s="458"/>
      <c r="AS262" s="458"/>
      <c r="AT262" s="458"/>
      <c r="AU262" s="458"/>
      <c r="AV262" s="458"/>
      <c r="AW262" s="458"/>
      <c r="AX262" s="458"/>
      <c r="AY262" s="458"/>
      <c r="AZ262" s="458"/>
      <c r="BA262" s="458"/>
    </row>
    <row r="263" spans="1:53" ht="13.5" customHeight="1">
      <c r="A263" s="458"/>
      <c r="B263" s="459" t="s">
        <v>230</v>
      </c>
      <c r="C263" s="460"/>
      <c r="D263" s="460"/>
      <c r="E263" s="461"/>
      <c r="F263" s="461"/>
      <c r="G263" s="461"/>
      <c r="H263" s="461"/>
      <c r="I263" s="460">
        <f>(I138)/AVERAGE(H252,I252)</f>
        <v>-0.45349907918968724</v>
      </c>
      <c r="J263" s="461">
        <f>(J138*4)/AVERAGE(I252,J252)</f>
        <v>-0.58965040540864744</v>
      </c>
      <c r="K263" s="461">
        <f>(K138*4)/AVERAGE(J252,K252)</f>
        <v>-0.31242573192951767</v>
      </c>
      <c r="L263" s="461">
        <f>(L138*4)/AVERAGE(K252,L252)</f>
        <v>-0.69466348651679299</v>
      </c>
      <c r="M263" s="461">
        <f>(M138*4)/AVERAGE(L252,M252)</f>
        <v>-0.48719291883252047</v>
      </c>
      <c r="N263" s="460">
        <f>(N138)/AVERAGE(M252,N252)</f>
        <v>-0.29380294775296811</v>
      </c>
      <c r="O263" s="461">
        <f>(O138*4)/AVERAGE(N252,O252)</f>
        <v>-0.38866152044427105</v>
      </c>
      <c r="P263" s="461">
        <f>(P138*4)/AVERAGE(O252,P252)</f>
        <v>-0.27293709888109657</v>
      </c>
      <c r="Q263" s="461">
        <f>(Q138*4)/AVERAGE(P252,Q252)</f>
        <v>-0.26813926391865167</v>
      </c>
      <c r="R263" s="461">
        <f>(R138*4)/AVERAGE(Q252,R252)</f>
        <v>-9.702708224808565E-2</v>
      </c>
      <c r="S263" s="460">
        <f>(S138)/AVERAGE(R252,S252)</f>
        <v>-0.21460618967531242</v>
      </c>
      <c r="T263" s="461">
        <f>(T138*4)/AVERAGE(S252,T252)</f>
        <v>-8.6166602717745969E-2</v>
      </c>
      <c r="U263" s="461">
        <f>(U138*4)/AVERAGE(T252,U252)</f>
        <v>-8.4206605655875802E-2</v>
      </c>
      <c r="V263" s="461">
        <f>(V138*4)/AVERAGE(U252,V252)</f>
        <v>-7.9250869903866442E-2</v>
      </c>
      <c r="W263" s="461">
        <f>(W138*4)/AVERAGE(V252,W252)</f>
        <v>-9.6335108421844021E-2</v>
      </c>
      <c r="X263" s="460">
        <f>(X138)/AVERAGE(W252,X252)</f>
        <v>-7.844177326439164E-2</v>
      </c>
      <c r="Y263" s="461">
        <f>(Y138*4)/AVERAGE(X252,Y252)</f>
        <v>-2.1662265051737356E-3</v>
      </c>
      <c r="Z263" s="461">
        <f>(Z138*4)/AVERAGE(Y252,Z252)</f>
        <v>4.936722394128041E-2</v>
      </c>
      <c r="AA263" s="461">
        <f>(AA138*4)/AVERAGE(Z252,AA252)</f>
        <v>6.8593103664426516E-2</v>
      </c>
      <c r="AB263" s="461">
        <f>(AB138*4)/AVERAGE(AA252,AB252)</f>
        <v>3.2883327498165714E-2</v>
      </c>
      <c r="AC263" s="460">
        <f>(AC138)/AVERAGE(AB252,AC252)</f>
        <v>3.3922631298729411E-2</v>
      </c>
      <c r="AD263" s="461">
        <f>(AD138*4)/AVERAGE(AC252,AD252)</f>
        <v>0.12323111246366979</v>
      </c>
      <c r="AE263" s="461">
        <f>(AE138*4)/AVERAGE(AD252,AE252)</f>
        <v>0.19374011831582802</v>
      </c>
      <c r="AF263" s="461">
        <f>(AF138*4)/AVERAGE(AE252,AF252)</f>
        <v>0.20849442507713378</v>
      </c>
      <c r="AG263" s="461">
        <f>(AG138*4)/AVERAGE(AF252,AG252)</f>
        <v>0.16576989735530118</v>
      </c>
      <c r="AH263" s="460">
        <f>(AH138)/AVERAGE(AG252,AH252)</f>
        <v>0.14786389626042432</v>
      </c>
      <c r="AI263" s="461">
        <f>(AI138*4)/AVERAGE(AH252,AI252)</f>
        <v>0.20366956575229608</v>
      </c>
      <c r="AJ263" s="461">
        <f>(AJ138*4)/AVERAGE(AI252,AJ252)</f>
        <v>0.27795457504959548</v>
      </c>
      <c r="AK263" s="461">
        <f>(AK138*4)/AVERAGE(AJ252,AK252)</f>
        <v>0.28718633239209951</v>
      </c>
      <c r="AL263" s="461">
        <f>(AL138*4)/AVERAGE(AK252,AL252)</f>
        <v>0.24354779483253858</v>
      </c>
      <c r="AM263" s="460">
        <f>(AM138)/AVERAGE(AL252,AM252)</f>
        <v>0.21163759675069768</v>
      </c>
      <c r="AN263" s="458"/>
      <c r="AO263" s="458"/>
      <c r="AP263" s="458"/>
      <c r="AQ263" s="458"/>
      <c r="AR263" s="458"/>
      <c r="AS263" s="458"/>
      <c r="AT263" s="458"/>
      <c r="AU263" s="458"/>
      <c r="AV263" s="458"/>
      <c r="AW263" s="458"/>
      <c r="AX263" s="458"/>
      <c r="AY263" s="458"/>
      <c r="AZ263" s="458"/>
      <c r="BA263" s="458"/>
    </row>
    <row r="264" spans="1:53" ht="13.5" customHeight="1">
      <c r="A264" s="396"/>
      <c r="B264" s="453" t="s">
        <v>231</v>
      </c>
      <c r="C264" s="451"/>
      <c r="D264" s="451">
        <f>D224/D16*360</f>
        <v>42.337224604612686</v>
      </c>
      <c r="E264" s="452"/>
      <c r="F264" s="452"/>
      <c r="G264" s="452"/>
      <c r="H264" s="452"/>
      <c r="I264" s="451">
        <f>I224/I16*360</f>
        <v>48.898554679413586</v>
      </c>
      <c r="J264" s="452">
        <f>J224/J16*90</f>
        <v>53.693171613644793</v>
      </c>
      <c r="K264" s="452">
        <f>K224/K16*90</f>
        <v>49.888391777119026</v>
      </c>
      <c r="L264" s="452">
        <f>L224/L16*90</f>
        <v>42.31615831998748</v>
      </c>
      <c r="M264" s="452">
        <f>M224/M16*90</f>
        <v>34.313040923175556</v>
      </c>
      <c r="N264" s="451">
        <f>N224/N16*360</f>
        <v>40.550067160280264</v>
      </c>
      <c r="O264" s="452">
        <f>O224/O16*90</f>
        <v>44.861061673904274</v>
      </c>
      <c r="P264" s="452">
        <f>P224/P16*90</f>
        <v>41.977889919344726</v>
      </c>
      <c r="Q264" s="452">
        <f>Q224/Q16*90</f>
        <v>47.933904629136087</v>
      </c>
      <c r="R264" s="452">
        <f>R224/R16*90</f>
        <v>63.947981598390847</v>
      </c>
      <c r="S264" s="451">
        <f>S224/S16*360</f>
        <v>67.651020851268285</v>
      </c>
      <c r="T264" s="452">
        <f>T224/T16*90</f>
        <v>51.885413191089235</v>
      </c>
      <c r="U264" s="452">
        <f>U224/U16*90</f>
        <v>50.429080425381457</v>
      </c>
      <c r="V264" s="452">
        <f>V224/V16*90</f>
        <v>90.380050550363222</v>
      </c>
      <c r="W264" s="452">
        <f>W224/W16*90</f>
        <v>60.932780534021894</v>
      </c>
      <c r="X264" s="451">
        <f>X224/X16*360</f>
        <v>66.366095345885014</v>
      </c>
      <c r="Y264" s="452">
        <f>Y224/Y16*90</f>
        <v>53.573804020909137</v>
      </c>
      <c r="Z264" s="452">
        <f>Z224/Z16*90</f>
        <v>53.610230137294842</v>
      </c>
      <c r="AA264" s="452">
        <f>AA224/AA16*90</f>
        <v>47.10639847683354</v>
      </c>
      <c r="AB264" s="452">
        <f>AB224/AB16*90</f>
        <v>47.485713630582929</v>
      </c>
      <c r="AC264" s="451">
        <f>AC224/AC16*360</f>
        <v>52.06644545691718</v>
      </c>
      <c r="AD264" s="452">
        <f>AD224/AD16*90</f>
        <v>46.167291230976609</v>
      </c>
      <c r="AE264" s="452">
        <f>AE224/AE16*90</f>
        <v>46.194223092064547</v>
      </c>
      <c r="AF264" s="452">
        <f>AF224/AF16*90</f>
        <v>47.071216578397348</v>
      </c>
      <c r="AG264" s="452">
        <f>AG224/AG16*90</f>
        <v>46.200244888909126</v>
      </c>
      <c r="AH264" s="451">
        <f>AH224/AH16*360</f>
        <v>50.786349062427007</v>
      </c>
      <c r="AI264" s="452">
        <f>AI224/AI16*90</f>
        <v>46.266238786131964</v>
      </c>
      <c r="AJ264" s="452">
        <f>AJ224/AJ16*90</f>
        <v>46.288088523314194</v>
      </c>
      <c r="AK264" s="452">
        <f>AK224/AK16*90</f>
        <v>46.0066114339213</v>
      </c>
      <c r="AL264" s="452">
        <f>AL224/AL16*90</f>
        <v>45.038233845191172</v>
      </c>
      <c r="AM264" s="451">
        <f>AM224/AM16*360</f>
        <v>49.626673684458851</v>
      </c>
      <c r="AN264" s="396"/>
      <c r="AO264" s="396"/>
      <c r="AP264" s="396"/>
      <c r="AQ264" s="396"/>
      <c r="AR264" s="396"/>
      <c r="AS264" s="396"/>
      <c r="AT264" s="396"/>
      <c r="AU264" s="396"/>
      <c r="AV264" s="396"/>
      <c r="AW264" s="396"/>
      <c r="AX264" s="396"/>
      <c r="AY264" s="396"/>
      <c r="AZ264" s="396"/>
      <c r="BA264" s="396"/>
    </row>
    <row r="265" spans="1:53" ht="13.5" customHeight="1">
      <c r="A265" s="396"/>
      <c r="B265" s="453" t="s">
        <v>232</v>
      </c>
      <c r="C265" s="451"/>
      <c r="D265" s="451">
        <f>D236/D16*360</f>
        <v>2.9592004822304241</v>
      </c>
      <c r="E265" s="452"/>
      <c r="F265" s="452"/>
      <c r="G265" s="452"/>
      <c r="H265" s="452"/>
      <c r="I265" s="451">
        <f>I236/I16*360</f>
        <v>2.3017859495266952</v>
      </c>
      <c r="J265" s="452">
        <f>J236/J16*90</f>
        <v>3.6368969934984849</v>
      </c>
      <c r="K265" s="452">
        <f>K236/K16*90</f>
        <v>2.5733114417782486</v>
      </c>
      <c r="L265" s="452">
        <f>L236/L16*90</f>
        <v>2.0395679554950812</v>
      </c>
      <c r="M265" s="452">
        <f>M236/M16*90</f>
        <v>4.5363019553371089</v>
      </c>
      <c r="N265" s="451">
        <f>N236/N16*360</f>
        <v>5.3608582626085335</v>
      </c>
      <c r="O265" s="452">
        <f>O236/O16*90</f>
        <v>4.6463064474027664</v>
      </c>
      <c r="P265" s="452">
        <f>P236/P16*90</f>
        <v>3.3269788134530351</v>
      </c>
      <c r="Q265" s="452">
        <f>Q236/Q16*90</f>
        <v>2.8125384394604129</v>
      </c>
      <c r="R265" s="452">
        <f>R236/R16*90</f>
        <v>2.5097086411885368</v>
      </c>
      <c r="S265" s="451">
        <f>S236/S16*360</f>
        <v>2.6550384761467791</v>
      </c>
      <c r="T265" s="452">
        <f>T236/T16*90</f>
        <v>1.9160054944816858</v>
      </c>
      <c r="U265" s="452">
        <f>U236/U16*90</f>
        <v>1.8562841678679252</v>
      </c>
      <c r="V265" s="452">
        <f>V236/V16*90</f>
        <v>2.0808190594351275</v>
      </c>
      <c r="W265" s="452">
        <f>W236/W16*90</f>
        <v>2.4288272144189214</v>
      </c>
      <c r="X265" s="451">
        <f>X236/X16*360</f>
        <v>2.6454032965195937</v>
      </c>
      <c r="Y265" s="452">
        <f>Y236/Y16*90</f>
        <v>2.2804876327483559</v>
      </c>
      <c r="Z265" s="452">
        <f>Z236/Z16*90</f>
        <v>2.2263141952263026</v>
      </c>
      <c r="AA265" s="452">
        <f>AA236/AA16*90</f>
        <v>2.2178884476438672</v>
      </c>
      <c r="AB265" s="452">
        <f>AB236/AB16*90</f>
        <v>2.3056201753002488</v>
      </c>
      <c r="AC265" s="451">
        <f>AC236/AC16*360</f>
        <v>2.5280329160794914</v>
      </c>
      <c r="AD265" s="452">
        <f>AD236/AD16*90</f>
        <v>2.1701966443938243</v>
      </c>
      <c r="AE265" s="452">
        <f>AE236/AE16*90</f>
        <v>2.1144372955586292</v>
      </c>
      <c r="AF265" s="452">
        <f>AF236/AF16*90</f>
        <v>2.1065189800689597</v>
      </c>
      <c r="AG265" s="452">
        <f>AG236/AG16*90</f>
        <v>2.1980259181945265</v>
      </c>
      <c r="AH265" s="451">
        <f>AH236/AH16*360</f>
        <v>2.4162147148377295</v>
      </c>
      <c r="AI265" s="452">
        <f>AI236/AI16*90</f>
        <v>2.0869999539668731</v>
      </c>
      <c r="AJ265" s="452">
        <f>AJ236/AJ16*90</f>
        <v>2.0296246342720816</v>
      </c>
      <c r="AK265" s="452">
        <f>AK236/AK16*90</f>
        <v>2.021728748812373</v>
      </c>
      <c r="AL265" s="452">
        <f>AL236/AL16*90</f>
        <v>2.1156380424215335</v>
      </c>
      <c r="AM265" s="451">
        <f>AM236/AM16*360</f>
        <v>2.3311766426402829</v>
      </c>
      <c r="AN265" s="396"/>
      <c r="AO265" s="396"/>
      <c r="AP265" s="396"/>
      <c r="AQ265" s="396"/>
      <c r="AR265" s="396"/>
      <c r="AS265" s="396"/>
      <c r="AT265" s="396"/>
      <c r="AU265" s="396"/>
      <c r="AV265" s="396"/>
      <c r="AW265" s="396"/>
      <c r="AX265" s="396"/>
      <c r="AY265" s="396"/>
      <c r="AZ265" s="396"/>
      <c r="BA265" s="396"/>
    </row>
    <row r="266" spans="1:53" ht="13.5" customHeight="1">
      <c r="A266" s="462"/>
      <c r="B266" s="463" t="s">
        <v>233</v>
      </c>
      <c r="C266" s="464">
        <f>-C190/C26</f>
        <v>0.19271888446922084</v>
      </c>
      <c r="D266" s="464">
        <f>-D190/D26</f>
        <v>0.29929938055749833</v>
      </c>
      <c r="E266" s="465"/>
      <c r="F266" s="465"/>
      <c r="G266" s="465"/>
      <c r="H266" s="465"/>
      <c r="I266" s="464">
        <f>-I190/I26</f>
        <v>0.10420904057037388</v>
      </c>
      <c r="J266" s="465">
        <f>-J190/J26</f>
        <v>0.11687379424828385</v>
      </c>
      <c r="K266" s="465">
        <f>-K190/K26</f>
        <v>9.213647144681629E-2</v>
      </c>
      <c r="L266" s="465">
        <f>-L190/L26</f>
        <v>8.4548871861449826E-2</v>
      </c>
      <c r="M266" s="465">
        <f>-M190/M26</f>
        <v>5.1640331187846542E-2</v>
      </c>
      <c r="N266" s="464">
        <f>-N190/N16</f>
        <v>2.9541053003745512E-2</v>
      </c>
      <c r="O266" s="465">
        <f t="shared" ref="O266:V266" si="333">-O190/O26</f>
        <v>5.1500119735896834E-2</v>
      </c>
      <c r="P266" s="465">
        <f t="shared" si="333"/>
        <v>4.8668395693435368E-2</v>
      </c>
      <c r="Q266" s="465">
        <f t="shared" si="333"/>
        <v>2.1566344352756551E-2</v>
      </c>
      <c r="R266" s="465">
        <f t="shared" si="333"/>
        <v>3.0014019397843407E-2</v>
      </c>
      <c r="S266" s="464">
        <f t="shared" si="333"/>
        <v>3.7040974748695797E-2</v>
      </c>
      <c r="T266" s="465">
        <f t="shared" si="333"/>
        <v>3.1937028894472363E-2</v>
      </c>
      <c r="U266" s="465">
        <f t="shared" si="333"/>
        <v>3.0676377733317245E-2</v>
      </c>
      <c r="V266" s="465">
        <f t="shared" si="333"/>
        <v>2.2332332488059856E-2</v>
      </c>
      <c r="W266" s="466">
        <f t="shared" ref="W266" si="334">+V266</f>
        <v>2.2332332488059856E-2</v>
      </c>
      <c r="X266" s="464">
        <f>-X190/X26</f>
        <v>2.6429522614001714E-2</v>
      </c>
      <c r="Y266" s="466">
        <v>3.5000000000000003E-2</v>
      </c>
      <c r="Z266" s="466">
        <v>3.5000000000000003E-2</v>
      </c>
      <c r="AA266" s="466">
        <v>3.5000000000000003E-2</v>
      </c>
      <c r="AB266" s="466">
        <v>3.5000000000000003E-2</v>
      </c>
      <c r="AC266" s="464">
        <f>-AC190/AC26</f>
        <v>3.500000000000001E-2</v>
      </c>
      <c r="AD266" s="466">
        <v>3.5000000000000003E-2</v>
      </c>
      <c r="AE266" s="466">
        <v>3.5000000000000003E-2</v>
      </c>
      <c r="AF266" s="466">
        <v>3.5000000000000003E-2</v>
      </c>
      <c r="AG266" s="466">
        <v>3.5000000000000003E-2</v>
      </c>
      <c r="AH266" s="464">
        <f>-AH190/AH26</f>
        <v>3.500000000000001E-2</v>
      </c>
      <c r="AI266" s="466">
        <v>3.5000000000000003E-2</v>
      </c>
      <c r="AJ266" s="466">
        <v>3.5000000000000003E-2</v>
      </c>
      <c r="AK266" s="466">
        <v>3.5000000000000003E-2</v>
      </c>
      <c r="AL266" s="466">
        <v>3.5000000000000003E-2</v>
      </c>
      <c r="AM266" s="464">
        <f>-AM190/AM26</f>
        <v>3.4999999999999989E-2</v>
      </c>
      <c r="AN266" s="462"/>
      <c r="AO266" s="462"/>
      <c r="AP266" s="462"/>
      <c r="AQ266" s="462"/>
      <c r="AR266" s="462"/>
      <c r="AS266" s="462"/>
      <c r="AT266" s="462"/>
      <c r="AU266" s="462"/>
      <c r="AV266" s="462"/>
      <c r="AW266" s="462"/>
      <c r="AX266" s="462"/>
      <c r="AY266" s="462"/>
      <c r="AZ266" s="462"/>
      <c r="BA266" s="462"/>
    </row>
    <row r="267" spans="1:53" ht="13.5" customHeight="1">
      <c r="A267" s="467"/>
      <c r="B267" s="468" t="s">
        <v>234</v>
      </c>
      <c r="C267" s="469"/>
      <c r="D267" s="469">
        <f>D224/D237</f>
        <v>0.67820531557300046</v>
      </c>
      <c r="E267" s="470"/>
      <c r="F267" s="470"/>
      <c r="G267" s="470"/>
      <c r="H267" s="470"/>
      <c r="I267" s="469">
        <f>I224/I237</f>
        <v>0.77687557182067701</v>
      </c>
      <c r="J267" s="470">
        <f>J224/J237</f>
        <v>0.79808221079664055</v>
      </c>
      <c r="K267" s="470">
        <f>K224/K237</f>
        <v>0.79597669204972854</v>
      </c>
      <c r="L267" s="470">
        <f t="shared" ref="L267:M267" si="335">L224/L237</f>
        <v>0.65601780876577687</v>
      </c>
      <c r="M267" s="470">
        <f t="shared" si="335"/>
        <v>0.63487551765705419</v>
      </c>
      <c r="N267" s="469">
        <f>N224/N237</f>
        <v>0.63487551765705419</v>
      </c>
      <c r="O267" s="470">
        <f t="shared" ref="O267:R267" si="336">O224/O237</f>
        <v>0.66599379976044526</v>
      </c>
      <c r="P267" s="470">
        <f t="shared" si="336"/>
        <v>0.65929500196620694</v>
      </c>
      <c r="Q267" s="470">
        <f t="shared" si="336"/>
        <v>0.64157570369394734</v>
      </c>
      <c r="R267" s="470">
        <f t="shared" si="336"/>
        <v>0.82745878193465916</v>
      </c>
      <c r="S267" s="469">
        <f>S224/S237</f>
        <v>0.82745878193465916</v>
      </c>
      <c r="T267" s="470">
        <f t="shared" ref="T267:V267" si="337">T224/T237</f>
        <v>0.73294604711890465</v>
      </c>
      <c r="U267" s="470">
        <f t="shared" si="337"/>
        <v>0.66324051458815358</v>
      </c>
      <c r="V267" s="470">
        <f t="shared" si="337"/>
        <v>0.7265859252802146</v>
      </c>
      <c r="W267" s="471">
        <f>+V267</f>
        <v>0.7265859252802146</v>
      </c>
      <c r="X267" s="469">
        <f>X224/X237</f>
        <v>0.7265859252802146</v>
      </c>
      <c r="Y267" s="471">
        <f>+W267</f>
        <v>0.7265859252802146</v>
      </c>
      <c r="Z267" s="471">
        <f>+Y267</f>
        <v>0.7265859252802146</v>
      </c>
      <c r="AA267" s="471">
        <f>+Z267</f>
        <v>0.7265859252802146</v>
      </c>
      <c r="AB267" s="471">
        <f>+AA267</f>
        <v>0.7265859252802146</v>
      </c>
      <c r="AC267" s="469">
        <f>AC224/AC237</f>
        <v>0.7265859252802146</v>
      </c>
      <c r="AD267" s="471">
        <f>+AB267</f>
        <v>0.7265859252802146</v>
      </c>
      <c r="AE267" s="471">
        <f>+AD267</f>
        <v>0.7265859252802146</v>
      </c>
      <c r="AF267" s="471">
        <f>+AE267</f>
        <v>0.7265859252802146</v>
      </c>
      <c r="AG267" s="471">
        <f>+AF267</f>
        <v>0.7265859252802146</v>
      </c>
      <c r="AH267" s="469">
        <f>AH224/AH237</f>
        <v>0.7265859252802146</v>
      </c>
      <c r="AI267" s="471">
        <f>+AG267</f>
        <v>0.7265859252802146</v>
      </c>
      <c r="AJ267" s="471">
        <f>+AI267</f>
        <v>0.7265859252802146</v>
      </c>
      <c r="AK267" s="471">
        <f>+AJ267</f>
        <v>0.7265859252802146</v>
      </c>
      <c r="AL267" s="471">
        <f>+AK267</f>
        <v>0.7265859252802146</v>
      </c>
      <c r="AM267" s="469">
        <f>AM224/AM237</f>
        <v>0.7265859252802146</v>
      </c>
      <c r="AN267" s="467"/>
      <c r="AO267" s="467"/>
      <c r="AP267" s="467"/>
      <c r="AQ267" s="467"/>
      <c r="AR267" s="467"/>
      <c r="AS267" s="467"/>
      <c r="AT267" s="467"/>
      <c r="AU267" s="467"/>
      <c r="AV267" s="467"/>
      <c r="AW267" s="467"/>
      <c r="AX267" s="467"/>
      <c r="AY267" s="467"/>
      <c r="AZ267" s="467"/>
      <c r="BA267" s="467"/>
    </row>
    <row r="268" spans="1:53" ht="13.5" customHeight="1">
      <c r="A268" s="462"/>
      <c r="B268" s="463" t="s">
        <v>235</v>
      </c>
      <c r="C268" s="464"/>
      <c r="D268" s="464">
        <f>D226/(D16)</f>
        <v>2.2913185852402009E-2</v>
      </c>
      <c r="E268" s="465"/>
      <c r="F268" s="465"/>
      <c r="G268" s="465"/>
      <c r="H268" s="465"/>
      <c r="I268" s="464">
        <f>I226/(I16)</f>
        <v>3.2738487306396669E-2</v>
      </c>
      <c r="J268" s="465">
        <f>J226/(J16*4)</f>
        <v>2.4854623897955355E-2</v>
      </c>
      <c r="K268" s="465">
        <f>K226/(K16*4)</f>
        <v>2.6275511026956935E-2</v>
      </c>
      <c r="L268" s="465">
        <f>L226/(L16*4)</f>
        <v>2.4504949004780428E-2</v>
      </c>
      <c r="M268" s="465">
        <f>M226/(M16*4)</f>
        <v>2.8081926487872635E-2</v>
      </c>
      <c r="N268" s="464">
        <f>N226/(N16)</f>
        <v>3.3186333080265612E-2</v>
      </c>
      <c r="O268" s="465">
        <f>O226/(O16*4)</f>
        <v>6.5031679362141381E-2</v>
      </c>
      <c r="P268" s="465">
        <f>P226/(P16*4)</f>
        <v>7.9377150636326124E-2</v>
      </c>
      <c r="Q268" s="465">
        <f>Q226/(Q16*4)</f>
        <v>8.5129452713199494E-2</v>
      </c>
      <c r="R268" s="465">
        <f>R226/(R16*4)</f>
        <v>0.11171852353418879</v>
      </c>
      <c r="S268" s="464">
        <f>S226/(S16)</f>
        <v>0.1181878141604159</v>
      </c>
      <c r="T268" s="465">
        <f>T226/(T16*4)</f>
        <v>0.18999456184975103</v>
      </c>
      <c r="U268" s="465">
        <f>U226/(U16*4)</f>
        <v>0.17668017515707019</v>
      </c>
      <c r="V268" s="465">
        <f>V226/(V16*4)</f>
        <v>0.17956743380858875</v>
      </c>
      <c r="W268" s="466">
        <f>V268</f>
        <v>0.17956743380858875</v>
      </c>
      <c r="X268" s="464">
        <f>X226/(X16)</f>
        <v>0.1955792814428142</v>
      </c>
      <c r="Y268" s="466">
        <f>W268</f>
        <v>0.17956743380858875</v>
      </c>
      <c r="Z268" s="466">
        <f t="shared" ref="Z268:AB268" si="338">Y268</f>
        <v>0.17956743380858875</v>
      </c>
      <c r="AA268" s="466">
        <f t="shared" si="338"/>
        <v>0.17956743380858875</v>
      </c>
      <c r="AB268" s="466">
        <f t="shared" si="338"/>
        <v>0.17956743380858875</v>
      </c>
      <c r="AC268" s="464">
        <f>AC226/(AC16)</f>
        <v>0.19688949124715302</v>
      </c>
      <c r="AD268" s="466">
        <f>AB268</f>
        <v>0.17956743380858875</v>
      </c>
      <c r="AE268" s="466">
        <f t="shared" ref="AE268:AG268" si="339">AD268</f>
        <v>0.17956743380858875</v>
      </c>
      <c r="AF268" s="466">
        <f t="shared" si="339"/>
        <v>0.17956743380858875</v>
      </c>
      <c r="AG268" s="466">
        <f t="shared" si="339"/>
        <v>0.17956743380858875</v>
      </c>
      <c r="AH268" s="464">
        <f>AH226/(AH16)</f>
        <v>0.19739233840806975</v>
      </c>
      <c r="AI268" s="466">
        <f>AG268</f>
        <v>0.17956743380858875</v>
      </c>
      <c r="AJ268" s="466">
        <f t="shared" ref="AJ268:AL268" si="340">AI268</f>
        <v>0.17956743380858875</v>
      </c>
      <c r="AK268" s="466">
        <f t="shared" si="340"/>
        <v>0.17956743380858875</v>
      </c>
      <c r="AL268" s="466">
        <f t="shared" si="340"/>
        <v>0.17956743380858875</v>
      </c>
      <c r="AM268" s="464">
        <f>AM226/(AM16)</f>
        <v>0.19786154298601519</v>
      </c>
      <c r="AN268" s="462"/>
      <c r="AO268" s="462"/>
      <c r="AP268" s="462"/>
      <c r="AQ268" s="462"/>
      <c r="AR268" s="462"/>
      <c r="AS268" s="462"/>
      <c r="AT268" s="462"/>
      <c r="AU268" s="462"/>
      <c r="AV268" s="462"/>
      <c r="AW268" s="462"/>
      <c r="AX268" s="462"/>
      <c r="AY268" s="462"/>
      <c r="AZ268" s="462"/>
      <c r="BA268" s="462"/>
    </row>
    <row r="269" spans="1:53" ht="13.5" customHeight="1">
      <c r="A269" s="462"/>
      <c r="B269" s="463" t="s">
        <v>236</v>
      </c>
      <c r="C269" s="464"/>
      <c r="D269" s="464">
        <f>(D236)/(SUM(D57,D64,D71,D78,D89))</f>
        <v>1.9632766529613439E-2</v>
      </c>
      <c r="E269" s="465"/>
      <c r="F269" s="465"/>
      <c r="G269" s="465"/>
      <c r="H269" s="465"/>
      <c r="I269" s="464">
        <f>(I236)/(SUM(I57,I64,I71,I78,I89))</f>
        <v>1.4435754783370733E-2</v>
      </c>
      <c r="J269" s="465">
        <f>(J236)/(SUM(J57,J64,J71,J78,J89)*4)</f>
        <v>2.098271645873917E-2</v>
      </c>
      <c r="K269" s="465">
        <f>(K236)/(SUM(K57,K64,K71,K78,K89)*4)</f>
        <v>1.8713687339548708E-2</v>
      </c>
      <c r="L269" s="465">
        <f>(L236)/(SUM(L57,L64,L71,L78,L89)*4)</f>
        <v>1.2671096837612018E-2</v>
      </c>
      <c r="M269" s="465">
        <f>(M236)/(SUM(M57,M64,M71,M78,M89)*4)</f>
        <v>3.0063412147090688E-2</v>
      </c>
      <c r="N269" s="464">
        <f>(N236)/(SUM(N57,N64,N71,N78,N89))</f>
        <v>3.4654574572809689E-2</v>
      </c>
      <c r="O269" s="465">
        <f>(O236)/(SUM(O57,O64,O71,O78,O89)*4)</f>
        <v>3.1104446124811752E-2</v>
      </c>
      <c r="P269" s="465">
        <f>(P236)/(SUM(P57,P64,P71,P78,P89)*4)</f>
        <v>2.274908784731967E-2</v>
      </c>
      <c r="Q269" s="465">
        <f>(Q236)/(SUM(Q57,Q64,Q71,Q78,Q89)*4)</f>
        <v>1.881418133146092E-2</v>
      </c>
      <c r="R269" s="465">
        <f>(R236)/(SUM(R57,R64,R71,R78,R89)*4)</f>
        <v>1.7457775512013479E-2</v>
      </c>
      <c r="S269" s="464">
        <f>(S236)/(SUM(S57,S64,S71,S78,S89))</f>
        <v>1.8047124160261666E-2</v>
      </c>
      <c r="T269" s="465">
        <f>(T236)/(SUM(T57,T64,T71,T78,T89)*4)</f>
        <v>1.3100425037197421E-2</v>
      </c>
      <c r="U269" s="465">
        <f>(U236)/(SUM(U57,U64,U71,U78,U89)*4)</f>
        <v>1.2946674497270669E-2</v>
      </c>
      <c r="V269" s="465">
        <f>(V236)/(SUM(V57,V64,V71,V78,V89)*4)</f>
        <v>1.4488423397374115E-2</v>
      </c>
      <c r="W269" s="466">
        <v>1.6299999999999999E-2</v>
      </c>
      <c r="X269" s="464">
        <f>(X236)/(SUM(X57,X64,X71,X78,X89))</f>
        <v>1.817144336145601E-2</v>
      </c>
      <c r="Y269" s="466">
        <v>1.6299999999999999E-2</v>
      </c>
      <c r="Z269" s="466">
        <v>1.6299999999999999E-2</v>
      </c>
      <c r="AA269" s="466">
        <v>1.6299999999999999E-2</v>
      </c>
      <c r="AB269" s="466">
        <v>1.6299999999999999E-2</v>
      </c>
      <c r="AC269" s="464">
        <f>(AC236)/(SUM(AC57,AC64,AC71,AC78,AC89))</f>
        <v>1.8256544793859786E-2</v>
      </c>
      <c r="AD269" s="466">
        <v>1.6299999999999999E-2</v>
      </c>
      <c r="AE269" s="466">
        <v>1.6299999999999999E-2</v>
      </c>
      <c r="AF269" s="466">
        <v>1.6299999999999999E-2</v>
      </c>
      <c r="AG269" s="466">
        <v>1.6299999999999999E-2</v>
      </c>
      <c r="AH269" s="464">
        <f>(AH236)/(SUM(AH57,AH64,AH71,AH78,AH89))</f>
        <v>1.834464032183087E-2</v>
      </c>
      <c r="AI269" s="466">
        <v>1.6299999999999999E-2</v>
      </c>
      <c r="AJ269" s="466">
        <v>1.6299999999999999E-2</v>
      </c>
      <c r="AK269" s="466">
        <v>1.6299999999999999E-2</v>
      </c>
      <c r="AL269" s="466">
        <v>1.6299999999999999E-2</v>
      </c>
      <c r="AM269" s="464">
        <f>(AM236)/(SUM(AM57,AM64,AM71,AM78,AM89))</f>
        <v>1.8417581087146848E-2</v>
      </c>
      <c r="AN269" s="462"/>
      <c r="AO269" s="462"/>
      <c r="AP269" s="462"/>
      <c r="AQ269" s="462"/>
      <c r="AR269" s="462"/>
      <c r="AS269" s="462"/>
      <c r="AT269" s="462"/>
      <c r="AU269" s="462"/>
      <c r="AV269" s="462"/>
      <c r="AW269" s="462"/>
      <c r="AX269" s="462"/>
      <c r="AY269" s="462"/>
      <c r="AZ269" s="462"/>
      <c r="BA269" s="462"/>
    </row>
    <row r="270" spans="1:53" ht="13.5" customHeight="1">
      <c r="A270" s="462"/>
      <c r="B270" s="463" t="s">
        <v>237</v>
      </c>
      <c r="C270" s="464"/>
      <c r="D270" s="464">
        <f>(D239)/(SUM(D57,D64,D71,D78,D89))</f>
        <v>4.0086987725737898E-2</v>
      </c>
      <c r="E270" s="465"/>
      <c r="F270" s="465"/>
      <c r="G270" s="465"/>
      <c r="H270" s="465"/>
      <c r="I270" s="464">
        <f>(I239)/(SUM(I57,I64,I71,I78,I89))</f>
        <v>4.61221834211889E-2</v>
      </c>
      <c r="J270" s="465">
        <f>(J239)/(SUM(J57,J64,J71,J78,J89)*4)</f>
        <v>3.2299912960583578E-2</v>
      </c>
      <c r="K270" s="465">
        <f>(K239)/(SUM(K57,K64,K71,K78,K89)*4)</f>
        <v>5.6147395622213207E-2</v>
      </c>
      <c r="L270" s="465">
        <f>(L239)/(SUM(L57,L64,L71,L78,L89)*4)</f>
        <v>6.0037905565991367E-2</v>
      </c>
      <c r="M270" s="465">
        <f>(M239)/(SUM(M57,M64,M71,M78,M89)*4)</f>
        <v>7.074278248677586E-2</v>
      </c>
      <c r="N270" s="464">
        <f>(N239)/(SUM(N57,N64,N71,N78,N89))</f>
        <v>8.1546333436182269E-2</v>
      </c>
      <c r="O270" s="465">
        <f>(O239)/(SUM(O57,O64,O71,O78,O89)*4)</f>
        <v>0.1546246814892008</v>
      </c>
      <c r="P270" s="465">
        <f>(P239)/(SUM(P57,P64,P71,P78,P89)*4)</f>
        <v>3.6672747684535503E-2</v>
      </c>
      <c r="Q270" s="465">
        <f>(Q239)/(SUM(Q57,Q64,Q71,Q78,Q89)*4)</f>
        <v>5.7520461227893095E-2</v>
      </c>
      <c r="R270" s="465">
        <f>(R239)/(SUM(R57,R64,R71,R78,R89)*4)</f>
        <v>5.4779623636847248E-2</v>
      </c>
      <c r="S270" s="464">
        <f>(S239)/(SUM(S57,S64,S71,S78,S89))</f>
        <v>5.6628902608254809E-2</v>
      </c>
      <c r="T270" s="465">
        <f>(T239)/(SUM(T57,T64,T71,T78,T89)*4)</f>
        <v>6.0629129713673187E-2</v>
      </c>
      <c r="U270" s="465">
        <f>(U239)/(SUM(U57,U64,U71,U78,U89)*4)</f>
        <v>6.4533054709516452E-2</v>
      </c>
      <c r="V270" s="465">
        <f>(V239)/(SUM(V57,V64,V71,V78,V89)*4)</f>
        <v>6.4925357150506541E-2</v>
      </c>
      <c r="W270" s="466">
        <v>4.3400000000000001E-2</v>
      </c>
      <c r="X270" s="464">
        <f>(X239)/(SUM(X57,X64,X71,X78,X89))</f>
        <v>4.8382861465471841E-2</v>
      </c>
      <c r="Y270" s="466">
        <v>4.3400000000000001E-2</v>
      </c>
      <c r="Z270" s="466">
        <v>4.3400000000000001E-2</v>
      </c>
      <c r="AA270" s="466">
        <v>4.3400000000000001E-2</v>
      </c>
      <c r="AB270" s="466">
        <v>4.3400000000000001E-2</v>
      </c>
      <c r="AC270" s="464">
        <f>(AC239)/(SUM(AC57,AC64,AC71,AC78,AC89))</f>
        <v>4.8609450555430353E-2</v>
      </c>
      <c r="AD270" s="466">
        <v>4.3400000000000001E-2</v>
      </c>
      <c r="AE270" s="466">
        <v>4.3400000000000001E-2</v>
      </c>
      <c r="AF270" s="466">
        <v>4.3400000000000001E-2</v>
      </c>
      <c r="AG270" s="466">
        <v>4.3400000000000001E-2</v>
      </c>
      <c r="AH270" s="464">
        <f>(AH239)/(SUM(AH57,AH64,AH71,AH78,AH89))</f>
        <v>4.88440116544454E-2</v>
      </c>
      <c r="AI270" s="466">
        <v>4.3400000000000001E-2</v>
      </c>
      <c r="AJ270" s="466">
        <v>4.3400000000000001E-2</v>
      </c>
      <c r="AK270" s="466">
        <v>4.3400000000000001E-2</v>
      </c>
      <c r="AL270" s="466">
        <v>4.3400000000000001E-2</v>
      </c>
      <c r="AM270" s="464">
        <f>(AM239)/(SUM(AM57,AM64,AM71,AM78,AM89))</f>
        <v>4.9038222035716152E-2</v>
      </c>
      <c r="AN270" s="462"/>
      <c r="AO270" s="462"/>
      <c r="AP270" s="462"/>
      <c r="AQ270" s="462"/>
      <c r="AR270" s="462"/>
      <c r="AS270" s="462"/>
      <c r="AT270" s="462"/>
      <c r="AU270" s="462"/>
      <c r="AV270" s="462"/>
      <c r="AW270" s="462"/>
      <c r="AX270" s="462"/>
      <c r="AY270" s="462"/>
      <c r="AZ270" s="462"/>
      <c r="BA270" s="462"/>
    </row>
    <row r="271" spans="1:53" ht="13.5" customHeight="1">
      <c r="A271" s="462"/>
      <c r="B271" s="463" t="s">
        <v>238</v>
      </c>
      <c r="C271" s="464"/>
      <c r="D271" s="464">
        <f>(D240)/(SUM(D57,D64,D71,D78,D89))</f>
        <v>5.4674293224728374E-2</v>
      </c>
      <c r="E271" s="465"/>
      <c r="F271" s="465"/>
      <c r="G271" s="465"/>
      <c r="H271" s="465"/>
      <c r="I271" s="464">
        <f>(I240)/(SUM(I57,I64,I71,I78,I89))</f>
        <v>2.9747852296416289E-2</v>
      </c>
      <c r="J271" s="465">
        <f>(J240)/(SUM(J57,J64,J71,J78,J89)*4)</f>
        <v>1.8995316450449704E-2</v>
      </c>
      <c r="K271" s="465">
        <f>(K240)/(SUM(K57,K64,K71,K78,K89)*4)</f>
        <v>2.3121875422240236E-2</v>
      </c>
      <c r="L271" s="465">
        <f>(L240)/(SUM(L57,L64,L71,L78,L89)*4)</f>
        <v>2.3487312071205912E-2</v>
      </c>
      <c r="M271" s="465">
        <f>(M240)/(SUM(M57,M64,M71,M78,M89)*4)</f>
        <v>4.6117200943215857E-2</v>
      </c>
      <c r="N271" s="464">
        <f>(N240)/(SUM(N57,N64,N71,N78,N89))</f>
        <v>5.3160032911652791E-2</v>
      </c>
      <c r="O271" s="465">
        <f>(O240)/(SUM(O57,O64,O71,O78,O89)*4)</f>
        <v>5.3595597720066342E-2</v>
      </c>
      <c r="P271" s="465">
        <f>(P240)/(SUM(P57,P64,P71,P78,P89)*4)</f>
        <v>6.0047712601740105E-2</v>
      </c>
      <c r="Q271" s="465">
        <f>(Q240)/(SUM(Q57,Q64,Q71,Q78,Q89)*4)</f>
        <v>6.1027120726730152E-2</v>
      </c>
      <c r="R271" s="465">
        <f>(R240)/(SUM(R57,R64,R71,R78,R89)*4)</f>
        <v>0.16235509575316964</v>
      </c>
      <c r="S271" s="464">
        <f>(S240)/(SUM(S57,S64,S71,S78,S89))</f>
        <v>0.16783596335583134</v>
      </c>
      <c r="T271" s="465">
        <f>(T240)/(SUM(T57,T64,T71,T78,T89)*4)</f>
        <v>0.15480526683483278</v>
      </c>
      <c r="U271" s="465">
        <f>(U240)/(SUM(U57,U64,U71,U78,U89)*4)</f>
        <v>7.7933858712229853E-2</v>
      </c>
      <c r="V271" s="465">
        <f>(V240)/(SUM(V57,V64,V71,V78,V89)*4)</f>
        <v>2.2541712180599284E-2</v>
      </c>
      <c r="W271" s="466">
        <v>1.43E-2</v>
      </c>
      <c r="X271" s="464">
        <f>(X240)/(SUM(X57,X64,X71,X78,X89))</f>
        <v>1.5941818409130119E-2</v>
      </c>
      <c r="Y271" s="466">
        <v>1.43E-2</v>
      </c>
      <c r="Z271" s="466">
        <v>1.43E-2</v>
      </c>
      <c r="AA271" s="466">
        <v>1.43E-2</v>
      </c>
      <c r="AB271" s="466">
        <v>1.43E-2</v>
      </c>
      <c r="AC271" s="464">
        <f>(AC240)/(SUM(AC57,AC64,AC71,AC78,AC89))</f>
        <v>1.6016477947987419E-2</v>
      </c>
      <c r="AD271" s="466">
        <v>1.43E-2</v>
      </c>
      <c r="AE271" s="466">
        <v>1.43E-2</v>
      </c>
      <c r="AF271" s="466">
        <v>1.43E-2</v>
      </c>
      <c r="AG271" s="466">
        <v>1.43E-2</v>
      </c>
      <c r="AH271" s="464">
        <f>(AH240)/(SUM(AH57,AH64,AH71,AH78,AH89))</f>
        <v>1.6093764208722793E-2</v>
      </c>
      <c r="AI271" s="466">
        <v>1.43E-2</v>
      </c>
      <c r="AJ271" s="466">
        <v>1.43E-2</v>
      </c>
      <c r="AK271" s="466">
        <v>1.43E-2</v>
      </c>
      <c r="AL271" s="466">
        <v>1.43E-2</v>
      </c>
      <c r="AM271" s="464">
        <f>(AM240)/(SUM(AM57,AM64,AM71,AM78,AM89))</f>
        <v>1.6157755186883432E-2</v>
      </c>
      <c r="AN271" s="462"/>
      <c r="AO271" s="462"/>
      <c r="AP271" s="462"/>
      <c r="AQ271" s="462"/>
      <c r="AR271" s="462"/>
      <c r="AS271" s="462"/>
      <c r="AT271" s="462"/>
      <c r="AU271" s="462"/>
      <c r="AV271" s="462"/>
      <c r="AW271" s="462"/>
      <c r="AX271" s="462"/>
      <c r="AY271" s="462"/>
      <c r="AZ271" s="462"/>
      <c r="BA271" s="462"/>
    </row>
    <row r="272" spans="1:53" ht="13.5" customHeight="1">
      <c r="A272" s="472"/>
      <c r="B272" s="473"/>
      <c r="C272" s="474"/>
      <c r="D272" s="474"/>
      <c r="E272" s="475"/>
      <c r="F272" s="475"/>
      <c r="G272" s="475"/>
      <c r="H272" s="475"/>
      <c r="I272" s="474"/>
      <c r="J272" s="475"/>
      <c r="K272" s="475"/>
      <c r="L272" s="475"/>
      <c r="M272" s="475"/>
      <c r="N272" s="474"/>
      <c r="O272" s="475"/>
      <c r="P272" s="475"/>
      <c r="Q272" s="475"/>
      <c r="R272" s="475"/>
      <c r="S272" s="474"/>
      <c r="T272" s="475"/>
      <c r="U272" s="475"/>
      <c r="V272" s="475"/>
      <c r="W272" s="475"/>
      <c r="X272" s="474"/>
      <c r="Y272" s="475"/>
      <c r="Z272" s="475"/>
      <c r="AA272" s="475"/>
      <c r="AB272" s="475"/>
      <c r="AC272" s="474"/>
      <c r="AD272" s="475"/>
      <c r="AE272" s="475"/>
      <c r="AF272" s="475"/>
      <c r="AG272" s="475"/>
      <c r="AH272" s="474"/>
      <c r="AI272" s="475"/>
      <c r="AJ272" s="475"/>
      <c r="AK272" s="475"/>
      <c r="AL272" s="475"/>
      <c r="AM272" s="474"/>
      <c r="AN272" s="472"/>
      <c r="AO272" s="472"/>
      <c r="AP272" s="472"/>
      <c r="AQ272" s="472"/>
      <c r="AR272" s="472"/>
      <c r="AS272" s="472"/>
      <c r="AT272" s="472"/>
      <c r="AU272" s="472"/>
      <c r="AV272" s="472"/>
      <c r="AW272" s="472"/>
      <c r="AX272" s="472"/>
      <c r="AY272" s="472"/>
      <c r="AZ272" s="472"/>
      <c r="BA272" s="472"/>
    </row>
    <row r="273" spans="1:53" ht="13.5" customHeight="1">
      <c r="A273" s="396"/>
      <c r="B273" s="447"/>
      <c r="C273" s="99"/>
      <c r="D273" s="99"/>
      <c r="E273" s="448"/>
      <c r="F273" s="449"/>
      <c r="G273" s="449"/>
      <c r="H273" s="449"/>
      <c r="I273" s="99"/>
      <c r="J273" s="448"/>
      <c r="K273" s="449"/>
      <c r="L273" s="449"/>
      <c r="M273" s="449"/>
      <c r="N273" s="99"/>
      <c r="O273" s="448"/>
      <c r="P273" s="448"/>
      <c r="Q273" s="449"/>
      <c r="R273" s="449"/>
      <c r="S273" s="99"/>
      <c r="T273" s="448"/>
      <c r="U273" s="448"/>
      <c r="V273" s="448"/>
      <c r="W273" s="449"/>
      <c r="X273" s="99"/>
      <c r="Y273" s="449"/>
      <c r="Z273" s="449"/>
      <c r="AA273" s="449"/>
      <c r="AB273" s="449"/>
      <c r="AC273" s="99"/>
      <c r="AD273" s="449"/>
      <c r="AE273" s="449"/>
      <c r="AF273" s="449"/>
      <c r="AG273" s="449"/>
      <c r="AH273" s="99"/>
      <c r="AI273" s="449"/>
      <c r="AJ273" s="449"/>
      <c r="AK273" s="449"/>
      <c r="AL273" s="449"/>
      <c r="AM273" s="99"/>
      <c r="AN273" s="396"/>
      <c r="AO273" s="396"/>
      <c r="AP273" s="396"/>
      <c r="AQ273" s="396"/>
      <c r="AR273" s="396"/>
      <c r="AS273" s="396"/>
      <c r="AT273" s="396"/>
      <c r="AU273" s="396"/>
      <c r="AV273" s="396"/>
      <c r="AW273" s="396"/>
      <c r="AX273" s="396"/>
      <c r="AY273" s="396"/>
      <c r="AZ273" s="396"/>
      <c r="BA273" s="396"/>
    </row>
    <row r="274" spans="1:53" ht="13.5" customHeight="1">
      <c r="A274" s="396"/>
      <c r="B274" s="450" t="s">
        <v>212</v>
      </c>
      <c r="C274" s="27"/>
      <c r="D274" s="27"/>
      <c r="E274" s="107"/>
      <c r="F274" s="107"/>
      <c r="G274" s="107"/>
      <c r="H274" s="107"/>
      <c r="I274" s="27"/>
      <c r="J274" s="107"/>
      <c r="K274" s="107"/>
      <c r="L274" s="107"/>
      <c r="M274" s="107"/>
      <c r="N274" s="27"/>
      <c r="O274" s="107"/>
      <c r="P274" s="107"/>
      <c r="Q274" s="107"/>
      <c r="R274" s="107"/>
      <c r="S274" s="27"/>
      <c r="T274" s="107"/>
      <c r="U274" s="107"/>
      <c r="V274" s="107"/>
      <c r="W274" s="107"/>
      <c r="X274" s="27"/>
      <c r="Y274" s="107"/>
      <c r="Z274" s="107"/>
      <c r="AA274" s="107"/>
      <c r="AB274" s="107"/>
      <c r="AC274" s="27"/>
      <c r="AD274" s="107"/>
      <c r="AE274" s="107"/>
      <c r="AF274" s="107"/>
      <c r="AG274" s="107"/>
      <c r="AH274" s="27"/>
      <c r="AI274" s="107"/>
      <c r="AJ274" s="107"/>
      <c r="AK274" s="107"/>
      <c r="AL274" s="107"/>
      <c r="AM274" s="27"/>
      <c r="AN274" s="396"/>
      <c r="AO274" s="396"/>
      <c r="AP274" s="396"/>
      <c r="AQ274" s="396"/>
      <c r="AR274" s="396"/>
      <c r="AS274" s="396"/>
      <c r="AT274" s="396"/>
      <c r="AU274" s="396"/>
      <c r="AV274" s="396"/>
      <c r="AW274" s="396"/>
      <c r="AX274" s="396"/>
      <c r="AY274" s="396"/>
      <c r="AZ274" s="396"/>
      <c r="BA274" s="396"/>
    </row>
    <row r="275" spans="1:53" ht="13.5" customHeight="1">
      <c r="A275" s="392"/>
      <c r="B275" s="476" t="s">
        <v>239</v>
      </c>
      <c r="C275" s="168">
        <f>'Quarterly Model'!C172</f>
        <v>10.512</v>
      </c>
      <c r="D275" s="168">
        <f>'Quarterly Model'!D172</f>
        <v>15.08</v>
      </c>
      <c r="E275" s="477"/>
      <c r="F275" s="477"/>
      <c r="G275" s="477"/>
      <c r="H275" s="477"/>
      <c r="I275" s="168">
        <f>'Quarterly Model'!I172</f>
        <v>18.478000000000002</v>
      </c>
      <c r="J275" s="477">
        <f>'Quarterly Model'!J172</f>
        <v>13.757</v>
      </c>
      <c r="K275" s="477">
        <f>'Quarterly Model'!K172</f>
        <v>7.8090000000000002</v>
      </c>
      <c r="L275" s="477">
        <f>'Quarterly Model'!L172</f>
        <v>11.400999999999998</v>
      </c>
      <c r="M275" s="477">
        <f>'Quarterly Model'!M172</f>
        <v>10.412000000000001</v>
      </c>
      <c r="N275" s="168">
        <f>SUM(J275:M275)</f>
        <v>43.378999999999998</v>
      </c>
      <c r="O275" s="477">
        <f>'Quarterly Model'!O172</f>
        <v>7.1820000000000004</v>
      </c>
      <c r="P275" s="477">
        <f>'Quarterly Model'!P172</f>
        <v>16.21</v>
      </c>
      <c r="Q275" s="477">
        <f>'Quarterly Model'!Q172</f>
        <v>13.482999999999999</v>
      </c>
      <c r="R275" s="477">
        <f>'Quarterly Model'!R172</f>
        <v>13.944000000000004</v>
      </c>
      <c r="S275" s="168">
        <f>SUM(O275:R275)</f>
        <v>50.819000000000003</v>
      </c>
      <c r="T275" s="477">
        <f>'Quarterly Model'!T172</f>
        <v>11.558</v>
      </c>
      <c r="U275" s="477">
        <f>'Quarterly Model'!U172</f>
        <v>18.734000000000002</v>
      </c>
      <c r="V275" s="477">
        <f>'Quarterly Model'!V172</f>
        <v>19.893000000000001</v>
      </c>
      <c r="W275" s="477">
        <f>'Segment Detail'!W10*W276</f>
        <v>15.837110999999997</v>
      </c>
      <c r="X275" s="168">
        <f>SUM(T275:W275)</f>
        <v>66.022110999999995</v>
      </c>
      <c r="Y275" s="477">
        <f>'Segment Detail'!Y10*Y276</f>
        <v>15.844167000000001</v>
      </c>
      <c r="Z275" s="477">
        <f>'Segment Detail'!Z10*Z276</f>
        <v>19.064781</v>
      </c>
      <c r="AA275" s="477">
        <f>'Segment Detail'!AA10*AA276</f>
        <v>20.185146000000003</v>
      </c>
      <c r="AB275" s="477">
        <f>'Segment Detail'!AB10*AB276</f>
        <v>20.429873189999999</v>
      </c>
      <c r="AC275" s="168">
        <f>SUM(Y275:AB275)</f>
        <v>75.523967190000008</v>
      </c>
      <c r="AD275" s="477">
        <f>'Segment Detail'!AD10*AD276</f>
        <v>20.280533760000001</v>
      </c>
      <c r="AE275" s="477">
        <f>'Segment Detail'!AE10*AE276</f>
        <v>24.40291968</v>
      </c>
      <c r="AF275" s="477">
        <f>'Segment Detail'!AF10*AF276</f>
        <v>25.836986880000005</v>
      </c>
      <c r="AG275" s="477">
        <f>'Segment Detail'!AG10*AG276</f>
        <v>26.150237683199997</v>
      </c>
      <c r="AH275" s="168">
        <f>SUM(AD275:AG275)</f>
        <v>96.67067800320001</v>
      </c>
      <c r="AI275" s="477">
        <f>'Segment Detail'!AI10*AI276</f>
        <v>25.553472537600001</v>
      </c>
      <c r="AJ275" s="477">
        <f>'Segment Detail'!AJ10*AJ276</f>
        <v>30.747678796800002</v>
      </c>
      <c r="AK275" s="477">
        <f>'Segment Detail'!AK10*AK276</f>
        <v>32.554603468800003</v>
      </c>
      <c r="AL275" s="477">
        <f>'Segment Detail'!AL10*AL276</f>
        <v>32.949299480831996</v>
      </c>
      <c r="AM275" s="168">
        <f>SUM(AI275:AL275)</f>
        <v>121.805054284032</v>
      </c>
      <c r="AN275" s="378"/>
      <c r="AO275" s="378"/>
      <c r="AP275" s="378"/>
      <c r="AQ275" s="378"/>
      <c r="AR275" s="378"/>
      <c r="AS275" s="378"/>
      <c r="AT275" s="378"/>
      <c r="AU275" s="378"/>
      <c r="AV275" s="378"/>
      <c r="AW275" s="378"/>
      <c r="AX275" s="378"/>
      <c r="AY275" s="378"/>
      <c r="AZ275" s="378"/>
      <c r="BA275" s="392"/>
    </row>
    <row r="276" spans="1:53" ht="13.5" customHeight="1">
      <c r="A276" s="462"/>
      <c r="B276" s="478" t="s">
        <v>240</v>
      </c>
      <c r="C276" s="479">
        <f>C275/'Segment Detail'!C10</f>
        <v>1.6127646517336608E-3</v>
      </c>
      <c r="D276" s="479">
        <f>D275/'Segment Detail'!D10</f>
        <v>1.0176125244618396E-3</v>
      </c>
      <c r="E276" s="480"/>
      <c r="F276" s="480"/>
      <c r="G276" s="480"/>
      <c r="H276" s="480"/>
      <c r="I276" s="479">
        <f>I275/'Segment Detail'!I10</f>
        <v>7.7707220656882126E-4</v>
      </c>
      <c r="J276" s="480">
        <f>J275/'Segment Detail'!J10</f>
        <v>1.9332490163012927E-3</v>
      </c>
      <c r="K276" s="480">
        <f>K275/'Segment Detail'!K10</f>
        <v>8.8920519243907998E-4</v>
      </c>
      <c r="L276" s="480">
        <f>L275/'Segment Detail'!L10</f>
        <v>1.1950733752620543E-3</v>
      </c>
      <c r="M276" s="480">
        <f>M275/'Segment Detail'!M10</f>
        <v>1.021485333071716E-3</v>
      </c>
      <c r="N276" s="479">
        <f>N275/'Segment Detail'!N10</f>
        <v>1.2174510959557688E-3</v>
      </c>
      <c r="O276" s="480">
        <f>O275/'Segment Detail'!O10</f>
        <v>6.979591836734694E-4</v>
      </c>
      <c r="P276" s="480">
        <f>P275/'Segment Detail'!P10</f>
        <v>1.3019034615693518E-3</v>
      </c>
      <c r="Q276" s="480">
        <f>Q275/'Segment Detail'!Q10</f>
        <v>1.0177385265700482E-3</v>
      </c>
      <c r="R276" s="480">
        <f>R275/'Segment Detail'!R10</f>
        <v>1.0182561705856582E-3</v>
      </c>
      <c r="S276" s="479">
        <f>S275/'Segment Detail'!S10</f>
        <v>1.0228649638709419E-3</v>
      </c>
      <c r="T276" s="480">
        <f>T275/'Segment Detail'!T10</f>
        <v>8.4692606433648418E-4</v>
      </c>
      <c r="U276" s="480">
        <f>U275/'Segment Detail'!U10</f>
        <v>1.1408562206930151E-3</v>
      </c>
      <c r="V276" s="480">
        <f>V275/'Segment Detail'!V10</f>
        <v>1.1441964799263776E-3</v>
      </c>
      <c r="W276" s="481">
        <v>8.9999999999999998E-4</v>
      </c>
      <c r="X276" s="479">
        <f>X275/'Segment Detail'!X10</f>
        <v>1.0149317325738858E-3</v>
      </c>
      <c r="Y276" s="481">
        <v>8.9999999999999998E-4</v>
      </c>
      <c r="Z276" s="481">
        <v>8.9999999999999998E-4</v>
      </c>
      <c r="AA276" s="481">
        <v>8.9999999999999998E-4</v>
      </c>
      <c r="AB276" s="481">
        <v>8.9999999999999998E-4</v>
      </c>
      <c r="AC276" s="479">
        <f>AC275/'Segment Detail'!AC10</f>
        <v>9.0000000000000008E-4</v>
      </c>
      <c r="AD276" s="481">
        <v>8.9999999999999998E-4</v>
      </c>
      <c r="AE276" s="481">
        <v>8.9999999999999998E-4</v>
      </c>
      <c r="AF276" s="481">
        <v>8.9999999999999998E-4</v>
      </c>
      <c r="AG276" s="481">
        <v>8.9999999999999998E-4</v>
      </c>
      <c r="AH276" s="479">
        <f>AH275/'Segment Detail'!AH10</f>
        <v>8.9999999999999998E-4</v>
      </c>
      <c r="AI276" s="481">
        <v>8.9999999999999998E-4</v>
      </c>
      <c r="AJ276" s="481">
        <v>8.9999999999999998E-4</v>
      </c>
      <c r="AK276" s="481">
        <v>8.9999999999999998E-4</v>
      </c>
      <c r="AL276" s="481">
        <v>8.9999999999999998E-4</v>
      </c>
      <c r="AM276" s="479">
        <f>AM275/'Segment Detail'!AM10</f>
        <v>8.9999999999999987E-4</v>
      </c>
      <c r="AN276" s="462"/>
      <c r="AO276" s="462"/>
      <c r="AP276" s="462"/>
      <c r="AQ276" s="462"/>
      <c r="AR276" s="462"/>
      <c r="AS276" s="462"/>
      <c r="AT276" s="462"/>
      <c r="AU276" s="462"/>
      <c r="AV276" s="462"/>
      <c r="AW276" s="462"/>
      <c r="AX276" s="462"/>
      <c r="AY276" s="462"/>
      <c r="AZ276" s="462"/>
      <c r="BA276" s="462"/>
    </row>
    <row r="277" spans="1:53" ht="13.5" customHeight="1">
      <c r="A277" s="392"/>
      <c r="B277" s="482" t="s">
        <v>241</v>
      </c>
      <c r="C277" s="211"/>
      <c r="D277" s="211"/>
      <c r="E277" s="368"/>
      <c r="F277" s="97"/>
      <c r="G277" s="97"/>
      <c r="H277" s="97"/>
      <c r="I277" s="211"/>
      <c r="J277" s="152">
        <f>J283</f>
        <v>13.757</v>
      </c>
      <c r="K277" s="152">
        <f>K283</f>
        <v>7.8099999999999987</v>
      </c>
      <c r="L277" s="152">
        <f t="shared" ref="L277:M277" si="341">L283</f>
        <v>11.4</v>
      </c>
      <c r="M277" s="152">
        <f t="shared" si="341"/>
        <v>10.412000000000003</v>
      </c>
      <c r="N277" s="151">
        <f>SUM(J277:M277)</f>
        <v>43.379000000000005</v>
      </c>
      <c r="O277" s="152">
        <f>O283</f>
        <v>7.1819999999999986</v>
      </c>
      <c r="P277" s="152">
        <f>P283</f>
        <v>16.21</v>
      </c>
      <c r="Q277" s="152">
        <f t="shared" ref="Q277:R277" si="342">Q283</f>
        <v>13.482999999999997</v>
      </c>
      <c r="R277" s="152">
        <f t="shared" si="342"/>
        <v>13.943999999999999</v>
      </c>
      <c r="S277" s="151">
        <f>SUM(O277:R277)</f>
        <v>50.819000000000003</v>
      </c>
      <c r="T277" s="152">
        <f t="shared" ref="T277:V277" si="343">T283</f>
        <v>11.557999999999993</v>
      </c>
      <c r="U277" s="152">
        <f t="shared" si="343"/>
        <v>13.075999999999997</v>
      </c>
      <c r="V277" s="152">
        <f t="shared" si="343"/>
        <v>15.103000000000009</v>
      </c>
      <c r="W277" s="152">
        <f t="shared" ref="W277" si="344">W275*W278</f>
        <v>15.045255449999996</v>
      </c>
      <c r="X277" s="151">
        <f>SUM(T277:W277)</f>
        <v>54.782255449999994</v>
      </c>
      <c r="Y277" s="152">
        <f t="shared" ref="Y277:AB277" si="345">Y275*Y278</f>
        <v>15.05195865</v>
      </c>
      <c r="Z277" s="152">
        <f t="shared" si="345"/>
        <v>18.111541949999999</v>
      </c>
      <c r="AA277" s="152">
        <f t="shared" si="345"/>
        <v>19.175888700000002</v>
      </c>
      <c r="AB277" s="152">
        <f t="shared" si="345"/>
        <v>19.408379530499996</v>
      </c>
      <c r="AC277" s="151">
        <f>SUM(Y277:AB277)</f>
        <v>71.747768830499993</v>
      </c>
      <c r="AD277" s="152">
        <f t="shared" ref="AD277:AG277" si="346">AD275*AD278</f>
        <v>19.266507072</v>
      </c>
      <c r="AE277" s="152">
        <f t="shared" si="346"/>
        <v>23.182773695999998</v>
      </c>
      <c r="AF277" s="152">
        <f t="shared" si="346"/>
        <v>24.545137536000002</v>
      </c>
      <c r="AG277" s="152">
        <f t="shared" si="346"/>
        <v>24.842725799039997</v>
      </c>
      <c r="AH277" s="151">
        <f>SUM(AD277:AG277)</f>
        <v>91.837144103039989</v>
      </c>
      <c r="AI277" s="152">
        <f t="shared" ref="AI277:AL277" si="347">AI275*AI278</f>
        <v>24.275798910719999</v>
      </c>
      <c r="AJ277" s="152">
        <f t="shared" si="347"/>
        <v>29.210294856960001</v>
      </c>
      <c r="AK277" s="152">
        <f t="shared" si="347"/>
        <v>30.92687329536</v>
      </c>
      <c r="AL277" s="152">
        <f t="shared" si="347"/>
        <v>31.301834506790396</v>
      </c>
      <c r="AM277" s="151">
        <f>SUM(AI277:AL277)</f>
        <v>115.7148015698304</v>
      </c>
      <c r="AN277" s="378"/>
      <c r="AO277" s="378"/>
      <c r="AP277" s="378"/>
      <c r="AQ277" s="378"/>
      <c r="AR277" s="378"/>
      <c r="AS277" s="378"/>
      <c r="AT277" s="378"/>
      <c r="AU277" s="378"/>
      <c r="AV277" s="378"/>
      <c r="AW277" s="378"/>
      <c r="AX277" s="378"/>
      <c r="AY277" s="378"/>
      <c r="AZ277" s="378"/>
      <c r="BA277" s="392"/>
    </row>
    <row r="278" spans="1:53" ht="13.5" customHeight="1">
      <c r="A278" s="462"/>
      <c r="B278" s="478" t="s">
        <v>242</v>
      </c>
      <c r="C278" s="464"/>
      <c r="D278" s="464"/>
      <c r="E278" s="465"/>
      <c r="F278" s="465"/>
      <c r="G278" s="465"/>
      <c r="H278" s="465"/>
      <c r="I278" s="464"/>
      <c r="J278" s="465">
        <f>J277/J275</f>
        <v>1</v>
      </c>
      <c r="K278" s="465">
        <f t="shared" ref="K278:M278" si="348">K277/K275</f>
        <v>1.0001280573697013</v>
      </c>
      <c r="L278" s="465">
        <f t="shared" si="348"/>
        <v>0.99991228839575497</v>
      </c>
      <c r="M278" s="465">
        <f t="shared" si="348"/>
        <v>1.0000000000000002</v>
      </c>
      <c r="N278" s="464">
        <f>N277/N275</f>
        <v>1.0000000000000002</v>
      </c>
      <c r="O278" s="465">
        <f t="shared" ref="O278:R278" si="349">O277/O275</f>
        <v>0.99999999999999978</v>
      </c>
      <c r="P278" s="465">
        <f t="shared" si="349"/>
        <v>1</v>
      </c>
      <c r="Q278" s="465">
        <f t="shared" si="349"/>
        <v>0.99999999999999989</v>
      </c>
      <c r="R278" s="465">
        <f t="shared" si="349"/>
        <v>0.99999999999999967</v>
      </c>
      <c r="S278" s="464">
        <f>S277/S275</f>
        <v>1</v>
      </c>
      <c r="T278" s="465">
        <f t="shared" ref="T278:V278" si="350">T277/T275</f>
        <v>0.99999999999999933</v>
      </c>
      <c r="U278" s="465">
        <f t="shared" si="350"/>
        <v>0.69798227821073955</v>
      </c>
      <c r="V278" s="465">
        <f t="shared" si="350"/>
        <v>0.7592117830392604</v>
      </c>
      <c r="W278" s="466">
        <v>0.95</v>
      </c>
      <c r="X278" s="464">
        <f>X277/X275</f>
        <v>0.82975619258826783</v>
      </c>
      <c r="Y278" s="466">
        <v>0.95</v>
      </c>
      <c r="Z278" s="466">
        <v>0.95</v>
      </c>
      <c r="AA278" s="466">
        <v>0.95</v>
      </c>
      <c r="AB278" s="466">
        <v>0.95</v>
      </c>
      <c r="AC278" s="464">
        <f>AC277/AC275</f>
        <v>0.94999999999999984</v>
      </c>
      <c r="AD278" s="466">
        <v>0.95</v>
      </c>
      <c r="AE278" s="466">
        <v>0.95</v>
      </c>
      <c r="AF278" s="466">
        <v>0.95</v>
      </c>
      <c r="AG278" s="466">
        <v>0.95</v>
      </c>
      <c r="AH278" s="464">
        <f>AH277/AH275</f>
        <v>0.94999999999999984</v>
      </c>
      <c r="AI278" s="466">
        <v>0.95</v>
      </c>
      <c r="AJ278" s="466">
        <v>0.95</v>
      </c>
      <c r="AK278" s="466">
        <v>0.95</v>
      </c>
      <c r="AL278" s="466">
        <v>0.95</v>
      </c>
      <c r="AM278" s="464">
        <f>AM277/AM275</f>
        <v>0.95000000000000007</v>
      </c>
      <c r="AN278" s="462"/>
      <c r="AO278" s="462"/>
      <c r="AP278" s="462"/>
      <c r="AQ278" s="462"/>
      <c r="AR278" s="462"/>
      <c r="AS278" s="462"/>
      <c r="AT278" s="462"/>
      <c r="AU278" s="462"/>
      <c r="AV278" s="462"/>
      <c r="AW278" s="462"/>
      <c r="AX278" s="462"/>
      <c r="AY278" s="462"/>
      <c r="AZ278" s="462"/>
      <c r="BA278" s="462"/>
    </row>
    <row r="279" spans="1:53" ht="13.5" customHeight="1">
      <c r="A279" s="392"/>
      <c r="B279" s="482" t="s">
        <v>243</v>
      </c>
      <c r="C279" s="211"/>
      <c r="D279" s="211"/>
      <c r="E279" s="368"/>
      <c r="F279" s="97"/>
      <c r="G279" s="97"/>
      <c r="H279" s="97"/>
      <c r="I279" s="211"/>
      <c r="J279" s="152">
        <f>J183</f>
        <v>-5.3979999999999997</v>
      </c>
      <c r="K279" s="152">
        <f>K183</f>
        <v>-8.7769999999999992</v>
      </c>
      <c r="L279" s="152">
        <f t="shared" ref="L279:M279" si="351">L183</f>
        <v>-11.239999999999998</v>
      </c>
      <c r="M279" s="152">
        <f t="shared" si="351"/>
        <v>-9.2400000000000038</v>
      </c>
      <c r="N279" s="151">
        <f>SUM(J279:M279)</f>
        <v>-34.655000000000001</v>
      </c>
      <c r="O279" s="152">
        <f>O183</f>
        <v>-8.9390000000000001</v>
      </c>
      <c r="P279" s="152">
        <f>P183</f>
        <v>-15.536000000000001</v>
      </c>
      <c r="Q279" s="152">
        <f t="shared" ref="Q279:R279" si="352">Q183</f>
        <v>-8.1479999999999961</v>
      </c>
      <c r="R279" s="152">
        <f t="shared" si="352"/>
        <v>-15.308</v>
      </c>
      <c r="S279" s="151">
        <f>SUM(O279:R279)</f>
        <v>-47.930999999999997</v>
      </c>
      <c r="T279" s="152">
        <f t="shared" ref="T279:V279" si="353">T183</f>
        <v>-11.178000000000001</v>
      </c>
      <c r="U279" s="152">
        <f t="shared" si="353"/>
        <v>-11.064999999999998</v>
      </c>
      <c r="V279" s="152">
        <f t="shared" si="353"/>
        <v>-10.838000000000005</v>
      </c>
      <c r="W279" s="152">
        <f t="shared" ref="W279" si="354">-W277*W280</f>
        <v>-13.841635013999996</v>
      </c>
      <c r="X279" s="151">
        <f>SUM(T279:W279)</f>
        <v>-46.922635014000001</v>
      </c>
      <c r="Y279" s="152">
        <f t="shared" ref="Y279:AB279" si="355">-Y277*Y280</f>
        <v>-13.847801958</v>
      </c>
      <c r="Z279" s="152">
        <f t="shared" si="355"/>
        <v>-16.662618594000001</v>
      </c>
      <c r="AA279" s="152">
        <f t="shared" si="355"/>
        <v>-17.641817604000003</v>
      </c>
      <c r="AB279" s="152">
        <f t="shared" si="355"/>
        <v>-17.855709168059995</v>
      </c>
      <c r="AC279" s="151">
        <f>SUM(Y279:AB279)</f>
        <v>-66.007947324059998</v>
      </c>
      <c r="AD279" s="152">
        <f t="shared" ref="AD279:AG279" si="356">-AD277*AD280</f>
        <v>-17.72518650624</v>
      </c>
      <c r="AE279" s="152">
        <f t="shared" si="356"/>
        <v>-21.328151800320001</v>
      </c>
      <c r="AF279" s="152">
        <f t="shared" si="356"/>
        <v>-22.581526533120002</v>
      </c>
      <c r="AG279" s="152">
        <f t="shared" si="356"/>
        <v>-22.855307735116799</v>
      </c>
      <c r="AH279" s="151">
        <f>SUM(AD279:AG279)</f>
        <v>-84.490172574796802</v>
      </c>
      <c r="AI279" s="152">
        <f t="shared" ref="AI279:AL279" si="357">-AI277*AI280</f>
        <v>-22.3337349978624</v>
      </c>
      <c r="AJ279" s="152">
        <f t="shared" si="357"/>
        <v>-26.8734712684032</v>
      </c>
      <c r="AK279" s="152">
        <f t="shared" si="357"/>
        <v>-28.452723431731201</v>
      </c>
      <c r="AL279" s="152">
        <f t="shared" si="357"/>
        <v>-28.797687746247167</v>
      </c>
      <c r="AM279" s="151">
        <f>SUM(AI279:AL279)</f>
        <v>-106.45761744424397</v>
      </c>
      <c r="AN279" s="378"/>
      <c r="AO279" s="378"/>
      <c r="AP279" s="378"/>
      <c r="AQ279" s="378"/>
      <c r="AR279" s="378"/>
      <c r="AS279" s="378"/>
      <c r="AT279" s="378"/>
      <c r="AU279" s="378"/>
      <c r="AV279" s="378"/>
      <c r="AW279" s="378"/>
      <c r="AX279" s="378"/>
      <c r="AY279" s="378"/>
      <c r="AZ279" s="378"/>
      <c r="BA279" s="392"/>
    </row>
    <row r="280" spans="1:53" ht="13.5" customHeight="1">
      <c r="A280" s="462"/>
      <c r="B280" s="478" t="s">
        <v>244</v>
      </c>
      <c r="C280" s="464"/>
      <c r="D280" s="464"/>
      <c r="E280" s="465"/>
      <c r="F280" s="465"/>
      <c r="G280" s="465"/>
      <c r="H280" s="465"/>
      <c r="I280" s="464"/>
      <c r="J280" s="465">
        <f t="shared" ref="J280" si="358">-J279/J277</f>
        <v>0.39238206004216036</v>
      </c>
      <c r="K280" s="465">
        <f>-K279/K277</f>
        <v>1.1238156209987198</v>
      </c>
      <c r="L280" s="465">
        <f t="shared" ref="L280:M280" si="359">-L279/L277</f>
        <v>0.9859649122807016</v>
      </c>
      <c r="M280" s="465">
        <f t="shared" si="359"/>
        <v>0.88743757203227058</v>
      </c>
      <c r="N280" s="464">
        <f>-N279/N277</f>
        <v>0.79888886327485642</v>
      </c>
      <c r="O280" s="465">
        <f t="shared" ref="O280" si="360">-O279/O277</f>
        <v>1.2446393762183239</v>
      </c>
      <c r="P280" s="465">
        <f>-P279/P277</f>
        <v>0.95842072794571254</v>
      </c>
      <c r="Q280" s="465">
        <f t="shared" ref="Q280:R280" si="361">-Q279/Q277</f>
        <v>0.60431654676258972</v>
      </c>
      <c r="R280" s="465">
        <f t="shared" si="361"/>
        <v>1.097819850831899</v>
      </c>
      <c r="S280" s="464">
        <f>-S279/S277</f>
        <v>0.94317086129203631</v>
      </c>
      <c r="T280" s="465">
        <f t="shared" ref="T280:V280" si="362">-T279/T277</f>
        <v>0.9671223395051054</v>
      </c>
      <c r="U280" s="465">
        <f t="shared" si="362"/>
        <v>0.84620679106760477</v>
      </c>
      <c r="V280" s="465">
        <f t="shared" si="362"/>
        <v>0.71760577368734679</v>
      </c>
      <c r="W280" s="466">
        <v>0.92</v>
      </c>
      <c r="X280" s="464">
        <f>-X279/X277</f>
        <v>0.85652981295789288</v>
      </c>
      <c r="Y280" s="466">
        <v>0.92</v>
      </c>
      <c r="Z280" s="466">
        <v>0.92</v>
      </c>
      <c r="AA280" s="466">
        <v>0.92</v>
      </c>
      <c r="AB280" s="466">
        <v>0.92</v>
      </c>
      <c r="AC280" s="464">
        <f>-AC279/AC277</f>
        <v>0.92</v>
      </c>
      <c r="AD280" s="466">
        <v>0.92</v>
      </c>
      <c r="AE280" s="466">
        <v>0.92</v>
      </c>
      <c r="AF280" s="466">
        <v>0.92</v>
      </c>
      <c r="AG280" s="466">
        <v>0.92</v>
      </c>
      <c r="AH280" s="464">
        <f>-AH279/AH277</f>
        <v>0.92000000000000015</v>
      </c>
      <c r="AI280" s="466">
        <v>0.92</v>
      </c>
      <c r="AJ280" s="466">
        <v>0.92</v>
      </c>
      <c r="AK280" s="466">
        <v>0.92</v>
      </c>
      <c r="AL280" s="466">
        <v>0.92</v>
      </c>
      <c r="AM280" s="464">
        <f>-AM279/AM277</f>
        <v>0.91999999999999993</v>
      </c>
      <c r="AN280" s="462"/>
      <c r="AO280" s="462"/>
      <c r="AP280" s="462"/>
      <c r="AQ280" s="462"/>
      <c r="AR280" s="462"/>
      <c r="AS280" s="462"/>
      <c r="AT280" s="462"/>
      <c r="AU280" s="462"/>
      <c r="AV280" s="462"/>
      <c r="AW280" s="462"/>
      <c r="AX280" s="462"/>
      <c r="AY280" s="462"/>
      <c r="AZ280" s="462"/>
      <c r="BA280" s="462"/>
    </row>
    <row r="281" spans="1:53" ht="13.5" customHeight="1">
      <c r="A281" s="392"/>
      <c r="B281" s="482"/>
      <c r="C281" s="151"/>
      <c r="D281" s="151"/>
      <c r="E281" s="152"/>
      <c r="F281" s="152"/>
      <c r="G281" s="152"/>
      <c r="H281" s="152"/>
      <c r="I281" s="483"/>
      <c r="J281" s="484"/>
      <c r="K281" s="484"/>
      <c r="L281" s="484"/>
      <c r="M281" s="484"/>
      <c r="N281" s="151"/>
      <c r="O281" s="484"/>
      <c r="P281" s="484"/>
      <c r="Q281" s="484"/>
      <c r="R281" s="484"/>
      <c r="S281" s="151"/>
      <c r="T281" s="484"/>
      <c r="U281" s="484"/>
      <c r="V281" s="484"/>
      <c r="W281" s="152"/>
      <c r="X281" s="151"/>
      <c r="Y281" s="152"/>
      <c r="Z281" s="152"/>
      <c r="AA281" s="152"/>
      <c r="AB281" s="152"/>
      <c r="AC281" s="151"/>
      <c r="AD281" s="152"/>
      <c r="AE281" s="152"/>
      <c r="AF281" s="152"/>
      <c r="AG281" s="152"/>
      <c r="AH281" s="151"/>
      <c r="AI281" s="152"/>
      <c r="AJ281" s="152"/>
      <c r="AK281" s="152"/>
      <c r="AL281" s="152"/>
      <c r="AM281" s="151"/>
      <c r="AN281" s="378"/>
      <c r="AO281" s="378"/>
      <c r="AP281" s="378"/>
      <c r="AQ281" s="378"/>
      <c r="AR281" s="378"/>
      <c r="AS281" s="378"/>
      <c r="AT281" s="378"/>
      <c r="AU281" s="378"/>
      <c r="AV281" s="378"/>
      <c r="AW281" s="378"/>
      <c r="AX281" s="378"/>
      <c r="AY281" s="378"/>
      <c r="AZ281" s="378"/>
      <c r="BA281" s="392"/>
    </row>
    <row r="282" spans="1:53" ht="13.5" customHeight="1">
      <c r="A282" s="392"/>
      <c r="B282" s="482" t="s">
        <v>245</v>
      </c>
      <c r="C282" s="151"/>
      <c r="D282" s="151"/>
      <c r="E282" s="152"/>
      <c r="F282" s="152"/>
      <c r="G282" s="152"/>
      <c r="H282" s="152"/>
      <c r="I282" s="151"/>
      <c r="J282" s="152">
        <f>I285</f>
        <v>8.452</v>
      </c>
      <c r="K282" s="152">
        <f>J285</f>
        <v>16.811</v>
      </c>
      <c r="L282" s="152">
        <f t="shared" ref="L282:M282" si="363">K285</f>
        <v>15.843999999999999</v>
      </c>
      <c r="M282" s="152">
        <f t="shared" si="363"/>
        <v>16.004000000000001</v>
      </c>
      <c r="N282" s="151">
        <f>J282</f>
        <v>8.452</v>
      </c>
      <c r="O282" s="152">
        <f>N285</f>
        <v>17.176000000000002</v>
      </c>
      <c r="P282" s="152">
        <f>O285</f>
        <v>15.419</v>
      </c>
      <c r="Q282" s="152">
        <f t="shared" ref="Q282:V282" si="364">P285</f>
        <v>16.093</v>
      </c>
      <c r="R282" s="152">
        <f t="shared" si="364"/>
        <v>21.428000000000001</v>
      </c>
      <c r="S282" s="151">
        <f>O282</f>
        <v>17.176000000000002</v>
      </c>
      <c r="T282" s="152">
        <f t="shared" si="364"/>
        <v>20.064000000000007</v>
      </c>
      <c r="U282" s="152">
        <f t="shared" si="364"/>
        <v>20.443999999999999</v>
      </c>
      <c r="V282" s="152">
        <f t="shared" si="364"/>
        <v>22.454999999999998</v>
      </c>
      <c r="W282" s="152">
        <f>V285</f>
        <v>26.72</v>
      </c>
      <c r="X282" s="151">
        <f>T282</f>
        <v>20.064000000000007</v>
      </c>
      <c r="Y282" s="152">
        <f>W285</f>
        <v>27.923620436</v>
      </c>
      <c r="Z282" s="152">
        <f>Y285</f>
        <v>29.127777127999998</v>
      </c>
      <c r="AA282" s="152">
        <f>Z285</f>
        <v>30.576700483999993</v>
      </c>
      <c r="AB282" s="152">
        <f>AA285</f>
        <v>32.110771579999991</v>
      </c>
      <c r="AC282" s="151">
        <f>Y282</f>
        <v>27.923620436</v>
      </c>
      <c r="AD282" s="152">
        <f>AB285</f>
        <v>33.663441942439995</v>
      </c>
      <c r="AE282" s="152">
        <f>AD285</f>
        <v>35.204762508199998</v>
      </c>
      <c r="AF282" s="152">
        <f>AE285</f>
        <v>37.059384403879996</v>
      </c>
      <c r="AG282" s="152">
        <f>AF285</f>
        <v>39.022995406760003</v>
      </c>
      <c r="AH282" s="151">
        <f>AD282</f>
        <v>33.663441942439995</v>
      </c>
      <c r="AI282" s="152">
        <f>AG285</f>
        <v>41.010413470683204</v>
      </c>
      <c r="AJ282" s="152">
        <f>AI285</f>
        <v>42.952477383540803</v>
      </c>
      <c r="AK282" s="152">
        <f>AJ285</f>
        <v>45.2893009720976</v>
      </c>
      <c r="AL282" s="152">
        <f>AK285</f>
        <v>47.763450835726402</v>
      </c>
      <c r="AM282" s="151">
        <f>AI282</f>
        <v>41.010413470683204</v>
      </c>
      <c r="AN282" s="378"/>
      <c r="AO282" s="378"/>
      <c r="AP282" s="378"/>
      <c r="AQ282" s="378"/>
      <c r="AR282" s="378"/>
      <c r="AS282" s="378"/>
      <c r="AT282" s="378"/>
      <c r="AU282" s="378"/>
      <c r="AV282" s="378"/>
      <c r="AW282" s="378"/>
      <c r="AX282" s="378"/>
      <c r="AY282" s="378"/>
      <c r="AZ282" s="378"/>
      <c r="BA282" s="392"/>
    </row>
    <row r="283" spans="1:53" ht="13.5" customHeight="1">
      <c r="A283" s="392"/>
      <c r="B283" s="485" t="s">
        <v>246</v>
      </c>
      <c r="C283" s="151"/>
      <c r="D283" s="151"/>
      <c r="E283" s="152"/>
      <c r="F283" s="152"/>
      <c r="G283" s="152"/>
      <c r="H283" s="152"/>
      <c r="I283" s="151"/>
      <c r="J283" s="152">
        <f>J285-J284-J282</f>
        <v>13.757</v>
      </c>
      <c r="K283" s="152">
        <f>K285-K284-K282</f>
        <v>7.8099999999999987</v>
      </c>
      <c r="L283" s="152">
        <f t="shared" ref="L283:M283" si="365">L285-L284-L282</f>
        <v>11.4</v>
      </c>
      <c r="M283" s="152">
        <f t="shared" si="365"/>
        <v>10.412000000000003</v>
      </c>
      <c r="N283" s="151">
        <f t="shared" ref="N283:N284" si="366">SUM(J283:M283)</f>
        <v>43.379000000000005</v>
      </c>
      <c r="O283" s="152">
        <f>O285-O284-O282</f>
        <v>7.1819999999999986</v>
      </c>
      <c r="P283" s="152">
        <f>P285-P284-P282</f>
        <v>16.21</v>
      </c>
      <c r="Q283" s="152">
        <f t="shared" ref="Q283:R283" si="367">Q285-Q284-Q282</f>
        <v>13.482999999999997</v>
      </c>
      <c r="R283" s="152">
        <f t="shared" si="367"/>
        <v>13.943999999999999</v>
      </c>
      <c r="S283" s="151">
        <f t="shared" ref="S283:S284" si="368">SUM(O283:R283)</f>
        <v>50.819000000000003</v>
      </c>
      <c r="T283" s="152">
        <f t="shared" ref="T283:V283" si="369">T285-T284-T282</f>
        <v>11.557999999999993</v>
      </c>
      <c r="U283" s="152">
        <f t="shared" si="369"/>
        <v>13.075999999999997</v>
      </c>
      <c r="V283" s="152">
        <f t="shared" si="369"/>
        <v>15.103000000000009</v>
      </c>
      <c r="W283" s="152">
        <f t="shared" ref="W283" si="370">W277</f>
        <v>15.045255449999996</v>
      </c>
      <c r="X283" s="151">
        <f t="shared" ref="X283:X284" si="371">SUM(T283:W283)</f>
        <v>54.782255449999994</v>
      </c>
      <c r="Y283" s="152">
        <f t="shared" ref="Y283:AB283" si="372">Y277</f>
        <v>15.05195865</v>
      </c>
      <c r="Z283" s="152">
        <f t="shared" si="372"/>
        <v>18.111541949999999</v>
      </c>
      <c r="AA283" s="152">
        <f t="shared" si="372"/>
        <v>19.175888700000002</v>
      </c>
      <c r="AB283" s="152">
        <f t="shared" si="372"/>
        <v>19.408379530499996</v>
      </c>
      <c r="AC283" s="151">
        <f t="shared" ref="AC283:AC284" si="373">SUM(Y283:AB283)</f>
        <v>71.747768830499993</v>
      </c>
      <c r="AD283" s="152">
        <f t="shared" ref="AD283:AG283" si="374">AD277</f>
        <v>19.266507072</v>
      </c>
      <c r="AE283" s="152">
        <f t="shared" si="374"/>
        <v>23.182773695999998</v>
      </c>
      <c r="AF283" s="152">
        <f t="shared" si="374"/>
        <v>24.545137536000002</v>
      </c>
      <c r="AG283" s="152">
        <f t="shared" si="374"/>
        <v>24.842725799039997</v>
      </c>
      <c r="AH283" s="151">
        <f t="shared" ref="AH283:AH284" si="375">SUM(AD283:AG283)</f>
        <v>91.837144103039989</v>
      </c>
      <c r="AI283" s="152">
        <f t="shared" ref="AI283:AL283" si="376">AI277</f>
        <v>24.275798910719999</v>
      </c>
      <c r="AJ283" s="152">
        <f t="shared" si="376"/>
        <v>29.210294856960001</v>
      </c>
      <c r="AK283" s="152">
        <f t="shared" si="376"/>
        <v>30.92687329536</v>
      </c>
      <c r="AL283" s="152">
        <f t="shared" si="376"/>
        <v>31.301834506790396</v>
      </c>
      <c r="AM283" s="151">
        <f t="shared" ref="AM283:AM284" si="377">SUM(AI283:AL283)</f>
        <v>115.7148015698304</v>
      </c>
      <c r="AN283" s="378"/>
      <c r="AO283" s="378"/>
      <c r="AP283" s="378"/>
      <c r="AQ283" s="378"/>
      <c r="AR283" s="378"/>
      <c r="AS283" s="378"/>
      <c r="AT283" s="378"/>
      <c r="AU283" s="378"/>
      <c r="AV283" s="378"/>
      <c r="AW283" s="378"/>
      <c r="AX283" s="378"/>
      <c r="AY283" s="378"/>
      <c r="AZ283" s="378"/>
      <c r="BA283" s="392"/>
    </row>
    <row r="284" spans="1:53" ht="13.5" customHeight="1">
      <c r="A284" s="392"/>
      <c r="B284" s="485" t="s">
        <v>247</v>
      </c>
      <c r="C284" s="151"/>
      <c r="D284" s="151"/>
      <c r="E284" s="152"/>
      <c r="F284" s="152"/>
      <c r="G284" s="152"/>
      <c r="H284" s="152"/>
      <c r="I284" s="151"/>
      <c r="J284" s="152">
        <f>J279</f>
        <v>-5.3979999999999997</v>
      </c>
      <c r="K284" s="152">
        <f>K279</f>
        <v>-8.7769999999999992</v>
      </c>
      <c r="L284" s="152">
        <f t="shared" ref="L284:M284" si="378">L279</f>
        <v>-11.239999999999998</v>
      </c>
      <c r="M284" s="152">
        <f t="shared" si="378"/>
        <v>-9.2400000000000038</v>
      </c>
      <c r="N284" s="151">
        <f t="shared" si="366"/>
        <v>-34.655000000000001</v>
      </c>
      <c r="O284" s="152">
        <f>O279</f>
        <v>-8.9390000000000001</v>
      </c>
      <c r="P284" s="152">
        <f>P279</f>
        <v>-15.536000000000001</v>
      </c>
      <c r="Q284" s="152">
        <f t="shared" ref="Q284:R284" si="379">Q279</f>
        <v>-8.1479999999999961</v>
      </c>
      <c r="R284" s="152">
        <f t="shared" si="379"/>
        <v>-15.308</v>
      </c>
      <c r="S284" s="151">
        <f t="shared" si="368"/>
        <v>-47.930999999999997</v>
      </c>
      <c r="T284" s="152">
        <f t="shared" ref="T284:V284" si="380">T279</f>
        <v>-11.178000000000001</v>
      </c>
      <c r="U284" s="152">
        <f t="shared" si="380"/>
        <v>-11.064999999999998</v>
      </c>
      <c r="V284" s="152">
        <f t="shared" si="380"/>
        <v>-10.838000000000005</v>
      </c>
      <c r="W284" s="152">
        <f>W279</f>
        <v>-13.841635013999996</v>
      </c>
      <c r="X284" s="151">
        <f t="shared" si="371"/>
        <v>-46.922635014000001</v>
      </c>
      <c r="Y284" s="152">
        <f>Y279</f>
        <v>-13.847801958</v>
      </c>
      <c r="Z284" s="152">
        <f>Z279</f>
        <v>-16.662618594000001</v>
      </c>
      <c r="AA284" s="152">
        <f>AA279</f>
        <v>-17.641817604000003</v>
      </c>
      <c r="AB284" s="152">
        <f>AB279</f>
        <v>-17.855709168059995</v>
      </c>
      <c r="AC284" s="151">
        <f t="shared" si="373"/>
        <v>-66.007947324059998</v>
      </c>
      <c r="AD284" s="152">
        <f>AD279</f>
        <v>-17.72518650624</v>
      </c>
      <c r="AE284" s="152">
        <f>AE279</f>
        <v>-21.328151800320001</v>
      </c>
      <c r="AF284" s="152">
        <f>AF279</f>
        <v>-22.581526533120002</v>
      </c>
      <c r="AG284" s="152">
        <f>AG279</f>
        <v>-22.855307735116799</v>
      </c>
      <c r="AH284" s="151">
        <f t="shared" si="375"/>
        <v>-84.490172574796802</v>
      </c>
      <c r="AI284" s="152">
        <f>AI279</f>
        <v>-22.3337349978624</v>
      </c>
      <c r="AJ284" s="152">
        <f>AJ279</f>
        <v>-26.8734712684032</v>
      </c>
      <c r="AK284" s="152">
        <f>AK279</f>
        <v>-28.452723431731201</v>
      </c>
      <c r="AL284" s="152">
        <f>AL279</f>
        <v>-28.797687746247167</v>
      </c>
      <c r="AM284" s="151">
        <f t="shared" si="377"/>
        <v>-106.45761744424397</v>
      </c>
      <c r="AN284" s="378"/>
      <c r="AO284" s="378"/>
      <c r="AP284" s="378"/>
      <c r="AQ284" s="378"/>
      <c r="AR284" s="378"/>
      <c r="AS284" s="378"/>
      <c r="AT284" s="378"/>
      <c r="AU284" s="378"/>
      <c r="AV284" s="378"/>
      <c r="AW284" s="378"/>
      <c r="AX284" s="378"/>
      <c r="AY284" s="378"/>
      <c r="AZ284" s="378"/>
      <c r="BA284" s="392"/>
    </row>
    <row r="285" spans="1:53" ht="13.5" customHeight="1">
      <c r="A285" s="392"/>
      <c r="B285" s="486" t="s">
        <v>248</v>
      </c>
      <c r="C285" s="301"/>
      <c r="D285" s="301"/>
      <c r="E285" s="487"/>
      <c r="F285" s="487"/>
      <c r="G285" s="487"/>
      <c r="H285" s="487"/>
      <c r="I285" s="301">
        <f>I238</f>
        <v>8.452</v>
      </c>
      <c r="J285" s="487">
        <f>J238</f>
        <v>16.811</v>
      </c>
      <c r="K285" s="487">
        <f>K238</f>
        <v>15.843999999999999</v>
      </c>
      <c r="L285" s="487">
        <f t="shared" ref="L285:M285" si="381">L238</f>
        <v>16.004000000000001</v>
      </c>
      <c r="M285" s="487">
        <f t="shared" si="381"/>
        <v>17.175999999999998</v>
      </c>
      <c r="N285" s="301">
        <f>SUM(N282:N284)</f>
        <v>17.176000000000002</v>
      </c>
      <c r="O285" s="487">
        <f>O238</f>
        <v>15.419</v>
      </c>
      <c r="P285" s="487">
        <f>P238</f>
        <v>16.093</v>
      </c>
      <c r="Q285" s="487">
        <f t="shared" ref="Q285:R285" si="382">Q238</f>
        <v>21.428000000000001</v>
      </c>
      <c r="R285" s="487">
        <f t="shared" si="382"/>
        <v>20.064</v>
      </c>
      <c r="S285" s="301">
        <f>SUM(S282:S284)</f>
        <v>20.064000000000007</v>
      </c>
      <c r="T285" s="487">
        <f t="shared" ref="T285:V285" si="383">T238</f>
        <v>20.443999999999999</v>
      </c>
      <c r="U285" s="487">
        <f t="shared" si="383"/>
        <v>22.454999999999998</v>
      </c>
      <c r="V285" s="487">
        <f t="shared" si="383"/>
        <v>26.72</v>
      </c>
      <c r="W285" s="487">
        <f t="shared" ref="W285" si="384">SUM(W282:W284)</f>
        <v>27.923620436</v>
      </c>
      <c r="X285" s="301">
        <f>SUM(X282:X284)</f>
        <v>27.923620436</v>
      </c>
      <c r="Y285" s="487">
        <f>SUM(Y282:Y284)</f>
        <v>29.127777127999998</v>
      </c>
      <c r="Z285" s="487">
        <f t="shared" ref="Z285:AB285" si="385">SUM(Z282:Z284)</f>
        <v>30.576700483999993</v>
      </c>
      <c r="AA285" s="487">
        <f t="shared" si="385"/>
        <v>32.110771579999991</v>
      </c>
      <c r="AB285" s="487">
        <f t="shared" si="385"/>
        <v>33.663441942439995</v>
      </c>
      <c r="AC285" s="301">
        <f>SUM(AC282:AC284)</f>
        <v>33.663441942440002</v>
      </c>
      <c r="AD285" s="487">
        <f>SUM(AD282:AD284)</f>
        <v>35.204762508199998</v>
      </c>
      <c r="AE285" s="487">
        <f t="shared" ref="AE285:AG285" si="386">SUM(AE282:AE284)</f>
        <v>37.059384403879996</v>
      </c>
      <c r="AF285" s="487">
        <f t="shared" si="386"/>
        <v>39.022995406760003</v>
      </c>
      <c r="AG285" s="487">
        <f t="shared" si="386"/>
        <v>41.010413470683204</v>
      </c>
      <c r="AH285" s="301">
        <f>SUM(AH282:AH284)</f>
        <v>41.01041347068319</v>
      </c>
      <c r="AI285" s="487">
        <f>SUM(AI282:AI284)</f>
        <v>42.952477383540803</v>
      </c>
      <c r="AJ285" s="487">
        <f t="shared" ref="AJ285:AL285" si="387">SUM(AJ282:AJ284)</f>
        <v>45.2893009720976</v>
      </c>
      <c r="AK285" s="487">
        <f t="shared" si="387"/>
        <v>47.763450835726402</v>
      </c>
      <c r="AL285" s="487">
        <f t="shared" si="387"/>
        <v>50.267597596269638</v>
      </c>
      <c r="AM285" s="301">
        <f>SUM(AM282:AM284)</f>
        <v>50.267597596269638</v>
      </c>
      <c r="AN285" s="378"/>
      <c r="AO285" s="378"/>
      <c r="AP285" s="378"/>
      <c r="AQ285" s="378"/>
      <c r="AR285" s="378"/>
      <c r="AS285" s="378"/>
      <c r="AT285" s="378"/>
      <c r="AU285" s="378"/>
      <c r="AV285" s="378"/>
      <c r="AW285" s="378"/>
      <c r="AX285" s="378"/>
      <c r="AY285" s="378"/>
      <c r="AZ285" s="378"/>
      <c r="BA285" s="392"/>
    </row>
    <row r="286" spans="1:53" ht="13.5" customHeight="1">
      <c r="A286" s="404"/>
      <c r="B286" s="404"/>
      <c r="C286" s="360"/>
      <c r="D286" s="360"/>
      <c r="E286" s="404"/>
      <c r="F286" s="404"/>
      <c r="G286" s="404"/>
      <c r="H286" s="404"/>
      <c r="I286" s="360"/>
      <c r="J286" s="404"/>
      <c r="K286" s="404"/>
      <c r="L286" s="404"/>
      <c r="M286" s="404"/>
      <c r="N286" s="360"/>
      <c r="O286" s="404"/>
      <c r="P286" s="404"/>
      <c r="Q286" s="404"/>
      <c r="R286" s="404"/>
      <c r="S286" s="360"/>
      <c r="T286" s="404"/>
      <c r="U286" s="404"/>
      <c r="V286" s="404"/>
      <c r="W286" s="404"/>
      <c r="X286" s="360"/>
      <c r="Y286" s="360"/>
      <c r="Z286" s="360"/>
      <c r="AA286" s="360"/>
      <c r="AB286" s="360"/>
      <c r="AC286" s="360"/>
      <c r="AD286" s="360"/>
      <c r="AE286" s="360"/>
      <c r="AF286" s="360"/>
      <c r="AG286" s="360"/>
      <c r="AH286" s="360"/>
      <c r="AI286" s="360"/>
      <c r="AJ286" s="360"/>
      <c r="AK286" s="360"/>
      <c r="AL286" s="360"/>
      <c r="AM286" s="360"/>
      <c r="AN286" s="404"/>
      <c r="AO286" s="404"/>
      <c r="AP286" s="404"/>
      <c r="AQ286" s="404"/>
      <c r="AR286" s="404"/>
      <c r="AS286" s="404"/>
      <c r="AT286" s="404"/>
      <c r="AU286" s="404"/>
      <c r="AV286" s="404"/>
      <c r="AW286" s="404"/>
      <c r="AX286" s="404"/>
      <c r="AY286" s="404"/>
      <c r="AZ286" s="404"/>
      <c r="BA286" s="404"/>
    </row>
    <row r="287" spans="1:53" ht="13.5" customHeight="1">
      <c r="A287" s="396"/>
      <c r="B287" s="447"/>
      <c r="C287" s="99"/>
      <c r="D287" s="99"/>
      <c r="E287" s="448"/>
      <c r="F287" s="449"/>
      <c r="G287" s="449"/>
      <c r="H287" s="449"/>
      <c r="I287" s="99"/>
      <c r="J287" s="448"/>
      <c r="K287" s="449"/>
      <c r="L287" s="449"/>
      <c r="M287" s="449"/>
      <c r="N287" s="99"/>
      <c r="O287" s="448"/>
      <c r="P287" s="448"/>
      <c r="Q287" s="449"/>
      <c r="R287" s="449"/>
      <c r="S287" s="99"/>
      <c r="T287" s="448"/>
      <c r="U287" s="448"/>
      <c r="V287" s="448"/>
      <c r="W287" s="449"/>
      <c r="X287" s="99"/>
      <c r="Y287" s="449"/>
      <c r="Z287" s="449"/>
      <c r="AA287" s="449"/>
      <c r="AB287" s="449"/>
      <c r="AC287" s="99"/>
      <c r="AD287" s="449"/>
      <c r="AE287" s="449"/>
      <c r="AF287" s="449"/>
      <c r="AG287" s="449"/>
      <c r="AH287" s="99"/>
      <c r="AI287" s="449"/>
      <c r="AJ287" s="449"/>
      <c r="AK287" s="449"/>
      <c r="AL287" s="449"/>
      <c r="AM287" s="99"/>
      <c r="AN287" s="396"/>
      <c r="AO287" s="396"/>
      <c r="AP287" s="396"/>
      <c r="AQ287" s="396"/>
      <c r="AR287" s="396"/>
      <c r="AS287" s="396"/>
      <c r="AT287" s="396"/>
      <c r="AU287" s="396"/>
      <c r="AV287" s="396"/>
      <c r="AW287" s="396"/>
      <c r="AX287" s="396"/>
      <c r="AY287" s="396"/>
      <c r="AZ287" s="396"/>
      <c r="BA287" s="396"/>
    </row>
    <row r="288" spans="1:53" ht="13.5" customHeight="1">
      <c r="A288" s="396"/>
      <c r="B288" s="450" t="s">
        <v>249</v>
      </c>
      <c r="C288" s="27"/>
      <c r="D288" s="27"/>
      <c r="E288" s="107"/>
      <c r="F288" s="107"/>
      <c r="G288" s="107"/>
      <c r="H288" s="107"/>
      <c r="I288" s="27"/>
      <c r="J288" s="107"/>
      <c r="K288" s="107"/>
      <c r="L288" s="107"/>
      <c r="M288" s="107"/>
      <c r="N288" s="27"/>
      <c r="O288" s="107"/>
      <c r="P288" s="107"/>
      <c r="Q288" s="107"/>
      <c r="R288" s="107"/>
      <c r="S288" s="27"/>
      <c r="T288" s="107"/>
      <c r="U288" s="107"/>
      <c r="V288" s="107"/>
      <c r="W288" s="107"/>
      <c r="X288" s="27"/>
      <c r="Y288" s="107"/>
      <c r="Z288" s="107"/>
      <c r="AA288" s="107"/>
      <c r="AB288" s="107"/>
      <c r="AC288" s="27"/>
      <c r="AD288" s="107"/>
      <c r="AE288" s="107"/>
      <c r="AF288" s="107"/>
      <c r="AG288" s="107"/>
      <c r="AH288" s="27"/>
      <c r="AI288" s="107"/>
      <c r="AJ288" s="107"/>
      <c r="AK288" s="107"/>
      <c r="AL288" s="107"/>
      <c r="AM288" s="27"/>
      <c r="AN288" s="396"/>
      <c r="AO288" s="396"/>
      <c r="AP288" s="396"/>
      <c r="AQ288" s="396"/>
      <c r="AR288" s="396"/>
      <c r="AS288" s="396"/>
      <c r="AT288" s="396"/>
      <c r="AU288" s="396"/>
      <c r="AV288" s="396"/>
      <c r="AW288" s="396"/>
      <c r="AX288" s="396"/>
      <c r="AY288" s="396"/>
      <c r="AZ288" s="396"/>
      <c r="BA288" s="396"/>
    </row>
    <row r="289" spans="2:52" ht="13.5" customHeight="1">
      <c r="B289" s="65"/>
      <c r="C289" s="488"/>
      <c r="D289" s="489"/>
      <c r="E289" s="488"/>
      <c r="F289" s="488"/>
      <c r="G289" s="488"/>
      <c r="H289" s="488"/>
      <c r="I289" s="489"/>
      <c r="J289" s="488"/>
      <c r="K289" s="490"/>
      <c r="L289" s="490"/>
      <c r="M289" s="490" t="s">
        <v>250</v>
      </c>
      <c r="N289" s="491"/>
      <c r="O289" s="490"/>
      <c r="P289" s="490"/>
      <c r="Q289" s="490"/>
      <c r="R289" s="490"/>
      <c r="S289" s="489"/>
      <c r="T289" s="490"/>
      <c r="U289" s="490"/>
      <c r="V289" s="490"/>
      <c r="W289" s="488"/>
      <c r="X289" s="489"/>
      <c r="Y289" s="488"/>
      <c r="Z289" s="488"/>
      <c r="AA289" s="488"/>
      <c r="AB289" s="488"/>
      <c r="AC289" s="489"/>
      <c r="AD289" s="488"/>
      <c r="AE289" s="488"/>
      <c r="AF289" s="488"/>
      <c r="AG289" s="488"/>
      <c r="AH289" s="489"/>
      <c r="AI289" s="488"/>
      <c r="AJ289" s="488"/>
      <c r="AK289" s="488"/>
      <c r="AL289" s="488"/>
      <c r="AM289" s="489"/>
    </row>
    <row r="290" spans="2:52" ht="13.5" customHeight="1">
      <c r="B290" s="492"/>
      <c r="C290" s="493"/>
      <c r="D290" s="494"/>
      <c r="E290" s="493"/>
      <c r="F290" s="493"/>
      <c r="G290" s="493"/>
      <c r="H290" s="493"/>
      <c r="I290" s="494"/>
      <c r="J290" s="493"/>
      <c r="K290" s="121" t="s">
        <v>251</v>
      </c>
      <c r="L290" s="121" t="s">
        <v>252</v>
      </c>
      <c r="M290" s="121" t="s">
        <v>253</v>
      </c>
      <c r="N290" s="495" t="s">
        <v>254</v>
      </c>
      <c r="O290" s="121" t="s">
        <v>255</v>
      </c>
      <c r="P290" s="121" t="s">
        <v>256</v>
      </c>
      <c r="Q290" s="121" t="s">
        <v>257</v>
      </c>
      <c r="R290" s="121"/>
      <c r="S290" s="494"/>
      <c r="T290" s="121"/>
      <c r="U290" s="121"/>
      <c r="V290" s="121"/>
      <c r="W290" s="493"/>
      <c r="X290" s="494"/>
      <c r="Y290" s="493"/>
      <c r="Z290" s="493"/>
      <c r="AA290" s="493"/>
      <c r="AB290" s="493"/>
      <c r="AC290" s="494"/>
      <c r="AD290" s="493"/>
      <c r="AE290" s="493"/>
      <c r="AF290" s="493"/>
      <c r="AG290" s="493"/>
      <c r="AH290" s="494"/>
      <c r="AI290" s="493"/>
      <c r="AJ290" s="493"/>
      <c r="AK290" s="493"/>
      <c r="AL290" s="493"/>
      <c r="AM290" s="494"/>
    </row>
    <row r="291" spans="2:52" ht="13.5" customHeight="1">
      <c r="B291" s="492"/>
      <c r="C291" s="493"/>
      <c r="D291" s="494"/>
      <c r="E291" s="493"/>
      <c r="F291" s="493"/>
      <c r="G291" s="493"/>
      <c r="H291" s="493"/>
      <c r="I291" s="494"/>
      <c r="J291" s="493"/>
      <c r="K291" s="496">
        <v>1</v>
      </c>
      <c r="L291" s="496">
        <v>1</v>
      </c>
      <c r="M291" s="496">
        <v>1</v>
      </c>
      <c r="N291" s="496">
        <v>1</v>
      </c>
      <c r="O291" s="496">
        <v>1</v>
      </c>
      <c r="P291" s="496">
        <v>2</v>
      </c>
      <c r="Q291" s="496">
        <v>3</v>
      </c>
      <c r="R291" s="496"/>
      <c r="S291" s="494"/>
      <c r="T291" s="496"/>
      <c r="U291" s="496"/>
      <c r="V291" s="496"/>
      <c r="W291" s="493"/>
      <c r="X291" s="494"/>
      <c r="Y291" s="493"/>
      <c r="Z291" s="493"/>
      <c r="AA291" s="493"/>
      <c r="AB291" s="493"/>
      <c r="AC291" s="494"/>
      <c r="AD291" s="493"/>
      <c r="AE291" s="493"/>
      <c r="AF291" s="493"/>
      <c r="AG291" s="493"/>
      <c r="AH291" s="494"/>
      <c r="AI291" s="493"/>
      <c r="AJ291" s="493"/>
      <c r="AK291" s="493"/>
      <c r="AL291" s="493"/>
      <c r="AM291" s="494"/>
    </row>
    <row r="292" spans="2:52" ht="13.5" customHeight="1">
      <c r="B292" s="492"/>
      <c r="C292" s="493"/>
      <c r="D292" s="494"/>
      <c r="E292" s="493"/>
      <c r="F292" s="493"/>
      <c r="G292" s="493"/>
      <c r="H292" s="493"/>
      <c r="I292" s="494"/>
      <c r="J292" s="493"/>
      <c r="K292" s="493"/>
      <c r="L292" s="493"/>
      <c r="M292" s="493"/>
      <c r="N292" s="497"/>
      <c r="O292" s="493"/>
      <c r="P292" s="493"/>
      <c r="Q292" s="493"/>
      <c r="R292" s="493"/>
      <c r="S292" s="494"/>
      <c r="T292" s="493"/>
      <c r="U292" s="493"/>
      <c r="V292" s="493"/>
      <c r="W292" s="493"/>
      <c r="X292" s="494"/>
      <c r="Y292" s="493"/>
      <c r="Z292" s="493"/>
      <c r="AA292" s="493"/>
      <c r="AB292" s="493"/>
      <c r="AC292" s="494"/>
      <c r="AD292" s="493"/>
      <c r="AE292" s="493"/>
      <c r="AF292" s="493"/>
      <c r="AG292" s="493"/>
      <c r="AH292" s="494"/>
      <c r="AI292" s="493"/>
      <c r="AJ292" s="493"/>
      <c r="AK292" s="493"/>
      <c r="AL292" s="493"/>
      <c r="AM292" s="494"/>
    </row>
    <row r="293" spans="2:52" ht="13.5" customHeight="1">
      <c r="B293" s="498"/>
      <c r="C293" s="499"/>
      <c r="D293" s="500"/>
      <c r="E293" s="499"/>
      <c r="F293" s="499"/>
      <c r="G293" s="499"/>
      <c r="H293" s="499"/>
      <c r="I293" s="500"/>
      <c r="J293" s="499"/>
      <c r="K293" s="499"/>
      <c r="L293" s="501">
        <v>42277</v>
      </c>
      <c r="M293" s="501">
        <v>42369</v>
      </c>
      <c r="N293" s="502"/>
      <c r="O293" s="501">
        <v>42460</v>
      </c>
      <c r="P293" s="501">
        <v>42551</v>
      </c>
      <c r="Q293" s="501">
        <v>42643</v>
      </c>
      <c r="R293" s="501">
        <v>42735</v>
      </c>
      <c r="S293" s="500"/>
      <c r="T293" s="501">
        <v>42825</v>
      </c>
      <c r="U293" s="501">
        <v>42916</v>
      </c>
      <c r="V293" s="501">
        <v>43008</v>
      </c>
      <c r="W293" s="501">
        <v>43100</v>
      </c>
      <c r="X293" s="500"/>
      <c r="Y293" s="501">
        <v>43190</v>
      </c>
      <c r="Z293" s="501">
        <v>43281</v>
      </c>
      <c r="AA293" s="501">
        <v>43373</v>
      </c>
      <c r="AB293" s="501">
        <v>43465</v>
      </c>
      <c r="AC293" s="500"/>
      <c r="AD293" s="501">
        <v>43555</v>
      </c>
      <c r="AE293" s="501">
        <v>43646</v>
      </c>
      <c r="AF293" s="501">
        <v>43738</v>
      </c>
      <c r="AG293" s="501">
        <v>43830</v>
      </c>
      <c r="AH293" s="500"/>
      <c r="AI293" s="501">
        <v>43921</v>
      </c>
      <c r="AJ293" s="501">
        <v>44012</v>
      </c>
      <c r="AK293" s="501">
        <v>44104</v>
      </c>
      <c r="AL293" s="501">
        <v>44196</v>
      </c>
      <c r="AM293" s="500"/>
      <c r="AN293" s="503"/>
      <c r="AO293" s="503"/>
      <c r="AP293" s="503"/>
      <c r="AQ293" s="503"/>
      <c r="AR293" s="503"/>
      <c r="AS293" s="503"/>
      <c r="AT293" s="503"/>
      <c r="AU293" s="503"/>
      <c r="AV293" s="503"/>
      <c r="AW293" s="503"/>
      <c r="AX293" s="503"/>
      <c r="AY293" s="503"/>
      <c r="AZ293" s="503"/>
    </row>
    <row r="294" spans="2:52" ht="13.5" customHeight="1">
      <c r="B294" s="498" t="s">
        <v>258</v>
      </c>
      <c r="C294" s="493"/>
      <c r="D294" s="494"/>
      <c r="E294" s="493"/>
      <c r="F294" s="493"/>
      <c r="G294" s="493"/>
      <c r="H294" s="493"/>
      <c r="I294" s="494"/>
      <c r="J294" s="493"/>
      <c r="K294" s="493"/>
      <c r="L294" s="493"/>
      <c r="M294" s="493"/>
      <c r="N294" s="497"/>
      <c r="O294" s="493"/>
      <c r="P294" s="493"/>
      <c r="Q294" s="493"/>
      <c r="R294" s="493"/>
      <c r="S294" s="494"/>
      <c r="T294" s="493"/>
      <c r="U294" s="493"/>
      <c r="V294" s="493"/>
      <c r="W294" s="493"/>
      <c r="X294" s="494"/>
      <c r="Y294" s="493"/>
      <c r="Z294" s="493"/>
      <c r="AA294" s="493"/>
      <c r="AB294" s="493"/>
      <c r="AC294" s="494"/>
      <c r="AD294" s="493"/>
      <c r="AE294" s="493"/>
      <c r="AF294" s="493"/>
      <c r="AG294" s="493"/>
      <c r="AH294" s="494"/>
      <c r="AI294" s="493"/>
      <c r="AJ294" s="493"/>
      <c r="AK294" s="493"/>
      <c r="AL294" s="493"/>
      <c r="AM294" s="494"/>
    </row>
    <row r="295" spans="2:52" ht="13.5" customHeight="1">
      <c r="B295" s="482" t="s">
        <v>259</v>
      </c>
      <c r="C295" s="493"/>
      <c r="D295" s="494"/>
      <c r="E295" s="493"/>
      <c r="F295" s="493"/>
      <c r="G295" s="493"/>
      <c r="H295" s="493"/>
      <c r="I295" s="494"/>
      <c r="J295" s="493"/>
      <c r="K295" s="493"/>
      <c r="L295" s="493">
        <f>CHOOSE(WEEKDAY(EOMONTH(L$293,0),2),$K$291,$L$291,$M$291,$N$291,$O$291,$P$291,$Q$291)</f>
        <v>1</v>
      </c>
      <c r="M295" s="493">
        <f>CHOOSE(WEEKDAY(EOMONTH(M$293,0),2),$K$291,$L$291,$M$291,$N$291,$O$291,$P$291,$Q$291)</f>
        <v>1</v>
      </c>
      <c r="N295" s="497"/>
      <c r="O295" s="493">
        <f t="shared" ref="O295:AL295" si="388">CHOOSE(WEEKDAY(EOMONTH(O$293,0),2),$K$291,$L$291,$M$291,$N$291,$O$291,$P$291,$Q$291)</f>
        <v>1</v>
      </c>
      <c r="P295" s="493">
        <f t="shared" si="388"/>
        <v>1</v>
      </c>
      <c r="Q295" s="493">
        <f t="shared" si="388"/>
        <v>1</v>
      </c>
      <c r="R295" s="493">
        <f t="shared" si="388"/>
        <v>2</v>
      </c>
      <c r="S295" s="494"/>
      <c r="T295" s="493">
        <f t="shared" si="388"/>
        <v>1</v>
      </c>
      <c r="U295" s="493">
        <f t="shared" si="388"/>
        <v>1</v>
      </c>
      <c r="V295" s="493">
        <f t="shared" si="388"/>
        <v>2</v>
      </c>
      <c r="W295" s="493">
        <f t="shared" si="388"/>
        <v>3</v>
      </c>
      <c r="X295" s="494"/>
      <c r="Y295" s="493">
        <f t="shared" si="388"/>
        <v>2</v>
      </c>
      <c r="Z295" s="493">
        <f t="shared" si="388"/>
        <v>2</v>
      </c>
      <c r="AA295" s="493">
        <f t="shared" si="388"/>
        <v>3</v>
      </c>
      <c r="AB295" s="493">
        <f t="shared" si="388"/>
        <v>1</v>
      </c>
      <c r="AC295" s="494"/>
      <c r="AD295" s="493">
        <f t="shared" si="388"/>
        <v>3</v>
      </c>
      <c r="AE295" s="493">
        <f t="shared" si="388"/>
        <v>3</v>
      </c>
      <c r="AF295" s="493">
        <f t="shared" si="388"/>
        <v>1</v>
      </c>
      <c r="AG295" s="493">
        <f t="shared" si="388"/>
        <v>1</v>
      </c>
      <c r="AH295" s="494"/>
      <c r="AI295" s="493">
        <f t="shared" si="388"/>
        <v>1</v>
      </c>
      <c r="AJ295" s="493">
        <f t="shared" si="388"/>
        <v>1</v>
      </c>
      <c r="AK295" s="493">
        <f t="shared" si="388"/>
        <v>1</v>
      </c>
      <c r="AL295" s="493">
        <f t="shared" si="388"/>
        <v>1</v>
      </c>
      <c r="AM295" s="494"/>
    </row>
    <row r="296" spans="2:52" ht="13.5" customHeight="1">
      <c r="B296" s="504" t="s">
        <v>260</v>
      </c>
      <c r="C296" s="505"/>
      <c r="D296" s="506"/>
      <c r="E296" s="505"/>
      <c r="F296" s="505"/>
      <c r="G296" s="505"/>
      <c r="H296" s="505"/>
      <c r="I296" s="506"/>
      <c r="J296" s="505"/>
      <c r="K296" s="505"/>
      <c r="L296" s="505">
        <f>'Segment Detail'!L10/90</f>
        <v>106</v>
      </c>
      <c r="M296" s="505">
        <f>'Segment Detail'!M10/90</f>
        <v>113.25555555555556</v>
      </c>
      <c r="N296" s="507"/>
      <c r="O296" s="505">
        <f>'Segment Detail'!O10/90</f>
        <v>114.33333333333333</v>
      </c>
      <c r="P296" s="505">
        <f>'Segment Detail'!P10/90</f>
        <v>138.34444444444443</v>
      </c>
      <c r="Q296" s="505">
        <f>'Segment Detail'!Q10/90</f>
        <v>147.19999999999999</v>
      </c>
      <c r="R296" s="505">
        <f>'Segment Detail'!R10/90</f>
        <v>152.15555555555557</v>
      </c>
      <c r="S296" s="506"/>
      <c r="T296" s="505">
        <f>'Segment Detail'!T10/90</f>
        <v>151.63333333333333</v>
      </c>
      <c r="U296" s="505">
        <f>'Segment Detail'!U10/90</f>
        <v>182.45555555555555</v>
      </c>
      <c r="V296" s="505">
        <f>'Segment Detail'!V10/90</f>
        <v>193.17777777777778</v>
      </c>
      <c r="W296" s="505">
        <f>'Segment Detail'!W10/90</f>
        <v>195.51988888888886</v>
      </c>
      <c r="X296" s="506"/>
      <c r="Y296" s="505">
        <f>'Segment Detail'!Y10/90</f>
        <v>195.607</v>
      </c>
      <c r="Z296" s="505">
        <f>'Segment Detail'!Z10/90</f>
        <v>235.36766666666668</v>
      </c>
      <c r="AA296" s="505">
        <f>'Segment Detail'!AA10/90</f>
        <v>249.19933333333336</v>
      </c>
      <c r="AB296" s="505">
        <f>'Segment Detail'!AB10/90</f>
        <v>252.22065666666666</v>
      </c>
      <c r="AC296" s="506"/>
      <c r="AD296" s="505">
        <f>'Segment Detail'!AD10/90</f>
        <v>250.37696</v>
      </c>
      <c r="AE296" s="505">
        <f>'Segment Detail'!AE10/90</f>
        <v>301.27061333333336</v>
      </c>
      <c r="AF296" s="505">
        <f>'Segment Detail'!AF10/90</f>
        <v>318.97514666666672</v>
      </c>
      <c r="AG296" s="505">
        <f>'Segment Detail'!AG10/90</f>
        <v>322.84244053333327</v>
      </c>
      <c r="AH296" s="506"/>
      <c r="AI296" s="505">
        <f>'Segment Detail'!AI10/90</f>
        <v>315.47496960000001</v>
      </c>
      <c r="AJ296" s="505">
        <f>'Segment Detail'!AJ10/90</f>
        <v>379.60097280000002</v>
      </c>
      <c r="AK296" s="505">
        <f>'Segment Detail'!AK10/90</f>
        <v>401.90868480000006</v>
      </c>
      <c r="AL296" s="505">
        <f>'Segment Detail'!AL10/90</f>
        <v>406.78147507199998</v>
      </c>
      <c r="AM296" s="506"/>
      <c r="AN296" s="275"/>
      <c r="AO296" s="275"/>
      <c r="AP296" s="275"/>
      <c r="AQ296" s="275"/>
      <c r="AR296" s="275"/>
      <c r="AS296" s="275"/>
      <c r="AT296" s="275"/>
      <c r="AU296" s="275"/>
      <c r="AV296" s="275"/>
      <c r="AW296" s="275"/>
      <c r="AX296" s="275"/>
      <c r="AY296" s="275"/>
      <c r="AZ296" s="275"/>
    </row>
    <row r="297" spans="2:52" ht="13.5" customHeight="1">
      <c r="B297" s="508" t="s">
        <v>258</v>
      </c>
      <c r="C297" s="509"/>
      <c r="D297" s="510"/>
      <c r="E297" s="509"/>
      <c r="F297" s="509"/>
      <c r="G297" s="509"/>
      <c r="H297" s="509"/>
      <c r="I297" s="510"/>
      <c r="J297" s="509"/>
      <c r="K297" s="509"/>
      <c r="L297" s="509">
        <f>L296*L295</f>
        <v>106</v>
      </c>
      <c r="M297" s="509">
        <f>M296*M295</f>
        <v>113.25555555555556</v>
      </c>
      <c r="N297" s="511"/>
      <c r="O297" s="509">
        <f t="shared" ref="O297:R297" si="389">O296*O295</f>
        <v>114.33333333333333</v>
      </c>
      <c r="P297" s="509">
        <f t="shared" si="389"/>
        <v>138.34444444444443</v>
      </c>
      <c r="Q297" s="509">
        <f t="shared" si="389"/>
        <v>147.19999999999999</v>
      </c>
      <c r="R297" s="509">
        <f t="shared" si="389"/>
        <v>304.31111111111113</v>
      </c>
      <c r="S297" s="510"/>
      <c r="T297" s="509">
        <f>T296*T295</f>
        <v>151.63333333333333</v>
      </c>
      <c r="U297" s="509">
        <f t="shared" ref="U297:W297" si="390">U296*U295</f>
        <v>182.45555555555555</v>
      </c>
      <c r="V297" s="509">
        <f t="shared" si="390"/>
        <v>386.35555555555555</v>
      </c>
      <c r="W297" s="509">
        <f t="shared" si="390"/>
        <v>586.55966666666654</v>
      </c>
      <c r="X297" s="510"/>
      <c r="Y297" s="509">
        <f t="shared" ref="Y297:AB297" si="391">Y296*Y295</f>
        <v>391.214</v>
      </c>
      <c r="Z297" s="509">
        <f t="shared" si="391"/>
        <v>470.73533333333336</v>
      </c>
      <c r="AA297" s="509">
        <f t="shared" si="391"/>
        <v>747.59800000000007</v>
      </c>
      <c r="AB297" s="509">
        <f t="shared" si="391"/>
        <v>252.22065666666666</v>
      </c>
      <c r="AC297" s="510"/>
      <c r="AD297" s="509">
        <f t="shared" ref="AD297:AG297" si="392">AD296*AD295</f>
        <v>751.13087999999993</v>
      </c>
      <c r="AE297" s="509">
        <f t="shared" si="392"/>
        <v>903.81184000000007</v>
      </c>
      <c r="AF297" s="509">
        <f t="shared" si="392"/>
        <v>318.97514666666672</v>
      </c>
      <c r="AG297" s="509">
        <f t="shared" si="392"/>
        <v>322.84244053333327</v>
      </c>
      <c r="AH297" s="510"/>
      <c r="AI297" s="509">
        <f t="shared" ref="AI297:AL297" si="393">AI296*AI295</f>
        <v>315.47496960000001</v>
      </c>
      <c r="AJ297" s="509">
        <f t="shared" si="393"/>
        <v>379.60097280000002</v>
      </c>
      <c r="AK297" s="509">
        <f t="shared" si="393"/>
        <v>401.90868480000006</v>
      </c>
      <c r="AL297" s="509">
        <f t="shared" si="393"/>
        <v>406.78147507199998</v>
      </c>
      <c r="AM297" s="510"/>
      <c r="AN297" s="512"/>
      <c r="AO297" s="512"/>
      <c r="AP297" s="512"/>
      <c r="AQ297" s="512"/>
      <c r="AR297" s="512"/>
      <c r="AS297" s="512"/>
      <c r="AT297" s="512"/>
      <c r="AU297" s="512"/>
      <c r="AV297" s="512"/>
      <c r="AW297" s="512"/>
      <c r="AX297" s="512"/>
      <c r="AY297" s="512"/>
      <c r="AZ297" s="512"/>
    </row>
    <row r="298" spans="2:52" ht="13.5" customHeight="1">
      <c r="B298" s="508"/>
      <c r="C298" s="509"/>
      <c r="D298" s="510"/>
      <c r="E298" s="509"/>
      <c r="F298" s="509"/>
      <c r="G298" s="509"/>
      <c r="H298" s="509"/>
      <c r="I298" s="510"/>
      <c r="J298" s="509"/>
      <c r="K298" s="509"/>
      <c r="L298" s="509"/>
      <c r="M298" s="509"/>
      <c r="N298" s="511"/>
      <c r="O298" s="509"/>
      <c r="P298" s="509"/>
      <c r="Q298" s="509"/>
      <c r="R298" s="509"/>
      <c r="S298" s="510"/>
      <c r="T298" s="509"/>
      <c r="U298" s="509"/>
      <c r="V298" s="509"/>
      <c r="W298" s="509"/>
      <c r="X298" s="510"/>
      <c r="Y298" s="509"/>
      <c r="Z298" s="509"/>
      <c r="AA298" s="509"/>
      <c r="AB298" s="509"/>
      <c r="AC298" s="510"/>
      <c r="AD298" s="509"/>
      <c r="AE298" s="509"/>
      <c r="AF298" s="509"/>
      <c r="AG298" s="509"/>
      <c r="AH298" s="510"/>
      <c r="AI298" s="509"/>
      <c r="AJ298" s="509"/>
      <c r="AK298" s="509"/>
      <c r="AL298" s="509"/>
      <c r="AM298" s="510"/>
      <c r="AN298" s="512"/>
      <c r="AO298" s="512"/>
      <c r="AP298" s="512"/>
      <c r="AQ298" s="512"/>
      <c r="AR298" s="512"/>
      <c r="AS298" s="512"/>
      <c r="AT298" s="512"/>
      <c r="AU298" s="512"/>
      <c r="AV298" s="512"/>
      <c r="AW298" s="512"/>
      <c r="AX298" s="512"/>
      <c r="AY298" s="512"/>
      <c r="AZ298" s="512"/>
    </row>
    <row r="299" spans="2:52" ht="13.5" customHeight="1">
      <c r="B299" s="498" t="s">
        <v>249</v>
      </c>
      <c r="C299" s="493"/>
      <c r="D299" s="494"/>
      <c r="E299" s="493"/>
      <c r="F299" s="493"/>
      <c r="G299" s="493"/>
      <c r="H299" s="493"/>
      <c r="I299" s="494"/>
      <c r="J299" s="493"/>
      <c r="K299" s="493"/>
      <c r="L299" s="493"/>
      <c r="M299" s="493"/>
      <c r="N299" s="497"/>
      <c r="O299" s="493"/>
      <c r="P299" s="493"/>
      <c r="Q299" s="493"/>
      <c r="R299" s="493"/>
      <c r="S299" s="494"/>
      <c r="T299" s="493"/>
      <c r="U299" s="493"/>
      <c r="V299" s="493"/>
      <c r="W299" s="493"/>
      <c r="X299" s="494"/>
      <c r="Y299" s="493"/>
      <c r="Z299" s="493"/>
      <c r="AA299" s="493"/>
      <c r="AB299" s="493"/>
      <c r="AC299" s="494"/>
      <c r="AD299" s="493"/>
      <c r="AE299" s="493"/>
      <c r="AF299" s="493"/>
      <c r="AG299" s="493"/>
      <c r="AH299" s="494"/>
      <c r="AI299" s="493"/>
      <c r="AJ299" s="493"/>
      <c r="AK299" s="493"/>
      <c r="AL299" s="493"/>
      <c r="AM299" s="494"/>
      <c r="AN299" s="512"/>
      <c r="AO299" s="512"/>
      <c r="AP299" s="512"/>
      <c r="AQ299" s="512"/>
      <c r="AR299" s="512"/>
      <c r="AS299" s="512"/>
      <c r="AT299" s="512"/>
      <c r="AU299" s="512"/>
      <c r="AV299" s="512"/>
      <c r="AW299" s="512"/>
      <c r="AX299" s="512"/>
      <c r="AY299" s="512"/>
      <c r="AZ299" s="512"/>
    </row>
    <row r="300" spans="2:52" ht="13.5" customHeight="1">
      <c r="B300" s="513" t="s">
        <v>261</v>
      </c>
      <c r="C300" s="514"/>
      <c r="D300" s="515"/>
      <c r="E300" s="514"/>
      <c r="F300" s="514"/>
      <c r="G300" s="514"/>
      <c r="H300" s="514"/>
      <c r="I300" s="515"/>
      <c r="J300" s="514"/>
      <c r="K300" s="516"/>
      <c r="L300" s="517">
        <f>L301/L297</f>
        <v>2.2460849056603776</v>
      </c>
      <c r="M300" s="517">
        <f>M301/M297</f>
        <v>1.9849887177474737</v>
      </c>
      <c r="N300" s="518"/>
      <c r="O300" s="517">
        <f>O301/O297</f>
        <v>2.4827405247813412</v>
      </c>
      <c r="P300" s="517">
        <f>P301/P297</f>
        <v>2.2425331298690869</v>
      </c>
      <c r="Q300" s="517">
        <f>Q301/Q297</f>
        <v>2.4757744565217394</v>
      </c>
      <c r="R300" s="517">
        <f>R301/R297</f>
        <v>1.2752015481232655</v>
      </c>
      <c r="S300" s="515"/>
      <c r="T300" s="517">
        <f>T301/T297</f>
        <v>2.3941899318531545</v>
      </c>
      <c r="U300" s="517">
        <f>AVERAGE(T300,O300:Q300,L300:M300)</f>
        <v>2.3043852777388625</v>
      </c>
      <c r="V300" s="517">
        <f>R300</f>
        <v>1.2752015481232655</v>
      </c>
      <c r="W300" s="516">
        <v>0.95</v>
      </c>
      <c r="X300" s="515"/>
      <c r="Y300" s="516">
        <f>V300</f>
        <v>1.2752015481232655</v>
      </c>
      <c r="Z300" s="516">
        <f>V300</f>
        <v>1.2752015481232655</v>
      </c>
      <c r="AA300" s="516">
        <v>0.75</v>
      </c>
      <c r="AB300" s="516">
        <f>U300</f>
        <v>2.3043852777388625</v>
      </c>
      <c r="AC300" s="515"/>
      <c r="AD300" s="516">
        <v>0.75</v>
      </c>
      <c r="AE300" s="516">
        <v>0.75</v>
      </c>
      <c r="AF300" s="516">
        <f>AB300</f>
        <v>2.3043852777388625</v>
      </c>
      <c r="AG300" s="516">
        <f>AB300</f>
        <v>2.3043852777388625</v>
      </c>
      <c r="AH300" s="515"/>
      <c r="AI300" s="516">
        <f>AG300</f>
        <v>2.3043852777388625</v>
      </c>
      <c r="AJ300" s="516">
        <f>AI300</f>
        <v>2.3043852777388625</v>
      </c>
      <c r="AK300" s="516">
        <f t="shared" ref="AK300:AL300" si="394">AJ300</f>
        <v>2.3043852777388625</v>
      </c>
      <c r="AL300" s="516">
        <f t="shared" si="394"/>
        <v>2.3043852777388625</v>
      </c>
      <c r="AM300" s="515"/>
      <c r="AN300" s="512"/>
      <c r="AO300" s="512"/>
      <c r="AP300" s="512"/>
      <c r="AQ300" s="512"/>
      <c r="AR300" s="512"/>
      <c r="AS300" s="512"/>
      <c r="AT300" s="512"/>
      <c r="AU300" s="512"/>
      <c r="AV300" s="512"/>
      <c r="AW300" s="512"/>
      <c r="AX300" s="512"/>
      <c r="AY300" s="512"/>
      <c r="AZ300" s="512"/>
    </row>
    <row r="301" spans="2:52" ht="13.5" customHeight="1">
      <c r="B301" s="519" t="s">
        <v>249</v>
      </c>
      <c r="C301" s="520"/>
      <c r="D301" s="521"/>
      <c r="E301" s="520"/>
      <c r="F301" s="520"/>
      <c r="G301" s="520"/>
      <c r="H301" s="520"/>
      <c r="I301" s="521"/>
      <c r="J301" s="520"/>
      <c r="K301" s="520"/>
      <c r="L301" s="520">
        <f>L237</f>
        <v>238.08500000000001</v>
      </c>
      <c r="M301" s="520">
        <f>M237</f>
        <v>224.81100000000001</v>
      </c>
      <c r="N301" s="522"/>
      <c r="O301" s="520">
        <f>O237</f>
        <v>283.86</v>
      </c>
      <c r="P301" s="520">
        <f>P237</f>
        <v>310.24200000000002</v>
      </c>
      <c r="Q301" s="520">
        <f>Q237</f>
        <v>364.43400000000003</v>
      </c>
      <c r="R301" s="520">
        <f>R237</f>
        <v>388.05799999999999</v>
      </c>
      <c r="S301" s="521"/>
      <c r="T301" s="520">
        <f>T237</f>
        <v>363.03899999999999</v>
      </c>
      <c r="U301" s="520">
        <f>U297*U300</f>
        <v>420.4478960638873</v>
      </c>
      <c r="V301" s="520">
        <f>V297*V300</f>
        <v>492.68120257046877</v>
      </c>
      <c r="W301" s="520">
        <f>W297*W300</f>
        <v>557.23168333333319</v>
      </c>
      <c r="X301" s="521"/>
      <c r="Y301" s="520">
        <f>Y297*Y300</f>
        <v>498.87669844749519</v>
      </c>
      <c r="Z301" s="520">
        <f>Z297*Z300</f>
        <v>600.2824258229881</v>
      </c>
      <c r="AA301" s="520">
        <f>AA297*AA300</f>
        <v>560.69850000000008</v>
      </c>
      <c r="AB301" s="520">
        <f>AB297*AB300</f>
        <v>581.21356796429495</v>
      </c>
      <c r="AC301" s="521"/>
      <c r="AD301" s="520">
        <f>AD297*AD300</f>
        <v>563.34816000000001</v>
      </c>
      <c r="AE301" s="520">
        <f>AE297*AE300</f>
        <v>677.85888</v>
      </c>
      <c r="AF301" s="520">
        <f>AF297*AF300</f>
        <v>735.04163194326122</v>
      </c>
      <c r="AG301" s="520">
        <f>AG297*AG300</f>
        <v>743.95336699429743</v>
      </c>
      <c r="AH301" s="521"/>
      <c r="AI301" s="520">
        <f>AI297*AI300</f>
        <v>726.97587544135524</v>
      </c>
      <c r="AJ301" s="520">
        <f>AJ297*AJ300</f>
        <v>874.74689313567046</v>
      </c>
      <c r="AK301" s="520">
        <f>AK297*AK300</f>
        <v>926.15245624850911</v>
      </c>
      <c r="AL301" s="520">
        <f>AL297*AL300</f>
        <v>937.3812424128148</v>
      </c>
      <c r="AM301" s="521"/>
      <c r="AN301" s="512"/>
      <c r="AO301" s="512"/>
      <c r="AP301" s="512"/>
      <c r="AQ301" s="512"/>
      <c r="AR301" s="512"/>
      <c r="AS301" s="512"/>
      <c r="AT301" s="512"/>
      <c r="AU301" s="512"/>
      <c r="AV301" s="512"/>
      <c r="AW301" s="512"/>
      <c r="AX301" s="512"/>
      <c r="AY301" s="512"/>
      <c r="AZ301" s="512"/>
    </row>
    <row r="302" spans="2:52" ht="13.5" customHeight="1">
      <c r="AN302" s="512"/>
      <c r="AO302" s="512"/>
      <c r="AP302" s="512"/>
      <c r="AQ302" s="512"/>
      <c r="AR302" s="512"/>
      <c r="AS302" s="512"/>
      <c r="AT302" s="512"/>
      <c r="AU302" s="512"/>
      <c r="AV302" s="512"/>
      <c r="AW302" s="512"/>
      <c r="AX302" s="512"/>
      <c r="AY302" s="512"/>
      <c r="AZ302" s="512"/>
    </row>
    <row r="309" spans="1:53" ht="13.5" customHeight="1">
      <c r="A309" s="404"/>
      <c r="B309" s="404"/>
      <c r="C309" s="360"/>
      <c r="D309" s="360"/>
      <c r="E309" s="404"/>
      <c r="F309" s="404"/>
      <c r="G309" s="404"/>
      <c r="H309" s="404"/>
      <c r="I309" s="360"/>
      <c r="J309" s="404"/>
      <c r="K309" s="404"/>
      <c r="L309" s="404"/>
      <c r="M309" s="404"/>
      <c r="N309" s="360"/>
      <c r="O309" s="404"/>
      <c r="P309" s="404"/>
      <c r="Q309" s="404"/>
      <c r="R309" s="404"/>
      <c r="S309" s="360"/>
      <c r="T309" s="404"/>
      <c r="U309" s="404"/>
      <c r="V309" s="404"/>
      <c r="W309" s="404"/>
      <c r="X309" s="360"/>
      <c r="Y309" s="360"/>
      <c r="Z309" s="360"/>
      <c r="AA309" s="360"/>
      <c r="AB309" s="360"/>
      <c r="AC309" s="360"/>
      <c r="AD309" s="360"/>
      <c r="AE309" s="360"/>
      <c r="AF309" s="360"/>
      <c r="AG309" s="360"/>
      <c r="AH309" s="360"/>
      <c r="AI309" s="360"/>
      <c r="AJ309" s="360"/>
      <c r="AK309" s="360"/>
      <c r="AL309" s="360"/>
      <c r="AM309" s="360"/>
      <c r="AN309" s="404"/>
      <c r="AO309" s="404"/>
      <c r="AP309" s="404"/>
      <c r="AQ309" s="404"/>
      <c r="AR309" s="404"/>
      <c r="AS309" s="404"/>
      <c r="AT309" s="404"/>
      <c r="AU309" s="404"/>
      <c r="AV309" s="404"/>
      <c r="AW309" s="404"/>
      <c r="AX309" s="404"/>
      <c r="AY309" s="404"/>
      <c r="AZ309" s="404"/>
      <c r="BA309" s="404"/>
    </row>
    <row r="310" spans="1:53" ht="13.5" hidden="1" customHeight="1"/>
    <row r="311" spans="1:53" ht="13.5" hidden="1" customHeight="1">
      <c r="A311" s="408"/>
      <c r="B311" s="92" t="s">
        <v>262</v>
      </c>
      <c r="C311" s="359"/>
      <c r="D311" s="359"/>
      <c r="E311" s="523"/>
      <c r="F311" s="523"/>
      <c r="G311" s="523"/>
      <c r="H311" s="523"/>
      <c r="I311" s="359"/>
      <c r="J311" s="523"/>
      <c r="K311" s="523"/>
      <c r="L311" s="523"/>
      <c r="M311" s="523"/>
      <c r="N311" s="359"/>
      <c r="O311" s="523"/>
      <c r="P311" s="523"/>
      <c r="Q311" s="523"/>
      <c r="R311" s="523"/>
      <c r="S311" s="359"/>
      <c r="T311" s="523"/>
      <c r="U311" s="523"/>
      <c r="V311" s="523"/>
      <c r="W311" s="523"/>
      <c r="X311" s="359"/>
      <c r="Y311" s="523"/>
      <c r="Z311" s="523"/>
      <c r="AA311" s="523"/>
      <c r="AB311" s="523"/>
      <c r="AC311" s="359"/>
      <c r="AD311" s="523"/>
      <c r="AE311" s="523"/>
      <c r="AF311" s="523"/>
      <c r="AG311" s="523"/>
      <c r="AH311" s="359"/>
      <c r="AI311" s="523"/>
      <c r="AJ311" s="523"/>
      <c r="AK311" s="523"/>
      <c r="AL311" s="523"/>
      <c r="AM311" s="359"/>
      <c r="AN311" s="408"/>
      <c r="AO311" s="408"/>
      <c r="AP311" s="408"/>
      <c r="AQ311" s="408"/>
      <c r="AR311" s="408"/>
      <c r="AS311" s="408"/>
      <c r="AT311" s="408"/>
      <c r="AU311" s="408"/>
      <c r="AV311" s="408"/>
      <c r="AW311" s="408"/>
      <c r="AX311" s="408"/>
      <c r="AY311" s="408"/>
      <c r="AZ311" s="408"/>
      <c r="BA311" s="408"/>
    </row>
    <row r="312" spans="1:53" ht="13.5" hidden="1" customHeight="1">
      <c r="A312" s="404"/>
      <c r="B312" s="404" t="s">
        <v>263</v>
      </c>
      <c r="C312" s="524"/>
      <c r="D312" s="524">
        <f>35%+3%</f>
        <v>0.38</v>
      </c>
      <c r="E312" s="525">
        <f>D312</f>
        <v>0.38</v>
      </c>
      <c r="F312" s="525">
        <f t="shared" ref="F312:AM312" si="395">E312</f>
        <v>0.38</v>
      </c>
      <c r="G312" s="525">
        <f t="shared" si="395"/>
        <v>0.38</v>
      </c>
      <c r="H312" s="525">
        <f t="shared" si="395"/>
        <v>0.38</v>
      </c>
      <c r="I312" s="524">
        <f t="shared" si="395"/>
        <v>0.38</v>
      </c>
      <c r="J312" s="525">
        <f t="shared" si="395"/>
        <v>0.38</v>
      </c>
      <c r="K312" s="525">
        <f t="shared" si="395"/>
        <v>0.38</v>
      </c>
      <c r="L312" s="525">
        <f t="shared" si="395"/>
        <v>0.38</v>
      </c>
      <c r="M312" s="525">
        <f t="shared" si="395"/>
        <v>0.38</v>
      </c>
      <c r="N312" s="524">
        <f t="shared" si="395"/>
        <v>0.38</v>
      </c>
      <c r="O312" s="525">
        <f t="shared" si="395"/>
        <v>0.38</v>
      </c>
      <c r="P312" s="525">
        <f t="shared" si="395"/>
        <v>0.38</v>
      </c>
      <c r="Q312" s="525">
        <f t="shared" si="395"/>
        <v>0.38</v>
      </c>
      <c r="R312" s="525">
        <f t="shared" si="395"/>
        <v>0.38</v>
      </c>
      <c r="S312" s="524">
        <f t="shared" si="395"/>
        <v>0.38</v>
      </c>
      <c r="T312" s="525">
        <f t="shared" si="395"/>
        <v>0.38</v>
      </c>
      <c r="U312" s="525">
        <f t="shared" si="395"/>
        <v>0.38</v>
      </c>
      <c r="V312" s="525">
        <f t="shared" si="395"/>
        <v>0.38</v>
      </c>
      <c r="W312" s="525">
        <f t="shared" si="395"/>
        <v>0.38</v>
      </c>
      <c r="X312" s="524">
        <f t="shared" si="395"/>
        <v>0.38</v>
      </c>
      <c r="Y312" s="525">
        <f t="shared" si="395"/>
        <v>0.38</v>
      </c>
      <c r="Z312" s="525">
        <f t="shared" si="395"/>
        <v>0.38</v>
      </c>
      <c r="AA312" s="525">
        <f t="shared" si="395"/>
        <v>0.38</v>
      </c>
      <c r="AB312" s="525">
        <f t="shared" si="395"/>
        <v>0.38</v>
      </c>
      <c r="AC312" s="524">
        <f t="shared" si="395"/>
        <v>0.38</v>
      </c>
      <c r="AD312" s="525">
        <f t="shared" si="395"/>
        <v>0.38</v>
      </c>
      <c r="AE312" s="525">
        <f t="shared" si="395"/>
        <v>0.38</v>
      </c>
      <c r="AF312" s="525">
        <f t="shared" si="395"/>
        <v>0.38</v>
      </c>
      <c r="AG312" s="525">
        <f t="shared" si="395"/>
        <v>0.38</v>
      </c>
      <c r="AH312" s="524">
        <f t="shared" si="395"/>
        <v>0.38</v>
      </c>
      <c r="AI312" s="525">
        <f t="shared" si="395"/>
        <v>0.38</v>
      </c>
      <c r="AJ312" s="525">
        <f t="shared" si="395"/>
        <v>0.38</v>
      </c>
      <c r="AK312" s="525">
        <f t="shared" si="395"/>
        <v>0.38</v>
      </c>
      <c r="AL312" s="525">
        <f t="shared" si="395"/>
        <v>0.38</v>
      </c>
      <c r="AM312" s="524">
        <f t="shared" si="395"/>
        <v>0.38</v>
      </c>
      <c r="AN312" s="404"/>
      <c r="AO312" s="404"/>
      <c r="AP312" s="404"/>
      <c r="AQ312" s="404"/>
      <c r="AR312" s="404"/>
      <c r="AS312" s="404"/>
      <c r="AT312" s="404"/>
      <c r="AU312" s="404"/>
      <c r="AV312" s="404"/>
      <c r="AW312" s="404"/>
      <c r="AX312" s="404"/>
      <c r="AY312" s="404"/>
      <c r="AZ312" s="404"/>
      <c r="BA312" s="404"/>
    </row>
    <row r="313" spans="1:53" ht="13.5" hidden="1" customHeight="1">
      <c r="A313" s="526"/>
      <c r="B313" s="404" t="s">
        <v>264</v>
      </c>
      <c r="C313" s="527"/>
      <c r="D313" s="527" t="s">
        <v>265</v>
      </c>
      <c r="E313" s="527" t="s">
        <v>265</v>
      </c>
      <c r="F313" s="527" t="s">
        <v>265</v>
      </c>
      <c r="G313" s="527" t="s">
        <v>265</v>
      </c>
      <c r="H313" s="527" t="s">
        <v>265</v>
      </c>
      <c r="I313" s="527" t="s">
        <v>265</v>
      </c>
      <c r="J313" s="527" t="s">
        <v>265</v>
      </c>
      <c r="K313" s="527" t="s">
        <v>265</v>
      </c>
      <c r="L313" s="527" t="s">
        <v>265</v>
      </c>
      <c r="M313" s="527" t="s">
        <v>265</v>
      </c>
      <c r="N313" s="527" t="s">
        <v>265</v>
      </c>
      <c r="O313" s="527" t="s">
        <v>265</v>
      </c>
      <c r="P313" s="527" t="s">
        <v>265</v>
      </c>
      <c r="Q313" s="527" t="s">
        <v>265</v>
      </c>
      <c r="R313" s="527" t="s">
        <v>265</v>
      </c>
      <c r="S313" s="527" t="s">
        <v>265</v>
      </c>
      <c r="T313" s="527" t="s">
        <v>265</v>
      </c>
      <c r="U313" s="527" t="s">
        <v>265</v>
      </c>
      <c r="V313" s="527" t="s">
        <v>265</v>
      </c>
      <c r="W313" s="527" t="s">
        <v>265</v>
      </c>
      <c r="X313" s="527" t="s">
        <v>265</v>
      </c>
      <c r="Y313" s="527" t="s">
        <v>265</v>
      </c>
      <c r="Z313" s="527" t="s">
        <v>265</v>
      </c>
      <c r="AA313" s="527" t="s">
        <v>265</v>
      </c>
      <c r="AB313" s="527" t="s">
        <v>265</v>
      </c>
      <c r="AC313" s="527" t="s">
        <v>265</v>
      </c>
      <c r="AD313" s="527" t="s">
        <v>265</v>
      </c>
      <c r="AE313" s="527" t="s">
        <v>265</v>
      </c>
      <c r="AF313" s="527" t="s">
        <v>265</v>
      </c>
      <c r="AG313" s="527" t="s">
        <v>265</v>
      </c>
      <c r="AH313" s="527" t="s">
        <v>265</v>
      </c>
      <c r="AI313" s="527" t="s">
        <v>265</v>
      </c>
      <c r="AJ313" s="527" t="s">
        <v>265</v>
      </c>
      <c r="AK313" s="527" t="s">
        <v>265</v>
      </c>
      <c r="AL313" s="527" t="s">
        <v>265</v>
      </c>
      <c r="AM313" s="527" t="s">
        <v>265</v>
      </c>
      <c r="AN313" s="404"/>
      <c r="AO313" s="404"/>
      <c r="AP313" s="404"/>
      <c r="AQ313" s="404"/>
      <c r="AR313" s="404"/>
      <c r="AS313" s="404"/>
      <c r="AT313" s="404"/>
      <c r="AU313" s="404"/>
      <c r="AV313" s="404"/>
      <c r="AW313" s="404"/>
      <c r="AX313" s="404"/>
      <c r="AY313" s="404"/>
      <c r="AZ313" s="404"/>
      <c r="BA313" s="404"/>
    </row>
    <row r="314" spans="1:53" ht="13.5" hidden="1" customHeight="1">
      <c r="A314" s="526"/>
      <c r="B314" s="404" t="s">
        <v>266</v>
      </c>
      <c r="C314" s="528"/>
      <c r="D314" s="528">
        <f t="shared" ref="D314:AM314" si="396">D202</f>
        <v>18.905999999999999</v>
      </c>
      <c r="E314" s="528">
        <f t="shared" si="396"/>
        <v>0</v>
      </c>
      <c r="F314" s="528">
        <f t="shared" si="396"/>
        <v>0</v>
      </c>
      <c r="G314" s="528">
        <f t="shared" si="396"/>
        <v>0</v>
      </c>
      <c r="H314" s="528">
        <f t="shared" si="396"/>
        <v>0</v>
      </c>
      <c r="I314" s="528">
        <f t="shared" si="396"/>
        <v>14.055999999999999</v>
      </c>
      <c r="J314" s="528">
        <f t="shared" si="396"/>
        <v>1.7490000000000001</v>
      </c>
      <c r="K314" s="528">
        <f t="shared" si="396"/>
        <v>6.8849999999999998</v>
      </c>
      <c r="L314" s="528">
        <f t="shared" si="396"/>
        <v>3.5749999999999997</v>
      </c>
      <c r="M314" s="528">
        <f t="shared" si="396"/>
        <v>1.6310000000000007</v>
      </c>
      <c r="N314" s="529">
        <f t="shared" si="396"/>
        <v>13.84</v>
      </c>
      <c r="O314" s="528">
        <f t="shared" si="396"/>
        <v>0.55600000000000005</v>
      </c>
      <c r="P314" s="528">
        <f t="shared" si="396"/>
        <v>14.940000000000001</v>
      </c>
      <c r="Q314" s="134">
        <f t="shared" si="396"/>
        <v>32.808000000000007</v>
      </c>
      <c r="R314" s="134">
        <f t="shared" si="396"/>
        <v>48.134999999999991</v>
      </c>
      <c r="S314" s="528">
        <f t="shared" si="396"/>
        <v>96.438999999999993</v>
      </c>
      <c r="T314" s="528">
        <f t="shared" si="396"/>
        <v>-34.891999999999996</v>
      </c>
      <c r="U314" s="528">
        <f t="shared" si="396"/>
        <v>69.947000000000003</v>
      </c>
      <c r="V314" s="528">
        <f t="shared" si="396"/>
        <v>76.833999999999989</v>
      </c>
      <c r="W314" s="528">
        <f t="shared" si="396"/>
        <v>0</v>
      </c>
      <c r="X314" s="528">
        <f t="shared" si="396"/>
        <v>111.889</v>
      </c>
      <c r="Y314" s="528">
        <f t="shared" si="396"/>
        <v>0</v>
      </c>
      <c r="Z314" s="528">
        <f t="shared" si="396"/>
        <v>0</v>
      </c>
      <c r="AA314" s="528">
        <f t="shared" si="396"/>
        <v>0</v>
      </c>
      <c r="AB314" s="528">
        <f t="shared" si="396"/>
        <v>0</v>
      </c>
      <c r="AC314" s="528">
        <f t="shared" si="396"/>
        <v>0</v>
      </c>
      <c r="AD314" s="528">
        <f t="shared" si="396"/>
        <v>0</v>
      </c>
      <c r="AE314" s="528">
        <f t="shared" si="396"/>
        <v>0</v>
      </c>
      <c r="AF314" s="528">
        <f t="shared" si="396"/>
        <v>0</v>
      </c>
      <c r="AG314" s="528">
        <f t="shared" si="396"/>
        <v>0</v>
      </c>
      <c r="AH314" s="528">
        <f t="shared" si="396"/>
        <v>0</v>
      </c>
      <c r="AI314" s="528">
        <f t="shared" si="396"/>
        <v>0</v>
      </c>
      <c r="AJ314" s="528">
        <f t="shared" si="396"/>
        <v>0</v>
      </c>
      <c r="AK314" s="528">
        <f t="shared" si="396"/>
        <v>0</v>
      </c>
      <c r="AL314" s="528">
        <f t="shared" si="396"/>
        <v>0</v>
      </c>
      <c r="AM314" s="528">
        <f t="shared" si="396"/>
        <v>0</v>
      </c>
      <c r="AN314" s="404"/>
      <c r="AO314" s="404"/>
      <c r="AP314" s="404"/>
      <c r="AQ314" s="404"/>
      <c r="AR314" s="404"/>
      <c r="AS314" s="404"/>
      <c r="AT314" s="404"/>
      <c r="AU314" s="404"/>
      <c r="AV314" s="404"/>
      <c r="AW314" s="404"/>
      <c r="AX314" s="404"/>
      <c r="AY314" s="404"/>
      <c r="AZ314" s="404"/>
      <c r="BA314" s="404"/>
    </row>
    <row r="315" spans="1:53" ht="13.5" hidden="1" customHeight="1">
      <c r="B315" s="404" t="s">
        <v>267</v>
      </c>
      <c r="D315" s="528">
        <f t="shared" ref="D315:AM315" si="397">D44+D89-D156</f>
        <v>-2.7050000000000001</v>
      </c>
      <c r="E315" s="528">
        <f t="shared" si="397"/>
        <v>0.14800000000000002</v>
      </c>
      <c r="F315" s="528">
        <f t="shared" si="397"/>
        <v>0.35399999999999998</v>
      </c>
      <c r="G315" s="528">
        <f t="shared" si="397"/>
        <v>0.69100000000000006</v>
      </c>
      <c r="H315" s="528">
        <f t="shared" si="397"/>
        <v>0.72599999999999998</v>
      </c>
      <c r="I315" s="528">
        <f t="shared" si="397"/>
        <v>1.9190000000000005</v>
      </c>
      <c r="J315" s="528">
        <f t="shared" si="397"/>
        <v>0.83000000000000007</v>
      </c>
      <c r="K315" s="528">
        <f t="shared" si="397"/>
        <v>1.6239999999999999</v>
      </c>
      <c r="L315" s="528">
        <f t="shared" si="397"/>
        <v>1.5649999999999999</v>
      </c>
      <c r="M315" s="528">
        <f t="shared" si="397"/>
        <v>3.137</v>
      </c>
      <c r="N315" s="528">
        <f t="shared" si="397"/>
        <v>7.1559999999999988</v>
      </c>
      <c r="O315" s="528">
        <f t="shared" si="397"/>
        <v>2.6870000000000003</v>
      </c>
      <c r="P315" s="528">
        <f t="shared" si="397"/>
        <v>2.1080000000000001</v>
      </c>
      <c r="Q315" s="528">
        <f t="shared" si="397"/>
        <v>2.2689999999999997</v>
      </c>
      <c r="R315" s="528">
        <f t="shared" si="397"/>
        <v>2.0329999999999999</v>
      </c>
      <c r="S315" s="528">
        <f t="shared" si="397"/>
        <v>9.0969999999999995</v>
      </c>
      <c r="T315" s="528">
        <f t="shared" si="397"/>
        <v>2.012</v>
      </c>
      <c r="U315" s="528">
        <f t="shared" si="397"/>
        <v>1.917</v>
      </c>
      <c r="V315" s="528">
        <f t="shared" si="397"/>
        <v>1.778</v>
      </c>
      <c r="W315" s="528">
        <f t="shared" si="397"/>
        <v>1.7856687725563818</v>
      </c>
      <c r="X315" s="528">
        <f t="shared" si="397"/>
        <v>7.4926687725563816</v>
      </c>
      <c r="Y315" s="528">
        <f t="shared" si="397"/>
        <v>1.796003207311359</v>
      </c>
      <c r="Z315" s="528">
        <f t="shared" si="397"/>
        <v>1.8443583527385354</v>
      </c>
      <c r="AA315" s="528">
        <f t="shared" si="397"/>
        <v>1.863993521727014</v>
      </c>
      <c r="AB315" s="528">
        <f t="shared" si="397"/>
        <v>1.8786041870014261</v>
      </c>
      <c r="AC315" s="528">
        <f t="shared" si="397"/>
        <v>7.3829592687783343</v>
      </c>
      <c r="AD315" s="528">
        <f t="shared" si="397"/>
        <v>1.8821025151695197</v>
      </c>
      <c r="AE315" s="528">
        <f t="shared" si="397"/>
        <v>1.9479054371154001</v>
      </c>
      <c r="AF315" s="528">
        <f t="shared" si="397"/>
        <v>1.9754009783945947</v>
      </c>
      <c r="AG315" s="528">
        <f t="shared" si="397"/>
        <v>1.9973088461643083</v>
      </c>
      <c r="AH315" s="528">
        <f t="shared" si="397"/>
        <v>7.8027177768438225</v>
      </c>
      <c r="AI315" s="528">
        <f t="shared" si="397"/>
        <v>1.9908736206483109</v>
      </c>
      <c r="AJ315" s="528">
        <f t="shared" si="397"/>
        <v>2.0787656580243068</v>
      </c>
      <c r="AK315" s="528">
        <f t="shared" si="397"/>
        <v>2.11639838853249</v>
      </c>
      <c r="AL315" s="528">
        <f t="shared" si="397"/>
        <v>2.1479277751291779</v>
      </c>
      <c r="AM315" s="528">
        <f t="shared" si="397"/>
        <v>8.3339654423342857</v>
      </c>
    </row>
    <row r="316" spans="1:53" ht="13.5" hidden="1" customHeight="1">
      <c r="B316" s="404" t="s">
        <v>268</v>
      </c>
      <c r="D316" s="528">
        <v>1</v>
      </c>
      <c r="E316" s="528">
        <v>1</v>
      </c>
      <c r="F316" s="528">
        <v>1</v>
      </c>
      <c r="G316" s="528">
        <v>1</v>
      </c>
      <c r="H316" s="528">
        <v>1</v>
      </c>
      <c r="I316" s="528">
        <v>1</v>
      </c>
      <c r="J316" s="528">
        <v>1</v>
      </c>
      <c r="K316" s="528">
        <v>1</v>
      </c>
      <c r="L316" s="528">
        <v>1</v>
      </c>
      <c r="M316" s="528">
        <v>1</v>
      </c>
      <c r="N316" s="528">
        <v>1</v>
      </c>
      <c r="O316" s="528">
        <v>1</v>
      </c>
      <c r="P316" s="528">
        <v>1</v>
      </c>
      <c r="Q316" s="528">
        <v>1</v>
      </c>
      <c r="R316" s="528">
        <v>1</v>
      </c>
      <c r="S316" s="528">
        <v>1</v>
      </c>
      <c r="T316" s="528">
        <v>1</v>
      </c>
      <c r="U316" s="528">
        <v>1</v>
      </c>
      <c r="V316" s="528">
        <v>1</v>
      </c>
      <c r="W316" s="528">
        <v>1</v>
      </c>
      <c r="X316" s="528">
        <v>1</v>
      </c>
      <c r="Y316" s="528">
        <v>1</v>
      </c>
      <c r="Z316" s="528">
        <v>1</v>
      </c>
      <c r="AA316" s="528">
        <v>1</v>
      </c>
      <c r="AB316" s="528">
        <v>1</v>
      </c>
      <c r="AC316" s="528">
        <v>1</v>
      </c>
      <c r="AD316" s="528">
        <v>1</v>
      </c>
      <c r="AE316" s="528">
        <v>1</v>
      </c>
      <c r="AF316" s="528">
        <v>1</v>
      </c>
      <c r="AG316" s="528">
        <v>1</v>
      </c>
      <c r="AH316" s="528">
        <v>1</v>
      </c>
      <c r="AI316" s="528">
        <v>1</v>
      </c>
      <c r="AJ316" s="528">
        <v>1</v>
      </c>
      <c r="AK316" s="528">
        <v>1</v>
      </c>
      <c r="AL316" s="528">
        <v>1</v>
      </c>
      <c r="AM316" s="528">
        <v>1</v>
      </c>
    </row>
  </sheetData>
  <pageMargins left="0.4" right="0.17" top="0.48" bottom="0.19" header="0.13" footer="0.14000000000000001"/>
  <pageSetup scale="20" orientation="portrait" r:id="rId1"/>
  <headerFooter alignWithMargins="0"/>
  <ignoredErrors>
    <ignoredError sqref="X32:AM45 AC20 X57:AM60 AH20 T145:AM146 T148:AM156 T147:W147 Y147:AM147 AH127:AH131 AH124:AH126 AC103:AM123 AC124:AG126 AI124:AM126 U103:X111 X62:AM67 X61 AC61:AM61 X69:AM74 X68:Y68 AB68:AM68 X76:AM97 X75 AC75:AM75" formula="1"/>
    <ignoredError sqref="X147" formula="1" formulaRange="1"/>
  </ignoredErrors>
  <drawing r:id="rId2"/>
  <legacyDrawing r:id="rId3"/>
  <controls>
    <mc:AlternateContent xmlns:mc="http://schemas.openxmlformats.org/markup-compatibility/2006">
      <mc:Choice Requires="x14">
        <control shapeId="2049" r:id="rId4" name="ComboBox1">
          <controlPr defaultSize="0" autoLine="0" linkedCell="'DCF Analysis'!$A$5" listFillRange="'DCF Analysis'!$A$2:$A$4" r:id="rId5">
            <anchor moveWithCells="1">
              <from>
                <xdr:col>1</xdr:col>
                <xdr:colOff>819150</xdr:colOff>
                <xdr:row>2</xdr:row>
                <xdr:rowOff>76200</xdr:rowOff>
              </from>
              <to>
                <xdr:col>1</xdr:col>
                <xdr:colOff>2647950</xdr:colOff>
                <xdr:row>4</xdr:row>
                <xdr:rowOff>19050</xdr:rowOff>
              </to>
            </anchor>
          </controlPr>
        </control>
      </mc:Choice>
      <mc:Fallback>
        <control shapeId="2049"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3"/>
    <pageSetUpPr fitToPage="1"/>
  </sheetPr>
  <dimension ref="A1:AN98"/>
  <sheetViews>
    <sheetView showGridLines="0" zoomScale="85" zoomScaleNormal="85" workbookViewId="0">
      <pane xSplit="2" ySplit="5" topLeftCell="C6" activePane="bottomRight" state="frozen"/>
      <selection activeCell="J35" sqref="J35"/>
      <selection pane="topRight" activeCell="J35" sqref="J35"/>
      <selection pane="bottomLeft" activeCell="J35" sqref="J35"/>
      <selection pane="bottomRight" activeCell="AN91" sqref="AN91"/>
    </sheetView>
  </sheetViews>
  <sheetFormatPr defaultRowHeight="12.75" outlineLevelRow="1" outlineLevelCol="1"/>
  <cols>
    <col min="1" max="1" width="2.5703125" customWidth="1"/>
    <col min="2" max="2" width="49.5703125" customWidth="1"/>
    <col min="3" max="4" width="8.85546875" customWidth="1"/>
    <col min="5" max="8" width="8.85546875" hidden="1" customWidth="1" outlineLevel="1"/>
    <col min="9" max="9" width="8.85546875" customWidth="1" collapsed="1"/>
    <col min="10" max="13" width="8.85546875" hidden="1" customWidth="1" outlineLevel="1"/>
    <col min="14" max="14" width="8.85546875" customWidth="1" collapsed="1"/>
    <col min="15" max="18" width="8.85546875" hidden="1" customWidth="1" outlineLevel="1"/>
    <col min="19" max="19" width="8.85546875" customWidth="1" collapsed="1"/>
    <col min="20" max="23" width="8.85546875" customWidth="1" outlineLevel="1"/>
    <col min="24" max="24" width="8.85546875" customWidth="1"/>
    <col min="25" max="28" width="8.85546875" customWidth="1" outlineLevel="1"/>
    <col min="29" max="29" width="8.85546875" customWidth="1"/>
    <col min="30" max="33" width="8.85546875" hidden="1" customWidth="1" outlineLevel="1"/>
    <col min="34" max="34" width="8.85546875" customWidth="1" collapsed="1"/>
    <col min="35" max="38" width="8.85546875" hidden="1" customWidth="1" outlineLevel="1"/>
    <col min="39" max="39" width="8.85546875" customWidth="1" collapsed="1"/>
    <col min="40" max="40" width="13" customWidth="1"/>
  </cols>
  <sheetData>
    <row r="1" spans="1:40" ht="18">
      <c r="A1" s="92"/>
      <c r="B1" s="530" t="s">
        <v>269</v>
      </c>
      <c r="C1" s="92"/>
      <c r="D1" s="92"/>
      <c r="E1" s="92"/>
      <c r="F1" s="92"/>
      <c r="G1" s="92"/>
      <c r="H1" s="92"/>
      <c r="I1" s="92"/>
      <c r="J1" s="92"/>
      <c r="K1" s="92"/>
      <c r="L1" s="92"/>
      <c r="M1" s="92"/>
      <c r="N1" s="92"/>
      <c r="O1" s="92"/>
      <c r="P1" s="92"/>
      <c r="Q1" s="531"/>
      <c r="R1" s="531"/>
      <c r="S1" s="92"/>
      <c r="T1" s="92"/>
      <c r="U1" s="92"/>
      <c r="V1" s="92"/>
      <c r="W1" s="92"/>
      <c r="X1" s="96"/>
      <c r="Y1" s="92"/>
      <c r="Z1" s="92"/>
      <c r="AA1" s="92"/>
      <c r="AB1" s="92"/>
      <c r="AC1" s="92"/>
      <c r="AD1" s="92"/>
      <c r="AE1" s="92"/>
      <c r="AF1" s="92"/>
      <c r="AG1" s="92"/>
      <c r="AH1" s="92"/>
      <c r="AI1" s="92"/>
      <c r="AJ1" s="92"/>
      <c r="AK1" s="92"/>
      <c r="AL1" s="92"/>
      <c r="AM1" s="92"/>
    </row>
    <row r="2" spans="1:40">
      <c r="A2" s="104"/>
      <c r="B2" s="95" t="s">
        <v>55</v>
      </c>
      <c r="C2" s="104"/>
      <c r="D2" s="104"/>
      <c r="E2" s="104"/>
      <c r="F2" s="104"/>
      <c r="G2" s="104"/>
      <c r="H2" s="104"/>
      <c r="I2" s="104"/>
      <c r="J2" s="104"/>
      <c r="K2" s="104"/>
      <c r="L2" s="104"/>
      <c r="M2" s="104"/>
      <c r="N2" s="462"/>
      <c r="O2" s="104"/>
      <c r="P2" s="532"/>
      <c r="Q2" s="532"/>
      <c r="R2" s="532"/>
      <c r="S2" s="462"/>
      <c r="T2" s="104"/>
      <c r="U2" s="104"/>
      <c r="V2" s="104"/>
      <c r="W2" s="104"/>
      <c r="X2" s="462"/>
      <c r="Y2" s="104"/>
      <c r="Z2" s="104"/>
      <c r="AA2" s="104"/>
      <c r="AB2" s="104"/>
      <c r="AC2" s="104"/>
      <c r="AD2" s="104"/>
      <c r="AE2" s="104"/>
      <c r="AF2" s="104"/>
      <c r="AG2" s="104"/>
      <c r="AH2" s="104"/>
      <c r="AI2" s="104"/>
      <c r="AJ2" s="104"/>
      <c r="AK2" s="104"/>
      <c r="AL2" s="104"/>
      <c r="AM2" s="104"/>
    </row>
    <row r="3" spans="1:40" ht="15" customHeight="1">
      <c r="A3" s="99"/>
      <c r="B3" s="100" t="s">
        <v>12</v>
      </c>
      <c r="C3" s="104"/>
      <c r="D3" s="104"/>
      <c r="E3" s="104"/>
      <c r="F3" s="104"/>
      <c r="G3" s="104"/>
      <c r="H3" s="104"/>
      <c r="I3" s="104"/>
      <c r="J3" s="104"/>
      <c r="K3" s="104"/>
      <c r="L3" s="104"/>
      <c r="M3" s="533"/>
      <c r="N3" s="462"/>
      <c r="O3" s="534"/>
      <c r="P3" s="534"/>
      <c r="Q3" s="534"/>
      <c r="R3" s="534"/>
      <c r="S3" s="105"/>
      <c r="T3" s="534"/>
      <c r="U3" s="534"/>
      <c r="V3" s="534"/>
      <c r="W3" s="104"/>
      <c r="X3" s="105"/>
      <c r="Y3" s="104"/>
      <c r="Z3" s="104"/>
      <c r="AA3" s="104"/>
      <c r="AB3" s="104"/>
      <c r="AC3" s="105"/>
      <c r="AD3" s="104"/>
      <c r="AE3" s="104"/>
      <c r="AF3" s="104"/>
      <c r="AG3" s="104"/>
      <c r="AH3" s="105"/>
      <c r="AI3" s="104"/>
      <c r="AJ3" s="104"/>
      <c r="AK3" s="104"/>
      <c r="AL3" s="104"/>
      <c r="AM3" s="105"/>
    </row>
    <row r="4" spans="1:40" ht="12.75" customHeight="1">
      <c r="A4" s="104"/>
      <c r="B4" s="104"/>
      <c r="C4" s="104"/>
      <c r="D4" s="104"/>
      <c r="E4" s="104"/>
      <c r="F4" s="104"/>
      <c r="G4" s="104"/>
      <c r="H4" s="104"/>
      <c r="I4" s="104"/>
      <c r="J4" s="104"/>
      <c r="K4" s="535"/>
      <c r="L4" s="104"/>
      <c r="M4" s="104"/>
      <c r="N4" s="104"/>
      <c r="O4" s="104"/>
      <c r="P4" s="104"/>
      <c r="Q4" s="104"/>
      <c r="R4" s="104"/>
      <c r="S4" s="104"/>
      <c r="T4" s="104"/>
      <c r="U4" s="104"/>
      <c r="V4" s="104"/>
      <c r="W4" s="104"/>
      <c r="X4" s="104"/>
      <c r="Y4" s="104"/>
      <c r="Z4" s="104"/>
      <c r="AA4" s="104"/>
      <c r="AB4" s="104"/>
      <c r="AC4" s="104"/>
      <c r="AD4" s="104"/>
      <c r="AE4" s="104"/>
      <c r="AF4" s="104"/>
      <c r="AG4" s="104"/>
      <c r="AH4" s="104"/>
      <c r="AI4" s="104"/>
      <c r="AJ4" s="104"/>
      <c r="AK4" s="104"/>
      <c r="AL4" s="104"/>
      <c r="AM4" s="104"/>
    </row>
    <row r="5" spans="1:40" ht="13.5" customHeight="1">
      <c r="A5" s="104"/>
      <c r="B5" s="106"/>
      <c r="C5" s="27" t="s">
        <v>56</v>
      </c>
      <c r="D5" s="27" t="str">
        <f>+'Quarterly Model'!D5</f>
        <v>2013A</v>
      </c>
      <c r="E5" s="107" t="str">
        <f>+'Quarterly Model'!E5</f>
        <v>1Q14A</v>
      </c>
      <c r="F5" s="107" t="str">
        <f>+'Quarterly Model'!F5</f>
        <v>2Q14A</v>
      </c>
      <c r="G5" s="107" t="str">
        <f>+'Quarterly Model'!G5</f>
        <v>3Q14A</v>
      </c>
      <c r="H5" s="107" t="str">
        <f>+'Quarterly Model'!H5</f>
        <v>4Q14A</v>
      </c>
      <c r="I5" s="27" t="str">
        <f>+'Quarterly Model'!I5</f>
        <v>2014A</v>
      </c>
      <c r="J5" s="107" t="str">
        <f>+'Quarterly Model'!J5</f>
        <v>1Q15A</v>
      </c>
      <c r="K5" s="107" t="str">
        <f>+'Quarterly Model'!K5</f>
        <v>2Q15A</v>
      </c>
      <c r="L5" s="107" t="str">
        <f>+'Quarterly Model'!L5</f>
        <v>3Q15A</v>
      </c>
      <c r="M5" s="107" t="str">
        <f>+'Quarterly Model'!M5</f>
        <v>4Q15A</v>
      </c>
      <c r="N5" s="27" t="str">
        <f>+'Quarterly Model'!N5</f>
        <v>2015A</v>
      </c>
      <c r="O5" s="107" t="str">
        <f>+'Quarterly Model'!O5</f>
        <v>1Q16A</v>
      </c>
      <c r="P5" s="107" t="str">
        <f>+'Quarterly Model'!P5</f>
        <v>2Q16A</v>
      </c>
      <c r="Q5" s="107" t="str">
        <f>+'Quarterly Model'!Q5</f>
        <v>3Q16A</v>
      </c>
      <c r="R5" s="107" t="str">
        <f>+'Quarterly Model'!R5</f>
        <v>4Q16A</v>
      </c>
      <c r="S5" s="27" t="str">
        <f>+'Quarterly Model'!S5</f>
        <v>2016A</v>
      </c>
      <c r="T5" s="107" t="str">
        <f>+'Quarterly Model'!T5</f>
        <v>1Q17A</v>
      </c>
      <c r="U5" s="107" t="str">
        <f>+'Quarterly Model'!U5</f>
        <v>2Q17A</v>
      </c>
      <c r="V5" s="107" t="str">
        <f>+'Quarterly Model'!V5</f>
        <v>3Q17A</v>
      </c>
      <c r="W5" s="107" t="str">
        <f>+'Quarterly Model'!W5</f>
        <v>4Q17E</v>
      </c>
      <c r="X5" s="27" t="str">
        <f>+'Quarterly Model'!X5</f>
        <v>2017E</v>
      </c>
      <c r="Y5" s="107" t="str">
        <f>+'Quarterly Model'!Y5</f>
        <v>1Q18E</v>
      </c>
      <c r="Z5" s="107" t="str">
        <f>+'Quarterly Model'!Z5</f>
        <v>2Q18E</v>
      </c>
      <c r="AA5" s="107" t="str">
        <f>+'Quarterly Model'!AA5</f>
        <v>3Q18E</v>
      </c>
      <c r="AB5" s="107" t="str">
        <f>+'Quarterly Model'!AB5</f>
        <v>4Q18E</v>
      </c>
      <c r="AC5" s="27" t="str">
        <f>+'Quarterly Model'!AC5</f>
        <v>2018E</v>
      </c>
      <c r="AD5" s="107" t="str">
        <f>+'Quarterly Model'!AD5</f>
        <v>1Q19E</v>
      </c>
      <c r="AE5" s="107" t="str">
        <f>+'Quarterly Model'!AE5</f>
        <v>2Q19E</v>
      </c>
      <c r="AF5" s="107" t="str">
        <f>+'Quarterly Model'!AF5</f>
        <v>3Q19E</v>
      </c>
      <c r="AG5" s="107" t="str">
        <f>+'Quarterly Model'!AG5</f>
        <v>4Q19E</v>
      </c>
      <c r="AH5" s="27" t="str">
        <f>+'Quarterly Model'!AH5</f>
        <v>2019E</v>
      </c>
      <c r="AI5" s="107" t="str">
        <f>+'Quarterly Model'!AI5</f>
        <v>1Q20E</v>
      </c>
      <c r="AJ5" s="107" t="str">
        <f>+'Quarterly Model'!AJ5</f>
        <v>2Q20E</v>
      </c>
      <c r="AK5" s="107" t="str">
        <f>+'Quarterly Model'!AK5</f>
        <v>3Q20E</v>
      </c>
      <c r="AL5" s="107" t="str">
        <f>+'Quarterly Model'!AL5</f>
        <v>4Q20E</v>
      </c>
      <c r="AM5" s="27" t="str">
        <f>+'Quarterly Model'!AM5</f>
        <v>2020E</v>
      </c>
      <c r="AN5" s="108" t="s">
        <v>89</v>
      </c>
    </row>
    <row r="6" spans="1:40" ht="17.25" customHeight="1">
      <c r="A6" s="396"/>
      <c r="B6" s="536" t="s">
        <v>24</v>
      </c>
      <c r="C6" s="537"/>
      <c r="D6" s="537"/>
      <c r="E6" s="538"/>
      <c r="F6" s="538"/>
      <c r="G6" s="538"/>
      <c r="H6" s="538"/>
      <c r="I6" s="537"/>
      <c r="J6" s="538"/>
      <c r="K6" s="538"/>
      <c r="L6" s="538"/>
      <c r="M6" s="538"/>
      <c r="N6" s="537"/>
      <c r="O6" s="538"/>
      <c r="P6" s="538"/>
      <c r="Q6" s="538"/>
      <c r="R6" s="538"/>
      <c r="S6" s="537"/>
      <c r="T6" s="538"/>
      <c r="U6" s="538"/>
      <c r="V6" s="538"/>
      <c r="W6" s="538"/>
      <c r="X6" s="537"/>
      <c r="Y6" s="538"/>
      <c r="Z6" s="538"/>
      <c r="AA6" s="538"/>
      <c r="AB6" s="538"/>
      <c r="AC6" s="537"/>
      <c r="AD6" s="538"/>
      <c r="AE6" s="538"/>
      <c r="AF6" s="538"/>
      <c r="AG6" s="538"/>
      <c r="AH6" s="537"/>
      <c r="AI6" s="538"/>
      <c r="AJ6" s="538"/>
      <c r="AK6" s="538"/>
      <c r="AL6" s="538"/>
      <c r="AM6" s="537"/>
      <c r="AN6" s="539"/>
    </row>
    <row r="7" spans="1:40" ht="12.75" customHeight="1">
      <c r="A7" s="253"/>
      <c r="B7" s="540" t="s">
        <v>24</v>
      </c>
      <c r="C7" s="150">
        <v>193.97800000000001</v>
      </c>
      <c r="D7" s="150">
        <v>433.73700000000002</v>
      </c>
      <c r="E7" s="97">
        <v>137.01400000000001</v>
      </c>
      <c r="F7" s="97">
        <v>172.89400000000001</v>
      </c>
      <c r="G7" s="97">
        <v>191.56</v>
      </c>
      <c r="H7" s="97">
        <v>206.33099999999999</v>
      </c>
      <c r="I7" s="151">
        <f>SUM(E7:H7)</f>
        <v>707.79899999999998</v>
      </c>
      <c r="J7" s="97">
        <v>211.11</v>
      </c>
      <c r="K7" s="97">
        <v>259.86399999999998</v>
      </c>
      <c r="L7" s="97">
        <v>280.95499999999998</v>
      </c>
      <c r="M7" s="97">
        <v>298.51600000000002</v>
      </c>
      <c r="N7" s="151">
        <f>+SUM(J7:M7)</f>
        <v>1050.4449999999999</v>
      </c>
      <c r="O7" s="97">
        <v>300.45299999999997</v>
      </c>
      <c r="P7" s="97">
        <v>364.86399999999998</v>
      </c>
      <c r="Q7" s="97">
        <v>388.34699999999998</v>
      </c>
      <c r="R7" s="97">
        <v>402.49599999999998</v>
      </c>
      <c r="S7" s="151">
        <f>+SUM(O7:R7)</f>
        <v>1456.1599999999999</v>
      </c>
      <c r="T7" s="97">
        <v>403.47800000000001</v>
      </c>
      <c r="U7" s="97">
        <v>482.065</v>
      </c>
      <c r="V7" s="97">
        <v>510.01900000000001</v>
      </c>
      <c r="W7" s="290">
        <f>W10*W17</f>
        <v>514.44285401564468</v>
      </c>
      <c r="X7" s="151">
        <f>+SUM(T7:W7)</f>
        <v>1910.0048540156445</v>
      </c>
      <c r="Y7" s="290">
        <f>Y10*Y17</f>
        <v>514.26200188769087</v>
      </c>
      <c r="Z7" s="290">
        <f>Z10*Z17</f>
        <v>618.79507093117695</v>
      </c>
      <c r="AA7" s="290">
        <f>AA10*AA17</f>
        <v>655.15931448812148</v>
      </c>
      <c r="AB7" s="290">
        <f>AB10*AB17</f>
        <v>663.10254650819218</v>
      </c>
      <c r="AC7" s="151">
        <f>+SUM(Y7:AB7)</f>
        <v>2451.3189338151815</v>
      </c>
      <c r="AD7" s="290">
        <f>AD10*AD17</f>
        <v>653.74857713624442</v>
      </c>
      <c r="AE7" s="290">
        <f>AE10*AE17</f>
        <v>786.63481975190655</v>
      </c>
      <c r="AF7" s="290">
        <f>AF10*AF17</f>
        <v>832.86236990479563</v>
      </c>
      <c r="AG7" s="290">
        <f>AG10*AG17</f>
        <v>842.96009560088612</v>
      </c>
      <c r="AH7" s="151">
        <f>+SUM(AD7:AG7)</f>
        <v>3116.2058623938328</v>
      </c>
      <c r="AI7" s="290">
        <f>AI10*AI17</f>
        <v>818.04465773886795</v>
      </c>
      <c r="AJ7" s="290">
        <f>AJ10*AJ17</f>
        <v>984.32705537700247</v>
      </c>
      <c r="AK7" s="290">
        <f>AK10*AK17</f>
        <v>1042.1722297536426</v>
      </c>
      <c r="AL7" s="290">
        <f>AL10*AL17</f>
        <v>1054.8076539058206</v>
      </c>
      <c r="AM7" s="151">
        <f>+SUM(AI7:AL7)</f>
        <v>3899.3515967753337</v>
      </c>
      <c r="AN7" s="541">
        <f>+(AC7/N7)^(0.333333333333333)-1</f>
        <v>0.32640301532099691</v>
      </c>
    </row>
    <row r="8" spans="1:40" ht="12.75" customHeight="1">
      <c r="A8" s="221"/>
      <c r="B8" s="542" t="s">
        <v>26</v>
      </c>
      <c r="C8" s="543"/>
      <c r="D8" s="543">
        <f>D7/C7-1</f>
        <v>1.236011300250544</v>
      </c>
      <c r="E8" s="348"/>
      <c r="F8" s="348"/>
      <c r="G8" s="348"/>
      <c r="H8" s="348"/>
      <c r="I8" s="543">
        <f t="shared" ref="I8:AM8" si="0">+I7/D7-1</f>
        <v>0.63186216532138118</v>
      </c>
      <c r="J8" s="348">
        <f t="shared" si="0"/>
        <v>0.54079145196841205</v>
      </c>
      <c r="K8" s="348">
        <f t="shared" si="0"/>
        <v>0.50302497484007525</v>
      </c>
      <c r="L8" s="348">
        <f t="shared" si="0"/>
        <v>0.46666840676550425</v>
      </c>
      <c r="M8" s="348">
        <f t="shared" si="0"/>
        <v>0.44678211223713382</v>
      </c>
      <c r="N8" s="543">
        <f t="shared" si="0"/>
        <v>0.48410071220784423</v>
      </c>
      <c r="O8" s="348">
        <f t="shared" si="0"/>
        <v>0.42320591161006083</v>
      </c>
      <c r="P8" s="348">
        <f t="shared" si="0"/>
        <v>0.40405750700366339</v>
      </c>
      <c r="Q8" s="348">
        <f t="shared" si="0"/>
        <v>0.38223914861810604</v>
      </c>
      <c r="R8" s="348">
        <f t="shared" si="0"/>
        <v>0.34832303796111419</v>
      </c>
      <c r="S8" s="543">
        <f t="shared" si="0"/>
        <v>0.38623154948617011</v>
      </c>
      <c r="T8" s="348">
        <f t="shared" si="0"/>
        <v>0.34289888934375767</v>
      </c>
      <c r="U8" s="348">
        <f t="shared" si="0"/>
        <v>0.32121831696193648</v>
      </c>
      <c r="V8" s="348">
        <f t="shared" si="0"/>
        <v>0.3133074286656008</v>
      </c>
      <c r="W8" s="348">
        <f t="shared" si="0"/>
        <v>0.27813159389321807</v>
      </c>
      <c r="X8" s="543">
        <f t="shared" si="0"/>
        <v>0.31167238079307547</v>
      </c>
      <c r="Y8" s="348">
        <f t="shared" si="0"/>
        <v>0.27457259599703288</v>
      </c>
      <c r="Z8" s="348">
        <f t="shared" si="0"/>
        <v>0.28363409691883246</v>
      </c>
      <c r="AA8" s="348">
        <f t="shared" si="0"/>
        <v>0.28457825000268899</v>
      </c>
      <c r="AB8" s="348">
        <f t="shared" si="0"/>
        <v>0.28897221787053273</v>
      </c>
      <c r="AC8" s="543">
        <f t="shared" si="0"/>
        <v>0.2834097927350625</v>
      </c>
      <c r="AD8" s="348">
        <f t="shared" si="0"/>
        <v>0.27123640233294122</v>
      </c>
      <c r="AE8" s="348">
        <f t="shared" si="0"/>
        <v>0.27123640233294122</v>
      </c>
      <c r="AF8" s="348">
        <f t="shared" si="0"/>
        <v>0.27123640233294122</v>
      </c>
      <c r="AG8" s="348">
        <f t="shared" si="0"/>
        <v>0.27123640233294122</v>
      </c>
      <c r="AH8" s="543">
        <f t="shared" si="0"/>
        <v>0.27123640233294144</v>
      </c>
      <c r="AI8" s="348">
        <f t="shared" si="0"/>
        <v>0.25131386338510286</v>
      </c>
      <c r="AJ8" s="348">
        <f t="shared" si="0"/>
        <v>0.25131386338510309</v>
      </c>
      <c r="AK8" s="348">
        <f t="shared" si="0"/>
        <v>0.25131386338510309</v>
      </c>
      <c r="AL8" s="348">
        <f t="shared" si="0"/>
        <v>0.25131386338510309</v>
      </c>
      <c r="AM8" s="543">
        <f t="shared" si="0"/>
        <v>0.25131386338510309</v>
      </c>
      <c r="AN8" s="544"/>
    </row>
    <row r="9" spans="1:40" ht="12.75" customHeight="1">
      <c r="A9" s="221"/>
      <c r="B9" s="545"/>
      <c r="C9" s="546"/>
      <c r="D9" s="546"/>
      <c r="E9" s="547"/>
      <c r="F9" s="547"/>
      <c r="G9" s="547"/>
      <c r="H9" s="547"/>
      <c r="I9" s="546"/>
      <c r="J9" s="547"/>
      <c r="K9" s="547"/>
      <c r="L9" s="547"/>
      <c r="M9" s="547"/>
      <c r="N9" s="548"/>
      <c r="O9" s="547"/>
      <c r="P9" s="547"/>
      <c r="Q9" s="549"/>
      <c r="R9" s="549"/>
      <c r="S9" s="548"/>
      <c r="T9" s="547"/>
      <c r="U9" s="547"/>
      <c r="V9" s="547"/>
      <c r="W9" s="549"/>
      <c r="X9" s="548"/>
      <c r="Y9" s="549"/>
      <c r="Z9" s="549"/>
      <c r="AA9" s="549"/>
      <c r="AB9" s="549"/>
      <c r="AC9" s="546"/>
      <c r="AD9" s="549"/>
      <c r="AE9" s="549"/>
      <c r="AF9" s="549"/>
      <c r="AG9" s="549"/>
      <c r="AH9" s="546"/>
      <c r="AI9" s="549"/>
      <c r="AJ9" s="549"/>
      <c r="AK9" s="549"/>
      <c r="AL9" s="549"/>
      <c r="AM9" s="546"/>
      <c r="AN9" s="539"/>
    </row>
    <row r="10" spans="1:40" ht="12.75" customHeight="1">
      <c r="A10" s="209"/>
      <c r="B10" s="540" t="s">
        <v>92</v>
      </c>
      <c r="C10" s="550">
        <v>6518</v>
      </c>
      <c r="D10" s="550">
        <v>14819</v>
      </c>
      <c r="E10" s="551">
        <v>4605</v>
      </c>
      <c r="F10" s="551">
        <v>5789</v>
      </c>
      <c r="G10" s="551">
        <v>6430</v>
      </c>
      <c r="H10" s="551">
        <v>6955</v>
      </c>
      <c r="I10" s="552">
        <f>SUM(E10:H10)</f>
        <v>23779</v>
      </c>
      <c r="J10" s="551">
        <v>7116</v>
      </c>
      <c r="K10" s="551">
        <v>8782</v>
      </c>
      <c r="L10" s="551">
        <v>9540</v>
      </c>
      <c r="M10" s="551">
        <v>10193</v>
      </c>
      <c r="N10" s="552">
        <f>SUM(J10:M10)</f>
        <v>35631</v>
      </c>
      <c r="O10" s="551">
        <v>10290</v>
      </c>
      <c r="P10" s="551">
        <v>12451</v>
      </c>
      <c r="Q10" s="551">
        <v>13248</v>
      </c>
      <c r="R10" s="551">
        <v>13694</v>
      </c>
      <c r="S10" s="552">
        <f>SUM(O10:R10)</f>
        <v>49683</v>
      </c>
      <c r="T10" s="551">
        <v>13647</v>
      </c>
      <c r="U10" s="551">
        <v>16421</v>
      </c>
      <c r="V10" s="551">
        <v>17386</v>
      </c>
      <c r="W10" s="553">
        <f>R10*(1+W12)</f>
        <v>17596.789999999997</v>
      </c>
      <c r="X10" s="552">
        <f>SUM(T10:W10)</f>
        <v>65050.789999999994</v>
      </c>
      <c r="Y10" s="554">
        <f>T10*(1+Y12)</f>
        <v>17604.63</v>
      </c>
      <c r="Z10" s="553">
        <f>U10*(1+Z12)</f>
        <v>21183.09</v>
      </c>
      <c r="AA10" s="553">
        <f>V10*(1+AA12)</f>
        <v>22427.940000000002</v>
      </c>
      <c r="AB10" s="553">
        <f>W10*(1+AB12)</f>
        <v>22699.859099999998</v>
      </c>
      <c r="AC10" s="552">
        <f>SUM(Y10:AB10)</f>
        <v>83915.519100000005</v>
      </c>
      <c r="AD10" s="554">
        <f>Y10*(1+AD12)</f>
        <v>22533.9264</v>
      </c>
      <c r="AE10" s="553">
        <f>Z10*(1+AE12)</f>
        <v>27114.355200000002</v>
      </c>
      <c r="AF10" s="553">
        <f>AA10*(1+AF12)</f>
        <v>28707.763200000005</v>
      </c>
      <c r="AG10" s="553">
        <f>AB10*(1+AG12)</f>
        <v>29055.819647999997</v>
      </c>
      <c r="AH10" s="552">
        <f>SUM(AD10:AG10)</f>
        <v>107411.86444800001</v>
      </c>
      <c r="AI10" s="554">
        <f>AD10*(1+AI12)</f>
        <v>28392.747264000001</v>
      </c>
      <c r="AJ10" s="553">
        <f>AE10*(1+AJ12)</f>
        <v>34164.087552000005</v>
      </c>
      <c r="AK10" s="553">
        <f>AF10*(1+AK12)</f>
        <v>36171.781632000006</v>
      </c>
      <c r="AL10" s="553">
        <f>AG10*(1+AL12)</f>
        <v>36610.332756479998</v>
      </c>
      <c r="AM10" s="552">
        <f>SUM(AI10:AL10)</f>
        <v>135338.94920448001</v>
      </c>
      <c r="AN10" s="555">
        <f>+(AH10/S10)^(0.333333333333333)-1</f>
        <v>0.29304849877486605</v>
      </c>
    </row>
    <row r="11" spans="1:40" ht="12.75" customHeight="1">
      <c r="A11" s="209"/>
      <c r="B11" s="542" t="s">
        <v>270</v>
      </c>
      <c r="C11" s="211"/>
      <c r="D11" s="211"/>
      <c r="E11" s="348"/>
      <c r="F11" s="348">
        <f t="shared" ref="F11" si="1">+F10/E10-1</f>
        <v>0.25711183496199785</v>
      </c>
      <c r="G11" s="348">
        <f>+G10/F10-1</f>
        <v>0.11072724131974443</v>
      </c>
      <c r="H11" s="348">
        <f>+H10/G10-1</f>
        <v>8.1648522550544333E-2</v>
      </c>
      <c r="I11" s="151"/>
      <c r="J11" s="348">
        <f>+J10/H10-1</f>
        <v>2.3148813803019364E-2</v>
      </c>
      <c r="K11" s="348">
        <f>+K10/J10-1</f>
        <v>0.23412029229904441</v>
      </c>
      <c r="L11" s="348">
        <f>+L10/K10-1</f>
        <v>8.6312912776133066E-2</v>
      </c>
      <c r="M11" s="348">
        <f>+M10/L10-1</f>
        <v>6.8448637316561811E-2</v>
      </c>
      <c r="N11" s="151"/>
      <c r="O11" s="348">
        <f>+O10/M10-1</f>
        <v>9.5163347395270659E-3</v>
      </c>
      <c r="P11" s="348">
        <f>+P10/O10-1</f>
        <v>0.21000971817298342</v>
      </c>
      <c r="Q11" s="348">
        <f>+Q10/P10-1</f>
        <v>6.401092281744436E-2</v>
      </c>
      <c r="R11" s="348">
        <f>+R10/Q10-1</f>
        <v>3.3665458937198078E-2</v>
      </c>
      <c r="S11" s="151"/>
      <c r="T11" s="348">
        <f>+T10/R10-1</f>
        <v>-3.432160070103718E-3</v>
      </c>
      <c r="U11" s="348">
        <f>+U10/T10-1</f>
        <v>0.2032681175349893</v>
      </c>
      <c r="V11" s="348">
        <f>+V10/U10-1</f>
        <v>5.8766213994275729E-2</v>
      </c>
      <c r="W11" s="348">
        <f>+W10/V10-1</f>
        <v>1.2124122857471331E-2</v>
      </c>
      <c r="X11" s="151"/>
      <c r="Y11" s="348">
        <f>+Y10/W10-1</f>
        <v>4.4553580511008661E-4</v>
      </c>
      <c r="Z11" s="348">
        <f>+Z10/Y10-1</f>
        <v>0.2032681175349893</v>
      </c>
      <c r="AA11" s="348">
        <f>+AA10/Z10-1</f>
        <v>5.8766213994275729E-2</v>
      </c>
      <c r="AB11" s="348">
        <f>+AB10/AA10-1</f>
        <v>1.2124122857471331E-2</v>
      </c>
      <c r="AC11" s="151"/>
      <c r="AD11" s="348">
        <f>+AD10/AB10-1</f>
        <v>-7.3098559453171896E-3</v>
      </c>
      <c r="AE11" s="348">
        <f>+AE10/AD10-1</f>
        <v>0.20326811753498952</v>
      </c>
      <c r="AF11" s="348">
        <f>+AF10/AE10-1</f>
        <v>5.8766213994275729E-2</v>
      </c>
      <c r="AG11" s="348">
        <f>+AG10/AF10-1</f>
        <v>1.2124122857471331E-2</v>
      </c>
      <c r="AH11" s="151"/>
      <c r="AI11" s="348">
        <f>+AI10/AG10-1</f>
        <v>-2.282063944617152E-2</v>
      </c>
      <c r="AJ11" s="348">
        <f>+AJ10/AI10-1</f>
        <v>0.20326811753498952</v>
      </c>
      <c r="AK11" s="348">
        <f>+AK10/AJ10-1</f>
        <v>5.8766213994275729E-2</v>
      </c>
      <c r="AL11" s="348">
        <f>+AL10/AK10-1</f>
        <v>1.2124122857471331E-2</v>
      </c>
      <c r="AM11" s="151"/>
      <c r="AN11" s="217"/>
    </row>
    <row r="12" spans="1:40" ht="12.75" customHeight="1">
      <c r="A12" s="221"/>
      <c r="B12" s="542" t="s">
        <v>26</v>
      </c>
      <c r="C12" s="543"/>
      <c r="D12" s="543">
        <f>D10/C10-1</f>
        <v>1.2735501687634243</v>
      </c>
      <c r="E12" s="348"/>
      <c r="F12" s="348"/>
      <c r="G12" s="348"/>
      <c r="H12" s="348"/>
      <c r="I12" s="543">
        <f t="shared" ref="I12:V12" si="2">+I10/D10-1</f>
        <v>0.60462919225318856</v>
      </c>
      <c r="J12" s="348">
        <f t="shared" si="2"/>
        <v>0.54527687296416949</v>
      </c>
      <c r="K12" s="348">
        <f t="shared" si="2"/>
        <v>0.51701502850233205</v>
      </c>
      <c r="L12" s="348">
        <f t="shared" si="2"/>
        <v>0.48367029548989104</v>
      </c>
      <c r="M12" s="348">
        <f t="shared" si="2"/>
        <v>0.46556434219985632</v>
      </c>
      <c r="N12" s="543">
        <f t="shared" si="2"/>
        <v>0.49842297825812687</v>
      </c>
      <c r="O12" s="348">
        <f t="shared" si="2"/>
        <v>0.44603709949409787</v>
      </c>
      <c r="P12" s="348">
        <f t="shared" si="2"/>
        <v>0.41778638123434297</v>
      </c>
      <c r="Q12" s="348">
        <f t="shared" si="2"/>
        <v>0.38867924528301878</v>
      </c>
      <c r="R12" s="348">
        <f t="shared" si="2"/>
        <v>0.34347100951633469</v>
      </c>
      <c r="S12" s="543">
        <f>+S10/N10-1</f>
        <v>0.39437568409531032</v>
      </c>
      <c r="T12" s="348">
        <f t="shared" si="2"/>
        <v>0.32623906705539363</v>
      </c>
      <c r="U12" s="348">
        <f t="shared" si="2"/>
        <v>0.31884989157497379</v>
      </c>
      <c r="V12" s="348">
        <f t="shared" si="2"/>
        <v>0.3123490338164252</v>
      </c>
      <c r="W12" s="162">
        <f>CHOOSE(_Switch,W13,W14,W15)</f>
        <v>0.28499999999999998</v>
      </c>
      <c r="X12" s="543">
        <f>+X10/S10-1</f>
        <v>0.30931686894913746</v>
      </c>
      <c r="Y12" s="162">
        <f>CHOOSE(_Switch,Y13,Y14,Y15)</f>
        <v>0.28999999999999998</v>
      </c>
      <c r="Z12" s="162">
        <f>CHOOSE(_Switch,Z13,Z14,Z15)</f>
        <v>0.28999999999999998</v>
      </c>
      <c r="AA12" s="162">
        <f>CHOOSE(_Switch,AA13,AA14,AA15)</f>
        <v>0.28999999999999998</v>
      </c>
      <c r="AB12" s="162">
        <f>CHOOSE(_Switch,AB13,AB14,AB15)</f>
        <v>0.28999999999999998</v>
      </c>
      <c r="AC12" s="543">
        <f>+AC10/X10-1</f>
        <v>0.29000000000000026</v>
      </c>
      <c r="AD12" s="162">
        <f>CHOOSE(_Switch,AD13,AD14,AD15)</f>
        <v>0.28000000000000003</v>
      </c>
      <c r="AE12" s="162">
        <f>CHOOSE(_Switch,AE13,AE14,AE15)</f>
        <v>0.28000000000000003</v>
      </c>
      <c r="AF12" s="162">
        <f>CHOOSE(_Switch,AF13,AF14,AF15)</f>
        <v>0.28000000000000003</v>
      </c>
      <c r="AG12" s="162">
        <f>CHOOSE(_Switch,AG13,AG14,AG15)</f>
        <v>0.28000000000000003</v>
      </c>
      <c r="AH12" s="543">
        <f>+AH10/AC10-1</f>
        <v>0.28000000000000003</v>
      </c>
      <c r="AI12" s="162">
        <f>CHOOSE(_Switch,AI13,AI14,AI15)</f>
        <v>0.26</v>
      </c>
      <c r="AJ12" s="162">
        <f>CHOOSE(_Switch,AJ13,AJ14,AJ15)</f>
        <v>0.26</v>
      </c>
      <c r="AK12" s="162">
        <f>CHOOSE(_Switch,AK13,AK14,AK15)</f>
        <v>0.26</v>
      </c>
      <c r="AL12" s="162">
        <f>CHOOSE(_Switch,AL13,AL14,AL15)</f>
        <v>0.26</v>
      </c>
      <c r="AM12" s="543">
        <f>+AM10/AH10-1</f>
        <v>0.26</v>
      </c>
      <c r="AN12" s="544"/>
    </row>
    <row r="13" spans="1:40" ht="12.75" hidden="1" customHeight="1" outlineLevel="1">
      <c r="A13" s="221"/>
      <c r="B13" s="556" t="s">
        <v>96</v>
      </c>
      <c r="C13" s="557"/>
      <c r="D13" s="557"/>
      <c r="E13" s="547"/>
      <c r="F13" s="547"/>
      <c r="G13" s="547"/>
      <c r="H13" s="547"/>
      <c r="I13" s="546"/>
      <c r="J13" s="547"/>
      <c r="K13" s="547"/>
      <c r="L13" s="547"/>
      <c r="M13" s="547"/>
      <c r="N13" s="548"/>
      <c r="O13" s="547"/>
      <c r="P13" s="547"/>
      <c r="Q13" s="558"/>
      <c r="R13" s="558"/>
      <c r="S13" s="548"/>
      <c r="T13" s="558"/>
      <c r="U13" s="558"/>
      <c r="V13" s="558"/>
      <c r="W13" s="559">
        <f t="shared" ref="W13" si="3">+W14+0.04</f>
        <v>0.32499999999999996</v>
      </c>
      <c r="X13" s="548"/>
      <c r="Y13" s="559">
        <f>+Y14+0.05</f>
        <v>0.33999999999999997</v>
      </c>
      <c r="Z13" s="559">
        <f t="shared" ref="Z13:AB13" si="4">+Z14+0.05</f>
        <v>0.33999999999999997</v>
      </c>
      <c r="AA13" s="559">
        <f t="shared" si="4"/>
        <v>0.33999999999999997</v>
      </c>
      <c r="AB13" s="559">
        <f t="shared" si="4"/>
        <v>0.33999999999999997</v>
      </c>
      <c r="AC13" s="548"/>
      <c r="AD13" s="559">
        <f>+AD14+0.05</f>
        <v>0.33</v>
      </c>
      <c r="AE13" s="559">
        <f t="shared" ref="AE13:AG13" si="5">+AE14+0.05</f>
        <v>0.33</v>
      </c>
      <c r="AF13" s="559">
        <f t="shared" si="5"/>
        <v>0.33</v>
      </c>
      <c r="AG13" s="559">
        <f t="shared" si="5"/>
        <v>0.33</v>
      </c>
      <c r="AH13" s="548"/>
      <c r="AI13" s="559">
        <f>+AI14+0.06</f>
        <v>0.32</v>
      </c>
      <c r="AJ13" s="559">
        <f t="shared" ref="AJ13:AL13" si="6">+AJ14+0.06</f>
        <v>0.32</v>
      </c>
      <c r="AK13" s="559">
        <f t="shared" si="6"/>
        <v>0.32</v>
      </c>
      <c r="AL13" s="559">
        <f t="shared" si="6"/>
        <v>0.32</v>
      </c>
      <c r="AM13" s="548"/>
      <c r="AN13" s="539"/>
    </row>
    <row r="14" spans="1:40" ht="12.75" hidden="1" customHeight="1" outlineLevel="1">
      <c r="A14" s="221"/>
      <c r="B14" s="556" t="s">
        <v>97</v>
      </c>
      <c r="C14" s="557"/>
      <c r="D14" s="557"/>
      <c r="E14" s="547"/>
      <c r="F14" s="547"/>
      <c r="G14" s="547"/>
      <c r="H14" s="547"/>
      <c r="I14" s="546"/>
      <c r="J14" s="547"/>
      <c r="K14" s="547"/>
      <c r="L14" s="547"/>
      <c r="M14" s="547"/>
      <c r="N14" s="548"/>
      <c r="O14" s="547"/>
      <c r="P14" s="547"/>
      <c r="Q14" s="558"/>
      <c r="R14" s="558"/>
      <c r="S14" s="548"/>
      <c r="T14" s="558"/>
      <c r="U14" s="558"/>
      <c r="V14" s="558"/>
      <c r="W14" s="559">
        <v>0.28499999999999998</v>
      </c>
      <c r="X14" s="548"/>
      <c r="Y14" s="559">
        <v>0.28999999999999998</v>
      </c>
      <c r="Z14" s="559">
        <f>+Y14</f>
        <v>0.28999999999999998</v>
      </c>
      <c r="AA14" s="559">
        <f>+Z14</f>
        <v>0.28999999999999998</v>
      </c>
      <c r="AB14" s="559">
        <f>+AA14</f>
        <v>0.28999999999999998</v>
      </c>
      <c r="AC14" s="548"/>
      <c r="AD14" s="559">
        <v>0.28000000000000003</v>
      </c>
      <c r="AE14" s="559">
        <f>AD14</f>
        <v>0.28000000000000003</v>
      </c>
      <c r="AF14" s="559">
        <f>AE14</f>
        <v>0.28000000000000003</v>
      </c>
      <c r="AG14" s="559">
        <f>AF14</f>
        <v>0.28000000000000003</v>
      </c>
      <c r="AH14" s="548"/>
      <c r="AI14" s="559">
        <v>0.26</v>
      </c>
      <c r="AJ14" s="559">
        <f>AI14</f>
        <v>0.26</v>
      </c>
      <c r="AK14" s="559">
        <f>AJ14</f>
        <v>0.26</v>
      </c>
      <c r="AL14" s="559">
        <f>AK14</f>
        <v>0.26</v>
      </c>
      <c r="AM14" s="548"/>
      <c r="AN14" s="539"/>
    </row>
    <row r="15" spans="1:40" ht="12.75" hidden="1" customHeight="1" outlineLevel="1">
      <c r="A15" s="221"/>
      <c r="B15" s="556" t="s">
        <v>98</v>
      </c>
      <c r="C15" s="557"/>
      <c r="D15" s="557"/>
      <c r="E15" s="547"/>
      <c r="F15" s="547"/>
      <c r="G15" s="547"/>
      <c r="H15" s="547"/>
      <c r="I15" s="546"/>
      <c r="J15" s="547"/>
      <c r="K15" s="547"/>
      <c r="L15" s="547"/>
      <c r="M15" s="547"/>
      <c r="N15" s="560"/>
      <c r="O15" s="547"/>
      <c r="P15" s="547"/>
      <c r="Q15" s="558"/>
      <c r="R15" s="558"/>
      <c r="S15" s="560"/>
      <c r="T15" s="558"/>
      <c r="U15" s="558"/>
      <c r="V15" s="558"/>
      <c r="W15" s="559">
        <f>+W14-0.03</f>
        <v>0.255</v>
      </c>
      <c r="X15" s="560"/>
      <c r="Y15" s="559">
        <f>+Y14-0.03</f>
        <v>0.26</v>
      </c>
      <c r="Z15" s="559">
        <f t="shared" ref="Z15:AB15" si="7">+Z14-0.03</f>
        <v>0.26</v>
      </c>
      <c r="AA15" s="559">
        <f t="shared" si="7"/>
        <v>0.26</v>
      </c>
      <c r="AB15" s="559">
        <f t="shared" si="7"/>
        <v>0.26</v>
      </c>
      <c r="AC15" s="560"/>
      <c r="AD15" s="559">
        <f>+AD14-0.04</f>
        <v>0.24000000000000002</v>
      </c>
      <c r="AE15" s="559">
        <f t="shared" ref="AE15:AG15" si="8">+AE14-0.04</f>
        <v>0.24000000000000002</v>
      </c>
      <c r="AF15" s="559">
        <f t="shared" si="8"/>
        <v>0.24000000000000002</v>
      </c>
      <c r="AG15" s="559">
        <f t="shared" si="8"/>
        <v>0.24000000000000002</v>
      </c>
      <c r="AH15" s="560"/>
      <c r="AI15" s="559">
        <f>+AI14-0.04</f>
        <v>0.22</v>
      </c>
      <c r="AJ15" s="559">
        <f t="shared" ref="AJ15:AL15" si="9">+AJ14-0.04</f>
        <v>0.22</v>
      </c>
      <c r="AK15" s="559">
        <f t="shared" si="9"/>
        <v>0.22</v>
      </c>
      <c r="AL15" s="559">
        <f t="shared" si="9"/>
        <v>0.22</v>
      </c>
      <c r="AM15" s="560"/>
      <c r="AN15" s="539"/>
    </row>
    <row r="16" spans="1:40" collapsed="1">
      <c r="A16" s="81"/>
      <c r="B16" s="540"/>
      <c r="C16" s="561"/>
      <c r="D16" s="561"/>
      <c r="E16" s="562"/>
      <c r="F16" s="562"/>
      <c r="G16" s="562"/>
      <c r="H16" s="562"/>
      <c r="I16" s="561"/>
      <c r="J16" s="563"/>
      <c r="K16" s="563"/>
      <c r="L16" s="563"/>
      <c r="M16" s="563"/>
      <c r="N16" s="561"/>
      <c r="O16" s="563"/>
      <c r="P16" s="562"/>
      <c r="Q16" s="562"/>
      <c r="R16" s="562"/>
      <c r="S16" s="561"/>
      <c r="T16" s="563"/>
      <c r="U16" s="563"/>
      <c r="V16" s="563"/>
      <c r="W16" s="562"/>
      <c r="X16" s="564"/>
      <c r="Y16" s="562"/>
      <c r="Z16" s="562"/>
      <c r="AA16" s="562"/>
      <c r="AB16" s="562"/>
      <c r="AC16" s="561"/>
      <c r="AD16" s="562"/>
      <c r="AE16" s="562"/>
      <c r="AF16" s="562"/>
      <c r="AG16" s="562"/>
      <c r="AH16" s="561"/>
      <c r="AI16" s="562"/>
      <c r="AJ16" s="562"/>
      <c r="AK16" s="562"/>
      <c r="AL16" s="562"/>
      <c r="AM16" s="561"/>
      <c r="AN16" s="539"/>
    </row>
    <row r="17" spans="1:40">
      <c r="A17" s="287"/>
      <c r="B17" s="565" t="s">
        <v>271</v>
      </c>
      <c r="C17" s="156">
        <f t="shared" ref="C17:M17" si="10">C7/C10</f>
        <v>2.9760355937404111E-2</v>
      </c>
      <c r="D17" s="156">
        <f t="shared" si="10"/>
        <v>2.9268979013428707E-2</v>
      </c>
      <c r="E17" s="155">
        <f t="shared" si="10"/>
        <v>2.9753311617806734E-2</v>
      </c>
      <c r="F17" s="155">
        <f t="shared" si="10"/>
        <v>2.9865952668854726E-2</v>
      </c>
      <c r="G17" s="155">
        <f t="shared" si="10"/>
        <v>2.9791601866251946E-2</v>
      </c>
      <c r="H17" s="155">
        <f t="shared" si="10"/>
        <v>2.9666570812365203E-2</v>
      </c>
      <c r="I17" s="156">
        <f t="shared" si="10"/>
        <v>2.9765717650027335E-2</v>
      </c>
      <c r="J17" s="155">
        <f t="shared" si="10"/>
        <v>2.9666947723440137E-2</v>
      </c>
      <c r="K17" s="155">
        <f t="shared" si="10"/>
        <v>2.9590526076064674E-2</v>
      </c>
      <c r="L17" s="155">
        <f t="shared" si="10"/>
        <v>2.9450209643605868E-2</v>
      </c>
      <c r="M17" s="155">
        <f t="shared" si="10"/>
        <v>2.9286373001079172E-2</v>
      </c>
      <c r="N17" s="156">
        <f>N7/N10</f>
        <v>2.9481210182144758E-2</v>
      </c>
      <c r="O17" s="155">
        <f t="shared" ref="O17:V17" si="11">O7/O10</f>
        <v>2.9198542274052476E-2</v>
      </c>
      <c r="P17" s="155">
        <f t="shared" si="11"/>
        <v>2.9303991647257246E-2</v>
      </c>
      <c r="Q17" s="155">
        <f t="shared" si="11"/>
        <v>2.9313632246376811E-2</v>
      </c>
      <c r="R17" s="155">
        <f t="shared" si="11"/>
        <v>2.939214254417993E-2</v>
      </c>
      <c r="S17" s="156">
        <f>S7/S10</f>
        <v>2.9309019181611412E-2</v>
      </c>
      <c r="T17" s="155">
        <f t="shared" si="11"/>
        <v>2.9565325712610831E-2</v>
      </c>
      <c r="U17" s="155">
        <f t="shared" si="11"/>
        <v>2.9356616527617077E-2</v>
      </c>
      <c r="V17" s="155">
        <f t="shared" si="11"/>
        <v>2.9335039687104568E-2</v>
      </c>
      <c r="W17" s="566">
        <f>CHOOSE(_Switch,W18,W19,W20)</f>
        <v>2.9235039687104569E-2</v>
      </c>
      <c r="X17" s="156">
        <f>X7/X10</f>
        <v>2.9361747244201718E-2</v>
      </c>
      <c r="Y17" s="566">
        <f>CHOOSE(_Switch,Y18,Y19,Y20)</f>
        <v>2.9211747244201718E-2</v>
      </c>
      <c r="Z17" s="566">
        <f>CHOOSE(_Switch,Z18,Z19,Z20)</f>
        <v>2.9211747244201718E-2</v>
      </c>
      <c r="AA17" s="566">
        <f>CHOOSE(_Switch,AA18,AA19,AA20)</f>
        <v>2.9211747244201718E-2</v>
      </c>
      <c r="AB17" s="566">
        <f>CHOOSE(_Switch,AB18,AB19,AB20)</f>
        <v>2.9211747244201718E-2</v>
      </c>
      <c r="AC17" s="156">
        <f>AC7/AC10</f>
        <v>2.9211747244201714E-2</v>
      </c>
      <c r="AD17" s="566">
        <f>CHOOSE(_Switch,AD18,AD19,AD20)</f>
        <v>2.9011747244201719E-2</v>
      </c>
      <c r="AE17" s="566">
        <f>CHOOSE(_Switch,AE18,AE19,AE20)</f>
        <v>2.9011747244201719E-2</v>
      </c>
      <c r="AF17" s="566">
        <f>CHOOSE(_Switch,AF18,AF19,AF20)</f>
        <v>2.9011747244201719E-2</v>
      </c>
      <c r="AG17" s="566">
        <f>CHOOSE(_Switch,AG18,AG19,AG20)</f>
        <v>2.9011747244201719E-2</v>
      </c>
      <c r="AH17" s="156">
        <f>AH7/AH10</f>
        <v>2.9011747244201719E-2</v>
      </c>
      <c r="AI17" s="566">
        <f>CHOOSE(_Switch,AI18,AI19,AI20)</f>
        <v>2.881174724420172E-2</v>
      </c>
      <c r="AJ17" s="566">
        <f>CHOOSE(_Switch,AJ18,AJ19,AJ20)</f>
        <v>2.881174724420172E-2</v>
      </c>
      <c r="AK17" s="566">
        <f>CHOOSE(_Switch,AK18,AK19,AK20)</f>
        <v>2.881174724420172E-2</v>
      </c>
      <c r="AL17" s="566">
        <f>CHOOSE(_Switch,AL18,AL19,AL20)</f>
        <v>2.881174724420172E-2</v>
      </c>
      <c r="AM17" s="156">
        <f>AM7/AM10</f>
        <v>2.881174724420172E-2</v>
      </c>
      <c r="AN17" s="567"/>
    </row>
    <row r="18" spans="1:40" ht="12.75" hidden="1" customHeight="1" outlineLevel="1">
      <c r="A18" s="568"/>
      <c r="B18" s="556" t="s">
        <v>96</v>
      </c>
      <c r="C18" s="569"/>
      <c r="D18" s="569"/>
      <c r="E18" s="549"/>
      <c r="F18" s="549"/>
      <c r="G18" s="549"/>
      <c r="H18" s="549"/>
      <c r="I18" s="548"/>
      <c r="J18" s="570"/>
      <c r="K18" s="570"/>
      <c r="L18" s="570"/>
      <c r="M18" s="570"/>
      <c r="N18" s="548"/>
      <c r="O18" s="570"/>
      <c r="P18" s="570"/>
      <c r="Q18" s="571"/>
      <c r="R18" s="571"/>
      <c r="S18" s="572"/>
      <c r="T18" s="571"/>
      <c r="U18" s="571"/>
      <c r="V18" s="571"/>
      <c r="W18" s="573">
        <f t="shared" ref="W18" si="12">+W19+0.0002</f>
        <v>2.9435039687104567E-2</v>
      </c>
      <c r="X18" s="572"/>
      <c r="Y18" s="573">
        <f>+Y19+0.0002</f>
        <v>2.9411747244201716E-2</v>
      </c>
      <c r="Z18" s="573">
        <f t="shared" ref="Z18:AB18" si="13">+Z19+0.0002</f>
        <v>2.9411747244201716E-2</v>
      </c>
      <c r="AA18" s="573">
        <f t="shared" si="13"/>
        <v>2.9411747244201716E-2</v>
      </c>
      <c r="AB18" s="573">
        <f t="shared" si="13"/>
        <v>2.9411747244201716E-2</v>
      </c>
      <c r="AC18" s="572"/>
      <c r="AD18" s="573">
        <f>+AD19+0.0002</f>
        <v>2.9211747244201718E-2</v>
      </c>
      <c r="AE18" s="573">
        <f t="shared" ref="AE18:AG18" si="14">+AE19+0.0002</f>
        <v>2.9211747244201718E-2</v>
      </c>
      <c r="AF18" s="573">
        <f t="shared" si="14"/>
        <v>2.9211747244201718E-2</v>
      </c>
      <c r="AG18" s="573">
        <f t="shared" si="14"/>
        <v>2.9211747244201718E-2</v>
      </c>
      <c r="AH18" s="572"/>
      <c r="AI18" s="573">
        <f>+AI19+0.0002</f>
        <v>2.9011747244201719E-2</v>
      </c>
      <c r="AJ18" s="573">
        <f t="shared" ref="AJ18:AL18" si="15">+AJ19+0.0002</f>
        <v>2.9011747244201719E-2</v>
      </c>
      <c r="AK18" s="573">
        <f t="shared" si="15"/>
        <v>2.9011747244201719E-2</v>
      </c>
      <c r="AL18" s="573">
        <f t="shared" si="15"/>
        <v>2.9011747244201719E-2</v>
      </c>
      <c r="AM18" s="572"/>
      <c r="AN18" s="574"/>
    </row>
    <row r="19" spans="1:40" ht="12.75" hidden="1" customHeight="1" outlineLevel="1">
      <c r="A19" s="568"/>
      <c r="B19" s="556" t="s">
        <v>97</v>
      </c>
      <c r="C19" s="569"/>
      <c r="D19" s="569"/>
      <c r="E19" s="549"/>
      <c r="F19" s="549"/>
      <c r="G19" s="549"/>
      <c r="H19" s="549"/>
      <c r="I19" s="548"/>
      <c r="J19" s="570"/>
      <c r="K19" s="570"/>
      <c r="L19" s="570"/>
      <c r="M19" s="570"/>
      <c r="N19" s="548"/>
      <c r="O19" s="570"/>
      <c r="P19" s="570"/>
      <c r="Q19" s="571"/>
      <c r="R19" s="571"/>
      <c r="S19" s="572"/>
      <c r="T19" s="571"/>
      <c r="U19" s="571"/>
      <c r="V19" s="571"/>
      <c r="W19" s="573">
        <f>V17-0.0001</f>
        <v>2.9235039687104569E-2</v>
      </c>
      <c r="X19" s="572"/>
      <c r="Y19" s="573">
        <f>X17-0.00015</f>
        <v>2.9211747244201718E-2</v>
      </c>
      <c r="Z19" s="573">
        <f>Y19</f>
        <v>2.9211747244201718E-2</v>
      </c>
      <c r="AA19" s="573">
        <f t="shared" ref="AA19:AB19" si="16">Z19</f>
        <v>2.9211747244201718E-2</v>
      </c>
      <c r="AB19" s="573">
        <f t="shared" si="16"/>
        <v>2.9211747244201718E-2</v>
      </c>
      <c r="AC19" s="572"/>
      <c r="AD19" s="573">
        <f>AB19-0.0002</f>
        <v>2.9011747244201719E-2</v>
      </c>
      <c r="AE19" s="573">
        <f>AD19</f>
        <v>2.9011747244201719E-2</v>
      </c>
      <c r="AF19" s="573">
        <f t="shared" ref="AF19:AG19" si="17">AE19</f>
        <v>2.9011747244201719E-2</v>
      </c>
      <c r="AG19" s="573">
        <f t="shared" si="17"/>
        <v>2.9011747244201719E-2</v>
      </c>
      <c r="AH19" s="572"/>
      <c r="AI19" s="573">
        <f>AG19-0.0002</f>
        <v>2.881174724420172E-2</v>
      </c>
      <c r="AJ19" s="573">
        <f>AI19</f>
        <v>2.881174724420172E-2</v>
      </c>
      <c r="AK19" s="573">
        <f t="shared" ref="AK19:AL19" si="18">AJ19</f>
        <v>2.881174724420172E-2</v>
      </c>
      <c r="AL19" s="573">
        <f t="shared" si="18"/>
        <v>2.881174724420172E-2</v>
      </c>
      <c r="AM19" s="572"/>
      <c r="AN19" s="574"/>
    </row>
    <row r="20" spans="1:40" ht="12.75" hidden="1" customHeight="1" outlineLevel="1">
      <c r="A20" s="568"/>
      <c r="B20" s="556" t="s">
        <v>98</v>
      </c>
      <c r="C20" s="569"/>
      <c r="D20" s="569"/>
      <c r="E20" s="549"/>
      <c r="F20" s="549"/>
      <c r="G20" s="549"/>
      <c r="H20" s="549"/>
      <c r="I20" s="548"/>
      <c r="J20" s="570"/>
      <c r="K20" s="570"/>
      <c r="L20" s="570"/>
      <c r="M20" s="570"/>
      <c r="N20" s="560"/>
      <c r="O20" s="570"/>
      <c r="P20" s="570"/>
      <c r="Q20" s="571"/>
      <c r="R20" s="571"/>
      <c r="S20" s="572"/>
      <c r="T20" s="571"/>
      <c r="U20" s="571"/>
      <c r="V20" s="571"/>
      <c r="W20" s="573">
        <f t="shared" ref="W20" si="19">+W19-0.0005</f>
        <v>2.8735039687104568E-2</v>
      </c>
      <c r="X20" s="572"/>
      <c r="Y20" s="573">
        <f>+Y19-0.0005</f>
        <v>2.8711747244201717E-2</v>
      </c>
      <c r="Z20" s="573">
        <f t="shared" ref="Z20:AB20" si="20">+Z19-0.0005</f>
        <v>2.8711747244201717E-2</v>
      </c>
      <c r="AA20" s="573">
        <f t="shared" si="20"/>
        <v>2.8711747244201717E-2</v>
      </c>
      <c r="AB20" s="573">
        <f t="shared" si="20"/>
        <v>2.8711747244201717E-2</v>
      </c>
      <c r="AC20" s="572"/>
      <c r="AD20" s="573">
        <f>+AD19-0.0005</f>
        <v>2.8511747244201718E-2</v>
      </c>
      <c r="AE20" s="573">
        <f t="shared" ref="AE20:AG20" si="21">+AE19-0.0005</f>
        <v>2.8511747244201718E-2</v>
      </c>
      <c r="AF20" s="573">
        <f t="shared" si="21"/>
        <v>2.8511747244201718E-2</v>
      </c>
      <c r="AG20" s="573">
        <f t="shared" si="21"/>
        <v>2.8511747244201718E-2</v>
      </c>
      <c r="AH20" s="572"/>
      <c r="AI20" s="573">
        <f>+AI19-0.0005</f>
        <v>2.831174724420172E-2</v>
      </c>
      <c r="AJ20" s="573">
        <f t="shared" ref="AJ20:AL20" si="22">+AJ19-0.0005</f>
        <v>2.831174724420172E-2</v>
      </c>
      <c r="AK20" s="573">
        <f t="shared" si="22"/>
        <v>2.831174724420172E-2</v>
      </c>
      <c r="AL20" s="573">
        <f t="shared" si="22"/>
        <v>2.831174724420172E-2</v>
      </c>
      <c r="AM20" s="572"/>
      <c r="AN20" s="574"/>
    </row>
    <row r="21" spans="1:40" collapsed="1">
      <c r="A21" s="81"/>
      <c r="B21" s="575"/>
      <c r="C21" s="561"/>
      <c r="D21" s="561"/>
      <c r="E21" s="562"/>
      <c r="F21" s="562"/>
      <c r="G21" s="562"/>
      <c r="H21" s="562"/>
      <c r="I21" s="561"/>
      <c r="J21" s="563"/>
      <c r="K21" s="563"/>
      <c r="L21" s="563"/>
      <c r="M21" s="563"/>
      <c r="N21" s="561"/>
      <c r="O21" s="563"/>
      <c r="P21" s="563"/>
      <c r="Q21" s="562"/>
      <c r="R21" s="562"/>
      <c r="S21" s="561"/>
      <c r="T21" s="563"/>
      <c r="U21" s="563"/>
      <c r="V21" s="563"/>
      <c r="W21" s="562"/>
      <c r="X21" s="561"/>
      <c r="Y21" s="562"/>
      <c r="Z21" s="562"/>
      <c r="AA21" s="562"/>
      <c r="AB21" s="562"/>
      <c r="AC21" s="561"/>
      <c r="AD21" s="562"/>
      <c r="AE21" s="562"/>
      <c r="AF21" s="562"/>
      <c r="AG21" s="562"/>
      <c r="AH21" s="561"/>
      <c r="AI21" s="562"/>
      <c r="AJ21" s="562"/>
      <c r="AK21" s="562"/>
      <c r="AL21" s="562"/>
      <c r="AM21" s="561"/>
      <c r="AN21" s="539"/>
    </row>
    <row r="22" spans="1:40" ht="17.25" customHeight="1">
      <c r="A22" s="22"/>
      <c r="B22" s="576" t="s">
        <v>30</v>
      </c>
      <c r="C22" s="577"/>
      <c r="D22" s="577"/>
      <c r="E22" s="578"/>
      <c r="F22" s="578"/>
      <c r="G22" s="578"/>
      <c r="H22" s="578"/>
      <c r="I22" s="577"/>
      <c r="J22" s="579"/>
      <c r="K22" s="579"/>
      <c r="L22" s="579"/>
      <c r="M22" s="579"/>
      <c r="N22" s="577"/>
      <c r="O22" s="579"/>
      <c r="P22" s="578"/>
      <c r="Q22" s="578"/>
      <c r="R22" s="578"/>
      <c r="S22" s="577"/>
      <c r="T22" s="579"/>
      <c r="U22" s="579"/>
      <c r="V22" s="579"/>
      <c r="W22" s="578"/>
      <c r="X22" s="577"/>
      <c r="Y22" s="578"/>
      <c r="Z22" s="578"/>
      <c r="AA22" s="578"/>
      <c r="AB22" s="578"/>
      <c r="AC22" s="577"/>
      <c r="AD22" s="578"/>
      <c r="AE22" s="578"/>
      <c r="AF22" s="578"/>
      <c r="AG22" s="578"/>
      <c r="AH22" s="577"/>
      <c r="AI22" s="578"/>
      <c r="AJ22" s="578"/>
      <c r="AK22" s="578"/>
      <c r="AL22" s="578"/>
      <c r="AM22" s="577"/>
      <c r="AN22" s="539"/>
    </row>
    <row r="23" spans="1:40" ht="12.75" customHeight="1">
      <c r="A23" s="289"/>
      <c r="B23" s="580" t="s">
        <v>30</v>
      </c>
      <c r="C23" s="150">
        <v>9.4710000000000001</v>
      </c>
      <c r="D23" s="150">
        <v>114.456</v>
      </c>
      <c r="E23" s="97">
        <v>26.466000000000001</v>
      </c>
      <c r="F23" s="97">
        <v>30.146999999999998</v>
      </c>
      <c r="G23" s="97">
        <v>29.895</v>
      </c>
      <c r="H23" s="97">
        <v>36.515999999999998</v>
      </c>
      <c r="I23" s="151">
        <f>SUM(E23:H23)</f>
        <v>123.024</v>
      </c>
      <c r="J23" s="97">
        <v>29.236999999999998</v>
      </c>
      <c r="K23" s="97">
        <v>33.630000000000003</v>
      </c>
      <c r="L23" s="97">
        <v>32.332000000000001</v>
      </c>
      <c r="M23" s="97">
        <v>47.084000000000003</v>
      </c>
      <c r="N23" s="151">
        <f>SUM(J23:M23)</f>
        <v>142.28300000000002</v>
      </c>
      <c r="O23" s="97">
        <v>38.838000000000001</v>
      </c>
      <c r="P23" s="97">
        <v>32.866999999999997</v>
      </c>
      <c r="Q23" s="97">
        <v>7.1639999999999997</v>
      </c>
      <c r="R23" s="97">
        <v>3.4000000000000002E-2</v>
      </c>
      <c r="S23" s="151">
        <f>SUM(O23:R23)</f>
        <v>78.903000000000006</v>
      </c>
      <c r="T23" s="97"/>
      <c r="U23" s="97"/>
      <c r="V23" s="97"/>
      <c r="W23" s="298"/>
      <c r="X23" s="151"/>
      <c r="Y23" s="298"/>
      <c r="Z23" s="298"/>
      <c r="AA23" s="298"/>
      <c r="AB23" s="298"/>
      <c r="AC23" s="151"/>
      <c r="AD23" s="298"/>
      <c r="AE23" s="298"/>
      <c r="AF23" s="298"/>
      <c r="AG23" s="298"/>
      <c r="AH23" s="151"/>
      <c r="AI23" s="298"/>
      <c r="AJ23" s="298"/>
      <c r="AK23" s="298"/>
      <c r="AL23" s="298"/>
      <c r="AM23" s="151"/>
      <c r="AN23" s="539"/>
    </row>
    <row r="24" spans="1:40" ht="12.75" customHeight="1">
      <c r="A24" s="221"/>
      <c r="B24" s="581" t="s">
        <v>26</v>
      </c>
      <c r="C24" s="543"/>
      <c r="D24" s="543">
        <f>D23/C23-1</f>
        <v>11.084890719037061</v>
      </c>
      <c r="E24" s="348"/>
      <c r="F24" s="348"/>
      <c r="G24" s="348"/>
      <c r="H24" s="348"/>
      <c r="I24" s="543">
        <f t="shared" ref="I24:S24" si="23">+I23/D23-1</f>
        <v>7.4858460893268974E-2</v>
      </c>
      <c r="J24" s="348">
        <f t="shared" si="23"/>
        <v>0.10470037028640511</v>
      </c>
      <c r="K24" s="348">
        <f t="shared" si="23"/>
        <v>0.11553388396855424</v>
      </c>
      <c r="L24" s="348">
        <f t="shared" si="23"/>
        <v>8.1518648603445376E-2</v>
      </c>
      <c r="M24" s="348">
        <f t="shared" si="23"/>
        <v>0.28940738306495795</v>
      </c>
      <c r="N24" s="543">
        <f t="shared" si="23"/>
        <v>0.15654669007673316</v>
      </c>
      <c r="O24" s="348">
        <f t="shared" si="23"/>
        <v>0.32838526524609235</v>
      </c>
      <c r="P24" s="348">
        <f t="shared" si="23"/>
        <v>-2.2688076122509782E-2</v>
      </c>
      <c r="Q24" s="348">
        <f t="shared" si="23"/>
        <v>-0.77842385253000124</v>
      </c>
      <c r="R24" s="348">
        <f t="shared" si="23"/>
        <v>-0.99927788633081305</v>
      </c>
      <c r="S24" s="543">
        <f t="shared" si="23"/>
        <v>-0.44545026461348158</v>
      </c>
      <c r="T24" s="348"/>
      <c r="U24" s="348"/>
      <c r="V24" s="348"/>
      <c r="W24" s="348"/>
      <c r="X24" s="543"/>
      <c r="Y24" s="348"/>
      <c r="Z24" s="348"/>
      <c r="AA24" s="348"/>
      <c r="AB24" s="348"/>
      <c r="AC24" s="543"/>
      <c r="AD24" s="348"/>
      <c r="AE24" s="348"/>
      <c r="AF24" s="348"/>
      <c r="AG24" s="348"/>
      <c r="AH24" s="543"/>
      <c r="AI24" s="348"/>
      <c r="AJ24" s="348"/>
      <c r="AK24" s="348"/>
      <c r="AL24" s="348"/>
      <c r="AM24" s="543"/>
      <c r="AN24" s="539"/>
    </row>
    <row r="25" spans="1:40" ht="12.75" hidden="1" customHeight="1" outlineLevel="1">
      <c r="A25" s="568"/>
      <c r="B25" s="556" t="s">
        <v>96</v>
      </c>
      <c r="C25" s="569"/>
      <c r="D25" s="569"/>
      <c r="E25" s="549"/>
      <c r="F25" s="549"/>
      <c r="G25" s="549"/>
      <c r="H25" s="549"/>
      <c r="I25" s="548"/>
      <c r="J25" s="549"/>
      <c r="K25" s="549"/>
      <c r="L25" s="549"/>
      <c r="M25" s="549"/>
      <c r="N25" s="548"/>
      <c r="O25" s="549"/>
      <c r="P25" s="177"/>
      <c r="Q25" s="177"/>
      <c r="R25" s="177"/>
      <c r="S25" s="543"/>
      <c r="T25" s="549"/>
      <c r="U25" s="549"/>
      <c r="V25" s="549"/>
      <c r="W25" s="348"/>
      <c r="X25" s="543"/>
      <c r="Y25" s="348"/>
      <c r="Z25" s="348"/>
      <c r="AA25" s="348"/>
      <c r="AB25" s="348"/>
      <c r="AC25" s="543"/>
      <c r="AD25" s="348"/>
      <c r="AE25" s="348"/>
      <c r="AF25" s="348"/>
      <c r="AG25" s="348"/>
      <c r="AH25" s="543"/>
      <c r="AI25" s="348"/>
      <c r="AJ25" s="348"/>
      <c r="AK25" s="348"/>
      <c r="AL25" s="348"/>
      <c r="AM25" s="543"/>
      <c r="AN25" s="582"/>
    </row>
    <row r="26" spans="1:40" ht="12.75" hidden="1" customHeight="1" outlineLevel="1">
      <c r="A26" s="568"/>
      <c r="B26" s="556" t="s">
        <v>97</v>
      </c>
      <c r="C26" s="569"/>
      <c r="D26" s="569"/>
      <c r="E26" s="549"/>
      <c r="F26" s="549"/>
      <c r="G26" s="549"/>
      <c r="H26" s="549"/>
      <c r="I26" s="548"/>
      <c r="J26" s="549"/>
      <c r="K26" s="549"/>
      <c r="L26" s="549"/>
      <c r="M26" s="549"/>
      <c r="N26" s="548"/>
      <c r="O26" s="549"/>
      <c r="P26" s="177"/>
      <c r="Q26" s="177"/>
      <c r="R26" s="177"/>
      <c r="S26" s="543"/>
      <c r="T26" s="549"/>
      <c r="U26" s="549"/>
      <c r="V26" s="549"/>
      <c r="W26" s="348"/>
      <c r="X26" s="543"/>
      <c r="Y26" s="348"/>
      <c r="Z26" s="348"/>
      <c r="AA26" s="348"/>
      <c r="AB26" s="348"/>
      <c r="AC26" s="543"/>
      <c r="AD26" s="348"/>
      <c r="AE26" s="348"/>
      <c r="AF26" s="348"/>
      <c r="AG26" s="348"/>
      <c r="AH26" s="543"/>
      <c r="AI26" s="348"/>
      <c r="AJ26" s="348"/>
      <c r="AK26" s="348"/>
      <c r="AL26" s="348"/>
      <c r="AM26" s="543"/>
      <c r="AN26" s="582"/>
    </row>
    <row r="27" spans="1:40" ht="12.75" hidden="1" customHeight="1" outlineLevel="1">
      <c r="A27" s="568"/>
      <c r="B27" s="556" t="s">
        <v>98</v>
      </c>
      <c r="C27" s="569"/>
      <c r="D27" s="569"/>
      <c r="E27" s="549"/>
      <c r="F27" s="549"/>
      <c r="G27" s="549"/>
      <c r="H27" s="549"/>
      <c r="I27" s="548"/>
      <c r="J27" s="549"/>
      <c r="K27" s="549"/>
      <c r="L27" s="549"/>
      <c r="M27" s="549"/>
      <c r="N27" s="560"/>
      <c r="O27" s="549"/>
      <c r="P27" s="177"/>
      <c r="Q27" s="177"/>
      <c r="R27" s="177"/>
      <c r="S27" s="543"/>
      <c r="T27" s="549"/>
      <c r="U27" s="549"/>
      <c r="V27" s="549"/>
      <c r="W27" s="348"/>
      <c r="X27" s="543"/>
      <c r="Y27" s="348"/>
      <c r="Z27" s="348"/>
      <c r="AA27" s="348"/>
      <c r="AB27" s="348"/>
      <c r="AC27" s="543"/>
      <c r="AD27" s="348"/>
      <c r="AE27" s="348"/>
      <c r="AF27" s="348"/>
      <c r="AG27" s="348"/>
      <c r="AH27" s="543"/>
      <c r="AI27" s="348"/>
      <c r="AJ27" s="348"/>
      <c r="AK27" s="348"/>
      <c r="AL27" s="348"/>
      <c r="AM27" s="543"/>
      <c r="AN27" s="582"/>
    </row>
    <row r="28" spans="1:40" ht="12.75" customHeight="1" collapsed="1">
      <c r="A28" s="221"/>
      <c r="B28" s="580"/>
      <c r="C28" s="557"/>
      <c r="D28" s="557"/>
      <c r="E28" s="547"/>
      <c r="F28" s="547"/>
      <c r="G28" s="547"/>
      <c r="H28" s="547"/>
      <c r="I28" s="546"/>
      <c r="J28" s="547"/>
      <c r="K28" s="547"/>
      <c r="L28" s="547"/>
      <c r="M28" s="547"/>
      <c r="N28" s="546"/>
      <c r="O28" s="547"/>
      <c r="P28" s="547"/>
      <c r="Q28" s="547"/>
      <c r="R28" s="547"/>
      <c r="S28" s="546"/>
      <c r="T28" s="547"/>
      <c r="U28" s="547"/>
      <c r="V28" s="547"/>
      <c r="W28" s="547"/>
      <c r="X28" s="546">
        <f>+X29/S29-1</f>
        <v>0.63788443746670787</v>
      </c>
      <c r="Y28" s="547"/>
      <c r="Z28" s="547"/>
      <c r="AA28" s="547"/>
      <c r="AB28" s="547"/>
      <c r="AC28" s="546">
        <f>+AC29/X29-1</f>
        <v>0.47493208859036962</v>
      </c>
      <c r="AD28" s="547"/>
      <c r="AE28" s="547"/>
      <c r="AF28" s="547"/>
      <c r="AG28" s="547"/>
      <c r="AH28" s="546">
        <f>+AH29/AC29-1</f>
        <v>0.36000000000000032</v>
      </c>
      <c r="AI28" s="547"/>
      <c r="AJ28" s="547"/>
      <c r="AK28" s="547"/>
      <c r="AL28" s="547"/>
      <c r="AM28" s="546">
        <f>+AM29/AH29-1</f>
        <v>0.33714285714285652</v>
      </c>
      <c r="AN28" s="539"/>
    </row>
    <row r="29" spans="1:40" ht="17.25" customHeight="1">
      <c r="A29" s="81"/>
      <c r="B29" s="576" t="s">
        <v>272</v>
      </c>
      <c r="C29" s="561"/>
      <c r="D29" s="561"/>
      <c r="E29" s="583"/>
      <c r="F29" s="583"/>
      <c r="G29" s="583"/>
      <c r="H29" s="583"/>
      <c r="I29" s="561"/>
      <c r="J29" s="583"/>
      <c r="K29" s="583"/>
      <c r="L29" s="583"/>
      <c r="M29" s="583"/>
      <c r="N29" s="561"/>
      <c r="O29" s="583">
        <f>+O30-M30</f>
        <v>1.4109999999999978</v>
      </c>
      <c r="P29" s="583">
        <f>+P30-O30</f>
        <v>5.9209999999999994</v>
      </c>
      <c r="Q29" s="583">
        <f t="shared" ref="Q29" si="24">+Q30-P30</f>
        <v>5.6030000000000015</v>
      </c>
      <c r="R29" s="583">
        <f t="shared" ref="R29" si="25">+R30-Q30</f>
        <v>5.1980000000000004</v>
      </c>
      <c r="S29" s="955">
        <f>+S30-N30</f>
        <v>71.337999999999994</v>
      </c>
      <c r="T29" s="583">
        <f>+T30-R30</f>
        <v>8.5420000000000016</v>
      </c>
      <c r="U29" s="583">
        <f>+U30-T30</f>
        <v>10.091000000000001</v>
      </c>
      <c r="V29" s="583">
        <f t="shared" ref="V29" si="26">+V30-U30</f>
        <v>5.8999999999999986</v>
      </c>
      <c r="W29" s="583">
        <f t="shared" ref="W29" si="27">+W30-V30</f>
        <v>7.8813999999999993</v>
      </c>
      <c r="X29" s="955">
        <f>+X30-S30</f>
        <v>116.8434</v>
      </c>
      <c r="Y29" s="583">
        <f>+Y30-W30</f>
        <v>10.4696</v>
      </c>
      <c r="Z29" s="583">
        <f>+Z30-Y30</f>
        <v>17.154700000000005</v>
      </c>
      <c r="AA29" s="583">
        <f t="shared" ref="AA29" si="28">+AA30-Z30</f>
        <v>10.029999999999987</v>
      </c>
      <c r="AB29" s="583">
        <f t="shared" ref="AB29" si="29">+AB30-AA30</f>
        <v>13.398380000000003</v>
      </c>
      <c r="AC29" s="955">
        <f>+AC30-X30</f>
        <v>172.33608000000001</v>
      </c>
      <c r="AD29" s="583">
        <f>+AD30-AB30</f>
        <v>6.1220400000000126</v>
      </c>
      <c r="AE29" s="583">
        <f>+AE30-AD30</f>
        <v>26.76133200000001</v>
      </c>
      <c r="AF29" s="583">
        <f t="shared" ref="AF29" si="30">+AF30-AE30</f>
        <v>15.646799999999985</v>
      </c>
      <c r="AG29" s="583">
        <f t="shared" ref="AG29" si="31">+AG30-AF30</f>
        <v>20.901472799999993</v>
      </c>
      <c r="AH29" s="955">
        <f>+AH30-AC30</f>
        <v>234.37706880000007</v>
      </c>
      <c r="AI29" s="583">
        <f>+AI30-AG30</f>
        <v>-0.85818719999997484</v>
      </c>
      <c r="AJ29" s="583">
        <f>+AJ30-AI30</f>
        <v>39.60677136000001</v>
      </c>
      <c r="AK29" s="583">
        <f t="shared" ref="AK29" si="32">+AK30-AJ30</f>
        <v>23.157263999999969</v>
      </c>
      <c r="AL29" s="583">
        <f t="shared" ref="AL29" si="33">+AL30-AK30</f>
        <v>30.934179744000005</v>
      </c>
      <c r="AM29" s="955">
        <f>+AM30-AH30</f>
        <v>313.39562342399995</v>
      </c>
      <c r="AN29" s="539"/>
    </row>
    <row r="30" spans="1:40" ht="13.5" customHeight="1">
      <c r="A30" s="289"/>
      <c r="B30" s="580" t="s">
        <v>272</v>
      </c>
      <c r="C30" s="150">
        <v>0</v>
      </c>
      <c r="D30" s="150">
        <v>0</v>
      </c>
      <c r="E30" s="97">
        <v>0.52300000000000002</v>
      </c>
      <c r="F30" s="97">
        <v>1.766</v>
      </c>
      <c r="G30" s="97">
        <v>3.7330000000000001</v>
      </c>
      <c r="H30" s="97">
        <v>6.024</v>
      </c>
      <c r="I30" s="151">
        <f>SUM(E30:H30)</f>
        <v>12.045999999999999</v>
      </c>
      <c r="J30" s="97">
        <v>8.0060000000000002</v>
      </c>
      <c r="K30" s="97">
        <v>12.928000000000001</v>
      </c>
      <c r="L30" s="97">
        <v>14.694000000000001</v>
      </c>
      <c r="M30" s="97">
        <v>22.385000000000002</v>
      </c>
      <c r="N30" s="151">
        <f>SUM(J30:M30)</f>
        <v>58.013000000000005</v>
      </c>
      <c r="O30" s="97">
        <v>23.795999999999999</v>
      </c>
      <c r="P30" s="97">
        <v>29.716999999999999</v>
      </c>
      <c r="Q30" s="97">
        <v>35.32</v>
      </c>
      <c r="R30" s="97">
        <v>40.518000000000001</v>
      </c>
      <c r="S30" s="151">
        <f>SUM(O30:R30)</f>
        <v>129.351</v>
      </c>
      <c r="T30" s="97">
        <v>49.06</v>
      </c>
      <c r="U30" s="97">
        <v>59.151000000000003</v>
      </c>
      <c r="V30" s="97">
        <v>65.051000000000002</v>
      </c>
      <c r="W30" s="135">
        <f>R30*(1+W32)</f>
        <v>72.932400000000001</v>
      </c>
      <c r="X30" s="151">
        <f>SUM(T30:W30)</f>
        <v>246.1944</v>
      </c>
      <c r="Y30" s="584">
        <f>T30*(1+Y32)</f>
        <v>83.402000000000001</v>
      </c>
      <c r="Z30" s="135">
        <f>U30*(1+Z32)</f>
        <v>100.55670000000001</v>
      </c>
      <c r="AA30" s="135">
        <f>V30*(1+AA32)</f>
        <v>110.58669999999999</v>
      </c>
      <c r="AB30" s="135">
        <f>W30*(1+AB32)</f>
        <v>123.98508</v>
      </c>
      <c r="AC30" s="151">
        <f>SUM(Y30:AB30)</f>
        <v>418.53048000000001</v>
      </c>
      <c r="AD30" s="584">
        <f>Y30*(1+AD32)</f>
        <v>130.10712000000001</v>
      </c>
      <c r="AE30" s="135">
        <f>Z30*(1+AE32)</f>
        <v>156.86845200000002</v>
      </c>
      <c r="AF30" s="135">
        <f>AA30*(1+AF32)</f>
        <v>172.515252</v>
      </c>
      <c r="AG30" s="135">
        <f>AB30*(1+AG32)</f>
        <v>193.4167248</v>
      </c>
      <c r="AH30" s="151">
        <f>SUM(AD30:AG30)</f>
        <v>652.90754880000009</v>
      </c>
      <c r="AI30" s="584">
        <f>AD30*(1+AI32)</f>
        <v>192.55853760000002</v>
      </c>
      <c r="AJ30" s="135">
        <f>AE30*(1+AJ32)</f>
        <v>232.16530896000003</v>
      </c>
      <c r="AK30" s="135">
        <f>AF30*(1+AK32)</f>
        <v>255.32257296</v>
      </c>
      <c r="AL30" s="135">
        <f>AG30*(1+AL32)</f>
        <v>286.25675270400001</v>
      </c>
      <c r="AM30" s="151">
        <f>SUM(AI30:AL30)</f>
        <v>966.30317222400004</v>
      </c>
      <c r="AN30" s="555">
        <f>+(AH30/S30)^(0.333333333333333)-1</f>
        <v>0.71538114888275794</v>
      </c>
    </row>
    <row r="31" spans="1:40" ht="13.5" customHeight="1">
      <c r="A31" s="289"/>
      <c r="B31" s="581" t="s">
        <v>270</v>
      </c>
      <c r="C31" s="150"/>
      <c r="D31" s="150"/>
      <c r="E31" s="97"/>
      <c r="F31" s="97"/>
      <c r="G31" s="97"/>
      <c r="H31" s="97"/>
      <c r="I31" s="151"/>
      <c r="J31" s="348">
        <f>+J30/H30-1</f>
        <v>0.32901726427622835</v>
      </c>
      <c r="K31" s="348">
        <f>+K30/J30-1</f>
        <v>0.61478890831876098</v>
      </c>
      <c r="L31" s="348">
        <f>+L30/K30-1</f>
        <v>0.13660272277227725</v>
      </c>
      <c r="M31" s="348">
        <f>+M30/L30-1</f>
        <v>0.52341091602014433</v>
      </c>
      <c r="N31" s="151"/>
      <c r="O31" s="348">
        <f>+O30/M30-1</f>
        <v>6.3033281215099324E-2</v>
      </c>
      <c r="P31" s="348">
        <f t="shared" ref="P31" si="34">+P30/O30-1</f>
        <v>0.24882333165237847</v>
      </c>
      <c r="Q31" s="348">
        <f>+Q30/P30-1</f>
        <v>0.18854527711410984</v>
      </c>
      <c r="R31" s="348">
        <f t="shared" ref="R31" si="35">+R30/Q30-1</f>
        <v>0.14716874292185733</v>
      </c>
      <c r="S31" s="151"/>
      <c r="T31" s="348">
        <f>+T30/R30-1</f>
        <v>0.21081988252134853</v>
      </c>
      <c r="U31" s="348">
        <f>+U30/T30-1</f>
        <v>0.20568691398287808</v>
      </c>
      <c r="V31" s="348">
        <f>+V30/U30-1</f>
        <v>9.9744721137427828E-2</v>
      </c>
      <c r="W31" s="348">
        <f t="shared" ref="W31" si="36">+W30/V30-1</f>
        <v>0.12115724585325349</v>
      </c>
      <c r="X31" s="151"/>
      <c r="Y31" s="348">
        <f>+Y30/W30-1</f>
        <v>0.14355211127016254</v>
      </c>
      <c r="Z31" s="348">
        <f t="shared" ref="Z31" si="37">+Z30/Y30-1</f>
        <v>0.20568691398287808</v>
      </c>
      <c r="AA31" s="348">
        <f>+AA30/Z30-1</f>
        <v>9.9744721137427828E-2</v>
      </c>
      <c r="AB31" s="348">
        <f t="shared" ref="AB31" si="38">+AB30/AA30-1</f>
        <v>0.12115724585325371</v>
      </c>
      <c r="AC31" s="151"/>
      <c r="AD31" s="348">
        <f>+AD30/AB30-1</f>
        <v>4.9377231518502152E-2</v>
      </c>
      <c r="AE31" s="348">
        <f t="shared" ref="AE31" si="39">+AE30/AD30-1</f>
        <v>0.20568691398287808</v>
      </c>
      <c r="AF31" s="348">
        <f>+AF30/AE30-1</f>
        <v>9.9744721137427828E-2</v>
      </c>
      <c r="AG31" s="348">
        <f t="shared" ref="AG31" si="40">+AG30/AF30-1</f>
        <v>0.12115724585325349</v>
      </c>
      <c r="AH31" s="151"/>
      <c r="AI31" s="348">
        <f>+AI30/AG30-1</f>
        <v>-4.4369854824466426E-3</v>
      </c>
      <c r="AJ31" s="348">
        <f t="shared" ref="AJ31" si="41">+AJ30/AI30-1</f>
        <v>0.20568691398287808</v>
      </c>
      <c r="AK31" s="348">
        <f>+AK30/AJ30-1</f>
        <v>9.9744721137427828E-2</v>
      </c>
      <c r="AL31" s="348">
        <f t="shared" ref="AL31" si="42">+AL30/AK30-1</f>
        <v>0.12115724585325371</v>
      </c>
      <c r="AM31" s="151"/>
      <c r="AN31" s="539"/>
    </row>
    <row r="32" spans="1:40" ht="12.75" customHeight="1">
      <c r="A32" s="221"/>
      <c r="B32" s="581" t="s">
        <v>26</v>
      </c>
      <c r="C32" s="543"/>
      <c r="D32" s="543" t="str">
        <f>IF(ISERROR(D30/C30-1),"NM",D30/C30-1)</f>
        <v>NM</v>
      </c>
      <c r="E32" s="348"/>
      <c r="F32" s="348"/>
      <c r="G32" s="348"/>
      <c r="H32" s="348"/>
      <c r="I32" s="543" t="str">
        <f>IF(ISERROR(+I30/D30-1),"NM",+I30/D30-1)</f>
        <v>NM</v>
      </c>
      <c r="J32" s="348">
        <f t="shared" ref="J32:V32" si="43">+J30/E30-1</f>
        <v>14.307839388145315</v>
      </c>
      <c r="K32" s="348">
        <f t="shared" si="43"/>
        <v>6.3204983012457534</v>
      </c>
      <c r="L32" s="348">
        <f t="shared" si="43"/>
        <v>2.936244307527458</v>
      </c>
      <c r="M32" s="348">
        <f t="shared" si="43"/>
        <v>2.7159694555112885</v>
      </c>
      <c r="N32" s="543">
        <f t="shared" si="43"/>
        <v>3.8159555039017112</v>
      </c>
      <c r="O32" s="348">
        <f t="shared" si="43"/>
        <v>1.9722707969023232</v>
      </c>
      <c r="P32" s="348">
        <f t="shared" si="43"/>
        <v>1.2986540841584158</v>
      </c>
      <c r="Q32" s="348">
        <f t="shared" si="43"/>
        <v>1.4037021913706274</v>
      </c>
      <c r="R32" s="348">
        <f t="shared" si="43"/>
        <v>0.81005137368773728</v>
      </c>
      <c r="S32" s="543">
        <f>+S30/N30-1</f>
        <v>1.2296898970920309</v>
      </c>
      <c r="T32" s="348">
        <f t="shared" si="43"/>
        <v>1.0616910405110103</v>
      </c>
      <c r="U32" s="348">
        <f t="shared" si="43"/>
        <v>0.99047683144328191</v>
      </c>
      <c r="V32" s="348">
        <f t="shared" si="43"/>
        <v>0.8417610419026047</v>
      </c>
      <c r="W32" s="162">
        <f>CHOOSE(_Switch,W33,W34,W35)</f>
        <v>0.8</v>
      </c>
      <c r="X32" s="543">
        <f>+X30/S30-1</f>
        <v>0.90330496092028678</v>
      </c>
      <c r="Y32" s="162">
        <f>CHOOSE(_Switch,Y33,Y34,Y35)</f>
        <v>0.7</v>
      </c>
      <c r="Z32" s="162">
        <f>CHOOSE(_Switch,Z33,Z34,Z35)</f>
        <v>0.7</v>
      </c>
      <c r="AA32" s="162">
        <f>CHOOSE(_Switch,AA33,AA34,AA35)</f>
        <v>0.7</v>
      </c>
      <c r="AB32" s="162">
        <f>CHOOSE(_Switch,AB33,AB34,AB35)</f>
        <v>0.7</v>
      </c>
      <c r="AC32" s="543">
        <f>+AC30/X30-1</f>
        <v>0.7</v>
      </c>
      <c r="AD32" s="162">
        <f>CHOOSE(_Switch,AD33,AD34,AD35)</f>
        <v>0.56000000000000005</v>
      </c>
      <c r="AE32" s="162">
        <f>CHOOSE(_Switch,AE33,AE34,AE35)</f>
        <v>0.56000000000000005</v>
      </c>
      <c r="AF32" s="162">
        <f>CHOOSE(_Switch,AF33,AF34,AF35)</f>
        <v>0.56000000000000005</v>
      </c>
      <c r="AG32" s="162">
        <f>CHOOSE(_Switch,AG33,AG34,AG35)</f>
        <v>0.56000000000000005</v>
      </c>
      <c r="AH32" s="543">
        <f>+AH30/AC30-1</f>
        <v>0.56000000000000005</v>
      </c>
      <c r="AI32" s="162">
        <f>CHOOSE(_Switch,AI33,AI34,AI35)</f>
        <v>0.48</v>
      </c>
      <c r="AJ32" s="162">
        <f>CHOOSE(_Switch,AJ33,AJ34,AJ35)</f>
        <v>0.48</v>
      </c>
      <c r="AK32" s="162">
        <f>CHOOSE(_Switch,AK33,AK34,AK35)</f>
        <v>0.48</v>
      </c>
      <c r="AL32" s="162">
        <f>CHOOSE(_Switch,AL33,AL34,AL35)</f>
        <v>0.48</v>
      </c>
      <c r="AM32" s="543">
        <f>+AM30/AH30-1</f>
        <v>0.47999999999999976</v>
      </c>
      <c r="AN32" s="539"/>
    </row>
    <row r="33" spans="1:40" ht="12.75" hidden="1" customHeight="1" outlineLevel="1">
      <c r="A33" s="221"/>
      <c r="B33" s="556" t="s">
        <v>96</v>
      </c>
      <c r="C33" s="557"/>
      <c r="D33" s="557"/>
      <c r="E33" s="547"/>
      <c r="F33" s="547"/>
      <c r="G33" s="547"/>
      <c r="H33" s="547"/>
      <c r="I33" s="546"/>
      <c r="J33" s="547"/>
      <c r="K33" s="547"/>
      <c r="L33" s="547"/>
      <c r="M33" s="547"/>
      <c r="N33" s="548"/>
      <c r="O33" s="547"/>
      <c r="P33" s="547"/>
      <c r="Q33" s="547"/>
      <c r="R33" s="547"/>
      <c r="S33" s="548"/>
      <c r="T33" s="547"/>
      <c r="U33" s="547"/>
      <c r="V33" s="547"/>
      <c r="W33" s="559">
        <f>+W34+0.1</f>
        <v>0.9</v>
      </c>
      <c r="X33" s="548"/>
      <c r="Y33" s="559">
        <f>+Y34+0.15</f>
        <v>0.85</v>
      </c>
      <c r="Z33" s="559">
        <f t="shared" ref="Z33:AB33" si="44">+Z34+0.15</f>
        <v>0.85</v>
      </c>
      <c r="AA33" s="559">
        <f t="shared" si="44"/>
        <v>0.85</v>
      </c>
      <c r="AB33" s="559">
        <f t="shared" si="44"/>
        <v>0.85</v>
      </c>
      <c r="AC33" s="548"/>
      <c r="AD33" s="559">
        <f>+AD34+0.12</f>
        <v>0.68</v>
      </c>
      <c r="AE33" s="559">
        <f t="shared" ref="AE33:AG33" si="45">+AE34+0.12</f>
        <v>0.68</v>
      </c>
      <c r="AF33" s="559">
        <f t="shared" si="45"/>
        <v>0.68</v>
      </c>
      <c r="AG33" s="559">
        <f t="shared" si="45"/>
        <v>0.68</v>
      </c>
      <c r="AH33" s="548"/>
      <c r="AI33" s="559">
        <f>+AI34+0.1</f>
        <v>0.57999999999999996</v>
      </c>
      <c r="AJ33" s="559">
        <f t="shared" ref="AJ33:AL33" si="46">+AJ34+0.1</f>
        <v>0.57999999999999996</v>
      </c>
      <c r="AK33" s="559">
        <f t="shared" si="46"/>
        <v>0.57999999999999996</v>
      </c>
      <c r="AL33" s="559">
        <f t="shared" si="46"/>
        <v>0.57999999999999996</v>
      </c>
      <c r="AM33" s="548"/>
      <c r="AN33" s="539"/>
    </row>
    <row r="34" spans="1:40" ht="12.75" hidden="1" customHeight="1" outlineLevel="1">
      <c r="A34" s="221"/>
      <c r="B34" s="556" t="s">
        <v>97</v>
      </c>
      <c r="C34" s="557"/>
      <c r="D34" s="557"/>
      <c r="E34" s="547"/>
      <c r="F34" s="547"/>
      <c r="G34" s="547"/>
      <c r="H34" s="547"/>
      <c r="I34" s="546"/>
      <c r="J34" s="547"/>
      <c r="K34" s="547"/>
      <c r="L34" s="547"/>
      <c r="M34" s="547"/>
      <c r="N34" s="548"/>
      <c r="O34" s="547"/>
      <c r="P34" s="547"/>
      <c r="Q34" s="547"/>
      <c r="R34" s="547"/>
      <c r="S34" s="548"/>
      <c r="T34" s="547"/>
      <c r="U34" s="547"/>
      <c r="V34" s="547"/>
      <c r="W34" s="559">
        <v>0.8</v>
      </c>
      <c r="X34" s="548"/>
      <c r="Y34" s="559">
        <v>0.7</v>
      </c>
      <c r="Z34" s="559">
        <f>+Y34</f>
        <v>0.7</v>
      </c>
      <c r="AA34" s="559">
        <f t="shared" ref="AA34:AB34" si="47">+Z34</f>
        <v>0.7</v>
      </c>
      <c r="AB34" s="559">
        <f t="shared" si="47"/>
        <v>0.7</v>
      </c>
      <c r="AC34" s="548"/>
      <c r="AD34" s="559">
        <v>0.56000000000000005</v>
      </c>
      <c r="AE34" s="559">
        <f>+AD34</f>
        <v>0.56000000000000005</v>
      </c>
      <c r="AF34" s="559">
        <f t="shared" ref="AF34:AG34" si="48">+AE34</f>
        <v>0.56000000000000005</v>
      </c>
      <c r="AG34" s="559">
        <f t="shared" si="48"/>
        <v>0.56000000000000005</v>
      </c>
      <c r="AH34" s="548"/>
      <c r="AI34" s="559">
        <v>0.48</v>
      </c>
      <c r="AJ34" s="559">
        <f>+AI34</f>
        <v>0.48</v>
      </c>
      <c r="AK34" s="559">
        <f t="shared" ref="AK34:AL34" si="49">+AJ34</f>
        <v>0.48</v>
      </c>
      <c r="AL34" s="559">
        <f t="shared" si="49"/>
        <v>0.48</v>
      </c>
      <c r="AM34" s="548"/>
      <c r="AN34" s="539"/>
    </row>
    <row r="35" spans="1:40" ht="12.75" hidden="1" customHeight="1" outlineLevel="1">
      <c r="A35" s="221"/>
      <c r="B35" s="556" t="s">
        <v>98</v>
      </c>
      <c r="C35" s="557"/>
      <c r="D35" s="557"/>
      <c r="E35" s="547"/>
      <c r="F35" s="547"/>
      <c r="G35" s="547"/>
      <c r="H35" s="547"/>
      <c r="I35" s="546"/>
      <c r="J35" s="547"/>
      <c r="K35" s="547"/>
      <c r="L35" s="547"/>
      <c r="M35" s="547"/>
      <c r="N35" s="560"/>
      <c r="O35" s="547"/>
      <c r="P35" s="547"/>
      <c r="Q35" s="547"/>
      <c r="R35" s="547"/>
      <c r="S35" s="560"/>
      <c r="T35" s="547"/>
      <c r="U35" s="547"/>
      <c r="V35" s="547"/>
      <c r="W35" s="559">
        <f t="shared" ref="W35" si="50">+W34-0.2</f>
        <v>0.60000000000000009</v>
      </c>
      <c r="X35" s="560"/>
      <c r="Y35" s="559">
        <f>+Y34-0.12</f>
        <v>0.57999999999999996</v>
      </c>
      <c r="Z35" s="559">
        <f t="shared" ref="Z35:AB35" si="51">+Z34-0.12</f>
        <v>0.57999999999999996</v>
      </c>
      <c r="AA35" s="559">
        <f t="shared" si="51"/>
        <v>0.57999999999999996</v>
      </c>
      <c r="AB35" s="559">
        <f t="shared" si="51"/>
        <v>0.57999999999999996</v>
      </c>
      <c r="AC35" s="560"/>
      <c r="AD35" s="559">
        <f>+AD34-0.15</f>
        <v>0.41000000000000003</v>
      </c>
      <c r="AE35" s="559">
        <f t="shared" ref="AE35:AG35" si="52">+AE34-0.15</f>
        <v>0.41000000000000003</v>
      </c>
      <c r="AF35" s="559">
        <f t="shared" si="52"/>
        <v>0.41000000000000003</v>
      </c>
      <c r="AG35" s="559">
        <f t="shared" si="52"/>
        <v>0.41000000000000003</v>
      </c>
      <c r="AH35" s="560"/>
      <c r="AI35" s="559">
        <f>+AI34-0.15</f>
        <v>0.32999999999999996</v>
      </c>
      <c r="AJ35" s="559">
        <f t="shared" ref="AJ35:AL35" si="53">+AJ34-0.15</f>
        <v>0.32999999999999996</v>
      </c>
      <c r="AK35" s="559">
        <f t="shared" si="53"/>
        <v>0.32999999999999996</v>
      </c>
      <c r="AL35" s="559">
        <f t="shared" si="53"/>
        <v>0.32999999999999996</v>
      </c>
      <c r="AM35" s="560"/>
      <c r="AN35" s="539"/>
    </row>
    <row r="36" spans="1:40" ht="12.75" customHeight="1" collapsed="1">
      <c r="A36" s="221"/>
      <c r="B36" s="585" t="s">
        <v>273</v>
      </c>
      <c r="C36" s="543"/>
      <c r="D36" s="543"/>
      <c r="E36" s="348">
        <f>E30/E10</f>
        <v>1.1357220412595006E-4</v>
      </c>
      <c r="F36" s="348">
        <f>F30/F10</f>
        <v>3.0506132319917085E-4</v>
      </c>
      <c r="G36" s="348">
        <f>G30/G10</f>
        <v>5.8055987558320373E-4</v>
      </c>
      <c r="H36" s="348">
        <f>H30/H10</f>
        <v>8.661394680086269E-4</v>
      </c>
      <c r="I36" s="543"/>
      <c r="J36" s="586">
        <f t="shared" ref="J36:AM36" si="54">J30/J10</f>
        <v>1.125070264193367E-3</v>
      </c>
      <c r="K36" s="586">
        <f t="shared" si="54"/>
        <v>1.4721020268731496E-3</v>
      </c>
      <c r="L36" s="586">
        <f t="shared" si="54"/>
        <v>1.5402515723270441E-3</v>
      </c>
      <c r="M36" s="586">
        <f t="shared" si="54"/>
        <v>2.1961149808692243E-3</v>
      </c>
      <c r="N36" s="587">
        <f t="shared" si="54"/>
        <v>1.6281608711515255E-3</v>
      </c>
      <c r="O36" s="586">
        <f t="shared" si="54"/>
        <v>2.3125364431486879E-3</v>
      </c>
      <c r="P36" s="586">
        <f t="shared" si="54"/>
        <v>2.3867159264316117E-3</v>
      </c>
      <c r="Q36" s="586">
        <f t="shared" si="54"/>
        <v>2.6660628019323672E-3</v>
      </c>
      <c r="R36" s="586">
        <f t="shared" si="54"/>
        <v>2.9588140791587557E-3</v>
      </c>
      <c r="S36" s="587">
        <f t="shared" si="54"/>
        <v>2.6035263571040396E-3</v>
      </c>
      <c r="T36" s="586">
        <f t="shared" si="54"/>
        <v>3.5949292884883124E-3</v>
      </c>
      <c r="U36" s="586">
        <f t="shared" si="54"/>
        <v>3.6021557761403084E-3</v>
      </c>
      <c r="V36" s="586">
        <f t="shared" si="54"/>
        <v>3.7415736799723915E-3</v>
      </c>
      <c r="W36" s="586">
        <f t="shared" si="54"/>
        <v>4.1446422898721875E-3</v>
      </c>
      <c r="X36" s="587">
        <f t="shared" si="54"/>
        <v>3.7846488874308834E-3</v>
      </c>
      <c r="Y36" s="586">
        <f t="shared" si="54"/>
        <v>4.7375037135117294E-3</v>
      </c>
      <c r="Z36" s="586">
        <f t="shared" si="54"/>
        <v>4.7470269918128095E-3</v>
      </c>
      <c r="AA36" s="586">
        <f t="shared" si="54"/>
        <v>4.9307560123667167E-3</v>
      </c>
      <c r="AB36" s="586">
        <f t="shared" si="54"/>
        <v>5.4619316998315648E-3</v>
      </c>
      <c r="AC36" s="587">
        <f t="shared" si="54"/>
        <v>4.9875217896375975E-3</v>
      </c>
      <c r="AD36" s="586">
        <f t="shared" si="54"/>
        <v>5.7738326508424203E-3</v>
      </c>
      <c r="AE36" s="586">
        <f t="shared" si="54"/>
        <v>5.7854391462718617E-3</v>
      </c>
      <c r="AF36" s="586">
        <f t="shared" si="54"/>
        <v>6.0093588900719365E-3</v>
      </c>
      <c r="AG36" s="586">
        <f t="shared" si="54"/>
        <v>6.6567292591697197E-3</v>
      </c>
      <c r="AH36" s="587">
        <f t="shared" si="54"/>
        <v>6.0785421811208225E-3</v>
      </c>
      <c r="AI36" s="586">
        <f t="shared" si="54"/>
        <v>6.7819621613069703E-3</v>
      </c>
      <c r="AJ36" s="586">
        <f t="shared" si="54"/>
        <v>6.7955951876844086E-3</v>
      </c>
      <c r="AK36" s="586">
        <f t="shared" si="54"/>
        <v>7.058612029608306E-3</v>
      </c>
      <c r="AL36" s="586">
        <f t="shared" si="54"/>
        <v>7.8190153202945915E-3</v>
      </c>
      <c r="AM36" s="587">
        <f t="shared" si="54"/>
        <v>7.1398749429038219E-3</v>
      </c>
      <c r="AN36" s="539"/>
    </row>
    <row r="37" spans="1:40" ht="12.75" customHeight="1">
      <c r="A37" s="221"/>
      <c r="B37" s="588"/>
      <c r="C37" s="543"/>
      <c r="D37" s="543"/>
      <c r="E37" s="348"/>
      <c r="F37" s="348"/>
      <c r="G37" s="348"/>
      <c r="H37" s="348"/>
      <c r="I37" s="543"/>
      <c r="J37" s="348"/>
      <c r="K37" s="348"/>
      <c r="L37" s="348"/>
      <c r="M37" s="348"/>
      <c r="N37" s="543"/>
      <c r="O37" s="348"/>
      <c r="P37" s="348"/>
      <c r="Q37" s="348"/>
      <c r="R37" s="348"/>
      <c r="S37" s="543"/>
      <c r="T37" s="348"/>
      <c r="U37" s="348"/>
      <c r="V37" s="348"/>
      <c r="W37" s="348"/>
      <c r="X37" s="543"/>
      <c r="Y37" s="348"/>
      <c r="Z37" s="348"/>
      <c r="AA37" s="348"/>
      <c r="AB37" s="348"/>
      <c r="AC37" s="543"/>
      <c r="AD37" s="348"/>
      <c r="AE37" s="348"/>
      <c r="AF37" s="348"/>
      <c r="AG37" s="348"/>
      <c r="AH37" s="543"/>
      <c r="AI37" s="348"/>
      <c r="AJ37" s="348"/>
      <c r="AK37" s="348"/>
      <c r="AL37" s="348"/>
      <c r="AM37" s="543"/>
      <c r="AN37" s="539"/>
    </row>
    <row r="38" spans="1:40" ht="17.25" customHeight="1">
      <c r="A38" s="22"/>
      <c r="B38" s="576" t="s">
        <v>39</v>
      </c>
      <c r="C38" s="577"/>
      <c r="D38" s="577"/>
      <c r="E38" s="578"/>
      <c r="F38" s="578"/>
      <c r="G38" s="578"/>
      <c r="H38" s="578"/>
      <c r="I38" s="577"/>
      <c r="J38" s="579"/>
      <c r="K38" s="579"/>
      <c r="L38" s="579"/>
      <c r="M38" s="579"/>
      <c r="N38" s="577"/>
      <c r="O38" s="579"/>
      <c r="P38" s="578"/>
      <c r="Q38" s="578"/>
      <c r="R38" s="578"/>
      <c r="S38" s="577"/>
      <c r="T38" s="579"/>
      <c r="U38" s="579"/>
      <c r="V38" s="579"/>
      <c r="W38" s="578"/>
      <c r="X38" s="577"/>
      <c r="Y38" s="578"/>
      <c r="Z38" s="578"/>
      <c r="AA38" s="578"/>
      <c r="AB38" s="578"/>
      <c r="AC38" s="577"/>
      <c r="AD38" s="578"/>
      <c r="AE38" s="578"/>
      <c r="AF38" s="578"/>
      <c r="AG38" s="578"/>
      <c r="AH38" s="577"/>
      <c r="AI38" s="578"/>
      <c r="AJ38" s="578"/>
      <c r="AK38" s="578"/>
      <c r="AL38" s="578"/>
      <c r="AM38" s="577"/>
      <c r="AN38" s="539"/>
    </row>
    <row r="39" spans="1:40" ht="12.75" customHeight="1">
      <c r="A39" s="289"/>
      <c r="B39" s="580" t="s">
        <v>39</v>
      </c>
      <c r="C39" s="150">
        <v>0</v>
      </c>
      <c r="D39" s="150">
        <v>4.24</v>
      </c>
      <c r="E39" s="97">
        <v>1.079</v>
      </c>
      <c r="F39" s="97">
        <v>1.9890000000000001</v>
      </c>
      <c r="G39" s="97">
        <v>2.2320000000000002</v>
      </c>
      <c r="H39" s="97">
        <v>2.0230000000000001</v>
      </c>
      <c r="I39" s="151">
        <f>SUM(E39:H39)</f>
        <v>7.3230000000000004</v>
      </c>
      <c r="J39" s="97">
        <v>2.2040000000000002</v>
      </c>
      <c r="K39" s="97">
        <v>3.5910000000000002</v>
      </c>
      <c r="L39" s="97">
        <v>4.2069999999999999</v>
      </c>
      <c r="M39" s="97">
        <v>6.375</v>
      </c>
      <c r="N39" s="151">
        <f>+SUM(J39:M39)</f>
        <v>16.376999999999999</v>
      </c>
      <c r="O39" s="97">
        <v>16.181999999999999</v>
      </c>
      <c r="P39" s="97">
        <v>11.085000000000001</v>
      </c>
      <c r="Q39" s="97">
        <v>8.1709999999999994</v>
      </c>
      <c r="R39" s="97">
        <v>8.8689999999999998</v>
      </c>
      <c r="S39" s="151">
        <f>+SUM(O39:R39)</f>
        <v>44.307000000000002</v>
      </c>
      <c r="T39" s="97">
        <v>9.016</v>
      </c>
      <c r="U39" s="97">
        <v>10.289</v>
      </c>
      <c r="V39" s="97">
        <v>10.089</v>
      </c>
      <c r="W39" s="290">
        <f>R39*(1+W40)</f>
        <v>10.642799999999999</v>
      </c>
      <c r="X39" s="151">
        <f>+SUM(T39:W39)</f>
        <v>40.036799999999999</v>
      </c>
      <c r="Y39" s="290">
        <f>T39*(1+Y40)</f>
        <v>11.27</v>
      </c>
      <c r="Z39" s="290">
        <f>U39*(1+Z40)</f>
        <v>12.86125</v>
      </c>
      <c r="AA39" s="290">
        <f>V39*(1+AA40)</f>
        <v>12.61125</v>
      </c>
      <c r="AB39" s="290">
        <f>W39*(1+AB40)</f>
        <v>13.3035</v>
      </c>
      <c r="AC39" s="151">
        <f>+SUM(Y39:AB39)</f>
        <v>50.045999999999999</v>
      </c>
      <c r="AD39" s="290">
        <f>Y39*(1+AD40)</f>
        <v>14.087499999999999</v>
      </c>
      <c r="AE39" s="290">
        <f>Z39*(1+AE40)</f>
        <v>16.076562500000001</v>
      </c>
      <c r="AF39" s="290">
        <f>AA39*(1+AF40)</f>
        <v>15.7640625</v>
      </c>
      <c r="AG39" s="290">
        <f>AB39*(1+AG40)</f>
        <v>16.629375</v>
      </c>
      <c r="AH39" s="151">
        <f>+SUM(AD39:AG39)</f>
        <v>62.557500000000005</v>
      </c>
      <c r="AI39" s="290">
        <f>AD39*(1+AI40)</f>
        <v>16.904999999999998</v>
      </c>
      <c r="AJ39" s="290">
        <f>AE39*(1+AJ40)</f>
        <v>19.291875000000001</v>
      </c>
      <c r="AK39" s="290">
        <f>AF39*(1+AK40)</f>
        <v>18.916874999999997</v>
      </c>
      <c r="AL39" s="290">
        <f>AG39*(1+AL40)</f>
        <v>19.955249999999999</v>
      </c>
      <c r="AM39" s="151">
        <f>+SUM(AI39:AL39)</f>
        <v>75.068999999999988</v>
      </c>
      <c r="AN39" s="555">
        <f>+(AH39/S39)^(0.333333333333333)-1</f>
        <v>0.1218522925845289</v>
      </c>
    </row>
    <row r="40" spans="1:40" ht="12.75" customHeight="1">
      <c r="A40" s="221"/>
      <c r="B40" s="581" t="s">
        <v>26</v>
      </c>
      <c r="C40" s="543"/>
      <c r="D40" s="543" t="str">
        <f>IF(ISERROR(D39/C39-1),"NM",D39/C39-1)</f>
        <v>NM</v>
      </c>
      <c r="E40" s="348"/>
      <c r="F40" s="348"/>
      <c r="G40" s="348"/>
      <c r="H40" s="348"/>
      <c r="I40" s="543">
        <f t="shared" ref="I40:V40" si="55">+I39/D39-1</f>
        <v>0.72712264150943406</v>
      </c>
      <c r="J40" s="348">
        <f t="shared" si="55"/>
        <v>1.0426320667284523</v>
      </c>
      <c r="K40" s="348">
        <f t="shared" si="55"/>
        <v>0.80542986425339369</v>
      </c>
      <c r="L40" s="348">
        <f t="shared" si="55"/>
        <v>0.8848566308243726</v>
      </c>
      <c r="M40" s="348">
        <f t="shared" si="55"/>
        <v>2.1512605042016806</v>
      </c>
      <c r="N40" s="543">
        <f t="shared" si="55"/>
        <v>1.2363785333879553</v>
      </c>
      <c r="O40" s="348">
        <f t="shared" si="55"/>
        <v>6.3421052631578938</v>
      </c>
      <c r="P40" s="348">
        <f t="shared" si="55"/>
        <v>2.0868838763575606</v>
      </c>
      <c r="Q40" s="348">
        <f t="shared" si="55"/>
        <v>0.94223912526741138</v>
      </c>
      <c r="R40" s="348">
        <f t="shared" si="55"/>
        <v>0.39121568627450976</v>
      </c>
      <c r="S40" s="543">
        <f>+S39/N39-1</f>
        <v>1.7054405568785493</v>
      </c>
      <c r="T40" s="348">
        <f t="shared" si="55"/>
        <v>-0.44283772092448392</v>
      </c>
      <c r="U40" s="348">
        <f t="shared" si="55"/>
        <v>-7.1808750563825074E-2</v>
      </c>
      <c r="V40" s="348">
        <f t="shared" si="55"/>
        <v>0.23473259087015075</v>
      </c>
      <c r="W40" s="177">
        <f>CHOOSE(_Switch,W41,W42,W43)</f>
        <v>0.2</v>
      </c>
      <c r="X40" s="543">
        <f>+X39/S39-1</f>
        <v>-9.6377547565847488E-2</v>
      </c>
      <c r="Y40" s="177">
        <f>CHOOSE(_Switch,Y41,Y42,Y43)</f>
        <v>0.25</v>
      </c>
      <c r="Z40" s="177">
        <f>CHOOSE(_Switch,Z41,Z42,Z43)</f>
        <v>0.25</v>
      </c>
      <c r="AA40" s="177">
        <f>CHOOSE(_Switch,AA41,AA42,AA43)</f>
        <v>0.25</v>
      </c>
      <c r="AB40" s="177">
        <f>CHOOSE(_Switch,AB41,AB42,AB43)</f>
        <v>0.25</v>
      </c>
      <c r="AC40" s="543">
        <f>+AC39/X39-1</f>
        <v>0.25</v>
      </c>
      <c r="AD40" s="177">
        <f>CHOOSE(_Switch,AD41,AD42,AD43)</f>
        <v>0.25</v>
      </c>
      <c r="AE40" s="177">
        <f>CHOOSE(_Switch,AE41,AE42,AE43)</f>
        <v>0.25</v>
      </c>
      <c r="AF40" s="177">
        <f>CHOOSE(_Switch,AF41,AF42,AF43)</f>
        <v>0.25</v>
      </c>
      <c r="AG40" s="177">
        <f>CHOOSE(_Switch,AG41,AG42,AG43)</f>
        <v>0.25</v>
      </c>
      <c r="AH40" s="543">
        <f>+AH39/AC39-1</f>
        <v>0.25</v>
      </c>
      <c r="AI40" s="177">
        <f>CHOOSE(_Switch,AI41,AI42,AI43)</f>
        <v>0.2</v>
      </c>
      <c r="AJ40" s="177">
        <f>CHOOSE(_Switch,AJ41,AJ42,AJ43)</f>
        <v>0.2</v>
      </c>
      <c r="AK40" s="177">
        <f>CHOOSE(_Switch,AK41,AK42,AK43)</f>
        <v>0.2</v>
      </c>
      <c r="AL40" s="177">
        <f>CHOOSE(_Switch,AL41,AL42,AL43)</f>
        <v>0.2</v>
      </c>
      <c r="AM40" s="543">
        <f>+AM39/AH39-1</f>
        <v>0.19999999999999973</v>
      </c>
    </row>
    <row r="41" spans="1:40" ht="12.75" hidden="1" customHeight="1" outlineLevel="1">
      <c r="A41" s="221"/>
      <c r="B41" s="556" t="s">
        <v>96</v>
      </c>
      <c r="C41" s="557"/>
      <c r="D41" s="557"/>
      <c r="E41" s="547"/>
      <c r="F41" s="547"/>
      <c r="G41" s="547"/>
      <c r="H41" s="547"/>
      <c r="I41" s="546"/>
      <c r="J41" s="547"/>
      <c r="K41" s="547"/>
      <c r="L41" s="547"/>
      <c r="M41" s="547"/>
      <c r="N41" s="548"/>
      <c r="O41" s="547"/>
      <c r="P41" s="547"/>
      <c r="Q41" s="547"/>
      <c r="R41" s="547"/>
      <c r="S41" s="548"/>
      <c r="T41" s="547"/>
      <c r="U41" s="547"/>
      <c r="V41" s="547"/>
      <c r="W41" s="559">
        <f t="shared" ref="W41" si="56">+W42+0.05</f>
        <v>0.25</v>
      </c>
      <c r="X41" s="548"/>
      <c r="Y41" s="559">
        <f>+Y42+0.05</f>
        <v>0.3</v>
      </c>
      <c r="Z41" s="559">
        <f t="shared" ref="Z41:AB41" si="57">+Z42+0.05</f>
        <v>0.3</v>
      </c>
      <c r="AA41" s="559">
        <f t="shared" si="57"/>
        <v>0.3</v>
      </c>
      <c r="AB41" s="559">
        <f t="shared" si="57"/>
        <v>0.3</v>
      </c>
      <c r="AC41" s="548"/>
      <c r="AD41" s="559">
        <f>+AD42+0.05</f>
        <v>0.3</v>
      </c>
      <c r="AE41" s="559">
        <f t="shared" ref="AE41:AG41" si="58">+AE42+0.05</f>
        <v>0.3</v>
      </c>
      <c r="AF41" s="559">
        <f t="shared" si="58"/>
        <v>0.3</v>
      </c>
      <c r="AG41" s="559">
        <f t="shared" si="58"/>
        <v>0.3</v>
      </c>
      <c r="AH41" s="548"/>
      <c r="AI41" s="559">
        <f>+AI42+0.05</f>
        <v>0.25</v>
      </c>
      <c r="AJ41" s="559">
        <f t="shared" ref="AJ41:AL41" si="59">+AJ42+0.05</f>
        <v>0.25</v>
      </c>
      <c r="AK41" s="559">
        <f t="shared" si="59"/>
        <v>0.25</v>
      </c>
      <c r="AL41" s="559">
        <f t="shared" si="59"/>
        <v>0.25</v>
      </c>
      <c r="AM41" s="548"/>
    </row>
    <row r="42" spans="1:40" ht="12.75" hidden="1" customHeight="1" outlineLevel="1">
      <c r="A42" s="221"/>
      <c r="B42" s="556" t="s">
        <v>97</v>
      </c>
      <c r="C42" s="557"/>
      <c r="D42" s="557"/>
      <c r="E42" s="547"/>
      <c r="F42" s="547"/>
      <c r="G42" s="547"/>
      <c r="H42" s="547"/>
      <c r="I42" s="546"/>
      <c r="J42" s="547"/>
      <c r="K42" s="547"/>
      <c r="L42" s="547"/>
      <c r="M42" s="547"/>
      <c r="N42" s="548"/>
      <c r="O42" s="547"/>
      <c r="P42" s="547"/>
      <c r="Q42" s="547"/>
      <c r="R42" s="547"/>
      <c r="S42" s="548"/>
      <c r="T42" s="547"/>
      <c r="U42" s="547"/>
      <c r="V42" s="547"/>
      <c r="W42" s="559">
        <v>0.2</v>
      </c>
      <c r="X42" s="548"/>
      <c r="Y42" s="559">
        <v>0.25</v>
      </c>
      <c r="Z42" s="559">
        <v>0.25</v>
      </c>
      <c r="AA42" s="559">
        <v>0.25</v>
      </c>
      <c r="AB42" s="559">
        <v>0.25</v>
      </c>
      <c r="AC42" s="548"/>
      <c r="AD42" s="559">
        <v>0.25</v>
      </c>
      <c r="AE42" s="559">
        <f>+AD42</f>
        <v>0.25</v>
      </c>
      <c r="AF42" s="559">
        <f t="shared" ref="AF42:AG42" si="60">+AE42</f>
        <v>0.25</v>
      </c>
      <c r="AG42" s="559">
        <f t="shared" si="60"/>
        <v>0.25</v>
      </c>
      <c r="AH42" s="548"/>
      <c r="AI42" s="559">
        <v>0.2</v>
      </c>
      <c r="AJ42" s="559">
        <f>AI42</f>
        <v>0.2</v>
      </c>
      <c r="AK42" s="559">
        <f t="shared" ref="AK42:AL42" si="61">AJ42</f>
        <v>0.2</v>
      </c>
      <c r="AL42" s="559">
        <f t="shared" si="61"/>
        <v>0.2</v>
      </c>
      <c r="AM42" s="548"/>
    </row>
    <row r="43" spans="1:40" ht="12.75" hidden="1" customHeight="1" outlineLevel="1">
      <c r="A43" s="221"/>
      <c r="B43" s="556" t="s">
        <v>98</v>
      </c>
      <c r="C43" s="557"/>
      <c r="D43" s="557"/>
      <c r="E43" s="547"/>
      <c r="F43" s="547"/>
      <c r="G43" s="547"/>
      <c r="H43" s="547"/>
      <c r="I43" s="546"/>
      <c r="J43" s="547"/>
      <c r="K43" s="547"/>
      <c r="L43" s="547"/>
      <c r="M43" s="547"/>
      <c r="N43" s="548"/>
      <c r="O43" s="547"/>
      <c r="P43" s="547"/>
      <c r="Q43" s="547"/>
      <c r="R43" s="547"/>
      <c r="S43" s="548"/>
      <c r="T43" s="547"/>
      <c r="U43" s="547"/>
      <c r="V43" s="547"/>
      <c r="W43" s="559">
        <f t="shared" ref="W43" si="62">+W42-0.05</f>
        <v>0.15000000000000002</v>
      </c>
      <c r="X43" s="548"/>
      <c r="Y43" s="559">
        <f>+Y42-0.05</f>
        <v>0.2</v>
      </c>
      <c r="Z43" s="559">
        <f t="shared" ref="Z43:AB43" si="63">+Z42-0.05</f>
        <v>0.2</v>
      </c>
      <c r="AA43" s="559">
        <f t="shared" si="63"/>
        <v>0.2</v>
      </c>
      <c r="AB43" s="559">
        <f t="shared" si="63"/>
        <v>0.2</v>
      </c>
      <c r="AC43" s="548"/>
      <c r="AD43" s="559">
        <f>+AD42-0.05</f>
        <v>0.2</v>
      </c>
      <c r="AE43" s="559">
        <f t="shared" ref="AE43:AG43" si="64">+AE42-0.05</f>
        <v>0.2</v>
      </c>
      <c r="AF43" s="559">
        <f t="shared" si="64"/>
        <v>0.2</v>
      </c>
      <c r="AG43" s="559">
        <f t="shared" si="64"/>
        <v>0.2</v>
      </c>
      <c r="AH43" s="548"/>
      <c r="AI43" s="559">
        <f>+AI42-0.05</f>
        <v>0.15000000000000002</v>
      </c>
      <c r="AJ43" s="559">
        <f t="shared" ref="AJ43:AL43" si="65">+AJ42-0.05</f>
        <v>0.15000000000000002</v>
      </c>
      <c r="AK43" s="559">
        <f t="shared" si="65"/>
        <v>0.15000000000000002</v>
      </c>
      <c r="AL43" s="559">
        <f t="shared" si="65"/>
        <v>0.15000000000000002</v>
      </c>
      <c r="AM43" s="548"/>
    </row>
    <row r="44" spans="1:40" ht="12.75" customHeight="1" collapsed="1">
      <c r="A44" s="221"/>
      <c r="B44" s="580"/>
      <c r="C44" s="557"/>
      <c r="D44" s="557"/>
      <c r="E44" s="547"/>
      <c r="F44" s="547"/>
      <c r="G44" s="547"/>
      <c r="H44" s="547"/>
      <c r="I44" s="546"/>
      <c r="J44" s="547"/>
      <c r="K44" s="547"/>
      <c r="L44" s="547"/>
      <c r="M44" s="547"/>
      <c r="N44" s="546"/>
      <c r="O44" s="547"/>
      <c r="P44" s="547"/>
      <c r="Q44" s="547"/>
      <c r="R44" s="547"/>
      <c r="S44" s="546"/>
      <c r="T44" s="547"/>
      <c r="U44" s="547"/>
      <c r="V44" s="547"/>
      <c r="W44" s="547"/>
      <c r="X44" s="546"/>
      <c r="Y44" s="547"/>
      <c r="Z44" s="547"/>
      <c r="AA44" s="547"/>
      <c r="AB44" s="547"/>
      <c r="AC44" s="546"/>
      <c r="AD44" s="547"/>
      <c r="AE44" s="547"/>
      <c r="AF44" s="547"/>
      <c r="AG44" s="547"/>
      <c r="AH44" s="546"/>
      <c r="AI44" s="547"/>
      <c r="AJ44" s="547"/>
      <c r="AK44" s="547"/>
      <c r="AL44" s="547"/>
      <c r="AM44" s="546"/>
    </row>
    <row r="45" spans="1:40">
      <c r="A45" s="289"/>
      <c r="B45" s="589" t="s">
        <v>274</v>
      </c>
      <c r="C45" s="137">
        <f t="shared" ref="C45:AM45" si="66">C7+C23+C30+C39</f>
        <v>203.44900000000001</v>
      </c>
      <c r="D45" s="137">
        <f t="shared" si="66"/>
        <v>552.43299999999999</v>
      </c>
      <c r="E45" s="590">
        <f t="shared" si="66"/>
        <v>165.08200000000002</v>
      </c>
      <c r="F45" s="590">
        <f t="shared" si="66"/>
        <v>206.79599999999999</v>
      </c>
      <c r="G45" s="590">
        <f t="shared" si="66"/>
        <v>227.42000000000002</v>
      </c>
      <c r="H45" s="590">
        <f t="shared" si="66"/>
        <v>250.89399999999998</v>
      </c>
      <c r="I45" s="137">
        <f t="shared" si="66"/>
        <v>850.19200000000001</v>
      </c>
      <c r="J45" s="590">
        <f t="shared" si="66"/>
        <v>250.55700000000002</v>
      </c>
      <c r="K45" s="590">
        <f t="shared" si="66"/>
        <v>310.01299999999998</v>
      </c>
      <c r="L45" s="590">
        <f t="shared" si="66"/>
        <v>332.18799999999999</v>
      </c>
      <c r="M45" s="590">
        <f t="shared" si="66"/>
        <v>374.36</v>
      </c>
      <c r="N45" s="137">
        <f t="shared" si="66"/>
        <v>1267.1179999999999</v>
      </c>
      <c r="O45" s="590">
        <f t="shared" si="66"/>
        <v>379.26900000000001</v>
      </c>
      <c r="P45" s="590">
        <f t="shared" si="66"/>
        <v>438.53299999999996</v>
      </c>
      <c r="Q45" s="590">
        <f t="shared" si="66"/>
        <v>439.00199999999995</v>
      </c>
      <c r="R45" s="590">
        <f t="shared" si="66"/>
        <v>451.91700000000003</v>
      </c>
      <c r="S45" s="137">
        <f t="shared" si="66"/>
        <v>1708.7209999999998</v>
      </c>
      <c r="T45" s="590">
        <f t="shared" si="66"/>
        <v>461.55400000000003</v>
      </c>
      <c r="U45" s="590">
        <f t="shared" si="66"/>
        <v>551.505</v>
      </c>
      <c r="V45" s="590">
        <f t="shared" si="66"/>
        <v>585.15900000000011</v>
      </c>
      <c r="W45" s="590">
        <f t="shared" si="66"/>
        <v>598.01805401564468</v>
      </c>
      <c r="X45" s="137">
        <f t="shared" si="66"/>
        <v>2196.2360540156442</v>
      </c>
      <c r="Y45" s="590">
        <f t="shared" si="66"/>
        <v>608.9340018876909</v>
      </c>
      <c r="Z45" s="590">
        <f t="shared" si="66"/>
        <v>732.21302093117697</v>
      </c>
      <c r="AA45" s="590">
        <f t="shared" si="66"/>
        <v>778.35726448812147</v>
      </c>
      <c r="AB45" s="590">
        <f t="shared" si="66"/>
        <v>800.3911265081922</v>
      </c>
      <c r="AC45" s="137">
        <f t="shared" si="66"/>
        <v>2919.8954138151812</v>
      </c>
      <c r="AD45" s="590">
        <f t="shared" si="66"/>
        <v>797.94319713624441</v>
      </c>
      <c r="AE45" s="590">
        <f t="shared" si="66"/>
        <v>959.57983425190662</v>
      </c>
      <c r="AF45" s="590">
        <f t="shared" si="66"/>
        <v>1021.1416844047957</v>
      </c>
      <c r="AG45" s="590">
        <f t="shared" si="66"/>
        <v>1053.0061954008861</v>
      </c>
      <c r="AH45" s="137">
        <f t="shared" si="66"/>
        <v>3831.6709111938326</v>
      </c>
      <c r="AI45" s="590">
        <f t="shared" si="66"/>
        <v>1027.5081953388681</v>
      </c>
      <c r="AJ45" s="590">
        <f t="shared" si="66"/>
        <v>1235.7842393370024</v>
      </c>
      <c r="AK45" s="590">
        <f t="shared" si="66"/>
        <v>1316.4116777136423</v>
      </c>
      <c r="AL45" s="590">
        <f t="shared" si="66"/>
        <v>1361.0196566098207</v>
      </c>
      <c r="AM45" s="137">
        <f t="shared" si="66"/>
        <v>4940.7237689993344</v>
      </c>
    </row>
    <row r="46" spans="1:40" ht="12.75" customHeight="1">
      <c r="A46" s="221"/>
      <c r="B46" s="581" t="s">
        <v>26</v>
      </c>
      <c r="C46" s="543"/>
      <c r="D46" s="543">
        <f>D45/C45-1</f>
        <v>1.7153389793019378</v>
      </c>
      <c r="E46" s="348"/>
      <c r="F46" s="247"/>
      <c r="G46" s="247"/>
      <c r="H46" s="247"/>
      <c r="I46" s="543">
        <f t="shared" ref="I46:AM46" si="67">+I45/D45-1</f>
        <v>0.53899567911402824</v>
      </c>
      <c r="J46" s="247">
        <f t="shared" si="67"/>
        <v>0.51777298554657669</v>
      </c>
      <c r="K46" s="247">
        <f t="shared" si="67"/>
        <v>0.49912474129093409</v>
      </c>
      <c r="L46" s="247">
        <f t="shared" si="67"/>
        <v>0.46068067892005971</v>
      </c>
      <c r="M46" s="247">
        <f t="shared" si="67"/>
        <v>0.49210423525472935</v>
      </c>
      <c r="N46" s="543">
        <f t="shared" si="67"/>
        <v>0.49039040593183647</v>
      </c>
      <c r="O46" s="247">
        <f t="shared" si="67"/>
        <v>0.51370346867179917</v>
      </c>
      <c r="P46" s="247">
        <f t="shared" si="67"/>
        <v>0.4145632602503766</v>
      </c>
      <c r="Q46" s="348">
        <f t="shared" si="67"/>
        <v>0.32154683492480163</v>
      </c>
      <c r="R46" s="348">
        <f t="shared" si="67"/>
        <v>0.20717224062399842</v>
      </c>
      <c r="S46" s="543">
        <f t="shared" si="67"/>
        <v>0.34850976783535548</v>
      </c>
      <c r="T46" s="247">
        <f t="shared" si="67"/>
        <v>0.21695683011266409</v>
      </c>
      <c r="U46" s="247">
        <f t="shared" si="67"/>
        <v>0.25761345212332953</v>
      </c>
      <c r="V46" s="247">
        <f t="shared" si="67"/>
        <v>0.33293014610411831</v>
      </c>
      <c r="W46" s="348">
        <f t="shared" si="67"/>
        <v>0.32329178591565411</v>
      </c>
      <c r="X46" s="543">
        <f t="shared" si="67"/>
        <v>0.28530992128945831</v>
      </c>
      <c r="Y46" s="247">
        <f t="shared" si="67"/>
        <v>0.31931258723289324</v>
      </c>
      <c r="Z46" s="247">
        <f t="shared" si="67"/>
        <v>0.32766343175705925</v>
      </c>
      <c r="AA46" s="348">
        <f t="shared" si="67"/>
        <v>0.33016370676708617</v>
      </c>
      <c r="AB46" s="348">
        <f t="shared" si="67"/>
        <v>0.3384062924749982</v>
      </c>
      <c r="AC46" s="543">
        <f t="shared" si="67"/>
        <v>0.32949980876435525</v>
      </c>
      <c r="AD46" s="247">
        <f t="shared" si="67"/>
        <v>0.31039356426579312</v>
      </c>
      <c r="AE46" s="247">
        <f t="shared" si="67"/>
        <v>0.31052003559234787</v>
      </c>
      <c r="AF46" s="348">
        <f t="shared" si="67"/>
        <v>0.31191900043014154</v>
      </c>
      <c r="AG46" s="348">
        <f t="shared" si="67"/>
        <v>0.31561452960474368</v>
      </c>
      <c r="AH46" s="543">
        <f t="shared" si="67"/>
        <v>0.31226306704845674</v>
      </c>
      <c r="AI46" s="247">
        <f t="shared" si="67"/>
        <v>0.28769591498055802</v>
      </c>
      <c r="AJ46" s="247">
        <f t="shared" si="67"/>
        <v>0.28783890117952105</v>
      </c>
      <c r="AK46" s="348">
        <f t="shared" si="67"/>
        <v>0.28915673291797317</v>
      </c>
      <c r="AL46" s="348">
        <f t="shared" si="67"/>
        <v>0.29250868850935108</v>
      </c>
      <c r="AM46" s="543">
        <f t="shared" si="67"/>
        <v>0.28944366139730793</v>
      </c>
    </row>
    <row r="47" spans="1:40">
      <c r="A47" s="81"/>
      <c r="B47" s="591"/>
      <c r="C47" s="592"/>
      <c r="D47" s="592"/>
      <c r="E47" s="593"/>
      <c r="F47" s="593"/>
      <c r="G47" s="593"/>
      <c r="H47" s="593"/>
      <c r="I47" s="592"/>
      <c r="J47" s="593"/>
      <c r="K47" s="593"/>
      <c r="L47" s="593"/>
      <c r="M47" s="593"/>
      <c r="N47" s="592"/>
      <c r="O47" s="593"/>
      <c r="P47" s="593"/>
      <c r="Q47" s="593"/>
      <c r="R47" s="593"/>
      <c r="S47" s="592"/>
      <c r="T47" s="593"/>
      <c r="U47" s="593"/>
      <c r="V47" s="593"/>
      <c r="W47" s="593"/>
      <c r="X47" s="592"/>
      <c r="Y47" s="593"/>
      <c r="Z47" s="593"/>
      <c r="AA47" s="593"/>
      <c r="AB47" s="593"/>
      <c r="AC47" s="592"/>
      <c r="AD47" s="593"/>
      <c r="AE47" s="593"/>
      <c r="AF47" s="593"/>
      <c r="AG47" s="593"/>
      <c r="AH47" s="592"/>
      <c r="AI47" s="593"/>
      <c r="AJ47" s="593"/>
      <c r="AK47" s="593"/>
      <c r="AL47" s="593"/>
      <c r="AM47" s="592"/>
    </row>
    <row r="48" spans="1:40" ht="15.75">
      <c r="A48" s="81"/>
      <c r="B48" s="594" t="s">
        <v>275</v>
      </c>
      <c r="C48" s="500"/>
      <c r="D48" s="500"/>
      <c r="E48" s="114"/>
      <c r="F48" s="114"/>
      <c r="G48" s="114"/>
      <c r="H48" s="114"/>
      <c r="I48" s="500"/>
      <c r="J48" s="114"/>
      <c r="K48" s="114"/>
      <c r="L48" s="114"/>
      <c r="M48" s="114"/>
      <c r="N48" s="500"/>
      <c r="O48" s="114"/>
      <c r="P48" s="114"/>
      <c r="Q48" s="114"/>
      <c r="R48" s="114"/>
      <c r="S48" s="500"/>
      <c r="T48" s="114"/>
      <c r="U48" s="114"/>
      <c r="V48" s="114"/>
      <c r="W48" s="114"/>
      <c r="X48" s="500"/>
      <c r="Y48" s="114"/>
      <c r="Z48" s="114"/>
      <c r="AA48" s="114"/>
      <c r="AB48" s="114"/>
      <c r="AC48" s="500"/>
      <c r="AD48" s="114"/>
      <c r="AE48" s="114"/>
      <c r="AF48" s="114"/>
      <c r="AG48" s="114"/>
      <c r="AH48" s="500"/>
      <c r="AI48" s="114"/>
      <c r="AJ48" s="114"/>
      <c r="AK48" s="114"/>
      <c r="AL48" s="114"/>
      <c r="AM48" s="500"/>
    </row>
    <row r="49" spans="1:39">
      <c r="A49" s="221"/>
      <c r="B49" s="122" t="s">
        <v>24</v>
      </c>
      <c r="C49" s="595">
        <f t="shared" ref="C49:AM49" si="68">C7/C45</f>
        <v>0.95344779281294079</v>
      </c>
      <c r="D49" s="595">
        <f t="shared" si="68"/>
        <v>0.78513955538499691</v>
      </c>
      <c r="E49" s="596">
        <f t="shared" si="68"/>
        <v>0.82997540616178622</v>
      </c>
      <c r="F49" s="596">
        <f t="shared" si="68"/>
        <v>0.83606065881351677</v>
      </c>
      <c r="G49" s="596">
        <f t="shared" si="68"/>
        <v>0.84231817782077212</v>
      </c>
      <c r="H49" s="596">
        <f t="shared" si="68"/>
        <v>0.82238315782760851</v>
      </c>
      <c r="I49" s="595">
        <f t="shared" si="68"/>
        <v>0.8325166550614449</v>
      </c>
      <c r="J49" s="596">
        <f t="shared" si="68"/>
        <v>0.84256277014810999</v>
      </c>
      <c r="K49" s="596">
        <f t="shared" si="68"/>
        <v>0.83823581591739704</v>
      </c>
      <c r="L49" s="596">
        <f t="shared" si="68"/>
        <v>0.84577106939443925</v>
      </c>
      <c r="M49" s="596">
        <f t="shared" si="68"/>
        <v>0.79740356875734586</v>
      </c>
      <c r="N49" s="595">
        <f t="shared" si="68"/>
        <v>0.82900329724619171</v>
      </c>
      <c r="O49" s="596">
        <f t="shared" si="68"/>
        <v>0.7921897123150059</v>
      </c>
      <c r="P49" s="596">
        <f t="shared" si="68"/>
        <v>0.83201036181997712</v>
      </c>
      <c r="Q49" s="596">
        <f t="shared" si="68"/>
        <v>0.88461328194404587</v>
      </c>
      <c r="R49" s="596">
        <f t="shared" si="68"/>
        <v>0.89064142309317851</v>
      </c>
      <c r="S49" s="595">
        <f t="shared" si="68"/>
        <v>0.85219295601798073</v>
      </c>
      <c r="T49" s="596">
        <f t="shared" si="68"/>
        <v>0.87417290284560412</v>
      </c>
      <c r="U49" s="596">
        <f t="shared" si="68"/>
        <v>0.87408999011794997</v>
      </c>
      <c r="V49" s="596">
        <f t="shared" si="68"/>
        <v>0.87159045661093804</v>
      </c>
      <c r="W49" s="596">
        <f t="shared" si="68"/>
        <v>0.86024635972309027</v>
      </c>
      <c r="X49" s="595">
        <f t="shared" si="68"/>
        <v>0.86967193281585164</v>
      </c>
      <c r="Y49" s="596">
        <f t="shared" si="68"/>
        <v>0.84452830732638096</v>
      </c>
      <c r="Z49" s="596">
        <f t="shared" si="68"/>
        <v>0.8451025224110833</v>
      </c>
      <c r="AA49" s="596">
        <f t="shared" si="68"/>
        <v>0.84172056249642657</v>
      </c>
      <c r="AB49" s="596">
        <f t="shared" si="68"/>
        <v>0.82847313587928084</v>
      </c>
      <c r="AC49" s="595">
        <f t="shared" si="68"/>
        <v>0.83952285489987799</v>
      </c>
      <c r="AD49" s="596">
        <f t="shared" si="68"/>
        <v>0.81929212440496624</v>
      </c>
      <c r="AE49" s="596">
        <f t="shared" si="68"/>
        <v>0.81977006151361143</v>
      </c>
      <c r="AF49" s="596">
        <f t="shared" si="68"/>
        <v>0.81561881433745942</v>
      </c>
      <c r="AG49" s="596">
        <f t="shared" si="68"/>
        <v>0.80052719469515177</v>
      </c>
      <c r="AH49" s="595">
        <f t="shared" si="68"/>
        <v>0.81327596618231435</v>
      </c>
      <c r="AI49" s="596">
        <f t="shared" si="68"/>
        <v>0.79614416843563973</v>
      </c>
      <c r="AJ49" s="596">
        <f t="shared" si="68"/>
        <v>0.79652015622491945</v>
      </c>
      <c r="AK49" s="596">
        <f t="shared" si="68"/>
        <v>0.79167653052402143</v>
      </c>
      <c r="AL49" s="596">
        <f t="shared" si="68"/>
        <v>0.77501279925174116</v>
      </c>
      <c r="AM49" s="595">
        <f t="shared" si="68"/>
        <v>0.78922679734533829</v>
      </c>
    </row>
    <row r="50" spans="1:39">
      <c r="A50" s="221"/>
      <c r="B50" s="122" t="s">
        <v>30</v>
      </c>
      <c r="C50" s="595">
        <f t="shared" ref="C50:AM50" si="69">C23/C45</f>
        <v>4.6552207187059165E-2</v>
      </c>
      <c r="D50" s="595">
        <f t="shared" si="69"/>
        <v>0.20718530572938257</v>
      </c>
      <c r="E50" s="596">
        <f t="shared" si="69"/>
        <v>0.16032032565634047</v>
      </c>
      <c r="F50" s="596">
        <f t="shared" si="69"/>
        <v>0.14578134973597168</v>
      </c>
      <c r="G50" s="596">
        <f t="shared" si="69"/>
        <v>0.13145281857356431</v>
      </c>
      <c r="H50" s="596">
        <f t="shared" si="69"/>
        <v>0.14554353631414063</v>
      </c>
      <c r="I50" s="595">
        <f t="shared" si="69"/>
        <v>0.14470143214709147</v>
      </c>
      <c r="J50" s="596">
        <f t="shared" si="69"/>
        <v>0.11668801909345976</v>
      </c>
      <c r="K50" s="596">
        <f t="shared" si="69"/>
        <v>0.10847932183489081</v>
      </c>
      <c r="L50" s="596">
        <f t="shared" si="69"/>
        <v>9.7330427348368997E-2</v>
      </c>
      <c r="M50" s="596">
        <f t="shared" si="69"/>
        <v>0.12577198418634469</v>
      </c>
      <c r="N50" s="595">
        <f t="shared" si="69"/>
        <v>0.11228867398300713</v>
      </c>
      <c r="O50" s="596">
        <f t="shared" si="69"/>
        <v>0.10240225275464117</v>
      </c>
      <c r="P50" s="596">
        <f t="shared" si="69"/>
        <v>7.4947609415939045E-2</v>
      </c>
      <c r="Q50" s="596">
        <f t="shared" si="69"/>
        <v>1.6318832260445285E-2</v>
      </c>
      <c r="R50" s="596">
        <f t="shared" si="69"/>
        <v>7.5235054224558932E-5</v>
      </c>
      <c r="S50" s="595">
        <f t="shared" si="69"/>
        <v>4.6176643231984636E-2</v>
      </c>
      <c r="T50" s="596">
        <f t="shared" si="69"/>
        <v>0</v>
      </c>
      <c r="U50" s="596">
        <f t="shared" si="69"/>
        <v>0</v>
      </c>
      <c r="V50" s="596">
        <f t="shared" si="69"/>
        <v>0</v>
      </c>
      <c r="W50" s="596">
        <f t="shared" si="69"/>
        <v>0</v>
      </c>
      <c r="X50" s="595">
        <f t="shared" si="69"/>
        <v>0</v>
      </c>
      <c r="Y50" s="596">
        <f t="shared" si="69"/>
        <v>0</v>
      </c>
      <c r="Z50" s="596">
        <f t="shared" si="69"/>
        <v>0</v>
      </c>
      <c r="AA50" s="596">
        <f t="shared" si="69"/>
        <v>0</v>
      </c>
      <c r="AB50" s="596">
        <f t="shared" si="69"/>
        <v>0</v>
      </c>
      <c r="AC50" s="595">
        <f t="shared" si="69"/>
        <v>0</v>
      </c>
      <c r="AD50" s="596">
        <f t="shared" si="69"/>
        <v>0</v>
      </c>
      <c r="AE50" s="596">
        <f t="shared" si="69"/>
        <v>0</v>
      </c>
      <c r="AF50" s="596">
        <f t="shared" si="69"/>
        <v>0</v>
      </c>
      <c r="AG50" s="596">
        <f t="shared" si="69"/>
        <v>0</v>
      </c>
      <c r="AH50" s="595">
        <f t="shared" si="69"/>
        <v>0</v>
      </c>
      <c r="AI50" s="596">
        <f t="shared" si="69"/>
        <v>0</v>
      </c>
      <c r="AJ50" s="596">
        <f t="shared" si="69"/>
        <v>0</v>
      </c>
      <c r="AK50" s="596">
        <f t="shared" si="69"/>
        <v>0</v>
      </c>
      <c r="AL50" s="596">
        <f t="shared" si="69"/>
        <v>0</v>
      </c>
      <c r="AM50" s="595">
        <f t="shared" si="69"/>
        <v>0</v>
      </c>
    </row>
    <row r="51" spans="1:39">
      <c r="A51" s="221"/>
      <c r="B51" s="122" t="s">
        <v>33</v>
      </c>
      <c r="C51" s="595">
        <f t="shared" ref="C51:AM51" si="70">C30/C45</f>
        <v>0</v>
      </c>
      <c r="D51" s="595">
        <f t="shared" si="70"/>
        <v>0</v>
      </c>
      <c r="E51" s="596">
        <f t="shared" si="70"/>
        <v>3.1681225088138012E-3</v>
      </c>
      <c r="F51" s="596">
        <f t="shared" si="70"/>
        <v>8.5398170177372872E-3</v>
      </c>
      <c r="G51" s="596">
        <f t="shared" si="70"/>
        <v>1.6414563362940813E-2</v>
      </c>
      <c r="H51" s="596">
        <f t="shared" si="70"/>
        <v>2.4010139740288729E-2</v>
      </c>
      <c r="I51" s="595">
        <f t="shared" si="70"/>
        <v>1.416856427724561E-2</v>
      </c>
      <c r="J51" s="596">
        <f t="shared" si="70"/>
        <v>3.1952809141233329E-2</v>
      </c>
      <c r="K51" s="596">
        <f t="shared" si="70"/>
        <v>4.1701477034834032E-2</v>
      </c>
      <c r="L51" s="596">
        <f t="shared" si="70"/>
        <v>4.4233987982708591E-2</v>
      </c>
      <c r="M51" s="596">
        <f t="shared" si="70"/>
        <v>5.9795384122235284E-2</v>
      </c>
      <c r="N51" s="595">
        <f t="shared" si="70"/>
        <v>4.5783423485421255E-2</v>
      </c>
      <c r="O51" s="596">
        <f t="shared" si="70"/>
        <v>6.2741747941434708E-2</v>
      </c>
      <c r="P51" s="596">
        <f t="shared" si="70"/>
        <v>6.7764569599095173E-2</v>
      </c>
      <c r="Q51" s="596">
        <f t="shared" si="70"/>
        <v>8.0455214327041794E-2</v>
      </c>
      <c r="R51" s="596">
        <f t="shared" si="70"/>
        <v>8.9658056678549369E-2</v>
      </c>
      <c r="S51" s="595">
        <f t="shared" si="70"/>
        <v>7.5700480066669754E-2</v>
      </c>
      <c r="T51" s="596">
        <f t="shared" si="70"/>
        <v>0.10629308813269953</v>
      </c>
      <c r="U51" s="596">
        <f t="shared" si="70"/>
        <v>0.10725378736366852</v>
      </c>
      <c r="V51" s="596">
        <f t="shared" si="70"/>
        <v>0.11116807568541198</v>
      </c>
      <c r="W51" s="596">
        <f t="shared" si="70"/>
        <v>0.12195685315897173</v>
      </c>
      <c r="X51" s="595">
        <f t="shared" si="70"/>
        <v>0.11209833275883664</v>
      </c>
      <c r="Y51" s="596">
        <f t="shared" si="70"/>
        <v>0.13696393983823274</v>
      </c>
      <c r="Z51" s="596">
        <f t="shared" si="70"/>
        <v>0.13733257552852457</v>
      </c>
      <c r="AA51" s="596">
        <f t="shared" si="70"/>
        <v>0.14207704488083139</v>
      </c>
      <c r="AB51" s="596">
        <f t="shared" si="70"/>
        <v>0.15490561538444414</v>
      </c>
      <c r="AC51" s="595">
        <f t="shared" si="70"/>
        <v>0.14333749011001101</v>
      </c>
      <c r="AD51" s="596">
        <f t="shared" si="70"/>
        <v>0.1630531101298241</v>
      </c>
      <c r="AE51" s="596">
        <f t="shared" si="70"/>
        <v>0.16347618655647914</v>
      </c>
      <c r="AF51" s="596">
        <f t="shared" si="70"/>
        <v>0.16894350180264739</v>
      </c>
      <c r="AG51" s="596">
        <f t="shared" si="70"/>
        <v>0.18368051930251467</v>
      </c>
      <c r="AH51" s="595">
        <f t="shared" si="70"/>
        <v>0.17039760562228812</v>
      </c>
      <c r="AI51" s="596">
        <f t="shared" si="70"/>
        <v>0.18740340804434655</v>
      </c>
      <c r="AJ51" s="596">
        <f t="shared" si="70"/>
        <v>0.18786880554857746</v>
      </c>
      <c r="AK51" s="596">
        <f t="shared" si="70"/>
        <v>0.19395343970470311</v>
      </c>
      <c r="AL51" s="596">
        <f t="shared" si="70"/>
        <v>0.21032521559390274</v>
      </c>
      <c r="AM51" s="595">
        <f t="shared" si="70"/>
        <v>0.19557927490038762</v>
      </c>
    </row>
    <row r="52" spans="1:39">
      <c r="A52" s="221"/>
      <c r="B52" s="122" t="s">
        <v>39</v>
      </c>
      <c r="C52" s="595">
        <f t="shared" ref="C52:AM52" si="71">C39/C45</f>
        <v>0</v>
      </c>
      <c r="D52" s="595">
        <f t="shared" si="71"/>
        <v>7.6751388856205194E-3</v>
      </c>
      <c r="E52" s="596">
        <f t="shared" si="71"/>
        <v>6.5361456730594477E-3</v>
      </c>
      <c r="F52" s="596">
        <f t="shared" si="71"/>
        <v>9.6181744327743287E-3</v>
      </c>
      <c r="G52" s="596">
        <f t="shared" si="71"/>
        <v>9.8144402427227159E-3</v>
      </c>
      <c r="H52" s="596">
        <f t="shared" si="71"/>
        <v>8.0631661179621679E-3</v>
      </c>
      <c r="I52" s="595">
        <f t="shared" si="71"/>
        <v>8.6133485142179649E-3</v>
      </c>
      <c r="J52" s="596">
        <f t="shared" si="71"/>
        <v>8.7964016171968862E-3</v>
      </c>
      <c r="K52" s="596">
        <f t="shared" si="71"/>
        <v>1.1583385212878172E-2</v>
      </c>
      <c r="L52" s="596">
        <f t="shared" si="71"/>
        <v>1.2664515274483123E-2</v>
      </c>
      <c r="M52" s="596">
        <f t="shared" si="71"/>
        <v>1.7029062934074152E-2</v>
      </c>
      <c r="N52" s="595">
        <f t="shared" si="71"/>
        <v>1.2924605285379894E-2</v>
      </c>
      <c r="O52" s="596">
        <f t="shared" si="71"/>
        <v>4.2666286988918153E-2</v>
      </c>
      <c r="P52" s="596">
        <f t="shared" si="71"/>
        <v>2.527745916498873E-2</v>
      </c>
      <c r="Q52" s="596">
        <f t="shared" si="71"/>
        <v>1.8612671468467113E-2</v>
      </c>
      <c r="R52" s="596">
        <f t="shared" si="71"/>
        <v>1.9625285174047446E-2</v>
      </c>
      <c r="S52" s="595">
        <f t="shared" si="71"/>
        <v>2.5929920683364929E-2</v>
      </c>
      <c r="T52" s="596">
        <f t="shared" si="71"/>
        <v>1.9534009021696268E-2</v>
      </c>
      <c r="U52" s="596">
        <f t="shared" si="71"/>
        <v>1.8656222518381518E-2</v>
      </c>
      <c r="V52" s="596">
        <f t="shared" si="71"/>
        <v>1.7241467703649774E-2</v>
      </c>
      <c r="W52" s="596">
        <f t="shared" si="71"/>
        <v>1.7796787117938039E-2</v>
      </c>
      <c r="X52" s="595">
        <f t="shared" si="71"/>
        <v>1.8229734425311828E-2</v>
      </c>
      <c r="Y52" s="596">
        <f t="shared" si="71"/>
        <v>1.8507752835386238E-2</v>
      </c>
      <c r="Z52" s="596">
        <f t="shared" si="71"/>
        <v>1.7564902060392164E-2</v>
      </c>
      <c r="AA52" s="596">
        <f t="shared" si="71"/>
        <v>1.6202392622742021E-2</v>
      </c>
      <c r="AB52" s="596">
        <f t="shared" si="71"/>
        <v>1.6621248736274984E-2</v>
      </c>
      <c r="AC52" s="595">
        <f t="shared" si="71"/>
        <v>1.713965499011114E-2</v>
      </c>
      <c r="AD52" s="596">
        <f t="shared" si="71"/>
        <v>1.7654765465209721E-2</v>
      </c>
      <c r="AE52" s="596">
        <f t="shared" si="71"/>
        <v>1.6753751929909379E-2</v>
      </c>
      <c r="AF52" s="596">
        <f t="shared" si="71"/>
        <v>1.5437683859893131E-2</v>
      </c>
      <c r="AG52" s="596">
        <f t="shared" si="71"/>
        <v>1.5792286002333625E-2</v>
      </c>
      <c r="AH52" s="595">
        <f t="shared" si="71"/>
        <v>1.6326428195397653E-2</v>
      </c>
      <c r="AI52" s="596">
        <f t="shared" si="71"/>
        <v>1.6452423520013675E-2</v>
      </c>
      <c r="AJ52" s="596">
        <f t="shared" si="71"/>
        <v>1.56110382265031E-2</v>
      </c>
      <c r="AK52" s="596">
        <f t="shared" si="71"/>
        <v>1.4370029771275673E-2</v>
      </c>
      <c r="AL52" s="596">
        <f t="shared" si="71"/>
        <v>1.4661985154356079E-2</v>
      </c>
      <c r="AM52" s="595">
        <f t="shared" si="71"/>
        <v>1.5193927754273952E-2</v>
      </c>
    </row>
    <row r="53" spans="1:39">
      <c r="A53" s="221"/>
      <c r="B53" s="122" t="s">
        <v>276</v>
      </c>
      <c r="C53" s="595">
        <f>SUM(C49:C52)</f>
        <v>1</v>
      </c>
      <c r="D53" s="595">
        <f>SUM(D49:D52)</f>
        <v>1</v>
      </c>
      <c r="E53" s="596">
        <f t="shared" ref="E53:AM53" si="72">SUM(E49:E52)</f>
        <v>1</v>
      </c>
      <c r="F53" s="596">
        <f t="shared" si="72"/>
        <v>1</v>
      </c>
      <c r="G53" s="596">
        <f t="shared" si="72"/>
        <v>0.99999999999999989</v>
      </c>
      <c r="H53" s="596">
        <f t="shared" si="72"/>
        <v>1</v>
      </c>
      <c r="I53" s="595">
        <f t="shared" si="72"/>
        <v>0.99999999999999978</v>
      </c>
      <c r="J53" s="596">
        <f t="shared" si="72"/>
        <v>0.99999999999999989</v>
      </c>
      <c r="K53" s="596">
        <f t="shared" si="72"/>
        <v>1.0000000000000002</v>
      </c>
      <c r="L53" s="596">
        <f t="shared" si="72"/>
        <v>0.99999999999999989</v>
      </c>
      <c r="M53" s="596">
        <f t="shared" si="72"/>
        <v>1</v>
      </c>
      <c r="N53" s="595">
        <f t="shared" si="72"/>
        <v>1</v>
      </c>
      <c r="O53" s="596">
        <f t="shared" si="72"/>
        <v>1</v>
      </c>
      <c r="P53" s="596">
        <f t="shared" si="72"/>
        <v>1</v>
      </c>
      <c r="Q53" s="596">
        <f t="shared" si="72"/>
        <v>1</v>
      </c>
      <c r="R53" s="596">
        <f t="shared" si="72"/>
        <v>1</v>
      </c>
      <c r="S53" s="595">
        <f t="shared" si="72"/>
        <v>1</v>
      </c>
      <c r="T53" s="596">
        <f t="shared" si="72"/>
        <v>0.99999999999999989</v>
      </c>
      <c r="U53" s="596">
        <f t="shared" si="72"/>
        <v>1</v>
      </c>
      <c r="V53" s="596">
        <f t="shared" si="72"/>
        <v>0.99999999999999978</v>
      </c>
      <c r="W53" s="596">
        <f t="shared" si="72"/>
        <v>1</v>
      </c>
      <c r="X53" s="595">
        <f t="shared" si="72"/>
        <v>1</v>
      </c>
      <c r="Y53" s="596">
        <f t="shared" si="72"/>
        <v>0.99999999999999989</v>
      </c>
      <c r="Z53" s="596">
        <f t="shared" si="72"/>
        <v>1</v>
      </c>
      <c r="AA53" s="596">
        <f t="shared" si="72"/>
        <v>1</v>
      </c>
      <c r="AB53" s="596">
        <f t="shared" si="72"/>
        <v>1</v>
      </c>
      <c r="AC53" s="595">
        <f t="shared" si="72"/>
        <v>1</v>
      </c>
      <c r="AD53" s="596">
        <f t="shared" si="72"/>
        <v>1</v>
      </c>
      <c r="AE53" s="596">
        <f t="shared" si="72"/>
        <v>0.99999999999999989</v>
      </c>
      <c r="AF53" s="596">
        <f t="shared" si="72"/>
        <v>0.99999999999999989</v>
      </c>
      <c r="AG53" s="596">
        <f t="shared" si="72"/>
        <v>1</v>
      </c>
      <c r="AH53" s="595">
        <f t="shared" si="72"/>
        <v>1.0000000000000002</v>
      </c>
      <c r="AI53" s="596">
        <f t="shared" si="72"/>
        <v>0.99999999999999989</v>
      </c>
      <c r="AJ53" s="596">
        <f t="shared" si="72"/>
        <v>1</v>
      </c>
      <c r="AK53" s="596">
        <f t="shared" si="72"/>
        <v>1.0000000000000002</v>
      </c>
      <c r="AL53" s="596">
        <f t="shared" si="72"/>
        <v>1</v>
      </c>
      <c r="AM53" s="595">
        <f t="shared" si="72"/>
        <v>0.99999999999999989</v>
      </c>
    </row>
    <row r="54" spans="1:39">
      <c r="A54" s="221"/>
      <c r="B54" s="122"/>
      <c r="C54" s="595"/>
      <c r="D54" s="595"/>
      <c r="E54" s="596"/>
      <c r="F54" s="596"/>
      <c r="G54" s="596"/>
      <c r="H54" s="596"/>
      <c r="I54" s="595"/>
      <c r="J54" s="596"/>
      <c r="K54" s="596"/>
      <c r="L54" s="596"/>
      <c r="M54" s="596"/>
      <c r="N54" s="595"/>
      <c r="O54" s="596"/>
      <c r="P54" s="596"/>
      <c r="Q54" s="596"/>
      <c r="R54" s="596"/>
      <c r="S54" s="595"/>
      <c r="T54" s="596"/>
      <c r="U54" s="596"/>
      <c r="V54" s="596"/>
      <c r="W54" s="596"/>
      <c r="X54" s="595"/>
      <c r="Y54" s="596"/>
      <c r="Z54" s="596"/>
      <c r="AA54" s="596"/>
      <c r="AB54" s="596"/>
      <c r="AC54" s="595"/>
      <c r="AD54" s="596"/>
      <c r="AE54" s="596"/>
      <c r="AF54" s="596"/>
      <c r="AG54" s="596"/>
      <c r="AH54" s="595"/>
      <c r="AI54" s="596"/>
      <c r="AJ54" s="596"/>
      <c r="AK54" s="596"/>
      <c r="AL54" s="596"/>
      <c r="AM54" s="595"/>
    </row>
    <row r="55" spans="1:39" ht="15.75">
      <c r="A55" s="221"/>
      <c r="B55" s="594" t="s">
        <v>275</v>
      </c>
      <c r="C55" s="595"/>
      <c r="D55" s="595"/>
      <c r="E55" s="596"/>
      <c r="F55" s="596"/>
      <c r="G55" s="596"/>
      <c r="H55" s="596"/>
      <c r="I55" s="595"/>
      <c r="J55" s="596"/>
      <c r="K55" s="596"/>
      <c r="L55" s="596"/>
      <c r="M55" s="596"/>
      <c r="N55" s="595"/>
      <c r="O55" s="596"/>
      <c r="P55" s="596"/>
      <c r="Q55" s="596"/>
      <c r="R55" s="596"/>
      <c r="S55" s="595"/>
      <c r="T55" s="596"/>
      <c r="U55" s="596"/>
      <c r="V55" s="596"/>
      <c r="W55" s="596"/>
      <c r="X55" s="595"/>
      <c r="Y55" s="596"/>
      <c r="Z55" s="596"/>
      <c r="AA55" s="596"/>
      <c r="AB55" s="596"/>
      <c r="AC55" s="595"/>
      <c r="AD55" s="596"/>
      <c r="AE55" s="596"/>
      <c r="AF55" s="596"/>
      <c r="AG55" s="596"/>
      <c r="AH55" s="595"/>
      <c r="AI55" s="596"/>
      <c r="AJ55" s="596"/>
      <c r="AK55" s="596"/>
      <c r="AL55" s="596"/>
      <c r="AM55" s="595"/>
    </row>
    <row r="56" spans="1:39">
      <c r="A56" s="221"/>
      <c r="B56" s="122" t="s">
        <v>277</v>
      </c>
      <c r="C56" s="595">
        <f>(C7-'Quarterly Model'!C19)/'Quarterly Model'!C26</f>
        <v>1</v>
      </c>
      <c r="D56" s="595">
        <f>(D7-'Quarterly Model'!D19)/'Quarterly Model'!D26</f>
        <v>0.97352382855430142</v>
      </c>
      <c r="E56" s="596">
        <f>(E7-'Quarterly Model'!E19)/'Quarterly Model'!E26</f>
        <v>0.96939301885711004</v>
      </c>
      <c r="F56" s="596">
        <f>(F7-'Quarterly Model'!F19)/'Quarterly Model'!F26</f>
        <v>0.94382778841550985</v>
      </c>
      <c r="G56" s="596">
        <f>(G7-'Quarterly Model'!G19)/'Quarterly Model'!G26</f>
        <v>0.92057256990679093</v>
      </c>
      <c r="H56" s="596">
        <f>(H7-'Quarterly Model'!H19)/'Quarterly Model'!H26</f>
        <v>0.90189097913948868</v>
      </c>
      <c r="I56" s="595">
        <f>(I7-'Quarterly Model'!I19)/'Quarterly Model'!I26</f>
        <v>0.92990119792986126</v>
      </c>
      <c r="J56" s="596">
        <f>(J7-'Quarterly Model'!J19)/'Quarterly Model'!J26</f>
        <v>0.88548162770873518</v>
      </c>
      <c r="K56" s="596">
        <f>(K7-'Quarterly Model'!K19)/'Quarterly Model'!K26</f>
        <v>0.84930669585841989</v>
      </c>
      <c r="L56" s="596">
        <f>(L7-'Quarterly Model'!L19)/'Quarterly Model'!L26</f>
        <v>0.83961679776663345</v>
      </c>
      <c r="M56" s="596">
        <f>(M7-'Quarterly Model'!M19)/'Quarterly Model'!M26</f>
        <v>0.78624410982117654</v>
      </c>
      <c r="N56" s="595">
        <f>(N7-'Quarterly Model'!N19)/'Quarterly Model'!N26</f>
        <v>0.83511794862701705</v>
      </c>
      <c r="O56" s="596">
        <f>(O7-'Quarterly Model'!O19)/'Quarterly Model'!O26</f>
        <v>0.72646847524887948</v>
      </c>
      <c r="P56" s="596">
        <f>(P7-'Quarterly Model'!P19)/'Quarterly Model'!P26</f>
        <v>0.76112499926818855</v>
      </c>
      <c r="Q56" s="596">
        <f>(Q7-'Quarterly Model'!Q19)/'Quarterly Model'!Q26</f>
        <v>0.75536205470898943</v>
      </c>
      <c r="R56" s="596">
        <f>(R7-'Quarterly Model'!R19)/'Quarterly Model'!R26</f>
        <v>0.74261115193587535</v>
      </c>
      <c r="S56" s="595">
        <f>(S7-'Quarterly Model'!S19)/'Quarterly Model'!S26</f>
        <v>0.74708207474898713</v>
      </c>
      <c r="T56" s="596">
        <f>(T7-'Quarterly Model'!T19)/'Quarterly Model'!T26</f>
        <v>0.71500078517587928</v>
      </c>
      <c r="U56" s="596">
        <f>(U7-'Quarterly Model'!U19)/'Quarterly Model'!U26</f>
        <v>0.7111637057896204</v>
      </c>
      <c r="V56" s="596">
        <f>(V7-'Quarterly Model'!V19)/'Quarterly Model'!V26</f>
        <v>0.70775836587376872</v>
      </c>
      <c r="W56" s="596">
        <f>(W7-'Quarterly Model'!W19)/'Quarterly Model'!W26</f>
        <v>0.6858049442651194</v>
      </c>
      <c r="X56" s="595">
        <f>(X7-'Quarterly Model'!X19)/'Quarterly Model'!X26</f>
        <v>0.70409349174932978</v>
      </c>
      <c r="Y56" s="596">
        <f>(Y7-'Quarterly Model'!Y19)/'Quarterly Model'!Y26</f>
        <v>0.65941275639584795</v>
      </c>
      <c r="Z56" s="596">
        <f>(Z7-'Quarterly Model'!Z19)/'Quarterly Model'!Z26</f>
        <v>0.66039574054251704</v>
      </c>
      <c r="AA56" s="596">
        <f>(AA7-'Quarterly Model'!AA19)/'Quarterly Model'!AA26</f>
        <v>0.65462907725452346</v>
      </c>
      <c r="AB56" s="596">
        <f>(AB7-'Quarterly Model'!AB19)/'Quarterly Model'!AB26</f>
        <v>0.63255843280585544</v>
      </c>
      <c r="AC56" s="595">
        <f>(AC7-'Quarterly Model'!AC19)/'Quarterly Model'!AC26</f>
        <v>0.65091098416716908</v>
      </c>
      <c r="AD56" s="596">
        <f>(AD7-'Quarterly Model'!AD19)/'Quarterly Model'!AD26</f>
        <v>0.61821507169596301</v>
      </c>
      <c r="AE56" s="596">
        <f>(AE7-'Quarterly Model'!AE19)/'Quarterly Model'!AE26</f>
        <v>0.61897749340834363</v>
      </c>
      <c r="AF56" s="596">
        <f>(AF7-'Quarterly Model'!AF19)/'Quarterly Model'!AF26</f>
        <v>0.61238815465772933</v>
      </c>
      <c r="AG56" s="596">
        <f>(AG7-'Quarterly Model'!AG19)/'Quarterly Model'!AG26</f>
        <v>0.58904349418033708</v>
      </c>
      <c r="AH56" s="595">
        <f>(AH7-'Quarterly Model'!AH19)/'Quarterly Model'!AH26</f>
        <v>0.60870184968319685</v>
      </c>
      <c r="AI56" s="596">
        <f>(AI7-'Quarterly Model'!AI19)/'Quarterly Model'!AI26</f>
        <v>0.58411884529570945</v>
      </c>
      <c r="AJ56" s="596">
        <f>(AJ7-'Quarterly Model'!AJ19)/'Quarterly Model'!AJ26</f>
        <v>0.5846818897875381</v>
      </c>
      <c r="AK56" s="596">
        <f>(AK7-'Quarterly Model'!AK19)/'Quarterly Model'!AK26</f>
        <v>0.57747061297863655</v>
      </c>
      <c r="AL56" s="596">
        <f>(AL7-'Quarterly Model'!AL19)/'Quarterly Model'!AL26</f>
        <v>0.55333969067888422</v>
      </c>
      <c r="AM56" s="595">
        <f>(AM7-'Quarterly Model'!AM19)/'Quarterly Model'!AM26</f>
        <v>0.57385784555082631</v>
      </c>
    </row>
    <row r="57" spans="1:39">
      <c r="A57" s="221"/>
      <c r="B57" s="122" t="s">
        <v>33</v>
      </c>
      <c r="C57" s="595">
        <f>C30/'Quarterly Model'!C26</f>
        <v>0</v>
      </c>
      <c r="D57" s="595">
        <f>D30/'Quarterly Model'!D26</f>
        <v>0</v>
      </c>
      <c r="E57" s="596">
        <f>E30/'Quarterly Model'!E26</f>
        <v>9.9921667526413314E-3</v>
      </c>
      <c r="F57" s="596">
        <f>F30/'Quarterly Model'!F26</f>
        <v>2.6418142651986599E-2</v>
      </c>
      <c r="G57" s="596">
        <f>G30/'Quarterly Model'!G26</f>
        <v>4.9707057256990678E-2</v>
      </c>
      <c r="H57" s="596">
        <f>H30/'Quarterly Model'!H26</f>
        <v>7.3444605649772635E-2</v>
      </c>
      <c r="I57" s="595">
        <f>I30/'Quarterly Model'!I26</f>
        <v>4.35959610582317E-2</v>
      </c>
      <c r="J57" s="596">
        <f>J30/'Quarterly Model'!J26</f>
        <v>8.9797658037596984E-2</v>
      </c>
      <c r="K57" s="596">
        <f>K30/'Quarterly Model'!K26</f>
        <v>0.11793468345192487</v>
      </c>
      <c r="L57" s="596">
        <f>L30/'Quarterly Model'!L26</f>
        <v>0.12468497823485988</v>
      </c>
      <c r="M57" s="596">
        <f>M30/'Quarterly Model'!M26</f>
        <v>0.16637432550949116</v>
      </c>
      <c r="N57" s="595">
        <f>N30/'Quarterly Model'!N26</f>
        <v>0.12858317578035822</v>
      </c>
      <c r="O57" s="596">
        <f>O30/'Quarterly Model'!O26</f>
        <v>0.16281345147275156</v>
      </c>
      <c r="P57" s="596">
        <f>P30/'Quarterly Model'!P26</f>
        <v>0.17397795198145302</v>
      </c>
      <c r="Q57" s="596">
        <f>Q30/'Quarterly Model'!Q26</f>
        <v>0.19867586920692784</v>
      </c>
      <c r="R57" s="596">
        <f>R30/'Quarterly Model'!R26</f>
        <v>0.21116652855735699</v>
      </c>
      <c r="S57" s="595">
        <f>S30/'Quarterly Model'!S26</f>
        <v>0.18838859453145715</v>
      </c>
      <c r="T57" s="596">
        <f>T30/'Quarterly Model'!T26</f>
        <v>0.24075455402010051</v>
      </c>
      <c r="U57" s="596">
        <f>U30/'Quarterly Model'!U26</f>
        <v>0.24603910770216253</v>
      </c>
      <c r="V57" s="596">
        <f>V30/'Quarterly Model'!V26</f>
        <v>0.25300253582040783</v>
      </c>
      <c r="W57" s="596">
        <f>W30/'Quarterly Model'!W26</f>
        <v>0.27418420156791257</v>
      </c>
      <c r="X57" s="595">
        <f>X30/'Quarterly Model'!X26</f>
        <v>0.25451636738017686</v>
      </c>
      <c r="Y57" s="596">
        <f>Y30/'Quarterly Model'!Y26</f>
        <v>0.30004285629408356</v>
      </c>
      <c r="Z57" s="596">
        <f>Z30/'Quarterly Model'!Z26</f>
        <v>0.3010941710460141</v>
      </c>
      <c r="AA57" s="596">
        <f>AA30/'Quarterly Model'!AA26</f>
        <v>0.31001677075289963</v>
      </c>
      <c r="AB57" s="596">
        <f>AB30/'Quarterly Model'!AB26</f>
        <v>0.3318358460979885</v>
      </c>
      <c r="AC57" s="595">
        <f>AC30/'Quarterly Model'!AC26</f>
        <v>0.31180479515156717</v>
      </c>
      <c r="AD57" s="596">
        <f>AD30/'Quarterly Model'!AD26</f>
        <v>0.34448537317858835</v>
      </c>
      <c r="AE57" s="596">
        <f>AE30/'Quarterly Model'!AE26</f>
        <v>0.34560354896031376</v>
      </c>
      <c r="AF57" s="596">
        <f>AF30/'Quarterly Model'!AF26</f>
        <v>0.35515826767792286</v>
      </c>
      <c r="AG57" s="596">
        <f>AG30/'Quarterly Model'!AG26</f>
        <v>0.37842102979572373</v>
      </c>
      <c r="AH57" s="595">
        <f>AH30/'Quarterly Model'!AH26</f>
        <v>0.35708455165185143</v>
      </c>
      <c r="AI57" s="596">
        <f>AI30/'Quarterly Model'!AI26</f>
        <v>0.38231697928345076</v>
      </c>
      <c r="AJ57" s="596">
        <f>AJ30/'Quarterly Model'!AJ26</f>
        <v>0.38345477291870805</v>
      </c>
      <c r="AK57" s="596">
        <f>AK30/'Quarterly Model'!AK26</f>
        <v>0.39338355968847188</v>
      </c>
      <c r="AL57" s="596">
        <f>AL30/'Quarterly Model'!AL26</f>
        <v>0.41755231205493365</v>
      </c>
      <c r="AM57" s="595">
        <f>AM30/'Quarterly Model'!AM26</f>
        <v>0.39542300691902038</v>
      </c>
    </row>
    <row r="58" spans="1:39">
      <c r="A58" s="221"/>
      <c r="B58" s="122" t="s">
        <v>39</v>
      </c>
      <c r="C58" s="595">
        <f>C39/'Quarterly Model'!C26</f>
        <v>0</v>
      </c>
      <c r="D58" s="595">
        <f>D39/'Quarterly Model'!D26</f>
        <v>2.647617144569888E-2</v>
      </c>
      <c r="E58" s="596">
        <f>E39/'Quarterly Model'!E26</f>
        <v>2.0614814390248558E-2</v>
      </c>
      <c r="F58" s="596">
        <f>F39/'Quarterly Model'!F26</f>
        <v>2.9754068932503593E-2</v>
      </c>
      <c r="G58" s="596">
        <f>G39/'Quarterly Model'!G26</f>
        <v>2.9720372836218374E-2</v>
      </c>
      <c r="H58" s="596">
        <f>H39/'Quarterly Model'!H26</f>
        <v>2.466441521073872E-2</v>
      </c>
      <c r="I58" s="595">
        <f>I39/'Quarterly Model'!I26</f>
        <v>2.6502841011906923E-2</v>
      </c>
      <c r="J58" s="596">
        <f>J39/'Quarterly Model'!J26</f>
        <v>2.472071425366772E-2</v>
      </c>
      <c r="K58" s="596">
        <f>K39/'Quarterly Model'!K26</f>
        <v>3.2758620689655182E-2</v>
      </c>
      <c r="L58" s="596">
        <f>L39/'Quarterly Model'!L26</f>
        <v>3.5698223998506563E-2</v>
      </c>
      <c r="M58" s="596">
        <f>M39/'Quarterly Model'!M26</f>
        <v>4.7381564669332417E-2</v>
      </c>
      <c r="N58" s="595">
        <f>N39/'Quarterly Model'!N26</f>
        <v>3.629887559262452E-2</v>
      </c>
      <c r="O58" s="596">
        <f>O39/'Quarterly Model'!O26</f>
        <v>0.11071807327836887</v>
      </c>
      <c r="P58" s="596">
        <f>P39/'Quarterly Model'!P26</f>
        <v>6.4897048750358621E-2</v>
      </c>
      <c r="Q58" s="596">
        <f>Q39/'Quarterly Model'!Q26</f>
        <v>4.5962076084082877E-2</v>
      </c>
      <c r="R58" s="596">
        <f>R39/'Quarterly Model'!R26</f>
        <v>4.6222319506767341E-2</v>
      </c>
      <c r="S58" s="595">
        <f>S39/'Quarterly Model'!S26</f>
        <v>6.4529330719555883E-2</v>
      </c>
      <c r="T58" s="596">
        <f>T39/'Quarterly Model'!T26</f>
        <v>4.4244660804020099E-2</v>
      </c>
      <c r="U58" s="596">
        <f>U39/'Quarterly Model'!U26</f>
        <v>4.2797186508217108E-2</v>
      </c>
      <c r="V58" s="596">
        <f>V39/'Quarterly Model'!V26</f>
        <v>3.9239098305823041E-2</v>
      </c>
      <c r="W58" s="596">
        <f>W39/'Quarterly Model'!W26</f>
        <v>4.0010854166968035E-2</v>
      </c>
      <c r="X58" s="595">
        <f>X39/'Quarterly Model'!X26</f>
        <v>4.1390140870493662E-2</v>
      </c>
      <c r="Y58" s="596">
        <f>Y39/'Quarterly Model'!Y26</f>
        <v>4.0544387310068361E-2</v>
      </c>
      <c r="Z58" s="596">
        <f>Z39/'Quarterly Model'!Z26</f>
        <v>3.8510088411468836E-2</v>
      </c>
      <c r="AA58" s="596">
        <f>AA39/'Quarterly Model'!AA26</f>
        <v>3.5354151992576917E-2</v>
      </c>
      <c r="AB58" s="596">
        <f>AB39/'Quarterly Model'!AB26</f>
        <v>3.5605721096156007E-2</v>
      </c>
      <c r="AC58" s="595">
        <f>AC39/'Quarterly Model'!AC26</f>
        <v>3.7284220681263955E-2</v>
      </c>
      <c r="AD58" s="596">
        <f>AD39/'Quarterly Model'!AD26</f>
        <v>3.729955512544865E-2</v>
      </c>
      <c r="AE58" s="596">
        <f>AE39/'Quarterly Model'!AE26</f>
        <v>3.5418957631342556E-2</v>
      </c>
      <c r="AF58" s="596">
        <f>AF39/'Quarterly Model'!AF26</f>
        <v>3.2453577664347644E-2</v>
      </c>
      <c r="AG58" s="596">
        <f>AG39/'Quarterly Model'!AG26</f>
        <v>3.2535476023939289E-2</v>
      </c>
      <c r="AH58" s="595">
        <f>AH39/'Quarterly Model'!AH26</f>
        <v>3.4213598664951897E-2</v>
      </c>
      <c r="AI58" s="596">
        <f>AI39/'Quarterly Model'!AI26</f>
        <v>3.3564175420839573E-2</v>
      </c>
      <c r="AJ58" s="596">
        <f>AJ39/'Quarterly Model'!AJ26</f>
        <v>3.1863337293754054E-2</v>
      </c>
      <c r="AK58" s="596">
        <f>AK39/'Quarterly Model'!AK26</f>
        <v>2.9145827332891925E-2</v>
      </c>
      <c r="AL58" s="596">
        <f>AL39/'Quarterly Model'!AL26</f>
        <v>2.9107997266182156E-2</v>
      </c>
      <c r="AM58" s="595">
        <f>AM39/'Quarterly Model'!AM26</f>
        <v>3.0719147530153038E-2</v>
      </c>
    </row>
    <row r="59" spans="1:39">
      <c r="A59" s="221"/>
      <c r="B59" s="122" t="s">
        <v>276</v>
      </c>
      <c r="C59" s="595">
        <f>SUM(C55:C58)</f>
        <v>1</v>
      </c>
      <c r="D59" s="595">
        <f>SUM(D55:D58)</f>
        <v>1.0000000000000002</v>
      </c>
      <c r="E59" s="596">
        <f t="shared" ref="E59:AM59" si="73">SUM(E55:E58)</f>
        <v>1</v>
      </c>
      <c r="F59" s="596">
        <f t="shared" si="73"/>
        <v>1</v>
      </c>
      <c r="G59" s="596">
        <f t="shared" si="73"/>
        <v>1</v>
      </c>
      <c r="H59" s="596">
        <f t="shared" si="73"/>
        <v>1</v>
      </c>
      <c r="I59" s="595">
        <f t="shared" si="73"/>
        <v>0.99999999999999989</v>
      </c>
      <c r="J59" s="596">
        <f t="shared" si="73"/>
        <v>0.99999999999999989</v>
      </c>
      <c r="K59" s="596">
        <f t="shared" si="73"/>
        <v>0.99999999999999989</v>
      </c>
      <c r="L59" s="596">
        <f t="shared" si="73"/>
        <v>0.99999999999999989</v>
      </c>
      <c r="M59" s="596">
        <f t="shared" si="73"/>
        <v>1.0000000000000002</v>
      </c>
      <c r="N59" s="595">
        <f t="shared" si="73"/>
        <v>0.99999999999999978</v>
      </c>
      <c r="O59" s="596">
        <f t="shared" si="73"/>
        <v>0.99999999999999989</v>
      </c>
      <c r="P59" s="596">
        <f t="shared" si="73"/>
        <v>1.0000000000000002</v>
      </c>
      <c r="Q59" s="596">
        <f t="shared" si="73"/>
        <v>1.0000000000000002</v>
      </c>
      <c r="R59" s="596">
        <f t="shared" si="73"/>
        <v>0.99999999999999967</v>
      </c>
      <c r="S59" s="595">
        <f t="shared" si="73"/>
        <v>1.0000000000000002</v>
      </c>
      <c r="T59" s="596">
        <f t="shared" si="73"/>
        <v>0.99999999999999989</v>
      </c>
      <c r="U59" s="596">
        <f t="shared" si="73"/>
        <v>1</v>
      </c>
      <c r="V59" s="596">
        <f t="shared" si="73"/>
        <v>0.99999999999999956</v>
      </c>
      <c r="W59" s="596">
        <f t="shared" si="73"/>
        <v>1</v>
      </c>
      <c r="X59" s="595">
        <f t="shared" si="73"/>
        <v>1.0000000000000004</v>
      </c>
      <c r="Y59" s="596">
        <f t="shared" si="73"/>
        <v>0.99999999999999989</v>
      </c>
      <c r="Z59" s="596">
        <f t="shared" si="73"/>
        <v>1</v>
      </c>
      <c r="AA59" s="596">
        <f t="shared" si="73"/>
        <v>1</v>
      </c>
      <c r="AB59" s="596">
        <f t="shared" si="73"/>
        <v>1</v>
      </c>
      <c r="AC59" s="595">
        <f t="shared" si="73"/>
        <v>1.0000000000000002</v>
      </c>
      <c r="AD59" s="596">
        <f t="shared" si="73"/>
        <v>1</v>
      </c>
      <c r="AE59" s="596">
        <f t="shared" si="73"/>
        <v>0.99999999999999989</v>
      </c>
      <c r="AF59" s="596">
        <f t="shared" si="73"/>
        <v>0.99999999999999989</v>
      </c>
      <c r="AG59" s="596">
        <f t="shared" si="73"/>
        <v>1.0000000000000002</v>
      </c>
      <c r="AH59" s="595">
        <f t="shared" si="73"/>
        <v>1.0000000000000002</v>
      </c>
      <c r="AI59" s="596">
        <f t="shared" si="73"/>
        <v>0.99999999999999978</v>
      </c>
      <c r="AJ59" s="596">
        <f t="shared" si="73"/>
        <v>1.0000000000000002</v>
      </c>
      <c r="AK59" s="596">
        <f t="shared" si="73"/>
        <v>1.0000000000000004</v>
      </c>
      <c r="AL59" s="596">
        <f t="shared" si="73"/>
        <v>1</v>
      </c>
      <c r="AM59" s="595">
        <f t="shared" si="73"/>
        <v>0.99999999999999967</v>
      </c>
    </row>
    <row r="60" spans="1:39">
      <c r="A60" s="221"/>
      <c r="B60" s="122"/>
      <c r="C60" s="595"/>
      <c r="D60" s="595"/>
      <c r="E60" s="596"/>
      <c r="F60" s="596"/>
      <c r="G60" s="596"/>
      <c r="H60" s="596"/>
      <c r="I60" s="595"/>
      <c r="J60" s="596"/>
      <c r="K60" s="596"/>
      <c r="L60" s="596"/>
      <c r="M60" s="596"/>
      <c r="N60" s="595"/>
      <c r="O60" s="596"/>
      <c r="P60" s="596"/>
      <c r="Q60" s="596"/>
      <c r="R60" s="596"/>
      <c r="S60" s="595"/>
      <c r="T60" s="596"/>
      <c r="U60" s="596"/>
      <c r="V60" s="596"/>
      <c r="W60" s="596"/>
      <c r="X60" s="595"/>
      <c r="Y60" s="596"/>
      <c r="Z60" s="596"/>
      <c r="AA60" s="596"/>
      <c r="AB60" s="596"/>
      <c r="AC60" s="595"/>
      <c r="AD60" s="596"/>
      <c r="AE60" s="596"/>
      <c r="AF60" s="596"/>
      <c r="AG60" s="596"/>
      <c r="AH60" s="595"/>
      <c r="AI60" s="596"/>
      <c r="AJ60" s="596"/>
      <c r="AK60" s="596"/>
      <c r="AL60" s="596"/>
      <c r="AM60" s="595"/>
    </row>
    <row r="61" spans="1:39">
      <c r="A61" s="221"/>
      <c r="B61" s="267" t="s">
        <v>278</v>
      </c>
      <c r="C61" s="595"/>
      <c r="D61" s="595"/>
      <c r="E61" s="596"/>
      <c r="F61" s="596"/>
      <c r="G61" s="596"/>
      <c r="H61" s="596"/>
      <c r="I61" s="595"/>
      <c r="J61" s="596"/>
      <c r="K61" s="596"/>
      <c r="L61" s="596"/>
      <c r="M61" s="596"/>
      <c r="N61" s="595"/>
      <c r="O61" s="596"/>
      <c r="P61" s="596"/>
      <c r="Q61" s="596"/>
      <c r="R61" s="596"/>
      <c r="S61" s="595"/>
      <c r="T61" s="596"/>
      <c r="U61" s="596"/>
      <c r="V61" s="599"/>
      <c r="W61" s="596"/>
      <c r="X61" s="595"/>
      <c r="Y61" s="596"/>
      <c r="Z61" s="596"/>
      <c r="AA61" s="596"/>
      <c r="AB61" s="596"/>
      <c r="AC61" s="595"/>
      <c r="AD61" s="596"/>
      <c r="AE61" s="596"/>
      <c r="AF61" s="596"/>
      <c r="AG61" s="596"/>
      <c r="AH61" s="595"/>
      <c r="AI61" s="596"/>
      <c r="AJ61" s="596"/>
      <c r="AK61" s="596"/>
      <c r="AL61" s="596"/>
      <c r="AM61" s="595"/>
    </row>
    <row r="62" spans="1:39">
      <c r="A62" s="221"/>
      <c r="B62" s="122" t="s">
        <v>279</v>
      </c>
      <c r="C62" s="597">
        <v>0.83</v>
      </c>
      <c r="D62" s="597">
        <v>0.74</v>
      </c>
      <c r="E62" s="598"/>
      <c r="F62" s="598">
        <v>0.7</v>
      </c>
      <c r="G62" s="598">
        <v>0.68</v>
      </c>
      <c r="H62" s="598">
        <v>0.67</v>
      </c>
      <c r="I62" s="597"/>
      <c r="J62" s="598"/>
      <c r="K62" s="598">
        <v>0.63</v>
      </c>
      <c r="L62" s="598">
        <v>0.62</v>
      </c>
      <c r="M62" s="598">
        <f>1-0.39</f>
        <v>0.61</v>
      </c>
      <c r="N62" s="597"/>
      <c r="O62" s="598">
        <v>0.61</v>
      </c>
      <c r="P62" s="598">
        <v>0.57999999999999996</v>
      </c>
      <c r="Q62" s="598">
        <v>0.56999999999999995</v>
      </c>
      <c r="R62" s="598">
        <v>0.57999999999999996</v>
      </c>
      <c r="S62" s="597"/>
      <c r="T62" s="598">
        <v>0.56999999999999995</v>
      </c>
      <c r="U62" s="598">
        <v>0.54</v>
      </c>
      <c r="V62" s="598">
        <v>0.52</v>
      </c>
      <c r="W62" s="598"/>
      <c r="X62" s="597"/>
      <c r="Y62" s="598"/>
      <c r="Z62" s="598"/>
      <c r="AA62" s="598"/>
      <c r="AB62" s="598"/>
      <c r="AC62" s="597"/>
      <c r="AD62" s="598"/>
      <c r="AE62" s="598"/>
      <c r="AF62" s="598"/>
      <c r="AG62" s="598"/>
      <c r="AH62" s="597"/>
      <c r="AI62" s="598"/>
      <c r="AJ62" s="598"/>
      <c r="AK62" s="598"/>
      <c r="AL62" s="598"/>
      <c r="AM62" s="597"/>
    </row>
    <row r="63" spans="1:39">
      <c r="A63" s="221"/>
      <c r="B63" s="122" t="s">
        <v>280</v>
      </c>
      <c r="C63" s="597">
        <v>0.14000000000000001</v>
      </c>
      <c r="D63" s="597">
        <v>0.21</v>
      </c>
      <c r="E63" s="598"/>
      <c r="F63" s="598">
        <v>0.24</v>
      </c>
      <c r="G63" s="598">
        <v>0.24</v>
      </c>
      <c r="H63" s="598">
        <v>0.25</v>
      </c>
      <c r="I63" s="597"/>
      <c r="J63" s="598"/>
      <c r="K63" s="598">
        <v>0.26</v>
      </c>
      <c r="L63" s="598">
        <v>0.27</v>
      </c>
      <c r="M63" s="598">
        <v>0.27</v>
      </c>
      <c r="N63" s="597"/>
      <c r="O63" s="598">
        <v>0.27</v>
      </c>
      <c r="P63" s="598">
        <v>0.28000000000000003</v>
      </c>
      <c r="Q63" s="598">
        <v>0.28000000000000003</v>
      </c>
      <c r="R63" s="598">
        <v>0.28000000000000003</v>
      </c>
      <c r="S63" s="597"/>
      <c r="T63" s="598">
        <v>0.28000000000000003</v>
      </c>
      <c r="U63" s="598">
        <v>0.27</v>
      </c>
      <c r="V63" s="598">
        <v>0.27</v>
      </c>
      <c r="W63" s="598"/>
      <c r="X63" s="597"/>
      <c r="Y63" s="598"/>
      <c r="Z63" s="598"/>
      <c r="AA63" s="598"/>
      <c r="AB63" s="598"/>
      <c r="AC63" s="597"/>
      <c r="AD63" s="598"/>
      <c r="AE63" s="598"/>
      <c r="AF63" s="598"/>
      <c r="AG63" s="598"/>
      <c r="AH63" s="597"/>
      <c r="AI63" s="598"/>
      <c r="AJ63" s="598"/>
      <c r="AK63" s="598"/>
      <c r="AL63" s="598"/>
      <c r="AM63" s="597"/>
    </row>
    <row r="64" spans="1:39">
      <c r="A64" s="221"/>
      <c r="B64" s="122" t="s">
        <v>281</v>
      </c>
      <c r="C64" s="597">
        <v>0.03</v>
      </c>
      <c r="D64" s="597">
        <v>0.05</v>
      </c>
      <c r="E64" s="598"/>
      <c r="F64" s="598">
        <v>7.0000000000000007E-2</v>
      </c>
      <c r="G64" s="598">
        <v>0.08</v>
      </c>
      <c r="H64" s="598">
        <v>0.09</v>
      </c>
      <c r="I64" s="597"/>
      <c r="J64" s="598"/>
      <c r="K64" s="598">
        <v>0.11</v>
      </c>
      <c r="L64" s="598">
        <v>0.11</v>
      </c>
      <c r="M64" s="598">
        <v>0.12</v>
      </c>
      <c r="N64" s="597"/>
      <c r="O64" s="598">
        <v>0.12</v>
      </c>
      <c r="P64" s="598">
        <v>0.14000000000000001</v>
      </c>
      <c r="Q64" s="598">
        <v>0.14000000000000001</v>
      </c>
      <c r="R64" s="598">
        <v>0.14000000000000001</v>
      </c>
      <c r="S64" s="597"/>
      <c r="T64" s="598">
        <v>0.15</v>
      </c>
      <c r="U64" s="598">
        <v>0.19</v>
      </c>
      <c r="V64" s="598">
        <v>0.2</v>
      </c>
      <c r="W64" s="598"/>
      <c r="X64" s="597"/>
      <c r="Y64" s="598"/>
      <c r="Z64" s="598"/>
      <c r="AA64" s="598"/>
      <c r="AB64" s="598"/>
      <c r="AC64" s="597"/>
      <c r="AD64" s="598"/>
      <c r="AE64" s="598"/>
      <c r="AF64" s="598"/>
      <c r="AG64" s="598"/>
      <c r="AH64" s="597"/>
      <c r="AI64" s="598"/>
      <c r="AJ64" s="598"/>
      <c r="AK64" s="598"/>
      <c r="AL64" s="598"/>
      <c r="AM64" s="597"/>
    </row>
    <row r="65" spans="1:39">
      <c r="A65" s="221"/>
      <c r="B65" s="122"/>
      <c r="C65" s="595"/>
      <c r="D65" s="595"/>
      <c r="E65" s="596"/>
      <c r="F65" s="596"/>
      <c r="G65" s="596"/>
      <c r="H65" s="596"/>
      <c r="I65" s="595"/>
      <c r="J65" s="596"/>
      <c r="K65" s="596"/>
      <c r="L65" s="596"/>
      <c r="M65" s="596"/>
      <c r="N65" s="595"/>
      <c r="O65" s="599"/>
      <c r="P65" s="599"/>
      <c r="Q65" s="599"/>
      <c r="R65" s="599"/>
      <c r="S65" s="595"/>
      <c r="T65" s="599"/>
      <c r="U65" s="599"/>
      <c r="V65" s="599"/>
      <c r="W65" s="596"/>
      <c r="X65" s="595"/>
      <c r="Y65" s="596"/>
      <c r="Z65" s="596"/>
      <c r="AA65" s="596"/>
      <c r="AB65" s="596"/>
      <c r="AC65" s="595"/>
      <c r="AD65" s="596"/>
      <c r="AE65" s="596"/>
      <c r="AF65" s="596"/>
      <c r="AG65" s="596"/>
      <c r="AH65" s="595"/>
      <c r="AI65" s="596"/>
      <c r="AJ65" s="596"/>
      <c r="AK65" s="596"/>
      <c r="AL65" s="596"/>
      <c r="AM65" s="595"/>
    </row>
    <row r="66" spans="1:39">
      <c r="A66" s="221"/>
      <c r="B66" s="958" t="s">
        <v>448</v>
      </c>
      <c r="C66" s="959">
        <f>C62*C$10</f>
        <v>5409.94</v>
      </c>
      <c r="D66" s="959">
        <f>D62*D$10</f>
        <v>10966.06</v>
      </c>
      <c r="E66" s="960"/>
      <c r="F66" s="960"/>
      <c r="G66" s="960"/>
      <c r="H66" s="960"/>
      <c r="I66" s="959"/>
      <c r="J66" s="960"/>
      <c r="K66" s="960">
        <f>K62*K$10</f>
        <v>5532.66</v>
      </c>
      <c r="L66" s="960">
        <f>L62*L$10</f>
        <v>5914.8</v>
      </c>
      <c r="M66" s="960">
        <f>M62*M$10</f>
        <v>6217.73</v>
      </c>
      <c r="N66" s="595"/>
      <c r="O66" s="960">
        <f t="shared" ref="O66:R66" si="74">O62*O$10</f>
        <v>6276.9</v>
      </c>
      <c r="P66" s="960">
        <f t="shared" si="74"/>
        <v>7221.58</v>
      </c>
      <c r="Q66" s="960">
        <f t="shared" si="74"/>
        <v>7551.36</v>
      </c>
      <c r="R66" s="960">
        <f t="shared" si="74"/>
        <v>7942.5199999999995</v>
      </c>
      <c r="S66" s="595"/>
      <c r="T66" s="960">
        <f t="shared" ref="T66:V66" si="75">T62*T$10</f>
        <v>7778.7899999999991</v>
      </c>
      <c r="U66" s="960">
        <f t="shared" si="75"/>
        <v>8867.34</v>
      </c>
      <c r="V66" s="960">
        <f t="shared" si="75"/>
        <v>9040.7200000000012</v>
      </c>
      <c r="W66" s="596"/>
      <c r="X66" s="595"/>
      <c r="Y66" s="596"/>
      <c r="Z66" s="596"/>
      <c r="AA66" s="596"/>
      <c r="AB66" s="596"/>
      <c r="AC66" s="595"/>
      <c r="AD66" s="596"/>
      <c r="AE66" s="596"/>
      <c r="AF66" s="596"/>
      <c r="AG66" s="596"/>
      <c r="AH66" s="595"/>
      <c r="AI66" s="596"/>
      <c r="AJ66" s="596"/>
      <c r="AK66" s="596"/>
      <c r="AL66" s="596"/>
      <c r="AM66" s="595"/>
    </row>
    <row r="67" spans="1:39">
      <c r="A67" s="221"/>
      <c r="B67" s="958" t="s">
        <v>449</v>
      </c>
      <c r="C67" s="959">
        <f t="shared" ref="C67" si="76">C63*C$10</f>
        <v>912.5200000000001</v>
      </c>
      <c r="D67" s="959">
        <f t="shared" ref="D67" si="77">D63*D$10</f>
        <v>3111.99</v>
      </c>
      <c r="E67" s="960"/>
      <c r="F67" s="960"/>
      <c r="G67" s="960"/>
      <c r="H67" s="960"/>
      <c r="I67" s="959"/>
      <c r="J67" s="960"/>
      <c r="K67" s="960">
        <f t="shared" ref="K67:L68" si="78">K63*K$10</f>
        <v>2283.3200000000002</v>
      </c>
      <c r="L67" s="960">
        <f t="shared" si="78"/>
        <v>2575.8000000000002</v>
      </c>
      <c r="M67" s="960">
        <f t="shared" ref="M67" si="79">M63*M$10</f>
        <v>2752.11</v>
      </c>
      <c r="N67" s="595"/>
      <c r="O67" s="960">
        <f t="shared" ref="O67:R67" si="80">O63*O$10</f>
        <v>2778.3</v>
      </c>
      <c r="P67" s="960">
        <f t="shared" si="80"/>
        <v>3486.28</v>
      </c>
      <c r="Q67" s="960">
        <f t="shared" si="80"/>
        <v>3709.4400000000005</v>
      </c>
      <c r="R67" s="960">
        <f t="shared" si="80"/>
        <v>3834.32</v>
      </c>
      <c r="S67" s="595"/>
      <c r="T67" s="960">
        <f t="shared" ref="T67:V67" si="81">T63*T$10</f>
        <v>3821.1600000000003</v>
      </c>
      <c r="U67" s="960">
        <f t="shared" si="81"/>
        <v>4433.67</v>
      </c>
      <c r="V67" s="960">
        <f t="shared" si="81"/>
        <v>4694.22</v>
      </c>
      <c r="W67" s="596"/>
      <c r="X67" s="595"/>
      <c r="Y67" s="596"/>
      <c r="Z67" s="596"/>
      <c r="AA67" s="596"/>
      <c r="AB67" s="596"/>
      <c r="AC67" s="595"/>
      <c r="AD67" s="596"/>
      <c r="AE67" s="596"/>
      <c r="AF67" s="596"/>
      <c r="AG67" s="596"/>
      <c r="AH67" s="595"/>
      <c r="AI67" s="596"/>
      <c r="AJ67" s="596"/>
      <c r="AK67" s="596"/>
      <c r="AL67" s="596"/>
      <c r="AM67" s="595"/>
    </row>
    <row r="68" spans="1:39">
      <c r="A68" s="221"/>
      <c r="B68" s="958" t="s">
        <v>450</v>
      </c>
      <c r="C68" s="959">
        <f t="shared" ref="C68" si="82">C64*C$10</f>
        <v>195.54</v>
      </c>
      <c r="D68" s="959">
        <f t="shared" ref="D68" si="83">D64*D$10</f>
        <v>740.95</v>
      </c>
      <c r="E68" s="960"/>
      <c r="F68" s="960"/>
      <c r="G68" s="960"/>
      <c r="H68" s="960"/>
      <c r="I68" s="959"/>
      <c r="J68" s="960"/>
      <c r="K68" s="960">
        <f t="shared" si="78"/>
        <v>966.02</v>
      </c>
      <c r="L68" s="960">
        <f t="shared" si="78"/>
        <v>1049.4000000000001</v>
      </c>
      <c r="M68" s="960">
        <f t="shared" ref="M68" si="84">M64*M$10</f>
        <v>1223.1599999999999</v>
      </c>
      <c r="N68" s="595"/>
      <c r="O68" s="960">
        <f t="shared" ref="O68:R68" si="85">O64*O$10</f>
        <v>1234.8</v>
      </c>
      <c r="P68" s="960">
        <f t="shared" si="85"/>
        <v>1743.14</v>
      </c>
      <c r="Q68" s="960">
        <f t="shared" si="85"/>
        <v>1854.7200000000003</v>
      </c>
      <c r="R68" s="960">
        <f t="shared" si="85"/>
        <v>1917.16</v>
      </c>
      <c r="S68" s="595"/>
      <c r="T68" s="960">
        <f t="shared" ref="T68:V68" si="86">T64*T$10</f>
        <v>2047.05</v>
      </c>
      <c r="U68" s="960">
        <f t="shared" si="86"/>
        <v>3119.9900000000002</v>
      </c>
      <c r="V68" s="960">
        <f t="shared" si="86"/>
        <v>3477.2000000000003</v>
      </c>
      <c r="W68" s="596"/>
      <c r="X68" s="595"/>
      <c r="Y68" s="596"/>
      <c r="Z68" s="596"/>
      <c r="AA68" s="596"/>
      <c r="AB68" s="596"/>
      <c r="AC68" s="595"/>
      <c r="AD68" s="596"/>
      <c r="AE68" s="596"/>
      <c r="AF68" s="596"/>
      <c r="AG68" s="596"/>
      <c r="AH68" s="595"/>
      <c r="AI68" s="596"/>
      <c r="AJ68" s="596"/>
      <c r="AK68" s="596"/>
      <c r="AL68" s="596"/>
      <c r="AM68" s="595"/>
    </row>
    <row r="69" spans="1:39">
      <c r="A69" s="221"/>
      <c r="B69" s="122"/>
      <c r="C69" s="595"/>
      <c r="D69" s="595"/>
      <c r="E69" s="596"/>
      <c r="F69" s="596"/>
      <c r="G69" s="596"/>
      <c r="H69" s="596"/>
      <c r="I69" s="595"/>
      <c r="J69" s="596"/>
      <c r="K69" s="960"/>
      <c r="L69" s="596"/>
      <c r="M69" s="596"/>
      <c r="N69" s="595"/>
      <c r="O69" s="599"/>
      <c r="P69" s="599"/>
      <c r="Q69" s="599"/>
      <c r="R69" s="599"/>
      <c r="S69" s="595"/>
      <c r="T69" s="599"/>
      <c r="U69" s="599"/>
      <c r="V69" s="599"/>
      <c r="W69" s="596"/>
      <c r="X69" s="595"/>
      <c r="Y69" s="596"/>
      <c r="Z69" s="596"/>
      <c r="AA69" s="596"/>
      <c r="AB69" s="596"/>
      <c r="AC69" s="595"/>
      <c r="AD69" s="596"/>
      <c r="AE69" s="596"/>
      <c r="AF69" s="596"/>
      <c r="AG69" s="596"/>
      <c r="AH69" s="595"/>
      <c r="AI69" s="596"/>
      <c r="AJ69" s="596"/>
      <c r="AK69" s="596"/>
      <c r="AL69" s="596"/>
      <c r="AM69" s="595"/>
    </row>
    <row r="70" spans="1:39">
      <c r="A70" s="221"/>
      <c r="B70" s="958" t="s">
        <v>447</v>
      </c>
      <c r="C70" s="595"/>
      <c r="D70" s="595"/>
      <c r="E70" s="596"/>
      <c r="F70" s="596"/>
      <c r="G70" s="596"/>
      <c r="H70" s="596"/>
      <c r="I70" s="595"/>
      <c r="J70" s="596"/>
      <c r="K70" s="596"/>
      <c r="L70" s="596"/>
      <c r="M70" s="596"/>
      <c r="N70" s="595"/>
      <c r="O70" s="698"/>
      <c r="P70" s="698">
        <f t="shared" ref="P70:R70" si="87">P66/K66-1</f>
        <v>0.3052636525649508</v>
      </c>
      <c r="Q70" s="698">
        <f t="shared" si="87"/>
        <v>0.27668898356664617</v>
      </c>
      <c r="R70" s="698">
        <f t="shared" si="87"/>
        <v>0.27739866478602315</v>
      </c>
      <c r="S70" s="595"/>
      <c r="T70" s="698">
        <f t="shared" ref="T70:U70" si="88">T66/O66-1</f>
        <v>0.23927257085503983</v>
      </c>
      <c r="U70" s="698">
        <f t="shared" si="88"/>
        <v>0.22789472663876875</v>
      </c>
      <c r="V70" s="698">
        <f>V66/Q66-1</f>
        <v>0.19723069751673883</v>
      </c>
      <c r="W70" s="596"/>
      <c r="X70" s="595"/>
      <c r="Y70" s="596"/>
      <c r="Z70" s="596"/>
      <c r="AA70" s="596"/>
      <c r="AB70" s="596"/>
      <c r="AC70" s="595"/>
      <c r="AD70" s="596"/>
      <c r="AE70" s="596"/>
      <c r="AF70" s="596"/>
      <c r="AG70" s="596"/>
      <c r="AH70" s="595"/>
      <c r="AI70" s="596"/>
      <c r="AJ70" s="596"/>
      <c r="AK70" s="596"/>
      <c r="AL70" s="596"/>
      <c r="AM70" s="595"/>
    </row>
    <row r="71" spans="1:39">
      <c r="A71" s="221"/>
      <c r="B71" s="122" t="s">
        <v>280</v>
      </c>
      <c r="C71" s="595"/>
      <c r="D71" s="595"/>
      <c r="E71" s="596"/>
      <c r="F71" s="596"/>
      <c r="G71" s="596"/>
      <c r="H71" s="596"/>
      <c r="I71" s="595"/>
      <c r="J71" s="596"/>
      <c r="K71" s="596"/>
      <c r="L71" s="596"/>
      <c r="M71" s="596"/>
      <c r="N71" s="595"/>
      <c r="O71" s="698"/>
      <c r="P71" s="698">
        <f t="shared" ref="P71:R71" si="89">P67/K67-1</f>
        <v>0.5268468720985231</v>
      </c>
      <c r="Q71" s="698">
        <f t="shared" si="89"/>
        <v>0.4401118099231307</v>
      </c>
      <c r="R71" s="698">
        <f t="shared" si="89"/>
        <v>0.3932291950539768</v>
      </c>
      <c r="S71" s="595"/>
      <c r="T71" s="698">
        <f t="shared" ref="T71:V71" si="90">T67/O67-1</f>
        <v>0.37535903250188962</v>
      </c>
      <c r="U71" s="698">
        <f t="shared" si="90"/>
        <v>0.27174810973301056</v>
      </c>
      <c r="V71" s="698">
        <f t="shared" si="90"/>
        <v>0.26547942546583836</v>
      </c>
      <c r="W71" s="596"/>
      <c r="X71" s="595"/>
      <c r="Y71" s="596"/>
      <c r="Z71" s="596"/>
      <c r="AA71" s="596"/>
      <c r="AB71" s="596"/>
      <c r="AC71" s="595"/>
      <c r="AD71" s="596"/>
      <c r="AE71" s="596"/>
      <c r="AF71" s="596"/>
      <c r="AG71" s="596"/>
      <c r="AH71" s="595"/>
      <c r="AI71" s="596"/>
      <c r="AJ71" s="596"/>
      <c r="AK71" s="596"/>
      <c r="AL71" s="596"/>
      <c r="AM71" s="595"/>
    </row>
    <row r="72" spans="1:39">
      <c r="A72" s="221"/>
      <c r="B72" s="122" t="s">
        <v>281</v>
      </c>
      <c r="C72" s="595"/>
      <c r="D72" s="595"/>
      <c r="E72" s="596"/>
      <c r="F72" s="596"/>
      <c r="G72" s="596"/>
      <c r="H72" s="596"/>
      <c r="I72" s="595"/>
      <c r="J72" s="596"/>
      <c r="K72" s="596"/>
      <c r="L72" s="596"/>
      <c r="M72" s="596"/>
      <c r="N72" s="595"/>
      <c r="O72" s="698"/>
      <c r="P72" s="698">
        <f t="shared" ref="P72:R72" si="91">P68/K68-1</f>
        <v>0.80445539429825486</v>
      </c>
      <c r="Q72" s="698">
        <f t="shared" si="91"/>
        <v>0.76740994854202405</v>
      </c>
      <c r="R72" s="698">
        <f t="shared" si="91"/>
        <v>0.56738284443572407</v>
      </c>
      <c r="S72" s="595"/>
      <c r="T72" s="698">
        <f t="shared" ref="T72:V72" si="92">T68/O68-1</f>
        <v>0.65779883381924198</v>
      </c>
      <c r="U72" s="698">
        <f t="shared" si="92"/>
        <v>0.78986770999460743</v>
      </c>
      <c r="V72" s="698">
        <f t="shared" si="92"/>
        <v>0.87478433402346445</v>
      </c>
      <c r="W72" s="596"/>
      <c r="X72" s="595"/>
      <c r="Y72" s="596"/>
      <c r="Z72" s="596"/>
      <c r="AA72" s="596"/>
      <c r="AB72" s="596"/>
      <c r="AC72" s="595"/>
      <c r="AD72" s="596"/>
      <c r="AE72" s="596"/>
      <c r="AF72" s="596"/>
      <c r="AG72" s="596"/>
      <c r="AH72" s="595"/>
      <c r="AI72" s="596"/>
      <c r="AJ72" s="596"/>
      <c r="AK72" s="596"/>
      <c r="AL72" s="596"/>
      <c r="AM72" s="595"/>
    </row>
    <row r="73" spans="1:39">
      <c r="A73" s="221"/>
      <c r="B73" s="122"/>
      <c r="C73" s="595"/>
      <c r="D73" s="595"/>
      <c r="E73" s="596"/>
      <c r="F73" s="596"/>
      <c r="G73" s="596"/>
      <c r="H73" s="596"/>
      <c r="I73" s="595"/>
      <c r="J73" s="596"/>
      <c r="K73" s="596"/>
      <c r="L73" s="596"/>
      <c r="M73" s="596"/>
      <c r="N73" s="595"/>
      <c r="O73" s="599"/>
      <c r="P73" s="599"/>
      <c r="Q73" s="599"/>
      <c r="R73" s="599"/>
      <c r="S73" s="595"/>
      <c r="T73" s="599"/>
      <c r="U73" s="599"/>
      <c r="V73" s="599"/>
      <c r="W73" s="596"/>
      <c r="X73" s="595"/>
      <c r="Y73" s="596"/>
      <c r="Z73" s="596"/>
      <c r="AA73" s="596"/>
      <c r="AB73" s="596"/>
      <c r="AC73" s="595"/>
      <c r="AD73" s="596"/>
      <c r="AE73" s="596"/>
      <c r="AF73" s="596"/>
      <c r="AG73" s="596"/>
      <c r="AH73" s="595"/>
      <c r="AI73" s="596"/>
      <c r="AJ73" s="596"/>
      <c r="AK73" s="596"/>
      <c r="AL73" s="596"/>
      <c r="AM73" s="595"/>
    </row>
    <row r="74" spans="1:39">
      <c r="A74" s="221"/>
      <c r="B74" s="267" t="s">
        <v>282</v>
      </c>
      <c r="C74" s="595"/>
      <c r="D74" s="595"/>
      <c r="E74" s="596"/>
      <c r="F74" s="596"/>
      <c r="G74" s="596"/>
      <c r="H74" s="596"/>
      <c r="I74" s="595"/>
      <c r="J74" s="596"/>
      <c r="K74" s="596"/>
      <c r="L74" s="596"/>
      <c r="M74" s="596"/>
      <c r="N74" s="595"/>
      <c r="O74" s="596"/>
      <c r="P74" s="596"/>
      <c r="Q74" s="596"/>
      <c r="R74" s="596"/>
      <c r="S74" s="595"/>
      <c r="T74" s="596"/>
      <c r="U74" s="596"/>
      <c r="V74" s="596"/>
      <c r="W74" s="596"/>
      <c r="X74" s="595"/>
      <c r="Y74" s="596"/>
      <c r="Z74" s="596"/>
      <c r="AA74" s="596"/>
      <c r="AB74" s="596"/>
      <c r="AC74" s="595"/>
      <c r="AD74" s="596"/>
      <c r="AE74" s="596"/>
      <c r="AF74" s="596"/>
      <c r="AG74" s="596"/>
      <c r="AH74" s="595"/>
      <c r="AI74" s="596"/>
      <c r="AJ74" s="596"/>
      <c r="AK74" s="596"/>
      <c r="AL74" s="596"/>
      <c r="AM74" s="595"/>
    </row>
    <row r="75" spans="1:39">
      <c r="A75" s="221"/>
      <c r="B75" s="958" t="s">
        <v>446</v>
      </c>
      <c r="C75" s="962">
        <v>203.44900000000001</v>
      </c>
      <c r="D75" s="962">
        <v>546.553</v>
      </c>
      <c r="E75" s="601"/>
      <c r="F75" s="601"/>
      <c r="G75" s="601"/>
      <c r="H75" s="601"/>
      <c r="I75" s="962">
        <v>825.57799999999997</v>
      </c>
      <c r="J75" s="601">
        <v>242.95500000000001</v>
      </c>
      <c r="K75" s="601">
        <v>299.32600000000002</v>
      </c>
      <c r="L75" s="601">
        <v>320.858</v>
      </c>
      <c r="M75" s="960">
        <f>N75-SUM(J75:L75)</f>
        <v>361.42699999999991</v>
      </c>
      <c r="N75" s="962">
        <v>1224.566</v>
      </c>
      <c r="O75" s="601">
        <v>367.16399999999999</v>
      </c>
      <c r="P75" s="601">
        <v>421.80799999999999</v>
      </c>
      <c r="Q75" s="601">
        <v>421.31700000000001</v>
      </c>
      <c r="R75" s="960">
        <f>S75-SUM(O75:Q75)</f>
        <v>433.5630000000001</v>
      </c>
      <c r="S75" s="962">
        <v>1643.8520000000001</v>
      </c>
      <c r="T75" s="601">
        <v>444.88900000000001</v>
      </c>
      <c r="U75" s="601">
        <v>530.00800000000004</v>
      </c>
      <c r="V75" s="601">
        <v>559.053</v>
      </c>
      <c r="W75" s="601">
        <f>W45*W77</f>
        <v>568.71516936887804</v>
      </c>
      <c r="X75" s="959">
        <f>SUM(T75:W75)</f>
        <v>2102.6651693688782</v>
      </c>
      <c r="Y75" s="601"/>
      <c r="Z75" s="601"/>
      <c r="AA75" s="601"/>
      <c r="AB75" s="601"/>
      <c r="AC75" s="597"/>
      <c r="AD75" s="598"/>
      <c r="AE75" s="598"/>
      <c r="AF75" s="598"/>
      <c r="AG75" s="598"/>
      <c r="AH75" s="597"/>
      <c r="AI75" s="598"/>
      <c r="AJ75" s="598"/>
      <c r="AK75" s="598"/>
      <c r="AL75" s="598"/>
      <c r="AM75" s="597"/>
    </row>
    <row r="76" spans="1:39">
      <c r="A76" s="221"/>
      <c r="B76" s="542" t="s">
        <v>26</v>
      </c>
      <c r="C76" s="961"/>
      <c r="D76" s="961">
        <f>D75/C75-1</f>
        <v>1.6864373872567571</v>
      </c>
      <c r="E76" s="596"/>
      <c r="F76" s="596"/>
      <c r="G76" s="596"/>
      <c r="H76" s="596"/>
      <c r="I76" s="961">
        <f>I75/D75-1</f>
        <v>0.51051773569992287</v>
      </c>
      <c r="J76" s="596"/>
      <c r="K76" s="596"/>
      <c r="L76" s="596"/>
      <c r="M76" s="596"/>
      <c r="N76" s="961">
        <f t="shared" ref="N76:X76" si="93">N75/I75-1</f>
        <v>0.48328322702397597</v>
      </c>
      <c r="O76" s="596">
        <f t="shared" si="93"/>
        <v>0.51124282274495259</v>
      </c>
      <c r="P76" s="596">
        <f t="shared" si="93"/>
        <v>0.40919265282668382</v>
      </c>
      <c r="Q76" s="596">
        <f t="shared" si="93"/>
        <v>0.31309488932798923</v>
      </c>
      <c r="R76" s="596">
        <f t="shared" si="93"/>
        <v>0.1995866385189824</v>
      </c>
      <c r="S76" s="961">
        <f t="shared" si="93"/>
        <v>0.34239559158101729</v>
      </c>
      <c r="T76" s="596">
        <f t="shared" si="93"/>
        <v>0.2116901439138914</v>
      </c>
      <c r="U76" s="596">
        <f t="shared" si="93"/>
        <v>0.25651481242650687</v>
      </c>
      <c r="V76" s="596">
        <f t="shared" si="93"/>
        <v>0.32691773652617862</v>
      </c>
      <c r="W76" s="596">
        <f t="shared" si="93"/>
        <v>0.31172440768441478</v>
      </c>
      <c r="X76" s="961">
        <f t="shared" si="93"/>
        <v>0.27910856291739039</v>
      </c>
      <c r="Y76" s="596"/>
      <c r="Z76" s="596"/>
      <c r="AA76" s="596"/>
      <c r="AB76" s="596"/>
      <c r="AC76" s="597"/>
      <c r="AD76" s="598"/>
      <c r="AE76" s="598"/>
      <c r="AF76" s="598"/>
      <c r="AG76" s="598"/>
      <c r="AH76" s="597"/>
      <c r="AI76" s="598"/>
      <c r="AJ76" s="598"/>
      <c r="AK76" s="598"/>
      <c r="AL76" s="598"/>
      <c r="AM76" s="597"/>
    </row>
    <row r="77" spans="1:39">
      <c r="A77" s="221"/>
      <c r="B77" s="542" t="s">
        <v>444</v>
      </c>
      <c r="C77" s="602">
        <f>C75/C$45</f>
        <v>1</v>
      </c>
      <c r="D77" s="602">
        <f>D75/D$45</f>
        <v>0.989356175318998</v>
      </c>
      <c r="E77" s="600"/>
      <c r="F77" s="600"/>
      <c r="G77" s="600"/>
      <c r="H77" s="600"/>
      <c r="I77" s="602">
        <f>I75/I$45</f>
        <v>0.97104889248546211</v>
      </c>
      <c r="J77" s="600">
        <f t="shared" ref="J77:M77" si="94">J75/J$45</f>
        <v>0.96965959841473193</v>
      </c>
      <c r="K77" s="600">
        <f t="shared" si="94"/>
        <v>0.96552725208297729</v>
      </c>
      <c r="L77" s="600">
        <f t="shared" si="94"/>
        <v>0.96589280768721331</v>
      </c>
      <c r="M77" s="600">
        <f t="shared" si="94"/>
        <v>0.965453039854685</v>
      </c>
      <c r="N77" s="602">
        <f t="shared" ref="N77:V77" si="95">N75/N$45</f>
        <v>0.96641828148601794</v>
      </c>
      <c r="O77" s="600">
        <f t="shared" si="95"/>
        <v>0.96808333926579815</v>
      </c>
      <c r="P77" s="600">
        <f t="shared" si="95"/>
        <v>0.96186147906770991</v>
      </c>
      <c r="Q77" s="600">
        <f t="shared" si="95"/>
        <v>0.95971544548772003</v>
      </c>
      <c r="R77" s="600">
        <f t="shared" si="95"/>
        <v>0.95938634749301321</v>
      </c>
      <c r="S77" s="602">
        <f t="shared" si="95"/>
        <v>0.96203651737176532</v>
      </c>
      <c r="T77" s="600">
        <f t="shared" si="95"/>
        <v>0.96389371557824211</v>
      </c>
      <c r="U77" s="600">
        <f t="shared" si="95"/>
        <v>0.96102120561010329</v>
      </c>
      <c r="V77" s="600">
        <f t="shared" si="95"/>
        <v>0.95538648469903031</v>
      </c>
      <c r="W77" s="963">
        <v>0.95099999999999996</v>
      </c>
      <c r="X77" s="602">
        <f>X75/X$45</f>
        <v>0.95739488727740396</v>
      </c>
      <c r="Y77" s="600"/>
      <c r="Z77" s="600"/>
      <c r="AA77" s="600"/>
      <c r="AB77" s="600"/>
      <c r="AC77" s="597"/>
      <c r="AD77" s="598"/>
      <c r="AE77" s="598"/>
      <c r="AF77" s="598"/>
      <c r="AG77" s="598"/>
      <c r="AH77" s="597"/>
      <c r="AI77" s="598"/>
      <c r="AJ77" s="598"/>
      <c r="AK77" s="598"/>
      <c r="AL77" s="598"/>
      <c r="AM77" s="597"/>
    </row>
    <row r="78" spans="1:39">
      <c r="A78" s="221"/>
      <c r="B78" s="122"/>
      <c r="C78" s="597"/>
      <c r="D78" s="597"/>
      <c r="E78" s="598"/>
      <c r="F78" s="598"/>
      <c r="G78" s="598"/>
      <c r="H78" s="598"/>
      <c r="I78" s="597"/>
      <c r="J78" s="598"/>
      <c r="K78" s="598"/>
      <c r="L78" s="598"/>
      <c r="M78" s="598"/>
      <c r="N78" s="597"/>
      <c r="O78" s="598"/>
      <c r="P78" s="598"/>
      <c r="Q78" s="598"/>
      <c r="R78" s="598"/>
      <c r="S78" s="597"/>
      <c r="T78" s="598"/>
      <c r="U78" s="598"/>
      <c r="V78" s="598"/>
      <c r="W78" s="598"/>
      <c r="X78" s="959"/>
      <c r="Y78" s="598"/>
      <c r="Z78" s="598"/>
      <c r="AA78" s="598"/>
      <c r="AB78" s="598"/>
      <c r="AC78" s="597"/>
      <c r="AD78" s="598"/>
      <c r="AE78" s="598"/>
      <c r="AF78" s="598"/>
      <c r="AG78" s="598"/>
      <c r="AH78" s="597"/>
      <c r="AI78" s="598"/>
      <c r="AJ78" s="598"/>
      <c r="AK78" s="598"/>
      <c r="AL78" s="598"/>
      <c r="AM78" s="597"/>
    </row>
    <row r="79" spans="1:39">
      <c r="A79" s="221"/>
      <c r="B79" s="958" t="s">
        <v>445</v>
      </c>
      <c r="C79" s="962">
        <v>0</v>
      </c>
      <c r="D79" s="962">
        <v>5.88</v>
      </c>
      <c r="E79" s="601"/>
      <c r="F79" s="601"/>
      <c r="G79" s="601"/>
      <c r="H79" s="601"/>
      <c r="I79" s="962">
        <v>24.614000000000001</v>
      </c>
      <c r="J79" s="601">
        <v>7.6020000000000003</v>
      </c>
      <c r="K79" s="601">
        <v>10.686999999999999</v>
      </c>
      <c r="L79" s="601">
        <v>11.33</v>
      </c>
      <c r="M79" s="960">
        <f>N79-SUM(J79:L79)</f>
        <v>12.933</v>
      </c>
      <c r="N79" s="962">
        <v>42.552</v>
      </c>
      <c r="O79" s="601">
        <v>12.105</v>
      </c>
      <c r="P79" s="601">
        <v>16.725000000000001</v>
      </c>
      <c r="Q79" s="601">
        <v>17.684999999999999</v>
      </c>
      <c r="R79" s="960">
        <f>S79-SUM(O79:Q79)</f>
        <v>18.353999999999999</v>
      </c>
      <c r="S79" s="962">
        <v>64.869</v>
      </c>
      <c r="T79" s="601">
        <v>16.655000000000001</v>
      </c>
      <c r="U79" s="601">
        <v>21.497</v>
      </c>
      <c r="V79" s="601">
        <v>26.106000000000002</v>
      </c>
      <c r="W79" s="601">
        <f>W45-W75</f>
        <v>29.302884646766643</v>
      </c>
      <c r="X79" s="959">
        <f>SUM(T79:W79)</f>
        <v>93.560884646766652</v>
      </c>
      <c r="Y79" s="601"/>
      <c r="Z79" s="601"/>
      <c r="AA79" s="601"/>
      <c r="AB79" s="601"/>
      <c r="AC79" s="597"/>
      <c r="AD79" s="598"/>
      <c r="AE79" s="598"/>
      <c r="AF79" s="598"/>
      <c r="AG79" s="598"/>
      <c r="AH79" s="597"/>
      <c r="AI79" s="598"/>
      <c r="AJ79" s="598"/>
      <c r="AK79" s="598"/>
      <c r="AL79" s="598"/>
      <c r="AM79" s="597"/>
    </row>
    <row r="80" spans="1:39">
      <c r="A80" s="221"/>
      <c r="B80" s="542" t="s">
        <v>26</v>
      </c>
      <c r="C80" s="961"/>
      <c r="D80" s="961"/>
      <c r="E80" s="596"/>
      <c r="F80" s="596"/>
      <c r="G80" s="596"/>
      <c r="H80" s="596"/>
      <c r="I80" s="961">
        <f>I79/D79-1</f>
        <v>3.1860544217687075</v>
      </c>
      <c r="J80" s="596"/>
      <c r="K80" s="596"/>
      <c r="L80" s="596"/>
      <c r="M80" s="596"/>
      <c r="N80" s="961">
        <f t="shared" ref="N80:X80" si="96">N79/I79-1</f>
        <v>0.7287722434386934</v>
      </c>
      <c r="O80" s="596">
        <f t="shared" si="96"/>
        <v>0.59234411996842939</v>
      </c>
      <c r="P80" s="596">
        <f t="shared" si="96"/>
        <v>0.56498549639749251</v>
      </c>
      <c r="Q80" s="596">
        <f t="shared" si="96"/>
        <v>0.56090026478375976</v>
      </c>
      <c r="R80" s="596">
        <f t="shared" si="96"/>
        <v>0.41916028763627922</v>
      </c>
      <c r="S80" s="961">
        <f t="shared" si="96"/>
        <v>0.52446418499717984</v>
      </c>
      <c r="T80" s="596">
        <f t="shared" si="96"/>
        <v>0.37587773647253209</v>
      </c>
      <c r="U80" s="596">
        <f t="shared" si="96"/>
        <v>0.28532137518684597</v>
      </c>
      <c r="V80" s="596">
        <f t="shared" si="96"/>
        <v>0.47616624257845652</v>
      </c>
      <c r="W80" s="596">
        <f t="shared" si="96"/>
        <v>0.59653942719661357</v>
      </c>
      <c r="X80" s="961">
        <f t="shared" si="96"/>
        <v>0.44230502469232835</v>
      </c>
      <c r="Y80" s="596"/>
      <c r="Z80" s="596"/>
      <c r="AA80" s="596"/>
      <c r="AB80" s="596"/>
      <c r="AC80" s="597"/>
      <c r="AD80" s="598"/>
      <c r="AE80" s="598"/>
      <c r="AF80" s="598"/>
      <c r="AG80" s="598"/>
      <c r="AH80" s="597"/>
      <c r="AI80" s="598"/>
      <c r="AJ80" s="598"/>
      <c r="AK80" s="598"/>
      <c r="AL80" s="598"/>
      <c r="AM80" s="597"/>
    </row>
    <row r="81" spans="1:39">
      <c r="A81" s="221"/>
      <c r="B81" s="542" t="s">
        <v>443</v>
      </c>
      <c r="C81" s="602">
        <f>C79/C$45</f>
        <v>0</v>
      </c>
      <c r="D81" s="602">
        <f>D79/D$45</f>
        <v>1.0643824681002041E-2</v>
      </c>
      <c r="E81" s="600"/>
      <c r="F81" s="600"/>
      <c r="G81" s="600"/>
      <c r="H81" s="600"/>
      <c r="I81" s="602">
        <f>I79/I$45</f>
        <v>2.8951107514537892E-2</v>
      </c>
      <c r="J81" s="600">
        <f t="shared" ref="J81:M81" si="97">J79/J$45</f>
        <v>3.0340401585268021E-2</v>
      </c>
      <c r="K81" s="600">
        <f t="shared" si="97"/>
        <v>3.4472747917022838E-2</v>
      </c>
      <c r="L81" s="600">
        <f t="shared" si="97"/>
        <v>3.4107192312786735E-2</v>
      </c>
      <c r="M81" s="600">
        <f t="shared" si="97"/>
        <v>3.4546960145314672E-2</v>
      </c>
      <c r="N81" s="602">
        <f t="shared" ref="N81:X81" si="98">N79/N$45</f>
        <v>3.3581718513982124E-2</v>
      </c>
      <c r="O81" s="600">
        <f t="shared" si="98"/>
        <v>3.1916660734201845E-2</v>
      </c>
      <c r="P81" s="600">
        <f t="shared" si="98"/>
        <v>3.8138520932290164E-2</v>
      </c>
      <c r="Q81" s="600">
        <f t="shared" si="98"/>
        <v>4.0284554512280128E-2</v>
      </c>
      <c r="R81" s="600">
        <f t="shared" si="98"/>
        <v>4.0613652506986897E-2</v>
      </c>
      <c r="S81" s="602">
        <f t="shared" si="98"/>
        <v>3.7963482628234804E-2</v>
      </c>
      <c r="T81" s="600">
        <f t="shared" si="98"/>
        <v>3.608461848451102E-2</v>
      </c>
      <c r="U81" s="600">
        <f t="shared" si="98"/>
        <v>3.8978794389896737E-2</v>
      </c>
      <c r="V81" s="600">
        <f t="shared" si="98"/>
        <v>4.4613515300969478E-2</v>
      </c>
      <c r="W81" s="600">
        <f t="shared" si="98"/>
        <v>4.9000000000000092E-2</v>
      </c>
      <c r="X81" s="602">
        <f t="shared" si="98"/>
        <v>4.2600559477975038E-2</v>
      </c>
      <c r="Y81" s="600"/>
      <c r="Z81" s="600"/>
      <c r="AA81" s="600"/>
      <c r="AB81" s="600"/>
      <c r="AC81" s="597"/>
      <c r="AD81" s="598"/>
      <c r="AE81" s="598"/>
      <c r="AF81" s="598"/>
      <c r="AG81" s="598"/>
      <c r="AH81" s="597"/>
      <c r="AI81" s="598"/>
      <c r="AJ81" s="598"/>
      <c r="AK81" s="598"/>
      <c r="AL81" s="598"/>
      <c r="AM81" s="597"/>
    </row>
    <row r="82" spans="1:39">
      <c r="A82" s="221"/>
      <c r="B82" s="542"/>
      <c r="C82" s="595"/>
      <c r="D82" s="595"/>
      <c r="E82" s="596"/>
      <c r="F82" s="596"/>
      <c r="G82" s="596"/>
      <c r="H82" s="596"/>
      <c r="I82" s="595"/>
      <c r="J82" s="596"/>
      <c r="K82" s="596"/>
      <c r="L82" s="596"/>
      <c r="M82" s="596"/>
      <c r="N82" s="595"/>
      <c r="O82" s="596"/>
      <c r="P82" s="596"/>
      <c r="Q82" s="596"/>
      <c r="R82" s="596"/>
      <c r="S82" s="595"/>
      <c r="T82" s="596"/>
      <c r="U82" s="596"/>
      <c r="V82" s="596"/>
      <c r="W82" s="596"/>
      <c r="X82" s="595"/>
      <c r="Y82" s="598"/>
      <c r="Z82" s="598"/>
      <c r="AA82" s="598"/>
      <c r="AB82" s="598"/>
      <c r="AC82" s="597"/>
      <c r="AD82" s="598"/>
      <c r="AE82" s="598"/>
      <c r="AF82" s="598"/>
      <c r="AG82" s="598"/>
      <c r="AH82" s="597"/>
      <c r="AI82" s="598"/>
      <c r="AJ82" s="598"/>
      <c r="AK82" s="598"/>
      <c r="AL82" s="598"/>
      <c r="AM82" s="597"/>
    </row>
    <row r="83" spans="1:39">
      <c r="A83" s="221"/>
      <c r="B83" s="267" t="s">
        <v>283</v>
      </c>
      <c r="C83" s="595"/>
      <c r="D83" s="595"/>
      <c r="E83" s="596"/>
      <c r="F83" s="596"/>
      <c r="G83" s="596"/>
      <c r="H83" s="596"/>
      <c r="I83" s="595"/>
      <c r="J83" s="596"/>
      <c r="K83" s="596"/>
      <c r="L83" s="596"/>
      <c r="M83" s="596"/>
      <c r="N83" s="595"/>
      <c r="O83" s="596"/>
      <c r="P83" s="596"/>
      <c r="Q83" s="596"/>
      <c r="R83" s="596"/>
      <c r="S83" s="595"/>
      <c r="T83" s="599"/>
      <c r="U83" s="599"/>
      <c r="V83" s="698"/>
      <c r="W83" s="596"/>
      <c r="X83" s="595"/>
      <c r="Y83" s="598"/>
      <c r="Z83" s="598"/>
      <c r="AA83" s="598"/>
      <c r="AB83" s="598"/>
      <c r="AC83" s="597"/>
      <c r="AD83" s="598"/>
      <c r="AE83" s="598"/>
      <c r="AF83" s="598"/>
      <c r="AG83" s="598"/>
      <c r="AH83" s="597"/>
      <c r="AI83" s="598"/>
      <c r="AJ83" s="598"/>
      <c r="AK83" s="598"/>
      <c r="AL83" s="598"/>
      <c r="AM83" s="597"/>
    </row>
    <row r="84" spans="1:39">
      <c r="A84" s="221"/>
      <c r="B84" s="122" t="s">
        <v>284</v>
      </c>
      <c r="C84" s="595"/>
      <c r="D84" s="595"/>
      <c r="E84" s="596"/>
      <c r="F84" s="596"/>
      <c r="G84" s="596"/>
      <c r="H84" s="596"/>
      <c r="I84" s="595"/>
      <c r="J84" s="600"/>
      <c r="K84" s="600"/>
      <c r="L84" s="601">
        <f>+Q84/(1+0.7)</f>
        <v>122.35294117647059</v>
      </c>
      <c r="M84" s="601">
        <v>150</v>
      </c>
      <c r="N84" s="602"/>
      <c r="O84" s="603">
        <v>153</v>
      </c>
      <c r="P84" s="603">
        <v>189</v>
      </c>
      <c r="Q84" s="603">
        <v>208</v>
      </c>
      <c r="R84" s="603">
        <v>248</v>
      </c>
      <c r="S84" s="595"/>
      <c r="T84" s="603">
        <v>251</v>
      </c>
      <c r="U84" s="603">
        <v>318</v>
      </c>
      <c r="V84" s="603">
        <v>303</v>
      </c>
      <c r="W84" s="596"/>
      <c r="X84" s="595"/>
      <c r="Y84" s="598"/>
      <c r="Z84" s="598"/>
      <c r="AA84" s="598"/>
      <c r="AB84" s="598"/>
      <c r="AC84" s="597"/>
      <c r="AD84" s="598"/>
      <c r="AE84" s="598"/>
      <c r="AF84" s="598"/>
      <c r="AG84" s="598"/>
      <c r="AH84" s="597"/>
      <c r="AI84" s="598"/>
      <c r="AJ84" s="598"/>
      <c r="AK84" s="598"/>
      <c r="AL84" s="598"/>
      <c r="AM84" s="597"/>
    </row>
    <row r="85" spans="1:39">
      <c r="A85" s="221"/>
      <c r="B85" s="604" t="s">
        <v>285</v>
      </c>
      <c r="C85" s="595"/>
      <c r="D85" s="595"/>
      <c r="E85" s="596"/>
      <c r="F85" s="596"/>
      <c r="G85" s="596"/>
      <c r="H85" s="596"/>
      <c r="I85" s="595"/>
      <c r="J85" s="596"/>
      <c r="K85" s="596"/>
      <c r="L85" s="605"/>
      <c r="M85" s="605"/>
      <c r="N85" s="595"/>
      <c r="O85" s="606"/>
      <c r="P85" s="606"/>
      <c r="Q85" s="278">
        <f>+Q84/L84-1</f>
        <v>0.7</v>
      </c>
      <c r="R85" s="278">
        <f>+R84/M84-1</f>
        <v>0.65333333333333332</v>
      </c>
      <c r="S85" s="595"/>
      <c r="T85" s="278">
        <f>+T84/O84-1</f>
        <v>0.64052287581699341</v>
      </c>
      <c r="U85" s="278">
        <f>+U84/P84-1</f>
        <v>0.68253968253968256</v>
      </c>
      <c r="V85" s="278">
        <f>+V84/Q84-1</f>
        <v>0.45673076923076916</v>
      </c>
      <c r="W85" s="596"/>
      <c r="X85" s="595"/>
      <c r="Y85" s="598"/>
      <c r="Z85" s="598"/>
      <c r="AA85" s="598"/>
      <c r="AB85" s="598"/>
      <c r="AC85" s="597"/>
      <c r="AD85" s="598"/>
      <c r="AE85" s="598"/>
      <c r="AF85" s="598"/>
      <c r="AG85" s="598"/>
      <c r="AH85" s="597"/>
      <c r="AI85" s="598"/>
      <c r="AJ85" s="598"/>
      <c r="AK85" s="598"/>
      <c r="AL85" s="598"/>
      <c r="AM85" s="597"/>
    </row>
    <row r="86" spans="1:39">
      <c r="A86" s="221"/>
      <c r="B86" s="604" t="s">
        <v>286</v>
      </c>
      <c r="C86" s="595"/>
      <c r="D86" s="595"/>
      <c r="E86" s="596"/>
      <c r="F86" s="596"/>
      <c r="G86" s="596"/>
      <c r="H86" s="596"/>
      <c r="I86" s="595"/>
      <c r="J86" s="596"/>
      <c r="K86" s="596"/>
      <c r="L86" s="605"/>
      <c r="M86" s="605"/>
      <c r="N86" s="595"/>
      <c r="O86" s="606"/>
      <c r="P86" s="606"/>
      <c r="Q86" s="278"/>
      <c r="R86" s="278" t="s">
        <v>287</v>
      </c>
      <c r="S86" s="595"/>
      <c r="T86" s="278" t="s">
        <v>287</v>
      </c>
      <c r="U86" s="278" t="s">
        <v>288</v>
      </c>
      <c r="V86" s="278" t="s">
        <v>289</v>
      </c>
      <c r="W86" s="596"/>
      <c r="X86" s="595"/>
      <c r="Y86" s="598"/>
      <c r="Z86" s="598"/>
      <c r="AA86" s="598"/>
      <c r="AB86" s="598"/>
      <c r="AC86" s="597"/>
      <c r="AD86" s="598"/>
      <c r="AE86" s="598"/>
      <c r="AF86" s="598"/>
      <c r="AG86" s="598"/>
      <c r="AH86" s="597"/>
      <c r="AI86" s="598"/>
      <c r="AJ86" s="598"/>
      <c r="AK86" s="598"/>
      <c r="AL86" s="598"/>
      <c r="AM86" s="597"/>
    </row>
    <row r="87" spans="1:39">
      <c r="A87" s="221"/>
      <c r="B87" s="604" t="s">
        <v>290</v>
      </c>
      <c r="C87" s="595"/>
      <c r="D87" s="595"/>
      <c r="E87" s="596"/>
      <c r="F87" s="596"/>
      <c r="G87" s="596"/>
      <c r="H87" s="596"/>
      <c r="I87" s="595"/>
      <c r="J87" s="596"/>
      <c r="K87" s="596"/>
      <c r="L87" s="605"/>
      <c r="M87" s="605"/>
      <c r="N87" s="595"/>
      <c r="O87" s="606"/>
      <c r="P87" s="606"/>
      <c r="Q87" s="278"/>
      <c r="R87" s="278">
        <v>0.04</v>
      </c>
      <c r="S87" s="595"/>
      <c r="T87" s="606"/>
      <c r="U87" s="606"/>
      <c r="V87" s="606"/>
      <c r="W87" s="596"/>
      <c r="X87" s="595"/>
      <c r="Y87" s="598"/>
      <c r="Z87" s="598"/>
      <c r="AA87" s="598"/>
      <c r="AB87" s="598"/>
      <c r="AC87" s="597"/>
      <c r="AD87" s="598"/>
      <c r="AE87" s="598"/>
      <c r="AF87" s="598"/>
      <c r="AG87" s="598"/>
      <c r="AH87" s="597"/>
      <c r="AI87" s="598"/>
      <c r="AJ87" s="598"/>
      <c r="AK87" s="598"/>
      <c r="AL87" s="598"/>
      <c r="AM87" s="597"/>
    </row>
    <row r="88" spans="1:39">
      <c r="A88" s="221"/>
      <c r="B88" s="122" t="s">
        <v>291</v>
      </c>
      <c r="C88" s="595"/>
      <c r="D88" s="595"/>
      <c r="E88" s="596"/>
      <c r="F88" s="596"/>
      <c r="G88" s="596"/>
      <c r="H88" s="596"/>
      <c r="I88" s="595"/>
      <c r="J88" s="596"/>
      <c r="K88" s="596"/>
      <c r="L88" s="596"/>
      <c r="M88" s="596"/>
      <c r="N88" s="595"/>
      <c r="O88" s="596"/>
      <c r="P88" s="596"/>
      <c r="Q88" s="596"/>
      <c r="R88" s="596"/>
      <c r="S88" s="595"/>
      <c r="T88" s="596"/>
      <c r="U88" s="596"/>
      <c r="V88" s="596"/>
      <c r="W88" s="596"/>
      <c r="X88" s="595"/>
      <c r="Y88" s="598"/>
      <c r="Z88" s="598"/>
      <c r="AA88" s="598"/>
      <c r="AB88" s="598"/>
      <c r="AC88" s="597"/>
      <c r="AD88" s="598"/>
      <c r="AE88" s="598"/>
      <c r="AF88" s="598"/>
      <c r="AG88" s="598"/>
      <c r="AH88" s="597"/>
      <c r="AI88" s="598"/>
      <c r="AJ88" s="598"/>
      <c r="AK88" s="598"/>
      <c r="AL88" s="598"/>
      <c r="AM88" s="597"/>
    </row>
    <row r="89" spans="1:39">
      <c r="A89" s="221"/>
      <c r="B89" s="122" t="s">
        <v>292</v>
      </c>
      <c r="C89" s="595"/>
      <c r="D89" s="595"/>
      <c r="E89" s="596"/>
      <c r="F89" s="596"/>
      <c r="G89" s="596"/>
      <c r="H89" s="596"/>
      <c r="I89" s="595"/>
      <c r="J89" s="596"/>
      <c r="K89" s="596"/>
      <c r="L89" s="596"/>
      <c r="M89" s="596"/>
      <c r="N89" s="595"/>
      <c r="O89" s="606"/>
      <c r="P89" s="606"/>
      <c r="Q89" s="606"/>
      <c r="R89" s="182"/>
      <c r="S89" s="595"/>
      <c r="T89" s="606"/>
      <c r="U89" s="606"/>
      <c r="V89" s="606"/>
      <c r="W89" s="596"/>
      <c r="X89" s="595"/>
      <c r="Y89" s="598"/>
      <c r="Z89" s="598"/>
      <c r="AA89" s="598"/>
      <c r="AB89" s="598"/>
      <c r="AC89" s="597"/>
      <c r="AD89" s="598"/>
      <c r="AE89" s="598"/>
      <c r="AF89" s="598"/>
      <c r="AG89" s="598"/>
      <c r="AH89" s="597"/>
      <c r="AI89" s="598"/>
      <c r="AJ89" s="598"/>
      <c r="AK89" s="598"/>
      <c r="AL89" s="598"/>
      <c r="AM89" s="597"/>
    </row>
    <row r="90" spans="1:39">
      <c r="A90" s="221"/>
      <c r="B90" s="122" t="s">
        <v>293</v>
      </c>
      <c r="C90" s="595"/>
      <c r="D90" s="595"/>
      <c r="E90" s="596"/>
      <c r="F90" s="596"/>
      <c r="G90" s="596"/>
      <c r="H90" s="596"/>
      <c r="I90" s="595"/>
      <c r="J90" s="596"/>
      <c r="K90" s="596"/>
      <c r="L90" s="596"/>
      <c r="M90" s="596"/>
      <c r="N90" s="607"/>
      <c r="O90" s="608"/>
      <c r="P90" s="603">
        <v>542</v>
      </c>
      <c r="Q90" s="608"/>
      <c r="R90" s="601">
        <v>624</v>
      </c>
      <c r="S90" s="595"/>
      <c r="T90" s="608"/>
      <c r="U90" s="608"/>
      <c r="V90" s="608"/>
      <c r="W90" s="596"/>
      <c r="X90" s="595"/>
      <c r="Y90" s="598"/>
      <c r="Z90" s="598"/>
      <c r="AA90" s="598"/>
      <c r="AB90" s="598"/>
      <c r="AC90" s="597"/>
      <c r="AD90" s="598"/>
      <c r="AE90" s="598"/>
      <c r="AF90" s="598"/>
      <c r="AG90" s="598"/>
      <c r="AH90" s="597"/>
      <c r="AI90" s="598"/>
      <c r="AJ90" s="598"/>
      <c r="AK90" s="598"/>
      <c r="AL90" s="598"/>
      <c r="AM90" s="597"/>
    </row>
    <row r="91" spans="1:39">
      <c r="A91" s="221"/>
      <c r="B91" s="604" t="s">
        <v>285</v>
      </c>
      <c r="C91" s="595"/>
      <c r="D91" s="595"/>
      <c r="E91" s="596"/>
      <c r="F91" s="596"/>
      <c r="G91" s="596"/>
      <c r="H91" s="596"/>
      <c r="I91" s="595"/>
      <c r="J91" s="596"/>
      <c r="K91" s="596"/>
      <c r="L91" s="596"/>
      <c r="M91" s="596"/>
      <c r="N91" s="595"/>
      <c r="O91" s="606"/>
      <c r="P91" s="606"/>
      <c r="Q91" s="606"/>
      <c r="R91" s="609">
        <v>0.68</v>
      </c>
      <c r="S91" s="595"/>
      <c r="T91" s="606"/>
      <c r="U91" s="606"/>
      <c r="V91" s="606"/>
      <c r="W91" s="596"/>
      <c r="X91" s="595"/>
      <c r="Y91" s="598"/>
      <c r="Z91" s="598"/>
      <c r="AA91" s="598"/>
      <c r="AB91" s="598"/>
      <c r="AC91" s="597"/>
      <c r="AD91" s="598"/>
      <c r="AE91" s="598"/>
      <c r="AF91" s="598"/>
      <c r="AG91" s="598"/>
      <c r="AH91" s="597"/>
      <c r="AI91" s="598"/>
      <c r="AJ91" s="598"/>
      <c r="AK91" s="598"/>
      <c r="AL91" s="598"/>
      <c r="AM91" s="597"/>
    </row>
    <row r="92" spans="1:39">
      <c r="A92" s="221"/>
      <c r="B92" s="610"/>
      <c r="C92" s="611"/>
      <c r="D92" s="611"/>
      <c r="E92" s="612"/>
      <c r="F92" s="612"/>
      <c r="G92" s="612"/>
      <c r="H92" s="612"/>
      <c r="I92" s="611"/>
      <c r="J92" s="612"/>
      <c r="K92" s="612"/>
      <c r="L92" s="612"/>
      <c r="M92" s="612"/>
      <c r="N92" s="611"/>
      <c r="O92" s="612"/>
      <c r="P92" s="612"/>
      <c r="Q92" s="612"/>
      <c r="R92" s="612"/>
      <c r="S92" s="611"/>
      <c r="T92" s="612"/>
      <c r="U92" s="612"/>
      <c r="V92" s="612"/>
      <c r="W92" s="612"/>
      <c r="X92" s="611"/>
      <c r="Y92" s="613"/>
      <c r="Z92" s="613"/>
      <c r="AA92" s="613"/>
      <c r="AB92" s="613"/>
      <c r="AC92" s="614"/>
      <c r="AD92" s="613"/>
      <c r="AE92" s="613"/>
      <c r="AF92" s="613"/>
      <c r="AG92" s="613"/>
      <c r="AH92" s="614"/>
      <c r="AI92" s="613"/>
      <c r="AJ92" s="613"/>
      <c r="AK92" s="613"/>
      <c r="AL92" s="613"/>
      <c r="AM92" s="614"/>
    </row>
    <row r="94" spans="1:39">
      <c r="C94" s="140"/>
      <c r="D94" s="140"/>
      <c r="E94" s="140"/>
      <c r="F94" s="140"/>
      <c r="G94" s="140"/>
      <c r="H94" s="140"/>
      <c r="I94" s="140"/>
      <c r="J94" s="140"/>
      <c r="K94" s="140"/>
      <c r="L94" s="140"/>
      <c r="M94" s="140"/>
      <c r="N94" s="140"/>
      <c r="O94" s="140"/>
      <c r="P94" s="139">
        <f>+P84/O84-1</f>
        <v>0.23529411764705888</v>
      </c>
      <c r="Q94" s="139">
        <f>+Q84/P84-1</f>
        <v>0.10052910052910047</v>
      </c>
      <c r="R94" s="139"/>
      <c r="S94" s="140"/>
      <c r="T94" s="140"/>
      <c r="U94" s="140"/>
      <c r="V94" s="140"/>
      <c r="W94" s="140"/>
      <c r="X94" s="140"/>
      <c r="Y94" s="140"/>
      <c r="Z94" s="140"/>
      <c r="AA94" s="140"/>
      <c r="AB94" s="140"/>
      <c r="AC94" s="140"/>
      <c r="AD94" s="140"/>
      <c r="AE94" s="140"/>
      <c r="AF94" s="140"/>
      <c r="AG94" s="140"/>
      <c r="AH94" s="140"/>
      <c r="AI94" s="140"/>
      <c r="AJ94" s="140"/>
      <c r="AK94" s="140"/>
      <c r="AL94" s="140"/>
      <c r="AM94" s="140"/>
    </row>
    <row r="95" spans="1:39">
      <c r="C95" s="615"/>
      <c r="D95" s="615"/>
      <c r="E95" s="615"/>
      <c r="F95" s="615"/>
      <c r="G95" s="615"/>
      <c r="H95" s="615"/>
      <c r="I95" s="615"/>
      <c r="J95" s="615"/>
      <c r="K95" s="615"/>
      <c r="L95" s="615"/>
      <c r="M95" s="615"/>
      <c r="N95" s="615"/>
      <c r="O95" s="615"/>
      <c r="P95" s="615"/>
      <c r="Q95" s="606"/>
      <c r="R95" s="606"/>
      <c r="S95" s="615"/>
      <c r="T95" s="615"/>
      <c r="U95" s="615"/>
      <c r="V95" s="615"/>
      <c r="W95" s="615"/>
      <c r="X95" s="615"/>
      <c r="Y95" s="615"/>
      <c r="Z95" s="615"/>
      <c r="AA95" s="615"/>
      <c r="AB95" s="615"/>
      <c r="AC95" s="615"/>
      <c r="AD95" s="615"/>
      <c r="AE95" s="615"/>
      <c r="AF95" s="615"/>
      <c r="AG95" s="615"/>
      <c r="AH95" s="615"/>
      <c r="AI95" s="615"/>
      <c r="AJ95" s="615"/>
      <c r="AK95" s="615"/>
      <c r="AL95" s="615"/>
      <c r="AM95" s="615"/>
    </row>
    <row r="96" spans="1:39" hidden="1">
      <c r="B96" t="s">
        <v>294</v>
      </c>
      <c r="O96" s="616">
        <f>+O84*0.08</f>
        <v>12.24</v>
      </c>
      <c r="P96" s="616">
        <f t="shared" ref="P96:U96" si="99">+P84*0.08</f>
        <v>15.120000000000001</v>
      </c>
      <c r="Q96" s="616">
        <f t="shared" si="99"/>
        <v>16.64</v>
      </c>
      <c r="R96" s="616">
        <f t="shared" si="99"/>
        <v>19.84</v>
      </c>
      <c r="S96" s="616">
        <f>+SUM(O96:R96)</f>
        <v>63.84</v>
      </c>
      <c r="T96" s="616">
        <f t="shared" si="99"/>
        <v>20.080000000000002</v>
      </c>
      <c r="U96" s="616">
        <f t="shared" si="99"/>
        <v>25.44</v>
      </c>
      <c r="V96" s="616"/>
    </row>
    <row r="97" spans="15:22" hidden="1">
      <c r="O97" s="139">
        <f>+O96/'Quarterly Model'!O26</f>
        <v>8.3746707262837422E-2</v>
      </c>
      <c r="P97" s="139">
        <f>+P96/'Quarterly Model'!P26</f>
        <v>8.851992576503584E-2</v>
      </c>
      <c r="Q97" s="139">
        <f>+Q96/'Quarterly Model'!Q26</f>
        <v>9.360040950179159E-2</v>
      </c>
      <c r="R97" s="139">
        <f>+R96/'Quarterly Model'!R26</f>
        <v>0.1033995736852254</v>
      </c>
      <c r="S97" s="139">
        <f>+S96/'Quarterly Model'!S26</f>
        <v>9.2977463451293194E-2</v>
      </c>
      <c r="T97" s="139">
        <f>+T96/'Quarterly Model'!T26</f>
        <v>9.8539572864321606E-2</v>
      </c>
      <c r="U97" s="139">
        <f>+U96/'Quarterly Model'!U26</f>
        <v>0.10581790502177503</v>
      </c>
      <c r="V97" s="139"/>
    </row>
    <row r="98" spans="15:22" hidden="1">
      <c r="O98" s="139">
        <f>+O30/'Quarterly Model'!O26</f>
        <v>0.16281345147275156</v>
      </c>
      <c r="P98" s="139">
        <f>+P30/'Quarterly Model'!P26</f>
        <v>0.17397795198145302</v>
      </c>
      <c r="Q98" s="139">
        <f>+Q30/'Quarterly Model'!Q26</f>
        <v>0.19867586920692784</v>
      </c>
      <c r="R98" s="139">
        <f>+R30/'Quarterly Model'!R26</f>
        <v>0.21116652855735699</v>
      </c>
      <c r="S98" s="139">
        <f>+S30/'Quarterly Model'!S26</f>
        <v>0.18838859453145715</v>
      </c>
      <c r="T98" s="139">
        <f>+T30/'Quarterly Model'!T26</f>
        <v>0.24075455402010051</v>
      </c>
      <c r="U98" s="139">
        <f>+U30/'Quarterly Model'!U26</f>
        <v>0.24603910770216253</v>
      </c>
      <c r="V98" s="139"/>
    </row>
  </sheetData>
  <pageMargins left="0.24" right="0.24" top="0.34" bottom="0.3" header="0.2" footer="0.24"/>
  <pageSetup scale="47" fitToHeight="0" orientation="landscape" r:id="rId1"/>
  <headerFooter alignWithMargins="0"/>
  <ignoredErrors>
    <ignoredError sqref="W32:AC33 X30:AC30 W35:AC43 W34:X34 Z34:AC34 W12:W17 AC7:AL12 AH30:AH40 X7:X17 AC20:AL22 AC19 AE19:AL19 AC15:AL18 AC14 AE14:AH14 AJ14:AL14 AC13 AH13" formula="1"/>
  </ignoredErrors>
  <drawing r:id="rId2"/>
  <legacyDrawing r:id="rId3"/>
  <controls>
    <mc:AlternateContent xmlns:mc="http://schemas.openxmlformats.org/markup-compatibility/2006">
      <mc:Choice Requires="x14">
        <control shapeId="3073" r:id="rId4" name="ComboBox1">
          <controlPr defaultSize="0" autoLine="0" linkedCell="'DCF Analysis'!$A$5" listFillRange="'DCF Analysis'!$A$2:$A$4" r:id="rId5">
            <anchor moveWithCells="1">
              <from>
                <xdr:col>1</xdr:col>
                <xdr:colOff>771525</xdr:colOff>
                <xdr:row>2</xdr:row>
                <xdr:rowOff>95250</xdr:rowOff>
              </from>
              <to>
                <xdr:col>1</xdr:col>
                <xdr:colOff>3067050</xdr:colOff>
                <xdr:row>4</xdr:row>
                <xdr:rowOff>38100</xdr:rowOff>
              </to>
            </anchor>
          </controlPr>
        </control>
      </mc:Choice>
      <mc:Fallback>
        <control shapeId="3073" r:id="rId4" name="Combo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3"/>
    <pageSetUpPr fitToPage="1"/>
  </sheetPr>
  <dimension ref="A1:E22"/>
  <sheetViews>
    <sheetView showGridLines="0" zoomScale="85" zoomScaleNormal="85" zoomScaleSheetLayoutView="100" workbookViewId="0">
      <selection activeCell="F14" sqref="F14"/>
    </sheetView>
  </sheetViews>
  <sheetFormatPr defaultColWidth="9" defaultRowHeight="13.5" customHeight="1"/>
  <cols>
    <col min="1" max="1" width="3.5703125" customWidth="1"/>
    <col min="2" max="2" width="31.85546875" customWidth="1"/>
    <col min="3" max="3" width="18.7109375" customWidth="1"/>
    <col min="5" max="5" width="9" collapsed="1"/>
  </cols>
  <sheetData>
    <row r="1" spans="1:4" ht="15.75" customHeight="1">
      <c r="A1" s="92"/>
      <c r="B1" s="93" t="s">
        <v>295</v>
      </c>
      <c r="C1" s="92"/>
    </row>
    <row r="2" spans="1:4" ht="18.75" customHeight="1">
      <c r="A2" s="104"/>
      <c r="B2" s="617" t="s">
        <v>12</v>
      </c>
      <c r="C2" s="104"/>
    </row>
    <row r="3" spans="1:4" ht="24" customHeight="1">
      <c r="A3" s="404"/>
      <c r="B3" s="404"/>
      <c r="C3" s="618"/>
    </row>
    <row r="4" spans="1:4" ht="13.5" customHeight="1">
      <c r="A4" s="404"/>
      <c r="B4" s="619"/>
      <c r="C4" s="620" t="s">
        <v>296</v>
      </c>
    </row>
    <row r="5" spans="1:4" ht="13.5" customHeight="1">
      <c r="A5" s="404"/>
      <c r="B5" s="621" t="s">
        <v>297</v>
      </c>
      <c r="C5" s="622">
        <f>'DCF Analysis'!I129</f>
        <v>39.519982733416384</v>
      </c>
      <c r="D5" s="953"/>
    </row>
    <row r="6" spans="1:4" ht="13.5" customHeight="1">
      <c r="A6" s="404"/>
      <c r="B6" s="623" t="s">
        <v>298</v>
      </c>
      <c r="C6" s="624">
        <f>IF(ISERROR(C16),"NM",C16)</f>
        <v>39.782723423914085</v>
      </c>
    </row>
    <row r="7" spans="1:4" ht="13.5" customHeight="1">
      <c r="A7" s="404"/>
      <c r="B7" s="404"/>
      <c r="C7" s="404"/>
    </row>
    <row r="8" spans="1:4" ht="13.5" customHeight="1">
      <c r="A8" s="404"/>
      <c r="B8" s="625" t="s">
        <v>299</v>
      </c>
      <c r="C8" s="626" t="s">
        <v>300</v>
      </c>
    </row>
    <row r="9" spans="1:4" ht="13.5" customHeight="1">
      <c r="A9" s="404"/>
      <c r="B9" s="627" t="s">
        <v>301</v>
      </c>
      <c r="C9" s="628">
        <f>'Quarterly Model'!AH115</f>
        <v>446.87980615357122</v>
      </c>
    </row>
    <row r="10" spans="1:4" ht="13.5" customHeight="1">
      <c r="A10" s="404"/>
      <c r="B10" s="629" t="s">
        <v>302</v>
      </c>
      <c r="C10" s="631">
        <f>CHOOSE(_Switch,C11,C12,C13)</f>
        <v>40</v>
      </c>
    </row>
    <row r="11" spans="1:4" ht="13.5" customHeight="1">
      <c r="A11" s="404"/>
      <c r="B11" s="630" t="s">
        <v>96</v>
      </c>
      <c r="C11" s="632">
        <v>45</v>
      </c>
    </row>
    <row r="12" spans="1:4" ht="13.5" customHeight="1">
      <c r="A12" s="404"/>
      <c r="B12" s="630" t="s">
        <v>97</v>
      </c>
      <c r="C12" s="632">
        <v>40</v>
      </c>
    </row>
    <row r="13" spans="1:4" ht="13.5" customHeight="1">
      <c r="A13" s="404"/>
      <c r="B13" s="633" t="s">
        <v>98</v>
      </c>
      <c r="C13" s="634">
        <v>18</v>
      </c>
    </row>
    <row r="14" spans="1:4" ht="13.5" customHeight="1">
      <c r="A14" s="404"/>
      <c r="B14" s="635" t="s">
        <v>303</v>
      </c>
      <c r="C14" s="636">
        <f>C9*C10</f>
        <v>17875.192246142848</v>
      </c>
    </row>
    <row r="15" spans="1:4" ht="13.5" customHeight="1" thickBot="1">
      <c r="A15" s="404"/>
      <c r="B15" s="637" t="s">
        <v>304</v>
      </c>
      <c r="C15" s="638">
        <f>-C19+C18</f>
        <v>-264.65296083132165</v>
      </c>
      <c r="D15" s="639"/>
    </row>
    <row r="16" spans="1:4" ht="13.5" customHeight="1" thickBot="1">
      <c r="A16" s="404"/>
      <c r="B16" s="619" t="s">
        <v>305</v>
      </c>
      <c r="C16" s="640">
        <f>(C14-C15)/C20</f>
        <v>39.782723423914085</v>
      </c>
    </row>
    <row r="17" spans="1:3" ht="13.5" customHeight="1">
      <c r="A17" s="404"/>
      <c r="B17" s="404"/>
      <c r="C17" s="404"/>
    </row>
    <row r="18" spans="1:3" ht="13.5" customHeight="1">
      <c r="A18" s="404"/>
      <c r="B18" s="956" t="s">
        <v>225</v>
      </c>
      <c r="C18" s="641">
        <v>354.23700000000002</v>
      </c>
    </row>
    <row r="19" spans="1:3" ht="13.5" customHeight="1">
      <c r="A19" s="404"/>
      <c r="B19" s="642" t="s">
        <v>203</v>
      </c>
      <c r="C19" s="643">
        <v>618.88996083132167</v>
      </c>
    </row>
    <row r="20" spans="1:3" ht="13.5" customHeight="1">
      <c r="A20" s="404"/>
      <c r="B20" s="644" t="s">
        <v>306</v>
      </c>
      <c r="C20" s="645">
        <v>455.97293613312542</v>
      </c>
    </row>
    <row r="22" spans="1:3" ht="13.5" customHeight="1">
      <c r="B22" s="987" t="s">
        <v>458</v>
      </c>
      <c r="C22" s="988">
        <f>'DCF Analysis'!I124/'Price Target'!C9</f>
        <v>39.731913050358976</v>
      </c>
    </row>
  </sheetData>
  <pageMargins left="0.75" right="0.75" top="1" bottom="1" header="0.5" footer="0.5"/>
  <pageSetup orientation="landscape" r:id="rId1"/>
  <headerFooter alignWithMargins="0"/>
  <drawing r:id="rId2"/>
  <legacyDrawing r:id="rId3"/>
  <controls>
    <mc:AlternateContent xmlns:mc="http://schemas.openxmlformats.org/markup-compatibility/2006">
      <mc:Choice Requires="x14">
        <control shapeId="4097" r:id="rId4" name="ComboBox2">
          <controlPr defaultSize="0" autoLine="0" linkedCell="'DCF Analysis'!$A$5" listFillRange="'DCF Analysis'!$A$2:$A$4" r:id="rId5">
            <anchor moveWithCells="1">
              <from>
                <xdr:col>1</xdr:col>
                <xdr:colOff>762000</xdr:colOff>
                <xdr:row>1</xdr:row>
                <xdr:rowOff>47625</xdr:rowOff>
              </from>
              <to>
                <xdr:col>2</xdr:col>
                <xdr:colOff>942975</xdr:colOff>
                <xdr:row>2</xdr:row>
                <xdr:rowOff>85725</xdr:rowOff>
              </to>
            </anchor>
          </controlPr>
        </control>
      </mc:Choice>
      <mc:Fallback>
        <control shapeId="4097" r:id="rId4" name="ComboBox2"/>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3"/>
    <pageSetUpPr fitToPage="1"/>
  </sheetPr>
  <dimension ref="A1:S208"/>
  <sheetViews>
    <sheetView showGridLines="0" zoomScaleNormal="100" workbookViewId="0">
      <pane xSplit="2" ySplit="5" topLeftCell="C6" activePane="bottomRight" state="frozen"/>
      <selection activeCell="J35" sqref="J35"/>
      <selection pane="topRight" activeCell="J35" sqref="J35"/>
      <selection pane="bottomLeft" activeCell="J35" sqref="J35"/>
      <selection pane="bottomRight" activeCell="S29" sqref="S29"/>
    </sheetView>
  </sheetViews>
  <sheetFormatPr defaultRowHeight="12.75" outlineLevelRow="1"/>
  <cols>
    <col min="1" max="1" width="2.42578125" customWidth="1"/>
    <col min="2" max="2" width="36.28515625" customWidth="1"/>
    <col min="3" max="16" width="9.42578125" customWidth="1"/>
    <col min="17" max="17" width="6.28515625" customWidth="1"/>
    <col min="18" max="19" width="7.85546875" customWidth="1"/>
  </cols>
  <sheetData>
    <row r="1" spans="1:19" ht="15.75">
      <c r="A1" s="646"/>
      <c r="B1" s="93" t="s">
        <v>307</v>
      </c>
      <c r="C1" s="93"/>
      <c r="D1" s="646"/>
      <c r="E1" s="646"/>
      <c r="F1" s="647"/>
      <c r="G1" s="647"/>
      <c r="H1" s="647"/>
      <c r="I1" s="647"/>
      <c r="J1" s="647"/>
      <c r="K1" s="647"/>
      <c r="L1" s="663"/>
      <c r="M1" s="964"/>
      <c r="N1" s="647"/>
      <c r="O1" s="966"/>
      <c r="P1" s="965"/>
      <c r="Q1" s="646"/>
      <c r="R1" s="646"/>
      <c r="S1" s="646"/>
    </row>
    <row r="2" spans="1:19" ht="15.75">
      <c r="A2" s="648" t="s">
        <v>308</v>
      </c>
      <c r="B2" s="95" t="s">
        <v>309</v>
      </c>
      <c r="C2" s="396"/>
      <c r="D2" s="396"/>
      <c r="E2" s="396"/>
      <c r="F2" s="649"/>
      <c r="G2" s="649"/>
      <c r="H2" s="957"/>
      <c r="I2" s="957"/>
      <c r="J2" s="957"/>
      <c r="K2" s="957"/>
      <c r="L2" s="957"/>
      <c r="M2" s="957"/>
      <c r="N2" s="957"/>
      <c r="O2" s="957"/>
      <c r="P2" s="957"/>
      <c r="Q2" s="646"/>
      <c r="R2" s="396"/>
      <c r="S2" s="650" t="s">
        <v>310</v>
      </c>
    </row>
    <row r="3" spans="1:19" ht="15.75">
      <c r="A3" s="651" t="s">
        <v>311</v>
      </c>
      <c r="B3" s="106" t="s">
        <v>12</v>
      </c>
      <c r="C3" s="652" t="str">
        <f t="shared" ref="C3:P3" si="0">IF(C4&lt;$R$3,"",IF(C4=$R$3,0.25*(4-$R$4)/2,MAX(0,C4-$R$3+0.5-0.25*$R$4)))</f>
        <v/>
      </c>
      <c r="D3" s="652" t="str">
        <f t="shared" si="0"/>
        <v/>
      </c>
      <c r="E3" s="652" t="str">
        <f t="shared" si="0"/>
        <v/>
      </c>
      <c r="F3" s="652" t="str">
        <f t="shared" si="0"/>
        <v/>
      </c>
      <c r="G3" s="652" t="str">
        <f t="shared" si="0"/>
        <v/>
      </c>
      <c r="H3" s="652" t="str">
        <f t="shared" si="0"/>
        <v/>
      </c>
      <c r="I3" s="652">
        <f t="shared" si="0"/>
        <v>0.125</v>
      </c>
      <c r="J3" s="652">
        <f t="shared" si="0"/>
        <v>0.75</v>
      </c>
      <c r="K3" s="652">
        <f t="shared" si="0"/>
        <v>1.75</v>
      </c>
      <c r="L3" s="652">
        <f t="shared" si="0"/>
        <v>2.75</v>
      </c>
      <c r="M3" s="652">
        <f t="shared" si="0"/>
        <v>3.75</v>
      </c>
      <c r="N3" s="652">
        <f t="shared" si="0"/>
        <v>4.75</v>
      </c>
      <c r="O3" s="652">
        <f t="shared" si="0"/>
        <v>5.75</v>
      </c>
      <c r="P3" s="652">
        <f t="shared" si="0"/>
        <v>6.75</v>
      </c>
      <c r="Q3" s="646"/>
      <c r="R3" s="653">
        <v>2018</v>
      </c>
      <c r="S3" s="360" t="s">
        <v>312</v>
      </c>
    </row>
    <row r="4" spans="1:19" ht="15.75">
      <c r="A4" s="651" t="s">
        <v>313</v>
      </c>
      <c r="B4" s="654"/>
      <c r="C4" s="655">
        <f>LEFT(C5,4)+0</f>
        <v>2012</v>
      </c>
      <c r="D4" s="655">
        <f>LEFT(D5,4)+0</f>
        <v>2013</v>
      </c>
      <c r="E4" s="655">
        <f>+D4+1</f>
        <v>2014</v>
      </c>
      <c r="F4" s="655">
        <f t="shared" ref="F4:P4" si="1">+E4+1</f>
        <v>2015</v>
      </c>
      <c r="G4" s="655">
        <f t="shared" si="1"/>
        <v>2016</v>
      </c>
      <c r="H4" s="655">
        <f t="shared" si="1"/>
        <v>2017</v>
      </c>
      <c r="I4" s="655">
        <f t="shared" si="1"/>
        <v>2018</v>
      </c>
      <c r="J4" s="655">
        <f>+I4+1</f>
        <v>2019</v>
      </c>
      <c r="K4" s="655">
        <f t="shared" si="1"/>
        <v>2020</v>
      </c>
      <c r="L4" s="655">
        <f t="shared" si="1"/>
        <v>2021</v>
      </c>
      <c r="M4" s="655">
        <f t="shared" si="1"/>
        <v>2022</v>
      </c>
      <c r="N4" s="655">
        <f t="shared" si="1"/>
        <v>2023</v>
      </c>
      <c r="O4" s="655">
        <f t="shared" si="1"/>
        <v>2024</v>
      </c>
      <c r="P4" s="655">
        <f t="shared" si="1"/>
        <v>2025</v>
      </c>
      <c r="Q4" s="646"/>
      <c r="R4" s="653">
        <v>3</v>
      </c>
      <c r="S4" s="656" t="s">
        <v>314</v>
      </c>
    </row>
    <row r="5" spans="1:19">
      <c r="A5" s="99" t="s">
        <v>311</v>
      </c>
      <c r="B5" s="654">
        <f>IF(A5="1=Bull",1,IF(A5="2=Base",2,3))</f>
        <v>2</v>
      </c>
      <c r="C5" s="107" t="str">
        <f>'Quarterly Model'!C5</f>
        <v>2012A</v>
      </c>
      <c r="D5" s="107" t="str">
        <f>'Quarterly Model'!D5</f>
        <v>2013A</v>
      </c>
      <c r="E5" s="107" t="str">
        <f>'Quarterly Model'!I5</f>
        <v>2014A</v>
      </c>
      <c r="F5" s="107" t="str">
        <f>'Quarterly Model'!N5</f>
        <v>2015A</v>
      </c>
      <c r="G5" s="107" t="str">
        <f>'Quarterly Model'!S5</f>
        <v>2016A</v>
      </c>
      <c r="H5" s="107" t="str">
        <f>'Quarterly Model'!X5</f>
        <v>2017E</v>
      </c>
      <c r="I5" s="107" t="str">
        <f>'Quarterly Model'!AC5</f>
        <v>2018E</v>
      </c>
      <c r="J5" s="107" t="str">
        <f>J4&amp;"E"</f>
        <v>2019E</v>
      </c>
      <c r="K5" s="107" t="str">
        <f t="shared" ref="K5:P5" si="2">K4&amp;"E"</f>
        <v>2020E</v>
      </c>
      <c r="L5" s="107" t="str">
        <f t="shared" si="2"/>
        <v>2021E</v>
      </c>
      <c r="M5" s="107" t="str">
        <f t="shared" si="2"/>
        <v>2022E</v>
      </c>
      <c r="N5" s="107" t="str">
        <f t="shared" si="2"/>
        <v>2023E</v>
      </c>
      <c r="O5" s="107" t="str">
        <f t="shared" si="2"/>
        <v>2024E</v>
      </c>
      <c r="P5" s="107" t="str">
        <f t="shared" si="2"/>
        <v>2025E</v>
      </c>
      <c r="R5" s="657"/>
      <c r="S5" s="657"/>
    </row>
    <row r="6" spans="1:19">
      <c r="A6" s="81"/>
      <c r="B6" s="658" t="s">
        <v>315</v>
      </c>
      <c r="C6" s="659">
        <f>'Segment Detail'!C10</f>
        <v>6518</v>
      </c>
      <c r="D6" s="659">
        <f>'Segment Detail'!D10</f>
        <v>14819</v>
      </c>
      <c r="E6" s="659">
        <f>'Segment Detail'!I10</f>
        <v>23779</v>
      </c>
      <c r="F6" s="659">
        <f>'Segment Detail'!N10</f>
        <v>35631</v>
      </c>
      <c r="G6" s="659">
        <f>'Segment Detail'!S10</f>
        <v>49683</v>
      </c>
      <c r="H6" s="659">
        <f>'Segment Detail'!X10</f>
        <v>65050.789999999994</v>
      </c>
      <c r="I6" s="659">
        <f>'Segment Detail'!AC10</f>
        <v>83915.519100000005</v>
      </c>
      <c r="J6" s="659">
        <f>'Segment Detail'!AH10</f>
        <v>107411.86444800001</v>
      </c>
      <c r="K6" s="659">
        <f>'Segment Detail'!AM10</f>
        <v>135338.94920448001</v>
      </c>
      <c r="L6" s="660">
        <f t="shared" ref="L6:P6" si="3">(1+L7)*K6</f>
        <v>167820.29701355522</v>
      </c>
      <c r="M6" s="660">
        <f t="shared" si="3"/>
        <v>204740.76235653737</v>
      </c>
      <c r="N6" s="660">
        <f t="shared" si="3"/>
        <v>245688.91482784483</v>
      </c>
      <c r="O6" s="660">
        <f t="shared" si="3"/>
        <v>289912.91949685692</v>
      </c>
      <c r="P6" s="660">
        <f t="shared" si="3"/>
        <v>318904.21144654264</v>
      </c>
    </row>
    <row r="7" spans="1:19">
      <c r="A7" s="81"/>
      <c r="B7" s="661" t="s">
        <v>26</v>
      </c>
      <c r="C7" s="662"/>
      <c r="D7" s="662">
        <f>'Segment Detail'!D12</f>
        <v>1.2735501687634243</v>
      </c>
      <c r="E7" s="662">
        <f t="shared" ref="E7:K7" si="4">E6/D6-1</f>
        <v>0.60462919225318856</v>
      </c>
      <c r="F7" s="662">
        <f t="shared" si="4"/>
        <v>0.49842297825812687</v>
      </c>
      <c r="G7" s="662">
        <f t="shared" si="4"/>
        <v>0.39437568409531032</v>
      </c>
      <c r="H7" s="662">
        <f t="shared" si="4"/>
        <v>0.30931686894913746</v>
      </c>
      <c r="I7" s="662">
        <f t="shared" si="4"/>
        <v>0.29000000000000026</v>
      </c>
      <c r="J7" s="662">
        <f t="shared" si="4"/>
        <v>0.28000000000000003</v>
      </c>
      <c r="K7" s="662">
        <f t="shared" si="4"/>
        <v>0.26</v>
      </c>
      <c r="L7" s="663">
        <f>IF(_Toggle="1=bull",0.29,K7-0.02)</f>
        <v>0.24000000000000002</v>
      </c>
      <c r="M7" s="663">
        <f>IF(_Toggle="1=bull",0.28,L7-0.02)</f>
        <v>0.22000000000000003</v>
      </c>
      <c r="N7" s="663">
        <f>IF(_Toggle="1=bull",0.27,M7-0.02)</f>
        <v>0.20000000000000004</v>
      </c>
      <c r="O7" s="663">
        <f>IF(_Toggle="1=bull",0.26,N7-0.02)</f>
        <v>0.18000000000000005</v>
      </c>
      <c r="P7" s="663">
        <f>IF(_Toggle="1=bull",0.19141844,0.1)</f>
        <v>0.1</v>
      </c>
    </row>
    <row r="8" spans="1:19" ht="3.75" customHeight="1">
      <c r="A8" s="81"/>
      <c r="B8" s="665"/>
      <c r="C8" s="664"/>
      <c r="D8" s="664"/>
      <c r="E8" s="664"/>
      <c r="F8" s="664"/>
      <c r="G8" s="666"/>
      <c r="H8" s="666"/>
      <c r="I8" s="666"/>
      <c r="J8" s="666"/>
      <c r="K8" s="666"/>
      <c r="L8" s="666"/>
      <c r="M8" s="666"/>
      <c r="N8" s="666"/>
      <c r="O8" s="666"/>
      <c r="P8" s="666"/>
    </row>
    <row r="9" spans="1:19">
      <c r="A9" s="81"/>
      <c r="B9" s="667" t="s">
        <v>24</v>
      </c>
      <c r="C9" s="668">
        <f>'Segment Detail'!C7</f>
        <v>193.97800000000001</v>
      </c>
      <c r="D9" s="668">
        <f>'Segment Detail'!D7</f>
        <v>433.73700000000002</v>
      </c>
      <c r="E9" s="668">
        <f>'Segment Detail'!I7</f>
        <v>707.79899999999998</v>
      </c>
      <c r="F9" s="668">
        <f>'Segment Detail'!N7</f>
        <v>1050.4449999999999</v>
      </c>
      <c r="G9" s="668">
        <f>'Segment Detail'!S7</f>
        <v>1456.1599999999999</v>
      </c>
      <c r="H9" s="668">
        <f>'Segment Detail'!X7</f>
        <v>1910.0048540156445</v>
      </c>
      <c r="I9" s="668">
        <f>'Segment Detail'!AC7</f>
        <v>2451.3189338151815</v>
      </c>
      <c r="J9" s="668">
        <f>'Segment Detail'!AH7</f>
        <v>3116.2058623938328</v>
      </c>
      <c r="K9" s="668">
        <f>'Segment Detail'!AM7</f>
        <v>3899.3515967753337</v>
      </c>
      <c r="L9" s="669">
        <f t="shared" ref="L9:P9" si="5">L6*L10</f>
        <v>4810.0229354493804</v>
      </c>
      <c r="M9" s="669">
        <f t="shared" si="5"/>
        <v>5837.5168668947636</v>
      </c>
      <c r="N9" s="669">
        <f t="shared" si="5"/>
        <v>6968.1669030495386</v>
      </c>
      <c r="O9" s="669">
        <f t="shared" si="5"/>
        <v>8178.9500076739278</v>
      </c>
      <c r="P9" s="669">
        <f t="shared" si="5"/>
        <v>8949.0093767243397</v>
      </c>
      <c r="Q9" s="670"/>
    </row>
    <row r="10" spans="1:19">
      <c r="A10" s="81"/>
      <c r="B10" s="671" t="s">
        <v>316</v>
      </c>
      <c r="C10" s="672">
        <f t="shared" ref="C10:K10" si="6">C9/C6</f>
        <v>2.9760355937404111E-2</v>
      </c>
      <c r="D10" s="672">
        <f t="shared" si="6"/>
        <v>2.9268979013428707E-2</v>
      </c>
      <c r="E10" s="672">
        <f t="shared" si="6"/>
        <v>2.9765717650027335E-2</v>
      </c>
      <c r="F10" s="672">
        <f t="shared" si="6"/>
        <v>2.9481210182144758E-2</v>
      </c>
      <c r="G10" s="672">
        <f t="shared" si="6"/>
        <v>2.9309019181611412E-2</v>
      </c>
      <c r="H10" s="672">
        <f t="shared" si="6"/>
        <v>2.9361747244201718E-2</v>
      </c>
      <c r="I10" s="672">
        <f t="shared" si="6"/>
        <v>2.9211747244201714E-2</v>
      </c>
      <c r="J10" s="672">
        <f t="shared" si="6"/>
        <v>2.9011747244201719E-2</v>
      </c>
      <c r="K10" s="672">
        <f t="shared" si="6"/>
        <v>2.881174724420172E-2</v>
      </c>
      <c r="L10" s="663">
        <f>IF(_Toggle="1=bull",K10-0.0005,K10-0.00015)</f>
        <v>2.8661747244201719E-2</v>
      </c>
      <c r="M10" s="663">
        <f>IF(_Toggle="1=bull",L10-0.0005,L10-0.00015)</f>
        <v>2.8511747244201718E-2</v>
      </c>
      <c r="N10" s="663">
        <f>IF(_Toggle="1=bull",M10-0.0005,M10-0.00015)</f>
        <v>2.8361747244201718E-2</v>
      </c>
      <c r="O10" s="663">
        <f>IF(_Toggle="1=bull",N10-0.0005,N10-0.00015)</f>
        <v>2.8211747244201717E-2</v>
      </c>
      <c r="P10" s="663">
        <f>IF(_Toggle="1=bull",2.62361212039292%,O10-0.00015)</f>
        <v>2.8061747244201716E-2</v>
      </c>
    </row>
    <row r="11" spans="1:19" ht="3.75" customHeight="1">
      <c r="A11" s="81"/>
      <c r="B11" s="665"/>
      <c r="C11" s="664"/>
      <c r="D11" s="664"/>
      <c r="E11" s="674"/>
      <c r="F11" s="674"/>
      <c r="G11" s="674"/>
      <c r="H11" s="674"/>
      <c r="I11" s="674"/>
      <c r="J11" s="674"/>
      <c r="K11" s="674"/>
      <c r="L11" s="674"/>
      <c r="M11" s="674"/>
      <c r="N11" s="674"/>
      <c r="O11" s="674"/>
      <c r="P11" s="674"/>
    </row>
    <row r="12" spans="1:19">
      <c r="A12" s="81"/>
      <c r="B12" s="667" t="s">
        <v>317</v>
      </c>
      <c r="C12" s="668">
        <f>'Segment Detail'!C30</f>
        <v>0</v>
      </c>
      <c r="D12" s="668">
        <f>'Segment Detail'!D30</f>
        <v>0</v>
      </c>
      <c r="E12" s="668">
        <f>'Segment Detail'!I30</f>
        <v>12.045999999999999</v>
      </c>
      <c r="F12" s="668">
        <f>'Segment Detail'!N30</f>
        <v>58.013000000000005</v>
      </c>
      <c r="G12" s="668">
        <f>'Segment Detail'!S30</f>
        <v>129.351</v>
      </c>
      <c r="H12" s="668">
        <f>'Segment Detail'!X30</f>
        <v>246.1944</v>
      </c>
      <c r="I12" s="668">
        <f>'Segment Detail'!AC30</f>
        <v>418.53048000000001</v>
      </c>
      <c r="J12" s="668">
        <f>'Segment Detail'!AH30</f>
        <v>652.90754880000009</v>
      </c>
      <c r="K12" s="668">
        <f>'Segment Detail'!AM30</f>
        <v>966.30317222400004</v>
      </c>
      <c r="L12" s="669">
        <f t="shared" ref="L12:P12" si="7">L6*L13</f>
        <v>1265.3440523631821</v>
      </c>
      <c r="M12" s="669">
        <f t="shared" si="7"/>
        <v>1625.6160488256971</v>
      </c>
      <c r="N12" s="669">
        <f t="shared" si="7"/>
        <v>2049.0148245219743</v>
      </c>
      <c r="O12" s="669">
        <f t="shared" si="7"/>
        <v>2533.8026607346724</v>
      </c>
      <c r="P12" s="669">
        <f t="shared" si="7"/>
        <v>2914.7446113867568</v>
      </c>
      <c r="Q12" s="670"/>
    </row>
    <row r="13" spans="1:19">
      <c r="A13" s="81"/>
      <c r="B13" s="671" t="s">
        <v>316</v>
      </c>
      <c r="C13" s="287">
        <f t="shared" ref="C13:K13" si="8">C12/C6</f>
        <v>0</v>
      </c>
      <c r="D13" s="287">
        <f t="shared" si="8"/>
        <v>0</v>
      </c>
      <c r="E13" s="287">
        <f t="shared" si="8"/>
        <v>5.0658143740275028E-4</v>
      </c>
      <c r="F13" s="672">
        <f t="shared" si="8"/>
        <v>1.6281608711515255E-3</v>
      </c>
      <c r="G13" s="672">
        <f t="shared" si="8"/>
        <v>2.6035263571040396E-3</v>
      </c>
      <c r="H13" s="672">
        <f t="shared" si="8"/>
        <v>3.7846488874308834E-3</v>
      </c>
      <c r="I13" s="672">
        <f t="shared" si="8"/>
        <v>4.9875217896375975E-3</v>
      </c>
      <c r="J13" s="672">
        <f t="shared" si="8"/>
        <v>6.0785421811208225E-3</v>
      </c>
      <c r="K13" s="672">
        <f t="shared" si="8"/>
        <v>7.1398749429038219E-3</v>
      </c>
      <c r="L13" s="673">
        <f>IF(_Toggle="1=Bull",K13-0.0001,IF(_Toggle="2=Base",K13+0.0004,K13+0.0001))</f>
        <v>7.5398749429038221E-3</v>
      </c>
      <c r="M13" s="673">
        <f>IF(_Toggle="1=Bull",L13-0.0001,IF(_Toggle="2=Base",L13+0.0004,L13+0.0001))</f>
        <v>7.9398749429038223E-3</v>
      </c>
      <c r="N13" s="673">
        <f>IF(_Toggle="1=Bull",M13-0.0001,IF(_Toggle="2=Base",M13+0.0004,M13+0.0001))</f>
        <v>8.3398749429038216E-3</v>
      </c>
      <c r="O13" s="673">
        <f>IF(_Toggle="1=Bull",N13-0.0001,IF(_Toggle="2=Base",N13+0.0004,N13+0.0001))</f>
        <v>8.7398749429038209E-3</v>
      </c>
      <c r="P13" s="673">
        <f>IF(_Toggle="1=Bull",0.760975602888767%,IF(_Toggle="2=Base",O13+0.0004,O13+0.0001))</f>
        <v>9.1398749429038202E-3</v>
      </c>
    </row>
    <row r="14" spans="1:19">
      <c r="A14" s="81"/>
      <c r="B14" s="671" t="s">
        <v>318</v>
      </c>
      <c r="C14" s="287">
        <f t="shared" ref="C14:E14" si="9">C12/C29</f>
        <v>0</v>
      </c>
      <c r="D14" s="287">
        <f t="shared" si="9"/>
        <v>0</v>
      </c>
      <c r="E14" s="287">
        <f t="shared" si="9"/>
        <v>4.35959610582317E-2</v>
      </c>
      <c r="F14" s="287">
        <f>F12/F29</f>
        <v>0.12858317578035824</v>
      </c>
      <c r="G14" s="287">
        <f t="shared" ref="G14:P14" si="10">G12/G29</f>
        <v>0.18838859453145709</v>
      </c>
      <c r="H14" s="287">
        <f t="shared" si="10"/>
        <v>0.25451636738017686</v>
      </c>
      <c r="I14" s="287">
        <f t="shared" si="10"/>
        <v>0.31180479515156717</v>
      </c>
      <c r="J14" s="287">
        <f t="shared" si="10"/>
        <v>0.35708455165185143</v>
      </c>
      <c r="K14" s="287">
        <f t="shared" si="10"/>
        <v>0.39542300691902038</v>
      </c>
      <c r="L14" s="287">
        <f t="shared" si="10"/>
        <v>0.40963564071191866</v>
      </c>
      <c r="M14" s="287">
        <f t="shared" si="10"/>
        <v>0.42331784762621943</v>
      </c>
      <c r="N14" s="287">
        <f t="shared" si="10"/>
        <v>0.43649877764558709</v>
      </c>
      <c r="O14" s="287">
        <f t="shared" si="10"/>
        <v>0.44920548323334136</v>
      </c>
      <c r="P14" s="287">
        <f t="shared" si="10"/>
        <v>0.46146310466042456</v>
      </c>
    </row>
    <row r="15" spans="1:19" ht="3.75" customHeight="1">
      <c r="A15" s="81"/>
      <c r="B15" s="671"/>
      <c r="C15" s="287"/>
      <c r="D15" s="287"/>
      <c r="E15" s="287"/>
      <c r="F15" s="287"/>
      <c r="G15" s="287"/>
      <c r="H15" s="287"/>
      <c r="I15" s="287"/>
      <c r="J15" s="287"/>
      <c r="K15" s="287"/>
      <c r="L15" s="663"/>
      <c r="M15" s="663"/>
      <c r="N15" s="663"/>
      <c r="O15" s="663"/>
      <c r="P15" s="663"/>
    </row>
    <row r="16" spans="1:19">
      <c r="A16" s="81"/>
      <c r="B16" s="667" t="s">
        <v>319</v>
      </c>
      <c r="C16" s="668">
        <f>+'Segment Detail'!C39</f>
        <v>0</v>
      </c>
      <c r="D16" s="668">
        <f>+'Segment Detail'!D39</f>
        <v>4.24</v>
      </c>
      <c r="E16" s="668">
        <f>+'Segment Detail'!I39</f>
        <v>7.3230000000000004</v>
      </c>
      <c r="F16" s="668">
        <f>+'Segment Detail'!N39</f>
        <v>16.376999999999999</v>
      </c>
      <c r="G16" s="668">
        <f>+'Segment Detail'!S39</f>
        <v>44.307000000000002</v>
      </c>
      <c r="H16" s="668">
        <f>+'Segment Detail'!X39</f>
        <v>40.036799999999999</v>
      </c>
      <c r="I16" s="668">
        <f>+'Segment Detail'!AC39</f>
        <v>50.045999999999999</v>
      </c>
      <c r="J16" s="668">
        <f>+'Segment Detail'!AH39</f>
        <v>62.557500000000005</v>
      </c>
      <c r="K16" s="668">
        <f>+'Segment Detail'!AM39</f>
        <v>75.068999999999988</v>
      </c>
      <c r="L16" s="669">
        <f t="shared" ref="L16:P16" si="11">L6*L17</f>
        <v>93.085559999999987</v>
      </c>
      <c r="M16" s="669">
        <f t="shared" si="11"/>
        <v>113.56438319999998</v>
      </c>
      <c r="N16" s="669">
        <f t="shared" si="11"/>
        <v>136.27725983999997</v>
      </c>
      <c r="O16" s="669">
        <f t="shared" si="11"/>
        <v>160.80716661119999</v>
      </c>
      <c r="P16" s="669">
        <f t="shared" si="11"/>
        <v>176.88788327232001</v>
      </c>
    </row>
    <row r="17" spans="1:19">
      <c r="A17" s="81"/>
      <c r="B17" s="671" t="s">
        <v>320</v>
      </c>
      <c r="C17" s="672">
        <f>C16/C6</f>
        <v>0</v>
      </c>
      <c r="D17" s="672">
        <f>D16/D6</f>
        <v>2.8611917133409816E-4</v>
      </c>
      <c r="E17" s="672">
        <f t="shared" ref="E17:K17" si="12">E16/E6</f>
        <v>3.0796080575297533E-4</v>
      </c>
      <c r="F17" s="672">
        <f t="shared" si="12"/>
        <v>4.5962785215121661E-4</v>
      </c>
      <c r="G17" s="672">
        <f t="shared" si="12"/>
        <v>8.9179397379385305E-4</v>
      </c>
      <c r="H17" s="672">
        <f t="shared" si="12"/>
        <v>6.1546985055830998E-4</v>
      </c>
      <c r="I17" s="672">
        <f t="shared" si="12"/>
        <v>5.9638551410688939E-4</v>
      </c>
      <c r="J17" s="672">
        <f t="shared" si="12"/>
        <v>5.8240772862000923E-4</v>
      </c>
      <c r="K17" s="672">
        <f t="shared" si="12"/>
        <v>5.5467402725715151E-4</v>
      </c>
      <c r="L17" s="673">
        <f t="shared" ref="L17:P17" si="13">K17</f>
        <v>5.5467402725715151E-4</v>
      </c>
      <c r="M17" s="673">
        <f t="shared" si="13"/>
        <v>5.5467402725715151E-4</v>
      </c>
      <c r="N17" s="673">
        <f t="shared" si="13"/>
        <v>5.5467402725715151E-4</v>
      </c>
      <c r="O17" s="673">
        <f t="shared" si="13"/>
        <v>5.5467402725715151E-4</v>
      </c>
      <c r="P17" s="673">
        <f t="shared" si="13"/>
        <v>5.5467402725715151E-4</v>
      </c>
    </row>
    <row r="18" spans="1:19" ht="3.75" customHeight="1">
      <c r="A18" s="81"/>
      <c r="B18" s="671"/>
      <c r="C18" s="287"/>
      <c r="D18" s="287"/>
      <c r="E18" s="287"/>
      <c r="F18" s="287"/>
      <c r="G18" s="287"/>
      <c r="H18" s="287"/>
      <c r="I18" s="287"/>
      <c r="J18" s="287"/>
      <c r="K18" s="287"/>
      <c r="L18" s="663"/>
      <c r="M18" s="663"/>
      <c r="N18" s="663"/>
      <c r="O18" s="663"/>
      <c r="P18" s="663"/>
    </row>
    <row r="19" spans="1:19">
      <c r="A19" s="81"/>
      <c r="B19" s="667" t="s">
        <v>321</v>
      </c>
      <c r="C19" s="668">
        <f>+'Segment Detail'!C23</f>
        <v>9.4710000000000001</v>
      </c>
      <c r="D19" s="668">
        <f>+'Segment Detail'!D23</f>
        <v>114.456</v>
      </c>
      <c r="E19" s="668">
        <f>+'Segment Detail'!I23</f>
        <v>123.024</v>
      </c>
      <c r="F19" s="668">
        <f>+'Segment Detail'!N23</f>
        <v>142.28300000000002</v>
      </c>
      <c r="G19" s="668">
        <f>+'Segment Detail'!S23</f>
        <v>78.903000000000006</v>
      </c>
      <c r="H19" s="668">
        <f>+'Segment Detail'!X23</f>
        <v>0</v>
      </c>
      <c r="I19" s="668">
        <f>+'Segment Detail'!AC23</f>
        <v>0</v>
      </c>
      <c r="J19" s="668">
        <f>+'Segment Detail'!AH23</f>
        <v>0</v>
      </c>
      <c r="K19" s="668">
        <f>+'Segment Detail'!AM23</f>
        <v>0</v>
      </c>
      <c r="L19" s="669">
        <f t="shared" ref="L19:P19" si="14">L6*L20</f>
        <v>0</v>
      </c>
      <c r="M19" s="669">
        <f t="shared" si="14"/>
        <v>0</v>
      </c>
      <c r="N19" s="669">
        <f t="shared" si="14"/>
        <v>0</v>
      </c>
      <c r="O19" s="669">
        <f t="shared" si="14"/>
        <v>0</v>
      </c>
      <c r="P19" s="669">
        <f t="shared" si="14"/>
        <v>0</v>
      </c>
    </row>
    <row r="20" spans="1:19">
      <c r="A20" s="81"/>
      <c r="B20" s="671" t="s">
        <v>320</v>
      </c>
      <c r="C20" s="287">
        <f>C19/C6</f>
        <v>1.453053083768027E-3</v>
      </c>
      <c r="D20" s="287">
        <f>D19/D6</f>
        <v>7.7235980835413994E-3</v>
      </c>
      <c r="E20" s="287">
        <f t="shared" ref="E20:K20" si="15">E19/E6</f>
        <v>5.1736406072585058E-3</v>
      </c>
      <c r="F20" s="287">
        <f t="shared" si="15"/>
        <v>3.9932362268810875E-3</v>
      </c>
      <c r="G20" s="287">
        <f t="shared" si="15"/>
        <v>1.5881287361874284E-3</v>
      </c>
      <c r="H20" s="287">
        <f t="shared" si="15"/>
        <v>0</v>
      </c>
      <c r="I20" s="287">
        <f t="shared" si="15"/>
        <v>0</v>
      </c>
      <c r="J20" s="287">
        <f t="shared" si="15"/>
        <v>0</v>
      </c>
      <c r="K20" s="287">
        <f t="shared" si="15"/>
        <v>0</v>
      </c>
      <c r="L20" s="663">
        <v>0</v>
      </c>
      <c r="M20" s="663">
        <v>0</v>
      </c>
      <c r="N20" s="663">
        <v>0</v>
      </c>
      <c r="O20" s="663">
        <v>0</v>
      </c>
      <c r="P20" s="663">
        <v>0</v>
      </c>
      <c r="R20" s="663"/>
    </row>
    <row r="21" spans="1:19" ht="3.75" customHeight="1">
      <c r="A21" s="81"/>
      <c r="B21" s="671"/>
      <c r="C21" s="287"/>
      <c r="D21" s="287"/>
      <c r="E21" s="287"/>
      <c r="F21" s="287"/>
      <c r="G21" s="287"/>
      <c r="H21" s="287"/>
      <c r="I21" s="287"/>
      <c r="J21" s="287"/>
      <c r="K21" s="287"/>
      <c r="L21" s="663"/>
      <c r="M21" s="663"/>
      <c r="N21" s="663"/>
      <c r="O21" s="663"/>
      <c r="P21" s="663"/>
    </row>
    <row r="22" spans="1:19">
      <c r="A22" s="81"/>
      <c r="B22" s="675" t="s">
        <v>322</v>
      </c>
      <c r="C22" s="676">
        <f>C9+C12+C16+C19</f>
        <v>203.44900000000001</v>
      </c>
      <c r="D22" s="676">
        <f>D9+D12+D16+D19</f>
        <v>552.43299999999999</v>
      </c>
      <c r="E22" s="676">
        <f t="shared" ref="E22:K22" si="16">E9+E12+E16+E19</f>
        <v>850.19200000000001</v>
      </c>
      <c r="F22" s="676">
        <f t="shared" si="16"/>
        <v>1267.1179999999999</v>
      </c>
      <c r="G22" s="676">
        <f t="shared" si="16"/>
        <v>1708.721</v>
      </c>
      <c r="H22" s="676">
        <f t="shared" si="16"/>
        <v>2196.2360540156442</v>
      </c>
      <c r="I22" s="676">
        <f t="shared" si="16"/>
        <v>2919.8954138151812</v>
      </c>
      <c r="J22" s="676">
        <f t="shared" si="16"/>
        <v>3831.6709111938326</v>
      </c>
      <c r="K22" s="676">
        <f t="shared" si="16"/>
        <v>4940.7237689993344</v>
      </c>
      <c r="L22" s="677">
        <f t="shared" ref="L22:P22" si="17">L9+L12+L16</f>
        <v>6168.4525478125615</v>
      </c>
      <c r="M22" s="677">
        <f t="shared" si="17"/>
        <v>7576.6972989204605</v>
      </c>
      <c r="N22" s="677">
        <f t="shared" si="17"/>
        <v>9153.4589874115136</v>
      </c>
      <c r="O22" s="677">
        <f t="shared" si="17"/>
        <v>10873.5598350198</v>
      </c>
      <c r="P22" s="678">
        <f t="shared" si="17"/>
        <v>12040.641871383417</v>
      </c>
      <c r="R22" s="94"/>
    </row>
    <row r="23" spans="1:19">
      <c r="A23" s="81"/>
      <c r="B23" s="679" t="s">
        <v>26</v>
      </c>
      <c r="C23" s="680"/>
      <c r="D23" s="680"/>
      <c r="E23" s="680">
        <f>E22/D22-1</f>
        <v>0.53899567911402824</v>
      </c>
      <c r="F23" s="680">
        <f t="shared" ref="F23:P23" si="18">F22/E22-1</f>
        <v>0.49039040593183647</v>
      </c>
      <c r="G23" s="680">
        <f t="shared" si="18"/>
        <v>0.34850976783535548</v>
      </c>
      <c r="H23" s="680">
        <f t="shared" si="18"/>
        <v>0.28530992128945809</v>
      </c>
      <c r="I23" s="680">
        <f t="shared" si="18"/>
        <v>0.32949980876435525</v>
      </c>
      <c r="J23" s="680">
        <f t="shared" si="18"/>
        <v>0.31226306704845674</v>
      </c>
      <c r="K23" s="680">
        <f t="shared" si="18"/>
        <v>0.28944366139730793</v>
      </c>
      <c r="L23" s="681">
        <f t="shared" si="18"/>
        <v>0.24849168587740822</v>
      </c>
      <c r="M23" s="681">
        <f t="shared" si="18"/>
        <v>0.22829789808584766</v>
      </c>
      <c r="N23" s="681">
        <f t="shared" si="18"/>
        <v>0.20810672860267387</v>
      </c>
      <c r="O23" s="681">
        <f t="shared" si="18"/>
        <v>0.18791812471917901</v>
      </c>
      <c r="P23" s="682">
        <f t="shared" si="18"/>
        <v>0.10733210228032863</v>
      </c>
    </row>
    <row r="24" spans="1:19" ht="3.75" customHeight="1">
      <c r="A24" s="81"/>
      <c r="B24" s="671"/>
      <c r="C24" s="287"/>
      <c r="D24" s="287"/>
      <c r="E24" s="287"/>
      <c r="F24" s="287"/>
      <c r="G24" s="287"/>
      <c r="H24" s="287"/>
      <c r="I24" s="287"/>
      <c r="J24" s="287"/>
      <c r="K24" s="287"/>
      <c r="L24" s="663"/>
      <c r="M24" s="663"/>
      <c r="N24" s="663"/>
      <c r="O24" s="663"/>
      <c r="P24" s="663"/>
    </row>
    <row r="25" spans="1:19">
      <c r="A25" s="81"/>
      <c r="B25" s="667" t="s">
        <v>94</v>
      </c>
      <c r="C25" s="668">
        <f>+'Quarterly Model'!C19</f>
        <v>126.351</v>
      </c>
      <c r="D25" s="668">
        <f>+'Quarterly Model'!D19</f>
        <v>277.83300000000003</v>
      </c>
      <c r="E25" s="668">
        <f>+'Quarterly Model'!I19</f>
        <v>450.85800000000006</v>
      </c>
      <c r="F25" s="668">
        <f>+'Quarterly Model'!N19</f>
        <v>673.66399999999999</v>
      </c>
      <c r="G25" s="668">
        <f>+'Quarterly Model'!S19</f>
        <v>943.2</v>
      </c>
      <c r="H25" s="668">
        <f>+'Quarterly Model'!X19</f>
        <v>1228.9332336345335</v>
      </c>
      <c r="I25" s="668">
        <f>+'Quarterly Model'!AC19</f>
        <v>1577.6117590800002</v>
      </c>
      <c r="J25" s="668">
        <f>+'Quarterly Model'!AH19</f>
        <v>2003.2312719552001</v>
      </c>
      <c r="K25" s="668">
        <f>+'Quarterly Model'!AM19</f>
        <v>2497.0036128226566</v>
      </c>
      <c r="L25" s="669">
        <f t="shared" ref="L25:P25" si="19">L26*L6</f>
        <v>3079.5024501987386</v>
      </c>
      <c r="M25" s="669">
        <f t="shared" si="19"/>
        <v>3736.5189130068075</v>
      </c>
      <c r="N25" s="669">
        <f t="shared" si="19"/>
        <v>4459.2538041253847</v>
      </c>
      <c r="O25" s="669">
        <f t="shared" si="19"/>
        <v>5232.9281969182684</v>
      </c>
      <c r="P25" s="669">
        <f t="shared" si="19"/>
        <v>5724.3305954654415</v>
      </c>
    </row>
    <row r="26" spans="1:19">
      <c r="A26" s="81"/>
      <c r="B26" s="671" t="s">
        <v>323</v>
      </c>
      <c r="C26" s="672">
        <f t="shared" ref="C26:K26" si="20">C25/C6</f>
        <v>1.9384934028843202E-2</v>
      </c>
      <c r="D26" s="672">
        <f t="shared" si="20"/>
        <v>1.8748431068223229E-2</v>
      </c>
      <c r="E26" s="672">
        <f t="shared" si="20"/>
        <v>1.8960343159931035E-2</v>
      </c>
      <c r="F26" s="672">
        <f t="shared" si="20"/>
        <v>1.8906682383317896E-2</v>
      </c>
      <c r="G26" s="672">
        <f t="shared" si="20"/>
        <v>1.8984360847774894E-2</v>
      </c>
      <c r="H26" s="672">
        <f t="shared" si="20"/>
        <v>1.8891903290252643E-2</v>
      </c>
      <c r="I26" s="672">
        <f t="shared" si="20"/>
        <v>1.8800000000000001E-2</v>
      </c>
      <c r="J26" s="672">
        <f t="shared" si="20"/>
        <v>1.865E-2</v>
      </c>
      <c r="K26" s="672">
        <f t="shared" si="20"/>
        <v>1.8450000000000001E-2</v>
      </c>
      <c r="L26" s="673">
        <f>K26-0.0001</f>
        <v>1.8350000000000002E-2</v>
      </c>
      <c r="M26" s="673">
        <f t="shared" ref="M26:P26" si="21">L26-0.0001</f>
        <v>1.8250000000000002E-2</v>
      </c>
      <c r="N26" s="673">
        <f t="shared" si="21"/>
        <v>1.8150000000000003E-2</v>
      </c>
      <c r="O26" s="673">
        <f t="shared" si="21"/>
        <v>1.8050000000000004E-2</v>
      </c>
      <c r="P26" s="673">
        <f t="shared" si="21"/>
        <v>1.7950000000000004E-2</v>
      </c>
    </row>
    <row r="27" spans="1:19">
      <c r="A27" s="81"/>
      <c r="B27" s="671" t="s">
        <v>324</v>
      </c>
      <c r="C27" s="672">
        <f>(C9-C25)/C6</f>
        <v>1.037542190856091E-2</v>
      </c>
      <c r="D27" s="672">
        <f t="shared" ref="D27:P27" si="22">(D9-D25)/D6</f>
        <v>1.052054794520548E-2</v>
      </c>
      <c r="E27" s="672">
        <f t="shared" si="22"/>
        <v>1.08053744900963E-2</v>
      </c>
      <c r="F27" s="672">
        <f t="shared" si="22"/>
        <v>1.0574527798826863E-2</v>
      </c>
      <c r="G27" s="672">
        <f t="shared" si="22"/>
        <v>1.032465833383652E-2</v>
      </c>
      <c r="H27" s="672">
        <f t="shared" si="22"/>
        <v>1.0469843953949075E-2</v>
      </c>
      <c r="I27" s="672">
        <f t="shared" si="22"/>
        <v>1.0411747244201713E-2</v>
      </c>
      <c r="J27" s="672">
        <f t="shared" si="22"/>
        <v>1.0361747244201719E-2</v>
      </c>
      <c r="K27" s="672">
        <f t="shared" si="22"/>
        <v>1.0361747244201719E-2</v>
      </c>
      <c r="L27" s="672">
        <f t="shared" si="22"/>
        <v>1.0311747244201717E-2</v>
      </c>
      <c r="M27" s="672">
        <f t="shared" si="22"/>
        <v>1.0261747244201718E-2</v>
      </c>
      <c r="N27" s="672">
        <f t="shared" si="22"/>
        <v>1.0211747244201713E-2</v>
      </c>
      <c r="O27" s="672">
        <f t="shared" si="22"/>
        <v>1.0161747244201715E-2</v>
      </c>
      <c r="P27" s="672">
        <f t="shared" si="22"/>
        <v>1.0111747244201713E-2</v>
      </c>
      <c r="S27" s="989" t="s">
        <v>459</v>
      </c>
    </row>
    <row r="28" spans="1:19" ht="3.75" customHeight="1">
      <c r="A28" s="81"/>
      <c r="B28" s="671"/>
      <c r="C28" s="287"/>
      <c r="D28" s="287"/>
      <c r="E28" s="287"/>
      <c r="F28" s="287"/>
      <c r="G28" s="287"/>
      <c r="H28" s="287"/>
      <c r="I28" s="287"/>
      <c r="J28" s="287"/>
      <c r="K28" s="287"/>
      <c r="L28" s="663"/>
      <c r="M28" s="663"/>
      <c r="N28" s="663"/>
      <c r="O28" s="663"/>
      <c r="P28" s="663"/>
    </row>
    <row r="29" spans="1:19">
      <c r="A29" s="81"/>
      <c r="B29" s="967" t="s">
        <v>25</v>
      </c>
      <c r="C29" s="708">
        <f>C22-C25-C19</f>
        <v>67.62700000000001</v>
      </c>
      <c r="D29" s="708">
        <f>D22-D25-D19</f>
        <v>160.14399999999995</v>
      </c>
      <c r="E29" s="708">
        <f t="shared" ref="E29:P29" si="23">E22-E25-E19</f>
        <v>276.30999999999995</v>
      </c>
      <c r="F29" s="708">
        <f t="shared" si="23"/>
        <v>451.17099999999994</v>
      </c>
      <c r="G29" s="708">
        <f t="shared" si="23"/>
        <v>686.61799999999994</v>
      </c>
      <c r="H29" s="708">
        <f t="shared" si="23"/>
        <v>967.30282038111068</v>
      </c>
      <c r="I29" s="708">
        <f t="shared" si="23"/>
        <v>1342.283654735181</v>
      </c>
      <c r="J29" s="708">
        <f t="shared" si="23"/>
        <v>1828.4396392386325</v>
      </c>
      <c r="K29" s="708">
        <f t="shared" si="23"/>
        <v>2443.7201561766778</v>
      </c>
      <c r="L29" s="708">
        <f t="shared" si="23"/>
        <v>3088.9500976138229</v>
      </c>
      <c r="M29" s="708">
        <f t="shared" si="23"/>
        <v>3840.1783859136531</v>
      </c>
      <c r="N29" s="708">
        <f t="shared" si="23"/>
        <v>4694.2051832861289</v>
      </c>
      <c r="O29" s="708">
        <f t="shared" si="23"/>
        <v>5640.6316381015313</v>
      </c>
      <c r="P29" s="709">
        <f t="shared" si="23"/>
        <v>6316.3112759179758</v>
      </c>
      <c r="Q29" s="684"/>
      <c r="S29" s="684">
        <f>(P29/H29)^0.125-1</f>
        <v>0.26433637795490217</v>
      </c>
    </row>
    <row r="30" spans="1:19">
      <c r="A30" s="81"/>
      <c r="B30" s="968" t="s">
        <v>26</v>
      </c>
      <c r="C30" s="714"/>
      <c r="D30" s="714"/>
      <c r="E30" s="714">
        <f>E29/D29-1</f>
        <v>0.7253846538115698</v>
      </c>
      <c r="F30" s="714">
        <f t="shared" ref="F30:P30" si="24">F29/E29-1</f>
        <v>0.63284354529333009</v>
      </c>
      <c r="G30" s="714">
        <f t="shared" si="24"/>
        <v>0.52185756619995538</v>
      </c>
      <c r="H30" s="714">
        <f t="shared" si="24"/>
        <v>0.40879327425309375</v>
      </c>
      <c r="I30" s="714">
        <f t="shared" si="24"/>
        <v>0.38765609533354861</v>
      </c>
      <c r="J30" s="714">
        <f t="shared" si="24"/>
        <v>0.36218572936386173</v>
      </c>
      <c r="K30" s="714">
        <f t="shared" si="24"/>
        <v>0.33650578544351073</v>
      </c>
      <c r="L30" s="969">
        <f t="shared" si="24"/>
        <v>0.26403593709626705</v>
      </c>
      <c r="M30" s="969">
        <f t="shared" si="24"/>
        <v>0.24319858351876422</v>
      </c>
      <c r="N30" s="969">
        <f t="shared" si="24"/>
        <v>0.22239248064755879</v>
      </c>
      <c r="O30" s="969">
        <f t="shared" si="24"/>
        <v>0.20161591107802113</v>
      </c>
      <c r="P30" s="970">
        <f t="shared" si="24"/>
        <v>0.11978793886350259</v>
      </c>
    </row>
    <row r="31" spans="1:19" ht="3.75" customHeight="1">
      <c r="A31" s="81"/>
      <c r="B31" s="671"/>
      <c r="C31" s="287"/>
      <c r="D31" s="287"/>
      <c r="E31" s="287"/>
      <c r="F31" s="287"/>
      <c r="G31" s="287"/>
      <c r="H31" s="287"/>
      <c r="I31" s="287"/>
      <c r="J31" s="287"/>
      <c r="K31" s="287"/>
      <c r="L31" s="663"/>
      <c r="M31" s="663"/>
      <c r="N31" s="663"/>
      <c r="O31" s="663"/>
      <c r="P31" s="663"/>
    </row>
    <row r="32" spans="1:19">
      <c r="A32" s="81"/>
      <c r="B32" s="667" t="s">
        <v>325</v>
      </c>
      <c r="C32" s="668">
        <f>+'Quarterly Model'!C32</f>
        <v>0</v>
      </c>
      <c r="D32" s="668">
        <f>+'Quarterly Model'!D32</f>
        <v>0</v>
      </c>
      <c r="E32" s="668">
        <f>+'Quarterly Model'!I32</f>
        <v>2.9729999999999999</v>
      </c>
      <c r="F32" s="668">
        <f>+'Quarterly Model'!N32</f>
        <v>21.472999999999999</v>
      </c>
      <c r="G32" s="668">
        <f>+'Quarterly Model'!S32</f>
        <v>43.131999999999998</v>
      </c>
      <c r="H32" s="668">
        <f>+'Quarterly Model'!X32</f>
        <v>71.531305999907772</v>
      </c>
      <c r="I32" s="668">
        <f>+'Quarterly Model'!AC32</f>
        <v>113.23261059984318</v>
      </c>
      <c r="J32" s="668">
        <f>+'Quarterly Model'!AH32</f>
        <v>160.32018381575537</v>
      </c>
      <c r="K32" s="668">
        <f>+'Quarterly Model'!AM32</f>
        <v>213.11629274171796</v>
      </c>
      <c r="L32" s="669">
        <f t="shared" ref="L32:P32" si="25">L33*L12</f>
        <v>253.76229851651007</v>
      </c>
      <c r="M32" s="669">
        <f t="shared" si="25"/>
        <v>301.62990876703759</v>
      </c>
      <c r="N32" s="669">
        <f t="shared" si="25"/>
        <v>359.7005831573951</v>
      </c>
      <c r="O32" s="669">
        <f t="shared" si="25"/>
        <v>432.13513538502571</v>
      </c>
      <c r="P32" s="669">
        <f t="shared" si="25"/>
        <v>482.5303240629716</v>
      </c>
    </row>
    <row r="33" spans="1:16">
      <c r="A33" s="81"/>
      <c r="B33" s="671" t="s">
        <v>326</v>
      </c>
      <c r="C33" s="287"/>
      <c r="D33" s="287"/>
      <c r="E33" s="287">
        <f t="shared" ref="E33:K33" si="26">E32/E12</f>
        <v>0.246803918313133</v>
      </c>
      <c r="F33" s="287">
        <f t="shared" si="26"/>
        <v>0.37014117525382234</v>
      </c>
      <c r="G33" s="287">
        <f t="shared" si="26"/>
        <v>0.33344929687439601</v>
      </c>
      <c r="H33" s="287">
        <f t="shared" si="26"/>
        <v>0.29054806283127388</v>
      </c>
      <c r="I33" s="287">
        <f t="shared" si="26"/>
        <v>0.27054806283127381</v>
      </c>
      <c r="J33" s="287">
        <f t="shared" si="26"/>
        <v>0.24554806283127378</v>
      </c>
      <c r="K33" s="287">
        <f t="shared" si="26"/>
        <v>0.22054806283127382</v>
      </c>
      <c r="L33" s="663">
        <f>K33-0.02</f>
        <v>0.20054806283127383</v>
      </c>
      <c r="M33" s="663">
        <f>L33-0.015</f>
        <v>0.18554806283127384</v>
      </c>
      <c r="N33" s="663">
        <f>M33-0.01</f>
        <v>0.17554806283127383</v>
      </c>
      <c r="O33" s="663">
        <f>N33-0.005</f>
        <v>0.17054806283127383</v>
      </c>
      <c r="P33" s="663">
        <f>O33-0.005</f>
        <v>0.16554806283127382</v>
      </c>
    </row>
    <row r="34" spans="1:16" ht="3.75" customHeight="1">
      <c r="A34" s="81"/>
      <c r="B34" s="671"/>
      <c r="C34" s="287"/>
      <c r="D34" s="287"/>
      <c r="E34" s="287"/>
      <c r="F34" s="287"/>
      <c r="G34" s="287"/>
      <c r="H34" s="287"/>
      <c r="I34" s="287"/>
      <c r="J34" s="287"/>
      <c r="K34" s="287"/>
      <c r="L34" s="663"/>
      <c r="M34" s="663"/>
      <c r="N34" s="663"/>
      <c r="O34" s="663"/>
      <c r="P34" s="663"/>
    </row>
    <row r="35" spans="1:16">
      <c r="A35" s="81"/>
      <c r="B35" s="667" t="s">
        <v>105</v>
      </c>
      <c r="C35" s="668">
        <f>+'Quarterly Model'!C38</f>
        <v>0</v>
      </c>
      <c r="D35" s="668">
        <f>+'Quarterly Model'!D38</f>
        <v>6.0119999999999996</v>
      </c>
      <c r="E35" s="668">
        <f>+'Quarterly Model'!I38</f>
        <v>18.330000000000002</v>
      </c>
      <c r="F35" s="668">
        <f>+'Quarterly Model'!N38</f>
        <v>30.873999999999999</v>
      </c>
      <c r="G35" s="668">
        <f>+'Quarterly Model'!S38</f>
        <v>68.561999999999998</v>
      </c>
      <c r="H35" s="668">
        <f>+'Quarterly Model'!X38</f>
        <v>60.509919999999994</v>
      </c>
      <c r="I35" s="668">
        <f>+'Quarterly Model'!AC38</f>
        <v>65.059799999999996</v>
      </c>
      <c r="J35" s="668">
        <f>+'Quarterly Model'!AH38</f>
        <v>62.557500000000005</v>
      </c>
      <c r="K35" s="668">
        <f>+'Quarterly Model'!AM38</f>
        <v>75.068999999999988</v>
      </c>
      <c r="L35" s="669">
        <f t="shared" ref="L35:P35" si="27">+L16*L36</f>
        <v>90.758420999999984</v>
      </c>
      <c r="M35" s="669">
        <f t="shared" si="27"/>
        <v>107.88616403999998</v>
      </c>
      <c r="N35" s="669">
        <f t="shared" si="27"/>
        <v>126.73785165119996</v>
      </c>
      <c r="O35" s="669">
        <f t="shared" si="27"/>
        <v>146.33452161619198</v>
      </c>
      <c r="P35" s="669">
        <f t="shared" si="27"/>
        <v>157.4302161123648</v>
      </c>
    </row>
    <row r="36" spans="1:16">
      <c r="A36" s="81"/>
      <c r="B36" s="671" t="s">
        <v>327</v>
      </c>
      <c r="C36" s="287"/>
      <c r="D36" s="287">
        <f>D35/D16</f>
        <v>1.4179245283018866</v>
      </c>
      <c r="E36" s="287">
        <f t="shared" ref="E36:H36" si="28">E35/E16</f>
        <v>2.5030725112658749</v>
      </c>
      <c r="F36" s="287">
        <f t="shared" si="28"/>
        <v>1.8852048604750566</v>
      </c>
      <c r="G36" s="287">
        <f t="shared" si="28"/>
        <v>1.5474304286004468</v>
      </c>
      <c r="H36" s="287">
        <f t="shared" si="28"/>
        <v>1.511357551053031</v>
      </c>
      <c r="I36" s="287">
        <f>I35/I16</f>
        <v>1.2999999999999998</v>
      </c>
      <c r="J36" s="287">
        <f>J35/J16</f>
        <v>1</v>
      </c>
      <c r="K36" s="287">
        <f>K35/K16</f>
        <v>1</v>
      </c>
      <c r="L36" s="663">
        <f>K36-0.025</f>
        <v>0.97499999999999998</v>
      </c>
      <c r="M36" s="663">
        <f>L36-0.025</f>
        <v>0.95</v>
      </c>
      <c r="N36" s="663">
        <f>M36-0.02</f>
        <v>0.92999999999999994</v>
      </c>
      <c r="O36" s="663">
        <f t="shared" ref="O36:P36" si="29">N36-0.02</f>
        <v>0.90999999999999992</v>
      </c>
      <c r="P36" s="663">
        <f t="shared" si="29"/>
        <v>0.8899999999999999</v>
      </c>
    </row>
    <row r="37" spans="1:16" ht="3.75" customHeight="1">
      <c r="A37" s="81"/>
      <c r="B37" s="671"/>
      <c r="C37" s="287"/>
      <c r="D37" s="287"/>
      <c r="E37" s="287"/>
      <c r="F37" s="287"/>
      <c r="G37" s="287"/>
      <c r="H37" s="287"/>
      <c r="I37" s="287"/>
      <c r="J37" s="287"/>
      <c r="K37" s="287"/>
      <c r="L37" s="663"/>
      <c r="M37" s="663"/>
      <c r="N37" s="663"/>
      <c r="O37" s="663"/>
      <c r="P37" s="663"/>
    </row>
    <row r="38" spans="1:16">
      <c r="A38" s="81"/>
      <c r="B38" s="667" t="s">
        <v>328</v>
      </c>
      <c r="C38" s="668">
        <f>+'Quarterly Model'!C57</f>
        <v>46.567999999999998</v>
      </c>
      <c r="D38" s="668">
        <f>+'Quarterly Model'!D57</f>
        <v>82.864000000000004</v>
      </c>
      <c r="E38" s="668">
        <f>+'Quarterly Model'!I57</f>
        <v>144.637</v>
      </c>
      <c r="F38" s="668">
        <f>+'Quarterly Model'!N57</f>
        <v>199.63800000000001</v>
      </c>
      <c r="G38" s="668">
        <f>+'Quarterly Model'!S57</f>
        <v>268.53700000000003</v>
      </c>
      <c r="H38" s="668">
        <f>+'Quarterly Model'!X57</f>
        <v>318.36426982767227</v>
      </c>
      <c r="I38" s="668">
        <f>+'Quarterly Model'!AC57</f>
        <v>408.21300644537541</v>
      </c>
      <c r="J38" s="668">
        <f>+'Quarterly Model'!AH57</f>
        <v>519.5043355041214</v>
      </c>
      <c r="K38" s="668">
        <f>+'Quarterly Model'!AM57</f>
        <v>651.56769899418396</v>
      </c>
      <c r="L38" s="669">
        <f t="shared" ref="L38:P38" si="30">+L29*L39</f>
        <v>761.82598502749522</v>
      </c>
      <c r="M38" s="669">
        <f t="shared" si="30"/>
        <v>889.49830968526464</v>
      </c>
      <c r="N38" s="669">
        <f t="shared" si="30"/>
        <v>1040.3739934751197</v>
      </c>
      <c r="O38" s="669">
        <f t="shared" si="30"/>
        <v>1193.72362765047</v>
      </c>
      <c r="P38" s="669">
        <f t="shared" si="30"/>
        <v>1273.5542078202031</v>
      </c>
    </row>
    <row r="39" spans="1:16">
      <c r="A39" s="81"/>
      <c r="B39" s="671" t="s">
        <v>329</v>
      </c>
      <c r="C39" s="287">
        <f t="shared" ref="C39:H39" si="31">+C38/C29</f>
        <v>0.68860070681828256</v>
      </c>
      <c r="D39" s="287">
        <f t="shared" si="31"/>
        <v>0.51743430912179056</v>
      </c>
      <c r="E39" s="287">
        <f t="shared" si="31"/>
        <v>0.52345915819188604</v>
      </c>
      <c r="F39" s="287">
        <f t="shared" si="31"/>
        <v>0.44248854647129365</v>
      </c>
      <c r="G39" s="287">
        <f t="shared" si="31"/>
        <v>0.39110101978101369</v>
      </c>
      <c r="H39" s="287">
        <f t="shared" si="31"/>
        <v>0.32912575371406333</v>
      </c>
      <c r="I39" s="287">
        <f>+I38/I29</f>
        <v>0.3041182875209128</v>
      </c>
      <c r="J39" s="287">
        <f>+J38/J29</f>
        <v>0.28412441097615043</v>
      </c>
      <c r="K39" s="287">
        <f>+K38/K29</f>
        <v>0.26662942454654631</v>
      </c>
      <c r="L39" s="663">
        <f>K39-0.02</f>
        <v>0.24662942454654632</v>
      </c>
      <c r="M39" s="663">
        <f>L39-0.015</f>
        <v>0.23162942454654634</v>
      </c>
      <c r="N39" s="663">
        <f>M39-0.01</f>
        <v>0.22162942454654633</v>
      </c>
      <c r="O39" s="663">
        <f>N39-0.01</f>
        <v>0.21162942454654632</v>
      </c>
      <c r="P39" s="663">
        <f>O39-0.01</f>
        <v>0.20162942454654631</v>
      </c>
    </row>
    <row r="40" spans="1:16" ht="3.75" customHeight="1">
      <c r="A40" s="81"/>
      <c r="B40" s="671"/>
      <c r="C40" s="287"/>
      <c r="D40" s="287"/>
      <c r="E40" s="287"/>
      <c r="F40" s="287"/>
      <c r="G40" s="287"/>
      <c r="H40" s="287"/>
      <c r="I40" s="287"/>
      <c r="J40" s="287"/>
      <c r="K40" s="287"/>
      <c r="L40" s="663"/>
      <c r="M40" s="663"/>
      <c r="N40" s="663"/>
      <c r="O40" s="663"/>
      <c r="P40" s="663"/>
    </row>
    <row r="41" spans="1:16">
      <c r="A41" s="81"/>
      <c r="B41" s="667" t="s">
        <v>330</v>
      </c>
      <c r="C41" s="668">
        <f>+'Quarterly Model'!C64</f>
        <v>56.648000000000003</v>
      </c>
      <c r="D41" s="668">
        <f>+'Quarterly Model'!D64</f>
        <v>64.162000000000006</v>
      </c>
      <c r="E41" s="668">
        <f>+'Quarterly Model'!I64</f>
        <v>112.57700000000001</v>
      </c>
      <c r="F41" s="668">
        <f>+'Quarterly Model'!N64</f>
        <v>145.61799999999999</v>
      </c>
      <c r="G41" s="668">
        <f>+'Quarterly Model'!S64</f>
        <v>173.876</v>
      </c>
      <c r="H41" s="668">
        <f>+'Quarterly Model'!X64</f>
        <v>244.71043983794559</v>
      </c>
      <c r="I41" s="668">
        <f>+'Quarterly Model'!AC64</f>
        <v>316.23697723786017</v>
      </c>
      <c r="J41" s="668">
        <f>+'Quarterly Model'!AH64</f>
        <v>412.50245259202381</v>
      </c>
      <c r="K41" s="668">
        <f>+'Quarterly Model'!AM64</f>
        <v>526.89048349846826</v>
      </c>
      <c r="L41" s="669">
        <f t="shared" ref="L41:P41" si="32">+L29*L42</f>
        <v>642.84138032398789</v>
      </c>
      <c r="M41" s="669">
        <f t="shared" si="32"/>
        <v>770.3781555516764</v>
      </c>
      <c r="N41" s="669">
        <f t="shared" si="32"/>
        <v>906.49792572685874</v>
      </c>
      <c r="O41" s="669">
        <f t="shared" si="32"/>
        <v>1061.0591727221081</v>
      </c>
      <c r="P41" s="669">
        <f t="shared" si="32"/>
        <v>1172.3704858449075</v>
      </c>
    </row>
    <row r="42" spans="1:16">
      <c r="A42" s="81"/>
      <c r="B42" s="671" t="s">
        <v>329</v>
      </c>
      <c r="C42" s="287">
        <f t="shared" ref="C42:G42" si="33">+C41/C29</f>
        <v>0.83765359989353361</v>
      </c>
      <c r="D42" s="287">
        <f t="shared" si="33"/>
        <v>0.40065191327804994</v>
      </c>
      <c r="E42" s="287">
        <f t="shared" si="33"/>
        <v>0.4074300604393617</v>
      </c>
      <c r="F42" s="287">
        <f t="shared" si="33"/>
        <v>0.3227556735694449</v>
      </c>
      <c r="G42" s="287">
        <f t="shared" si="33"/>
        <v>0.2532354234814701</v>
      </c>
      <c r="H42" s="287">
        <f>+H41/H29</f>
        <v>0.25298224576821904</v>
      </c>
      <c r="I42" s="287">
        <f>+I41/I29</f>
        <v>0.2355962364007558</v>
      </c>
      <c r="J42" s="287">
        <f>+J41/J29</f>
        <v>0.22560353852522635</v>
      </c>
      <c r="K42" s="287">
        <f>+K41/K29</f>
        <v>0.21560999207160231</v>
      </c>
      <c r="L42" s="663">
        <f>K42-0.0075</f>
        <v>0.2081099920716023</v>
      </c>
      <c r="M42" s="663">
        <f t="shared" ref="M42:N42" si="34">L42-0.0075</f>
        <v>0.20060999207160229</v>
      </c>
      <c r="N42" s="663">
        <f t="shared" si="34"/>
        <v>0.19310999207160229</v>
      </c>
      <c r="O42" s="663">
        <f>N42-0.005</f>
        <v>0.18810999207160228</v>
      </c>
      <c r="P42" s="663">
        <f>O42-0.0025</f>
        <v>0.18560999207160228</v>
      </c>
    </row>
    <row r="43" spans="1:16" ht="3.75" customHeight="1">
      <c r="A43" s="81"/>
      <c r="B43" s="671"/>
      <c r="C43" s="287"/>
      <c r="D43" s="287"/>
      <c r="E43" s="287"/>
      <c r="F43" s="287"/>
      <c r="G43" s="287"/>
      <c r="H43" s="287"/>
      <c r="I43" s="287"/>
      <c r="J43" s="287"/>
      <c r="K43" s="287"/>
      <c r="L43" s="663"/>
      <c r="M43" s="663"/>
      <c r="N43" s="663"/>
      <c r="O43" s="663"/>
      <c r="P43" s="663"/>
    </row>
    <row r="44" spans="1:16">
      <c r="A44" s="81"/>
      <c r="B44" s="667" t="s">
        <v>331</v>
      </c>
      <c r="C44" s="668">
        <f>+'Quarterly Model'!C71</f>
        <v>36.183999999999997</v>
      </c>
      <c r="D44" s="668">
        <f>+'Quarterly Model'!D71</f>
        <v>68.941999999999993</v>
      </c>
      <c r="E44" s="668">
        <f>+'Quarterly Model'!I71</f>
        <v>94.22</v>
      </c>
      <c r="F44" s="668">
        <f>+'Quarterly Model'!N71</f>
        <v>143.46600000000001</v>
      </c>
      <c r="G44" s="668">
        <f>+'Quarterly Model'!S71</f>
        <v>203.78500000000003</v>
      </c>
      <c r="H44" s="668">
        <f>+'Quarterly Model'!X71</f>
        <v>253.86242893985116</v>
      </c>
      <c r="I44" s="668">
        <f>+'Quarterly Model'!AC71</f>
        <v>305.21115327553292</v>
      </c>
      <c r="J44" s="668">
        <f>+'Quarterly Model'!AH71</f>
        <v>360.88645508783935</v>
      </c>
      <c r="K44" s="668">
        <f>+'Quarterly Model'!AM71</f>
        <v>421.21628174424131</v>
      </c>
      <c r="L44" s="669">
        <f t="shared" ref="L44:P44" si="35">+L29*L45</f>
        <v>501.54301643864898</v>
      </c>
      <c r="M44" s="669">
        <f t="shared" si="35"/>
        <v>585.11578375112015</v>
      </c>
      <c r="N44" s="669">
        <f t="shared" si="35"/>
        <v>668.29908253271105</v>
      </c>
      <c r="O44" s="669">
        <f t="shared" si="35"/>
        <v>746.63249454913387</v>
      </c>
      <c r="P44" s="669">
        <f t="shared" si="35"/>
        <v>804.48850578010001</v>
      </c>
    </row>
    <row r="45" spans="1:16">
      <c r="A45" s="81"/>
      <c r="B45" s="671" t="s">
        <v>329</v>
      </c>
      <c r="C45" s="287">
        <f t="shared" ref="C45:H45" si="36">C44/C29</f>
        <v>0.53505256776139698</v>
      </c>
      <c r="D45" s="287">
        <f t="shared" si="36"/>
        <v>0.43050004995504054</v>
      </c>
      <c r="E45" s="287">
        <f t="shared" si="36"/>
        <v>0.34099381129890349</v>
      </c>
      <c r="F45" s="287">
        <f t="shared" si="36"/>
        <v>0.3179858634531032</v>
      </c>
      <c r="G45" s="287">
        <f t="shared" si="36"/>
        <v>0.29679530685184491</v>
      </c>
      <c r="H45" s="287">
        <f t="shared" si="36"/>
        <v>0.26244359428191383</v>
      </c>
      <c r="I45" s="287">
        <f>I44/I29</f>
        <v>0.22738200841441966</v>
      </c>
      <c r="J45" s="287">
        <f>J44/J29</f>
        <v>0.19737400532298321</v>
      </c>
      <c r="K45" s="287">
        <f>K44/K29</f>
        <v>0.17236682386875884</v>
      </c>
      <c r="L45" s="663">
        <f>K45-0.01</f>
        <v>0.16236682386875884</v>
      </c>
      <c r="M45" s="663">
        <f>L45-0.01</f>
        <v>0.15236682386875883</v>
      </c>
      <c r="N45" s="663">
        <f>M45-0.01</f>
        <v>0.14236682386875882</v>
      </c>
      <c r="O45" s="663">
        <f>N45-0.01</f>
        <v>0.13236682386875881</v>
      </c>
      <c r="P45" s="663">
        <f>O45-0.005</f>
        <v>0.12736682386875881</v>
      </c>
    </row>
    <row r="46" spans="1:16" ht="3.75" customHeight="1">
      <c r="A46" s="81"/>
      <c r="B46" s="671"/>
      <c r="C46" s="287"/>
      <c r="D46" s="287"/>
      <c r="E46" s="287"/>
      <c r="F46" s="287"/>
      <c r="G46" s="287"/>
      <c r="H46" s="287"/>
      <c r="I46" s="287"/>
      <c r="J46" s="287"/>
      <c r="K46" s="287"/>
      <c r="L46" s="663"/>
      <c r="M46" s="663"/>
      <c r="N46" s="663"/>
      <c r="O46" s="663"/>
      <c r="P46" s="663"/>
    </row>
    <row r="47" spans="1:16">
      <c r="A47" s="81"/>
      <c r="B47" s="667" t="s">
        <v>332</v>
      </c>
      <c r="C47" s="668">
        <f>+'Quarterly Model'!C78</f>
        <v>10.512</v>
      </c>
      <c r="D47" s="668">
        <f>+'Quarterly Model'!D78</f>
        <v>15.329000000000001</v>
      </c>
      <c r="E47" s="668">
        <f>+'Quarterly Model'!I78</f>
        <v>24.081</v>
      </c>
      <c r="F47" s="668">
        <f>+'Quarterly Model'!N78</f>
        <v>54.009</v>
      </c>
      <c r="G47" s="668">
        <f>+'Quarterly Model'!S78</f>
        <v>51.234999999999999</v>
      </c>
      <c r="H47" s="668">
        <f>+'Quarterly Model'!X78</f>
        <v>70.319185176003685</v>
      </c>
      <c r="I47" s="668">
        <f>+'Quarterly Model'!AC78</f>
        <v>92.307071010000016</v>
      </c>
      <c r="J47" s="668">
        <f>+'Quarterly Model'!AH78</f>
        <v>107.411864448</v>
      </c>
      <c r="K47" s="668">
        <f>+'Quarterly Model'!AM78</f>
        <v>135.33894920448</v>
      </c>
      <c r="L47" s="669">
        <f t="shared" ref="L47:P47" si="37">L48*L6</f>
        <v>167.82029701355523</v>
      </c>
      <c r="M47" s="669">
        <f t="shared" si="37"/>
        <v>204.74076235653737</v>
      </c>
      <c r="N47" s="669">
        <f t="shared" si="37"/>
        <v>245.68891482784483</v>
      </c>
      <c r="O47" s="669">
        <f t="shared" si="37"/>
        <v>289.91291949685694</v>
      </c>
      <c r="P47" s="669">
        <f t="shared" si="37"/>
        <v>318.90421144654266</v>
      </c>
    </row>
    <row r="48" spans="1:16">
      <c r="A48" s="81"/>
      <c r="B48" s="671" t="s">
        <v>323</v>
      </c>
      <c r="C48" s="685">
        <f t="shared" ref="C48:K48" si="38">C47/C6</f>
        <v>1.6127646517336608E-3</v>
      </c>
      <c r="D48" s="685">
        <f t="shared" si="38"/>
        <v>1.0344152776840543E-3</v>
      </c>
      <c r="E48" s="685">
        <f t="shared" si="38"/>
        <v>1.0127002817612179E-3</v>
      </c>
      <c r="F48" s="685">
        <f t="shared" si="38"/>
        <v>1.5157868148522355E-3</v>
      </c>
      <c r="G48" s="685">
        <f t="shared" si="38"/>
        <v>1.0312380492321317E-3</v>
      </c>
      <c r="H48" s="685">
        <f t="shared" si="38"/>
        <v>1.080988949957467E-3</v>
      </c>
      <c r="I48" s="685">
        <f t="shared" si="38"/>
        <v>1.1000000000000001E-3</v>
      </c>
      <c r="J48" s="685">
        <f t="shared" si="38"/>
        <v>1E-3</v>
      </c>
      <c r="K48" s="685">
        <f t="shared" si="38"/>
        <v>1E-3</v>
      </c>
      <c r="L48" s="686">
        <f t="shared" ref="L48:P48" si="39">K48</f>
        <v>1E-3</v>
      </c>
      <c r="M48" s="686">
        <f>L48</f>
        <v>1E-3</v>
      </c>
      <c r="N48" s="686">
        <f>M48</f>
        <v>1E-3</v>
      </c>
      <c r="O48" s="686">
        <f t="shared" si="39"/>
        <v>1E-3</v>
      </c>
      <c r="P48" s="686">
        <f t="shared" si="39"/>
        <v>1E-3</v>
      </c>
    </row>
    <row r="49" spans="1:16" ht="3.75" customHeight="1">
      <c r="A49" s="81"/>
      <c r="B49" s="671"/>
      <c r="C49" s="287"/>
      <c r="D49" s="287"/>
      <c r="E49" s="287"/>
      <c r="F49" s="287"/>
      <c r="G49" s="287"/>
      <c r="H49" s="287"/>
      <c r="I49" s="287"/>
      <c r="J49" s="287"/>
      <c r="K49" s="287"/>
      <c r="L49" s="663"/>
      <c r="M49" s="663"/>
      <c r="N49" s="663"/>
      <c r="O49" s="663"/>
      <c r="P49" s="663"/>
    </row>
    <row r="50" spans="1:16">
      <c r="A50" s="81"/>
      <c r="B50" s="667" t="s">
        <v>333</v>
      </c>
      <c r="C50" s="668">
        <f>+'Quarterly Model'!C89+'Quarterly Model'!C44</f>
        <v>0</v>
      </c>
      <c r="D50" s="668">
        <f>+'Quarterly Model'!D89+'Quarterly Model'!D44</f>
        <v>0</v>
      </c>
      <c r="E50" s="668">
        <f>+'Quarterly Model'!I89+'Quarterly Model'!I44</f>
        <v>2.0520000000000005</v>
      </c>
      <c r="F50" s="668">
        <f>+'Quarterly Model'!N89+'Quarterly Model'!N44</f>
        <v>7.395999999999999</v>
      </c>
      <c r="G50" s="687">
        <f>+'Quarterly Model'!S89+'Quarterly Model'!S44</f>
        <v>8.8780000000000001</v>
      </c>
      <c r="H50" s="668">
        <f>+'Quarterly Model'!X89+'Quarterly Model'!X44</f>
        <v>7.4926687725563816</v>
      </c>
      <c r="I50" s="668">
        <f>+'Quarterly Model'!AC89+'Quarterly Model'!AC44</f>
        <v>7.3829592687783343</v>
      </c>
      <c r="J50" s="668">
        <f>+'Quarterly Model'!AH89+'Quarterly Model'!AH44</f>
        <v>7.8027177768438225</v>
      </c>
      <c r="K50" s="668">
        <f>+'Quarterly Model'!AM89+'Quarterly Model'!AM44</f>
        <v>8.3339654423342857</v>
      </c>
      <c r="L50" s="669">
        <f t="shared" ref="L50:P50" si="40">L51*L22</f>
        <v>9.1711960555814791</v>
      </c>
      <c r="M50" s="669">
        <f t="shared" si="40"/>
        <v>10.5072911081119</v>
      </c>
      <c r="N50" s="669">
        <f t="shared" si="40"/>
        <v>11.778583188355881</v>
      </c>
      <c r="O50" s="669">
        <f t="shared" si="40"/>
        <v>12.904636469458586</v>
      </c>
      <c r="P50" s="669">
        <f t="shared" si="40"/>
        <v>14.289718230888973</v>
      </c>
    </row>
    <row r="51" spans="1:16">
      <c r="A51" s="81"/>
      <c r="B51" s="671" t="s">
        <v>329</v>
      </c>
      <c r="C51" s="287">
        <f t="shared" ref="C51:K51" si="41">C50/C22</f>
        <v>0</v>
      </c>
      <c r="D51" s="287">
        <f t="shared" si="41"/>
        <v>0</v>
      </c>
      <c r="E51" s="287">
        <f t="shared" si="41"/>
        <v>2.4135724636317451E-3</v>
      </c>
      <c r="F51" s="287">
        <f t="shared" si="41"/>
        <v>5.8368676003339856E-3</v>
      </c>
      <c r="G51" s="287">
        <f t="shared" si="41"/>
        <v>5.195699005279387E-3</v>
      </c>
      <c r="H51" s="287">
        <f t="shared" si="41"/>
        <v>3.4115953787647864E-3</v>
      </c>
      <c r="I51" s="287">
        <f t="shared" si="41"/>
        <v>2.5285012722875725E-3</v>
      </c>
      <c r="J51" s="287">
        <f t="shared" si="41"/>
        <v>2.0363747194595927E-3</v>
      </c>
      <c r="K51" s="287">
        <f t="shared" si="41"/>
        <v>1.6867904039942307E-3</v>
      </c>
      <c r="L51" s="663">
        <f>K51-0.0002</f>
        <v>1.4867904039942306E-3</v>
      </c>
      <c r="M51" s="663">
        <f t="shared" ref="M51:O51" si="42">L51-0.0001</f>
        <v>1.3867904039942306E-3</v>
      </c>
      <c r="N51" s="663">
        <f t="shared" si="42"/>
        <v>1.2867904039942305E-3</v>
      </c>
      <c r="O51" s="663">
        <f t="shared" si="42"/>
        <v>1.1867904039942305E-3</v>
      </c>
      <c r="P51" s="663">
        <f>O51</f>
        <v>1.1867904039942305E-3</v>
      </c>
    </row>
    <row r="52" spans="1:16" ht="3.75" customHeight="1">
      <c r="A52" s="81"/>
      <c r="B52" s="671"/>
      <c r="C52" s="287"/>
      <c r="D52" s="287"/>
      <c r="E52" s="287"/>
      <c r="F52" s="287"/>
      <c r="G52" s="287"/>
      <c r="H52" s="287"/>
      <c r="I52" s="287"/>
      <c r="J52" s="287"/>
      <c r="K52" s="287"/>
      <c r="L52" s="663"/>
      <c r="M52" s="663"/>
      <c r="N52" s="663"/>
      <c r="O52" s="663"/>
      <c r="P52" s="663"/>
    </row>
    <row r="53" spans="1:16">
      <c r="A53" s="81"/>
      <c r="B53" s="667" t="s">
        <v>334</v>
      </c>
      <c r="C53" s="668">
        <f>+'Quarterly Model'!C96</f>
        <v>0</v>
      </c>
      <c r="D53" s="668">
        <f>+'Quarterly Model'!D96</f>
        <v>2.4300000000000002</v>
      </c>
      <c r="E53" s="668">
        <f>+'Quarterly Model'!I96</f>
        <v>0</v>
      </c>
      <c r="F53" s="668">
        <f>+'Quarterly Model'!N96</f>
        <v>0</v>
      </c>
      <c r="G53" s="668">
        <f>+'Quarterly Model'!S96</f>
        <v>0</v>
      </c>
      <c r="H53" s="668">
        <f>+'Quarterly Model'!X96</f>
        <v>0</v>
      </c>
      <c r="I53" s="668">
        <f>+'Quarterly Model'!AC96</f>
        <v>0</v>
      </c>
      <c r="J53" s="668">
        <f>+'Quarterly Model'!AH96</f>
        <v>0</v>
      </c>
      <c r="K53" s="668">
        <f>+'Quarterly Model'!AM96</f>
        <v>0</v>
      </c>
      <c r="L53" s="663"/>
      <c r="M53" s="663"/>
      <c r="N53" s="663"/>
      <c r="O53" s="663"/>
      <c r="P53" s="663"/>
    </row>
    <row r="54" spans="1:16" ht="3.75" customHeight="1">
      <c r="A54" s="81"/>
      <c r="B54" s="671"/>
      <c r="C54" s="287"/>
      <c r="D54" s="287"/>
      <c r="E54" s="287"/>
      <c r="F54" s="287"/>
      <c r="G54" s="287"/>
      <c r="H54" s="287"/>
      <c r="I54" s="287"/>
      <c r="J54" s="287"/>
      <c r="K54" s="287"/>
      <c r="L54" s="663"/>
      <c r="M54" s="663"/>
      <c r="N54" s="663"/>
      <c r="O54" s="663"/>
      <c r="P54" s="663"/>
    </row>
    <row r="55" spans="1:16">
      <c r="A55" s="81"/>
      <c r="B55" s="667" t="s">
        <v>335</v>
      </c>
      <c r="C55" s="668">
        <f>+'Quarterly Model'!C29</f>
        <v>12.547000000000001</v>
      </c>
      <c r="D55" s="668">
        <f>+'Quarterly Model'!D29</f>
        <v>139.803</v>
      </c>
      <c r="E55" s="668">
        <f>+'Quarterly Model'!I29</f>
        <v>150.95500000000001</v>
      </c>
      <c r="F55" s="668">
        <f>+'Quarterly Model'!N29</f>
        <v>165.43799999999999</v>
      </c>
      <c r="G55" s="668">
        <f>+'Quarterly Model'!S29</f>
        <v>69.760999999999996</v>
      </c>
      <c r="H55" s="668">
        <f>+'Quarterly Model'!X29</f>
        <v>0</v>
      </c>
      <c r="I55" s="668">
        <f>+'Quarterly Model'!AC29</f>
        <v>0</v>
      </c>
      <c r="J55" s="668">
        <f>+'Quarterly Model'!AH29</f>
        <v>0</v>
      </c>
      <c r="K55" s="668">
        <f>+'Quarterly Model'!AM29</f>
        <v>0</v>
      </c>
      <c r="L55" s="663"/>
      <c r="M55" s="663"/>
      <c r="N55" s="663"/>
      <c r="O55" s="663"/>
      <c r="P55" s="663"/>
    </row>
    <row r="56" spans="1:16" ht="3.75" customHeight="1">
      <c r="A56" s="81"/>
      <c r="B56" s="671"/>
      <c r="C56" s="664"/>
      <c r="D56" s="664"/>
      <c r="E56" s="664"/>
      <c r="F56" s="664"/>
      <c r="G56" s="666"/>
      <c r="H56" s="666"/>
      <c r="I56" s="666"/>
      <c r="J56" s="666"/>
      <c r="K56" s="666"/>
      <c r="L56" s="666"/>
      <c r="M56" s="666"/>
      <c r="N56" s="666"/>
      <c r="O56" s="666"/>
      <c r="P56" s="666"/>
    </row>
    <row r="57" spans="1:16">
      <c r="A57" s="81"/>
      <c r="B57" s="688" t="s">
        <v>336</v>
      </c>
      <c r="C57" s="689">
        <f>C22-C25-C32-C35-C38-C41-C44-C47-C50-C53-C55</f>
        <v>-85.36099999999999</v>
      </c>
      <c r="D57" s="689">
        <f>D22-D25-D32-D35-D38-D41-D44-D47-D50-D53-D55</f>
        <v>-104.94200000000004</v>
      </c>
      <c r="E57" s="689">
        <f t="shared" ref="E57:K57" si="43">E22-E25-E32-E35-E38-E41-E44-E47-E50-E53-E55</f>
        <v>-150.49100000000007</v>
      </c>
      <c r="F57" s="689">
        <f t="shared" si="43"/>
        <v>-174.45800000000006</v>
      </c>
      <c r="G57" s="689">
        <f>G22-G25-G32-G35-G38-G41-G44-G47-G50-G53-G55</f>
        <v>-122.24500000000006</v>
      </c>
      <c r="H57" s="689">
        <f t="shared" si="43"/>
        <v>-59.487398172826175</v>
      </c>
      <c r="I57" s="689">
        <f t="shared" si="43"/>
        <v>34.640076897791005</v>
      </c>
      <c r="J57" s="689">
        <f t="shared" si="43"/>
        <v>197.45413001404856</v>
      </c>
      <c r="K57" s="689">
        <f t="shared" si="43"/>
        <v>412.187484551252</v>
      </c>
      <c r="L57" s="689">
        <f t="shared" ref="L57:P57" si="44">(L22-L25-L32-L35-L38-L41-L44-L47-L50-L53-L55)+L58*L29</f>
        <v>661.22750323804428</v>
      </c>
      <c r="M57" s="689">
        <f t="shared" si="44"/>
        <v>970.42201065390464</v>
      </c>
      <c r="N57" s="689">
        <f t="shared" si="44"/>
        <v>1335.1282487266435</v>
      </c>
      <c r="O57" s="689">
        <f t="shared" si="44"/>
        <v>1757.9291302122856</v>
      </c>
      <c r="P57" s="690">
        <f t="shared" si="44"/>
        <v>2092.7436066199962</v>
      </c>
    </row>
    <row r="58" spans="1:16" hidden="1" outlineLevel="1">
      <c r="A58" s="81"/>
      <c r="B58" s="691" t="s">
        <v>337</v>
      </c>
      <c r="C58" s="692"/>
      <c r="D58" s="692"/>
      <c r="E58" s="692"/>
      <c r="F58" s="692"/>
      <c r="G58" s="692"/>
      <c r="H58" s="692"/>
      <c r="I58" s="692"/>
      <c r="J58" s="692"/>
      <c r="K58" s="692"/>
      <c r="L58" s="693">
        <f t="shared" ref="L58:P58" si="45">CHOOSE(_Switch,L59,L60,L61)</f>
        <v>0</v>
      </c>
      <c r="M58" s="693">
        <f t="shared" si="45"/>
        <v>0</v>
      </c>
      <c r="N58" s="693">
        <f t="shared" si="45"/>
        <v>0</v>
      </c>
      <c r="O58" s="693">
        <f t="shared" si="45"/>
        <v>0</v>
      </c>
      <c r="P58" s="694">
        <f t="shared" si="45"/>
        <v>0</v>
      </c>
    </row>
    <row r="59" spans="1:16" hidden="1" outlineLevel="1">
      <c r="A59" s="81"/>
      <c r="B59" s="695" t="s">
        <v>96</v>
      </c>
      <c r="C59" s="692"/>
      <c r="D59" s="692"/>
      <c r="E59" s="692"/>
      <c r="F59" s="692"/>
      <c r="G59" s="692"/>
      <c r="H59" s="692"/>
      <c r="I59" s="692"/>
      <c r="J59" s="692"/>
      <c r="K59" s="692"/>
      <c r="L59" s="696">
        <f t="shared" ref="L59:P59" si="46">K59+0.0025</f>
        <v>2.5000000000000001E-3</v>
      </c>
      <c r="M59" s="696">
        <f t="shared" si="46"/>
        <v>5.0000000000000001E-3</v>
      </c>
      <c r="N59" s="696">
        <f t="shared" si="46"/>
        <v>7.4999999999999997E-3</v>
      </c>
      <c r="O59" s="696">
        <f t="shared" si="46"/>
        <v>0.01</v>
      </c>
      <c r="P59" s="697">
        <f t="shared" si="46"/>
        <v>1.2500000000000001E-2</v>
      </c>
    </row>
    <row r="60" spans="1:16" hidden="1" outlineLevel="1">
      <c r="A60" s="81"/>
      <c r="B60" s="695" t="s">
        <v>97</v>
      </c>
      <c r="C60" s="692"/>
      <c r="D60" s="692"/>
      <c r="E60" s="692"/>
      <c r="F60" s="692"/>
      <c r="G60" s="692"/>
      <c r="H60" s="692"/>
      <c r="I60" s="692"/>
      <c r="J60" s="692"/>
      <c r="K60" s="692"/>
      <c r="L60" s="696">
        <v>0</v>
      </c>
      <c r="M60" s="696">
        <v>0</v>
      </c>
      <c r="N60" s="696">
        <v>0</v>
      </c>
      <c r="O60" s="696">
        <v>0</v>
      </c>
      <c r="P60" s="697">
        <v>0</v>
      </c>
    </row>
    <row r="61" spans="1:16" hidden="1" outlineLevel="1">
      <c r="A61" s="81"/>
      <c r="B61" s="695" t="s">
        <v>98</v>
      </c>
      <c r="C61" s="692"/>
      <c r="D61" s="692"/>
      <c r="E61" s="692"/>
      <c r="F61" s="692"/>
      <c r="G61" s="692"/>
      <c r="H61" s="692"/>
      <c r="I61" s="692"/>
      <c r="J61" s="692"/>
      <c r="K61" s="692"/>
      <c r="L61" s="696">
        <f t="shared" ref="L61:O61" si="47">K61</f>
        <v>0</v>
      </c>
      <c r="M61" s="696">
        <f t="shared" si="47"/>
        <v>0</v>
      </c>
      <c r="N61" s="696">
        <f>M61</f>
        <v>0</v>
      </c>
      <c r="O61" s="696">
        <f t="shared" si="47"/>
        <v>0</v>
      </c>
      <c r="P61" s="696">
        <f>O61</f>
        <v>0</v>
      </c>
    </row>
    <row r="62" spans="1:16" collapsed="1">
      <c r="A62" s="81"/>
      <c r="B62" s="665" t="s">
        <v>338</v>
      </c>
      <c r="C62" s="698">
        <f>C57/C22</f>
        <v>-0.4195695235661025</v>
      </c>
      <c r="D62" s="698">
        <f>D57/D22</f>
        <v>-0.18996330776763887</v>
      </c>
      <c r="E62" s="698">
        <f t="shared" ref="E62:P62" si="48">E57/E22</f>
        <v>-0.17700825225360867</v>
      </c>
      <c r="F62" s="698">
        <f t="shared" si="48"/>
        <v>-0.13768094210641793</v>
      </c>
      <c r="G62" s="698">
        <f t="shared" si="48"/>
        <v>-7.1541814023471387E-2</v>
      </c>
      <c r="H62" s="698">
        <f t="shared" si="48"/>
        <v>-2.7086067576414734E-2</v>
      </c>
      <c r="I62" s="698">
        <f t="shared" si="48"/>
        <v>1.1863464949427671E-2</v>
      </c>
      <c r="J62" s="698">
        <f t="shared" si="48"/>
        <v>5.1532121257388423E-2</v>
      </c>
      <c r="K62" s="698">
        <f t="shared" si="48"/>
        <v>8.3426539070556874E-2</v>
      </c>
      <c r="L62" s="698">
        <f t="shared" si="48"/>
        <v>0.10719503767156753</v>
      </c>
      <c r="M62" s="698">
        <f t="shared" si="48"/>
        <v>0.12807981794286172</v>
      </c>
      <c r="N62" s="698">
        <f t="shared" si="48"/>
        <v>0.14586051574195139</v>
      </c>
      <c r="O62" s="698">
        <f t="shared" si="48"/>
        <v>0.16167006545093285</v>
      </c>
      <c r="P62" s="699">
        <f t="shared" si="48"/>
        <v>0.17380664826463682</v>
      </c>
    </row>
    <row r="63" spans="1:16">
      <c r="A63" s="81"/>
      <c r="B63" s="700" t="s">
        <v>339</v>
      </c>
      <c r="C63" s="680">
        <f>C57/C29</f>
        <v>-1.2622325402575891</v>
      </c>
      <c r="D63" s="680">
        <f>D57/D29</f>
        <v>-0.65529773204116337</v>
      </c>
      <c r="E63" s="680">
        <f t="shared" ref="E63:P63" si="49">E57/E29</f>
        <v>-0.54464550685823931</v>
      </c>
      <c r="F63" s="680">
        <f t="shared" si="49"/>
        <v>-0.38667822178287187</v>
      </c>
      <c r="G63" s="680">
        <f t="shared" si="49"/>
        <v>-0.17803931734967635</v>
      </c>
      <c r="H63" s="680">
        <f t="shared" si="49"/>
        <v>-6.1498216400721901E-2</v>
      </c>
      <c r="I63" s="680">
        <f t="shared" si="49"/>
        <v>2.5806823152163871E-2</v>
      </c>
      <c r="J63" s="680">
        <f t="shared" si="49"/>
        <v>0.10799051047496926</v>
      </c>
      <c r="K63" s="680">
        <f t="shared" si="49"/>
        <v>0.16867213028030995</v>
      </c>
      <c r="L63" s="680">
        <f t="shared" si="49"/>
        <v>0.21406221607426892</v>
      </c>
      <c r="M63" s="680">
        <f t="shared" si="49"/>
        <v>0.25270232607254844</v>
      </c>
      <c r="N63" s="680">
        <f t="shared" si="49"/>
        <v>0.28442051350469538</v>
      </c>
      <c r="O63" s="680">
        <f t="shared" si="49"/>
        <v>0.31165465908778123</v>
      </c>
      <c r="P63" s="701">
        <f t="shared" si="49"/>
        <v>0.3313236975193008</v>
      </c>
    </row>
    <row r="64" spans="1:16" ht="3.75" customHeight="1">
      <c r="A64" s="81"/>
      <c r="B64" s="661"/>
      <c r="C64" s="702"/>
      <c r="D64" s="702"/>
      <c r="E64" s="702"/>
      <c r="F64" s="702"/>
      <c r="G64" s="702"/>
      <c r="H64" s="702"/>
      <c r="I64" s="702"/>
      <c r="J64" s="702"/>
      <c r="K64" s="702"/>
      <c r="L64" s="702"/>
      <c r="M64" s="702"/>
      <c r="N64" s="702"/>
      <c r="O64" s="702"/>
      <c r="P64" s="702"/>
    </row>
    <row r="65" spans="1:19">
      <c r="A65" s="81"/>
      <c r="B65" s="667" t="s">
        <v>340</v>
      </c>
      <c r="C65" s="668">
        <f>+'Quarterly Model'!C103</f>
        <v>3.58</v>
      </c>
      <c r="D65" s="668">
        <f>+'Quarterly Model'!D103</f>
        <v>8.2720000000000002</v>
      </c>
      <c r="E65" s="668">
        <f>+'Quarterly Model'!I103</f>
        <v>18.585999999999999</v>
      </c>
      <c r="F65" s="668">
        <f>+'Quarterly Model'!N103</f>
        <v>27.625999999999998</v>
      </c>
      <c r="G65" s="668">
        <f>+'Quarterly Model'!S103</f>
        <v>37.745000000000005</v>
      </c>
      <c r="H65" s="668">
        <f>+'Quarterly Model'!X103</f>
        <v>38.283912815244449</v>
      </c>
      <c r="I65" s="668">
        <f>+'Quarterly Model'!AC103</f>
        <v>45.973848097579577</v>
      </c>
      <c r="J65" s="668">
        <f>+'Quarterly Model'!AH103</f>
        <v>56.233676139522586</v>
      </c>
      <c r="K65" s="668">
        <f>+'Quarterly Model'!AM103</f>
        <v>69.056511463473797</v>
      </c>
      <c r="L65" s="660">
        <f t="shared" ref="L65:P65" si="50">+L66*L29</f>
        <v>85.414270117754725</v>
      </c>
      <c r="M65" s="660">
        <f t="shared" si="50"/>
        <v>103.85510406729851</v>
      </c>
      <c r="N65" s="660">
        <f t="shared" si="50"/>
        <v>124.10132893542749</v>
      </c>
      <c r="O65" s="660">
        <f t="shared" si="50"/>
        <v>145.69708226735293</v>
      </c>
      <c r="P65" s="660">
        <f t="shared" si="50"/>
        <v>189.48933827753928</v>
      </c>
    </row>
    <row r="66" spans="1:19">
      <c r="A66" s="81"/>
      <c r="B66" s="671" t="s">
        <v>341</v>
      </c>
      <c r="C66" s="698">
        <f>+C65/C29</f>
        <v>5.2937436231091123E-2</v>
      </c>
      <c r="D66" s="698">
        <f>+D65/D29</f>
        <v>5.1653511839344607E-2</v>
      </c>
      <c r="E66" s="698">
        <f t="shared" ref="E66:K66" si="51">+E65/E29</f>
        <v>6.7265028410119082E-2</v>
      </c>
      <c r="F66" s="698">
        <f t="shared" si="51"/>
        <v>6.1231772432182037E-2</v>
      </c>
      <c r="G66" s="698">
        <f t="shared" si="51"/>
        <v>5.4972342700016615E-2</v>
      </c>
      <c r="H66" s="698">
        <f t="shared" si="51"/>
        <v>3.957800185071398E-2</v>
      </c>
      <c r="I66" s="698">
        <f t="shared" si="51"/>
        <v>3.4250471526936499E-2</v>
      </c>
      <c r="J66" s="698">
        <f t="shared" si="51"/>
        <v>3.0755008222715218E-2</v>
      </c>
      <c r="K66" s="698">
        <f t="shared" si="51"/>
        <v>2.8258764117866979E-2</v>
      </c>
      <c r="L66" s="663">
        <f t="shared" ref="L66:O66" si="52">K66-($I$66-$P$66)/7</f>
        <v>2.7651553899733193E-2</v>
      </c>
      <c r="M66" s="663">
        <f t="shared" si="52"/>
        <v>2.7044343681599407E-2</v>
      </c>
      <c r="N66" s="663">
        <f t="shared" si="52"/>
        <v>2.6437133463465622E-2</v>
      </c>
      <c r="O66" s="663">
        <f t="shared" si="52"/>
        <v>2.5829923245331836E-2</v>
      </c>
      <c r="P66" s="663">
        <f>-P103</f>
        <v>0.03</v>
      </c>
    </row>
    <row r="67" spans="1:19" ht="3.75" customHeight="1">
      <c r="A67" s="81"/>
      <c r="B67" s="671"/>
      <c r="C67" s="702"/>
      <c r="D67" s="702"/>
      <c r="E67" s="702"/>
      <c r="F67" s="702"/>
      <c r="G67" s="703"/>
      <c r="H67" s="703"/>
      <c r="I67" s="703"/>
      <c r="J67" s="703"/>
      <c r="K67" s="703"/>
      <c r="L67" s="703"/>
      <c r="M67" s="703"/>
      <c r="N67" s="703"/>
      <c r="O67" s="703"/>
      <c r="P67" s="703"/>
    </row>
    <row r="68" spans="1:19">
      <c r="A68" s="81"/>
      <c r="B68" s="704" t="s">
        <v>127</v>
      </c>
      <c r="C68" s="676">
        <f t="shared" ref="C68:P68" si="53">+C57+C65</f>
        <v>-81.780999999999992</v>
      </c>
      <c r="D68" s="676">
        <f t="shared" si="53"/>
        <v>-96.67000000000003</v>
      </c>
      <c r="E68" s="676">
        <f t="shared" si="53"/>
        <v>-131.90500000000009</v>
      </c>
      <c r="F68" s="676">
        <f t="shared" si="53"/>
        <v>-146.83200000000005</v>
      </c>
      <c r="G68" s="676">
        <f>+G57+G65</f>
        <v>-84.500000000000057</v>
      </c>
      <c r="H68" s="676">
        <f t="shared" si="53"/>
        <v>-21.203485357581727</v>
      </c>
      <c r="I68" s="676">
        <f t="shared" si="53"/>
        <v>80.613924995370581</v>
      </c>
      <c r="J68" s="676">
        <f t="shared" si="53"/>
        <v>253.68780615357116</v>
      </c>
      <c r="K68" s="676">
        <f t="shared" si="53"/>
        <v>481.24399601472578</v>
      </c>
      <c r="L68" s="676">
        <f t="shared" si="53"/>
        <v>746.64177335579905</v>
      </c>
      <c r="M68" s="676">
        <f t="shared" si="53"/>
        <v>1074.2771147212031</v>
      </c>
      <c r="N68" s="676">
        <f t="shared" si="53"/>
        <v>1459.2295776620711</v>
      </c>
      <c r="O68" s="676">
        <f t="shared" si="53"/>
        <v>1903.6262124796385</v>
      </c>
      <c r="P68" s="683">
        <f t="shared" si="53"/>
        <v>2282.2329448975356</v>
      </c>
      <c r="Q68" s="684"/>
    </row>
    <row r="69" spans="1:19">
      <c r="A69" s="81"/>
      <c r="B69" s="665" t="s">
        <v>342</v>
      </c>
      <c r="C69" s="698">
        <f>C68/C22</f>
        <v>-0.40197297602839033</v>
      </c>
      <c r="D69" s="698">
        <f>D68/D22</f>
        <v>-0.17498954624361693</v>
      </c>
      <c r="E69" s="698">
        <f t="shared" ref="E69:P69" si="54">E68/E22</f>
        <v>-0.15514730790221512</v>
      </c>
      <c r="F69" s="698">
        <f t="shared" si="54"/>
        <v>-0.1158787105857545</v>
      </c>
      <c r="G69" s="698">
        <f t="shared" si="54"/>
        <v>-4.9452192604878181E-2</v>
      </c>
      <c r="H69" s="698">
        <f t="shared" si="54"/>
        <v>-9.6544655656721542E-3</v>
      </c>
      <c r="I69" s="698">
        <f t="shared" si="54"/>
        <v>2.7608497418761709E-2</v>
      </c>
      <c r="J69" s="698">
        <f t="shared" si="54"/>
        <v>6.6208140530140083E-2</v>
      </c>
      <c r="K69" s="698">
        <f t="shared" si="54"/>
        <v>9.7403542176209168E-2</v>
      </c>
      <c r="L69" s="698">
        <f t="shared" si="54"/>
        <v>0.12104199028337682</v>
      </c>
      <c r="M69" s="698">
        <f t="shared" si="54"/>
        <v>0.14178699139455761</v>
      </c>
      <c r="N69" s="698">
        <f t="shared" si="54"/>
        <v>0.15941837721334712</v>
      </c>
      <c r="O69" s="698">
        <f t="shared" si="54"/>
        <v>0.17506927274623971</v>
      </c>
      <c r="P69" s="699">
        <f t="shared" si="54"/>
        <v>0.18954412640754981</v>
      </c>
    </row>
    <row r="70" spans="1:19">
      <c r="A70" s="81"/>
      <c r="B70" s="700" t="s">
        <v>343</v>
      </c>
      <c r="C70" s="680">
        <f>C68/C29</f>
        <v>-1.2092951040264981</v>
      </c>
      <c r="D70" s="680">
        <f>D68/D29</f>
        <v>-0.60364422020181874</v>
      </c>
      <c r="E70" s="680">
        <f t="shared" ref="E70:P70" si="55">E68/E29</f>
        <v>-0.47738047844812026</v>
      </c>
      <c r="F70" s="680">
        <f t="shared" si="55"/>
        <v>-0.32544644935068978</v>
      </c>
      <c r="G70" s="680">
        <f t="shared" si="55"/>
        <v>-0.12306697464965972</v>
      </c>
      <c r="H70" s="680">
        <f t="shared" si="55"/>
        <v>-2.1920214550007928E-2</v>
      </c>
      <c r="I70" s="680">
        <f t="shared" si="55"/>
        <v>6.005729467910037E-2</v>
      </c>
      <c r="J70" s="680">
        <f t="shared" si="55"/>
        <v>0.13874551869768448</v>
      </c>
      <c r="K70" s="680">
        <f t="shared" si="55"/>
        <v>0.19693089439817693</v>
      </c>
      <c r="L70" s="680">
        <f t="shared" si="55"/>
        <v>0.24171376997400215</v>
      </c>
      <c r="M70" s="680">
        <f t="shared" si="55"/>
        <v>0.2797466697541478</v>
      </c>
      <c r="N70" s="680">
        <f t="shared" si="55"/>
        <v>0.31085764696816104</v>
      </c>
      <c r="O70" s="680">
        <f t="shared" si="55"/>
        <v>0.33748458233311307</v>
      </c>
      <c r="P70" s="701">
        <f t="shared" si="55"/>
        <v>0.36132369751930082</v>
      </c>
    </row>
    <row r="71" spans="1:19" ht="3.75" customHeight="1">
      <c r="A71" s="81"/>
      <c r="B71" s="705"/>
      <c r="C71" s="706"/>
      <c r="D71" s="706"/>
      <c r="E71" s="706"/>
      <c r="F71" s="706"/>
      <c r="G71" s="81"/>
      <c r="H71" s="81"/>
      <c r="I71" s="81"/>
      <c r="J71" s="81"/>
      <c r="K71" s="81"/>
      <c r="L71" s="81"/>
      <c r="M71" s="81"/>
      <c r="N71" s="81"/>
      <c r="O71" s="81"/>
      <c r="P71" s="81"/>
    </row>
    <row r="72" spans="1:19">
      <c r="A72" s="81"/>
      <c r="B72" s="667" t="s">
        <v>344</v>
      </c>
      <c r="C72" s="668">
        <f>+'Quarterly Model'!C156</f>
        <v>1.2999999999999999E-2</v>
      </c>
      <c r="D72" s="668">
        <f>+'Quarterly Model'!D156</f>
        <v>2.7050000000000001</v>
      </c>
      <c r="E72" s="668">
        <f>+'Quarterly Model'!I156</f>
        <v>0.13300000000000001</v>
      </c>
      <c r="F72" s="668">
        <f>+'Quarterly Model'!N156</f>
        <v>0.24</v>
      </c>
      <c r="G72" s="668">
        <f>+'Quarterly Model'!S156</f>
        <v>-0.219</v>
      </c>
      <c r="H72" s="668">
        <f>+'Quarterly Model'!X156</f>
        <v>0</v>
      </c>
      <c r="I72" s="668">
        <f>+'Quarterly Model'!AC156</f>
        <v>0</v>
      </c>
      <c r="J72" s="668">
        <f>+'Quarterly Model'!AH156</f>
        <v>0</v>
      </c>
      <c r="K72" s="668">
        <f>+'Quarterly Model'!AM156</f>
        <v>0</v>
      </c>
      <c r="L72" s="669"/>
      <c r="M72" s="669"/>
      <c r="N72" s="669"/>
      <c r="O72" s="669"/>
      <c r="P72" s="669"/>
    </row>
    <row r="73" spans="1:19">
      <c r="A73" s="81"/>
      <c r="B73" s="667" t="s">
        <v>345</v>
      </c>
      <c r="C73" s="668">
        <f>+'Quarterly Model'!C154</f>
        <v>8.1140000000000008</v>
      </c>
      <c r="D73" s="668">
        <f>+'Quarterly Model'!D154</f>
        <v>14.657999999999999</v>
      </c>
      <c r="E73" s="668">
        <f>+'Quarterly Model'!I154</f>
        <v>36.1</v>
      </c>
      <c r="F73" s="668">
        <f>+'Quarterly Model'!N154</f>
        <v>82.292000000000002</v>
      </c>
      <c r="G73" s="668">
        <f>+'Quarterly Model'!S154</f>
        <v>138.786</v>
      </c>
      <c r="H73" s="668">
        <f>+'Quarterly Model'!X154</f>
        <v>152.35900000000001</v>
      </c>
      <c r="I73" s="668">
        <f>+'Quarterly Model'!AC154</f>
        <v>174.19200000000001</v>
      </c>
      <c r="J73" s="668">
        <f>+'Quarterly Model'!AH154</f>
        <v>193.19200000000001</v>
      </c>
      <c r="K73" s="668">
        <f>+'Quarterly Model'!AM154</f>
        <v>215.19200000000001</v>
      </c>
      <c r="L73" s="669">
        <f t="shared" ref="L73:P73" si="56">+L74*L29</f>
        <v>248.84329564351626</v>
      </c>
      <c r="M73" s="669">
        <f t="shared" si="56"/>
        <v>280.56029476780805</v>
      </c>
      <c r="N73" s="669">
        <f t="shared" si="56"/>
        <v>307.74825581778521</v>
      </c>
      <c r="O73" s="669">
        <f t="shared" si="56"/>
        <v>341.59204260665229</v>
      </c>
      <c r="P73" s="669">
        <f t="shared" si="56"/>
        <v>335.13831475329209</v>
      </c>
    </row>
    <row r="74" spans="1:19">
      <c r="A74" s="81"/>
      <c r="B74" s="671" t="s">
        <v>329</v>
      </c>
      <c r="C74" s="287">
        <f t="shared" ref="C74:H74" si="57">C73/C29</f>
        <v>0.1199816641282328</v>
      </c>
      <c r="D74" s="287">
        <f t="shared" si="57"/>
        <v>9.1530122889399573E-2</v>
      </c>
      <c r="E74" s="287">
        <f t="shared" si="57"/>
        <v>0.13065035648365969</v>
      </c>
      <c r="F74" s="287">
        <f t="shared" si="57"/>
        <v>0.18239647495073932</v>
      </c>
      <c r="G74" s="287">
        <f t="shared" si="57"/>
        <v>0.20212985968908478</v>
      </c>
      <c r="H74" s="287">
        <f t="shared" si="57"/>
        <v>0.15750910344701735</v>
      </c>
      <c r="I74" s="287">
        <f>I73/I29</f>
        <v>0.12977286833934243</v>
      </c>
      <c r="J74" s="287">
        <f>J73/J29</f>
        <v>0.10565949012155836</v>
      </c>
      <c r="K74" s="287">
        <f>K73/K29</f>
        <v>8.8059182822585805E-2</v>
      </c>
      <c r="L74" s="663">
        <f>K74-0.0075</f>
        <v>8.0559182822585812E-2</v>
      </c>
      <c r="M74" s="663">
        <f t="shared" ref="M74:P74" si="58">L74-0.0075</f>
        <v>7.3059182822585805E-2</v>
      </c>
      <c r="N74" s="663">
        <f t="shared" si="58"/>
        <v>6.5559182822585799E-2</v>
      </c>
      <c r="O74" s="663">
        <f>N74-0.005</f>
        <v>6.0559182822585801E-2</v>
      </c>
      <c r="P74" s="663">
        <f t="shared" si="58"/>
        <v>5.3059182822585801E-2</v>
      </c>
      <c r="Q74" s="270"/>
    </row>
    <row r="75" spans="1:19" ht="3.75" customHeight="1">
      <c r="A75" s="81"/>
      <c r="B75" s="705"/>
      <c r="C75" s="706"/>
      <c r="D75" s="706"/>
      <c r="E75" s="706"/>
      <c r="F75" s="706"/>
      <c r="G75" s="81"/>
      <c r="H75" s="81"/>
      <c r="I75" s="81"/>
      <c r="J75" s="81"/>
      <c r="K75" s="81"/>
      <c r="L75" s="81"/>
      <c r="M75" s="81"/>
      <c r="N75" s="81"/>
      <c r="O75" s="81"/>
      <c r="P75" s="81"/>
    </row>
    <row r="76" spans="1:19">
      <c r="A76" s="81"/>
      <c r="B76" s="707" t="s">
        <v>346</v>
      </c>
      <c r="C76" s="708">
        <f>C68-C19+C55+C73+C53+C72</f>
        <v>-70.577999999999989</v>
      </c>
      <c r="D76" s="708">
        <f t="shared" ref="D76:P76" si="59">D68-D19+D55+D73+D53+D72</f>
        <v>-51.530000000000037</v>
      </c>
      <c r="E76" s="708">
        <f t="shared" si="59"/>
        <v>-67.741000000000085</v>
      </c>
      <c r="F76" s="708">
        <f t="shared" si="59"/>
        <v>-41.145000000000074</v>
      </c>
      <c r="G76" s="708">
        <f t="shared" si="59"/>
        <v>44.924999999999919</v>
      </c>
      <c r="H76" s="708">
        <f t="shared" si="59"/>
        <v>131.15551464241827</v>
      </c>
      <c r="I76" s="708">
        <f t="shared" si="59"/>
        <v>254.80592499537059</v>
      </c>
      <c r="J76" s="708">
        <f t="shared" si="59"/>
        <v>446.87980615357117</v>
      </c>
      <c r="K76" s="708">
        <f t="shared" si="59"/>
        <v>696.43599601472579</v>
      </c>
      <c r="L76" s="708">
        <f t="shared" si="59"/>
        <v>995.48506899931533</v>
      </c>
      <c r="M76" s="708">
        <f t="shared" si="59"/>
        <v>1354.8374094890112</v>
      </c>
      <c r="N76" s="708">
        <f t="shared" si="59"/>
        <v>1766.9778334798561</v>
      </c>
      <c r="O76" s="708">
        <f t="shared" si="59"/>
        <v>2245.2182550862908</v>
      </c>
      <c r="P76" s="709">
        <f t="shared" si="59"/>
        <v>2617.3712596508276</v>
      </c>
    </row>
    <row r="77" spans="1:19">
      <c r="A77" s="81"/>
      <c r="B77" s="710" t="s">
        <v>347</v>
      </c>
      <c r="C77" s="711">
        <f>C76/C22</f>
        <v>-0.34690757880353301</v>
      </c>
      <c r="D77" s="711">
        <f>D76/D22</f>
        <v>-9.3278279900006048E-2</v>
      </c>
      <c r="E77" s="711">
        <f t="shared" ref="E77:P77" si="60">E76/E22</f>
        <v>-7.967729642245526E-2</v>
      </c>
      <c r="F77" s="711">
        <f t="shared" si="60"/>
        <v>-3.2471324691149585E-2</v>
      </c>
      <c r="G77" s="711">
        <f t="shared" si="60"/>
        <v>2.6291594707386356E-2</v>
      </c>
      <c r="H77" s="711">
        <f t="shared" si="60"/>
        <v>5.9718314159632691E-2</v>
      </c>
      <c r="I77" s="711">
        <f t="shared" si="60"/>
        <v>8.7265428682747628E-2</v>
      </c>
      <c r="J77" s="711">
        <f t="shared" si="60"/>
        <v>0.1166279193883947</v>
      </c>
      <c r="K77" s="711">
        <f t="shared" si="60"/>
        <v>0.14095829448805189</v>
      </c>
      <c r="L77" s="711">
        <f t="shared" si="60"/>
        <v>0.16138327421394064</v>
      </c>
      <c r="M77" s="711">
        <f t="shared" si="60"/>
        <v>0.17881635705336288</v>
      </c>
      <c r="N77" s="711">
        <f t="shared" si="60"/>
        <v>0.19303935658748561</v>
      </c>
      <c r="O77" s="711">
        <f t="shared" si="60"/>
        <v>0.20648419553045136</v>
      </c>
      <c r="P77" s="712">
        <f t="shared" si="60"/>
        <v>0.21737805073925873</v>
      </c>
    </row>
    <row r="78" spans="1:19">
      <c r="A78" s="81"/>
      <c r="B78" s="713" t="s">
        <v>348</v>
      </c>
      <c r="C78" s="714">
        <f>C76/C29</f>
        <v>-1.0436364174072483</v>
      </c>
      <c r="D78" s="714">
        <f>D76/D29</f>
        <v>-0.32177290438605288</v>
      </c>
      <c r="E78" s="714">
        <f t="shared" ref="E78:P78" si="61">E76/E29</f>
        <v>-0.2451630415113463</v>
      </c>
      <c r="F78" s="714">
        <f t="shared" si="61"/>
        <v>-9.1196021020854792E-2</v>
      </c>
      <c r="G78" s="714">
        <f t="shared" si="61"/>
        <v>6.5429394510484615E-2</v>
      </c>
      <c r="H78" s="714">
        <f t="shared" si="61"/>
        <v>0.1355888888970094</v>
      </c>
      <c r="I78" s="714">
        <f t="shared" si="61"/>
        <v>0.1898301630184428</v>
      </c>
      <c r="J78" s="714">
        <f t="shared" si="61"/>
        <v>0.24440500881924285</v>
      </c>
      <c r="K78" s="714">
        <f t="shared" si="61"/>
        <v>0.28499007722076275</v>
      </c>
      <c r="L78" s="714">
        <f t="shared" si="61"/>
        <v>0.32227295279658796</v>
      </c>
      <c r="M78" s="714">
        <f t="shared" si="61"/>
        <v>0.35280585257673364</v>
      </c>
      <c r="N78" s="714">
        <f t="shared" si="61"/>
        <v>0.37641682979074681</v>
      </c>
      <c r="O78" s="714">
        <f t="shared" si="61"/>
        <v>0.39804376515569884</v>
      </c>
      <c r="P78" s="715">
        <f t="shared" si="61"/>
        <v>0.41438288034188658</v>
      </c>
      <c r="S78" s="270"/>
    </row>
    <row r="79" spans="1:19" ht="3.75" customHeight="1">
      <c r="A79" s="81"/>
      <c r="B79" s="705"/>
      <c r="C79" s="706"/>
      <c r="D79" s="706"/>
      <c r="E79" s="706"/>
      <c r="F79" s="716"/>
      <c r="G79" s="716"/>
      <c r="H79" s="716"/>
      <c r="I79" s="716"/>
      <c r="J79" s="716"/>
      <c r="K79" s="716"/>
      <c r="L79" s="716"/>
      <c r="M79" s="716"/>
      <c r="N79" s="81"/>
      <c r="O79" s="81"/>
      <c r="P79" s="81"/>
    </row>
    <row r="80" spans="1:19">
      <c r="A80" s="81"/>
      <c r="B80" s="667" t="s">
        <v>349</v>
      </c>
      <c r="C80" s="668">
        <f>+'Quarterly Model'!C120</f>
        <v>-5.0000000000000001E-3</v>
      </c>
      <c r="D80" s="668">
        <f>+'Quarterly Model'!D120</f>
        <v>1.2E-2</v>
      </c>
      <c r="E80" s="668">
        <f>+'Quarterly Model'!I120</f>
        <v>-1.0580000000000001</v>
      </c>
      <c r="F80" s="668">
        <f>+'Quarterly Model'!N120</f>
        <v>-1.163</v>
      </c>
      <c r="G80" s="668">
        <f>+'Quarterly Model'!S120</f>
        <v>0.24299999999999999</v>
      </c>
      <c r="H80" s="668">
        <f>+'Quarterly Model'!X120+'Quarterly Model'!X124+'Quarterly Model'!X125</f>
        <v>-15.851083333333333</v>
      </c>
      <c r="I80" s="668">
        <f>+'Quarterly Model'!AC120+'Quarterly Model'!AC124+'Quarterly Model'!AC125</f>
        <v>-21.45</v>
      </c>
      <c r="J80" s="668">
        <f>+'Quarterly Model'!AH120+'Quarterly Model'!AH124+'Quarterly Model'!AH125</f>
        <v>-21.45</v>
      </c>
      <c r="K80" s="668">
        <f>+'Quarterly Model'!AM120+'Quarterly Model'!AM124+'Quarterly Model'!AM125</f>
        <v>-21.45</v>
      </c>
      <c r="L80" s="669">
        <f t="shared" ref="L80:P81" si="62">K80</f>
        <v>-21.45</v>
      </c>
      <c r="M80" s="669">
        <f t="shared" si="62"/>
        <v>-21.45</v>
      </c>
      <c r="N80" s="669">
        <f t="shared" si="62"/>
        <v>-21.45</v>
      </c>
      <c r="O80" s="669">
        <f t="shared" si="62"/>
        <v>-21.45</v>
      </c>
      <c r="P80" s="669">
        <f t="shared" si="62"/>
        <v>-21.45</v>
      </c>
      <c r="S80" s="139"/>
    </row>
    <row r="81" spans="1:19">
      <c r="A81" s="114"/>
      <c r="B81" s="667" t="s">
        <v>350</v>
      </c>
      <c r="C81" s="668">
        <f>+'Quarterly Model'!C122</f>
        <v>0.16700000000000001</v>
      </c>
      <c r="D81" s="668">
        <f>+'Quarterly Model'!D122</f>
        <v>0.95</v>
      </c>
      <c r="E81" s="668">
        <f>+'Quarterly Model'!I122</f>
        <v>-1.1039999999999999</v>
      </c>
      <c r="F81" s="668">
        <f>+'Quarterly Model'!N122</f>
        <v>-0.45000000000000018</v>
      </c>
      <c r="G81" s="668">
        <f>+'Quarterly Model'!S122</f>
        <v>0.53699999999999992</v>
      </c>
      <c r="H81" s="668">
        <f>+'Quarterly Model'!X122</f>
        <v>7.4810833333333342</v>
      </c>
      <c r="I81" s="668">
        <f>+'Quarterly Model'!AC122</f>
        <v>10.446000000000002</v>
      </c>
      <c r="J81" s="668">
        <f>+'Quarterly Model'!AH122</f>
        <v>10.446000000000002</v>
      </c>
      <c r="K81" s="668">
        <f>+'Quarterly Model'!AM122</f>
        <v>10.446000000000002</v>
      </c>
      <c r="L81" s="669">
        <f t="shared" si="62"/>
        <v>10.446000000000002</v>
      </c>
      <c r="M81" s="669">
        <f t="shared" si="62"/>
        <v>10.446000000000002</v>
      </c>
      <c r="N81" s="669">
        <f t="shared" si="62"/>
        <v>10.446000000000002</v>
      </c>
      <c r="O81" s="669">
        <f t="shared" si="62"/>
        <v>10.446000000000002</v>
      </c>
      <c r="P81" s="669">
        <f t="shared" si="62"/>
        <v>10.446000000000002</v>
      </c>
    </row>
    <row r="82" spans="1:19">
      <c r="A82" s="81"/>
      <c r="B82" s="717" t="s">
        <v>351</v>
      </c>
      <c r="C82" s="669">
        <f>C57+C80+C81</f>
        <v>-85.198999999999984</v>
      </c>
      <c r="D82" s="669">
        <f>D57+D80+D81</f>
        <v>-103.98000000000003</v>
      </c>
      <c r="E82" s="669">
        <f t="shared" ref="E82:P82" si="63">E57+E80+E81</f>
        <v>-152.65300000000008</v>
      </c>
      <c r="F82" s="669">
        <f t="shared" si="63"/>
        <v>-176.07100000000005</v>
      </c>
      <c r="G82" s="669">
        <f t="shared" si="63"/>
        <v>-121.46500000000006</v>
      </c>
      <c r="H82" s="669">
        <f t="shared" si="63"/>
        <v>-67.85739817282618</v>
      </c>
      <c r="I82" s="669">
        <f t="shared" si="63"/>
        <v>23.636076897791007</v>
      </c>
      <c r="J82" s="669">
        <f t="shared" si="63"/>
        <v>186.45013001404857</v>
      </c>
      <c r="K82" s="669">
        <f t="shared" si="63"/>
        <v>401.18348455125204</v>
      </c>
      <c r="L82" s="669">
        <f t="shared" si="63"/>
        <v>650.22350323804426</v>
      </c>
      <c r="M82" s="669">
        <f t="shared" si="63"/>
        <v>959.41801065390462</v>
      </c>
      <c r="N82" s="669">
        <f t="shared" si="63"/>
        <v>1324.1242487266434</v>
      </c>
      <c r="O82" s="669">
        <f t="shared" si="63"/>
        <v>1746.9251302122855</v>
      </c>
      <c r="P82" s="669">
        <f t="shared" si="63"/>
        <v>2081.7396066199963</v>
      </c>
    </row>
    <row r="83" spans="1:19" ht="3.75" customHeight="1">
      <c r="A83" s="81"/>
      <c r="B83" s="717"/>
      <c r="C83" s="718"/>
      <c r="D83" s="718"/>
      <c r="E83" s="718"/>
      <c r="F83" s="718"/>
      <c r="G83" s="718"/>
      <c r="H83" s="718"/>
      <c r="I83" s="718"/>
      <c r="J83" s="718"/>
      <c r="K83" s="718"/>
      <c r="L83" s="718"/>
      <c r="M83" s="718"/>
      <c r="N83" s="718"/>
      <c r="O83" s="718"/>
      <c r="P83" s="718"/>
    </row>
    <row r="84" spans="1:19">
      <c r="A84" s="81"/>
      <c r="B84" s="705" t="s">
        <v>352</v>
      </c>
      <c r="C84" s="668">
        <f>+'Quarterly Model'!C130</f>
        <v>0</v>
      </c>
      <c r="D84" s="668">
        <f>+'Quarterly Model'!D130</f>
        <v>0.51300000000000001</v>
      </c>
      <c r="E84" s="668">
        <f>+'Quarterly Model'!I130</f>
        <v>1.44</v>
      </c>
      <c r="F84" s="668">
        <f>+'Quarterly Model'!N130</f>
        <v>3.7459999999999996</v>
      </c>
      <c r="G84" s="668">
        <f>+'Quarterly Model'!S130</f>
        <v>1.917</v>
      </c>
      <c r="H84" s="668">
        <f>+'Quarterly Model'!X130</f>
        <v>-0.4845094178396111</v>
      </c>
      <c r="I84" s="668">
        <f>+'Quarterly Model'!AC130</f>
        <v>1.1818038448895714</v>
      </c>
      <c r="J84" s="668">
        <f>+'Quarterly Model'!AH130</f>
        <v>0</v>
      </c>
      <c r="K84" s="668">
        <f>+'Quarterly Model'!AM130</f>
        <v>0</v>
      </c>
      <c r="L84" s="719">
        <f t="shared" ref="L84:P84" si="64">L82*L85</f>
        <v>178.81146339046219</v>
      </c>
      <c r="M84" s="719">
        <f t="shared" si="64"/>
        <v>263.83995292982377</v>
      </c>
      <c r="N84" s="719">
        <f t="shared" si="64"/>
        <v>364.13416839982693</v>
      </c>
      <c r="O84" s="719">
        <f t="shared" si="64"/>
        <v>480.40441080837854</v>
      </c>
      <c r="P84" s="719">
        <f t="shared" si="64"/>
        <v>572.47839182049904</v>
      </c>
    </row>
    <row r="85" spans="1:19">
      <c r="A85" s="81"/>
      <c r="B85" s="700" t="s">
        <v>353</v>
      </c>
      <c r="C85" s="680">
        <f t="shared" ref="C85:K85" si="65">+C84/C82</f>
        <v>0</v>
      </c>
      <c r="D85" s="680">
        <f t="shared" si="65"/>
        <v>-4.9336410848240036E-3</v>
      </c>
      <c r="E85" s="680">
        <f t="shared" si="65"/>
        <v>-9.4331588635663838E-3</v>
      </c>
      <c r="F85" s="680">
        <f t="shared" si="65"/>
        <v>-2.1275508175679119E-2</v>
      </c>
      <c r="G85" s="680">
        <f t="shared" si="65"/>
        <v>-1.5782324126291516E-2</v>
      </c>
      <c r="H85" s="680">
        <f t="shared" si="65"/>
        <v>7.1401119242092484E-3</v>
      </c>
      <c r="I85" s="680">
        <f t="shared" si="65"/>
        <v>5.0000000000000891E-2</v>
      </c>
      <c r="J85" s="680">
        <f t="shared" si="65"/>
        <v>0</v>
      </c>
      <c r="K85" s="680">
        <f t="shared" si="65"/>
        <v>0</v>
      </c>
      <c r="L85" s="720">
        <f>IF(_Toggle="1=Bull",0.25,0.275)</f>
        <v>0.27500000000000002</v>
      </c>
      <c r="M85" s="720">
        <f>IF(_Toggle="1=Bull",0.25,0.275)</f>
        <v>0.27500000000000002</v>
      </c>
      <c r="N85" s="720">
        <f>IF(_Toggle="1=Bull",0.25,0.275)</f>
        <v>0.27500000000000002</v>
      </c>
      <c r="O85" s="720">
        <f>IF(_Toggle="1=Bull",0.25,0.275)</f>
        <v>0.27500000000000002</v>
      </c>
      <c r="P85" s="720">
        <f>IF(_Toggle="1=Bull",0.25,0.275)</f>
        <v>0.27500000000000002</v>
      </c>
    </row>
    <row r="86" spans="1:19">
      <c r="A86" s="81"/>
      <c r="B86" s="721" t="s">
        <v>354</v>
      </c>
      <c r="C86" s="719">
        <f>C82-C84</f>
        <v>-85.198999999999984</v>
      </c>
      <c r="D86" s="719">
        <f>D82-D84</f>
        <v>-104.49300000000004</v>
      </c>
      <c r="E86" s="719">
        <f>E82-E84</f>
        <v>-154.09300000000007</v>
      </c>
      <c r="F86" s="719">
        <f>F82-F84</f>
        <v>-179.81700000000006</v>
      </c>
      <c r="G86" s="719">
        <f t="shared" ref="G86:M86" si="66">G82-G84</f>
        <v>-123.38200000000006</v>
      </c>
      <c r="H86" s="719">
        <f t="shared" si="66"/>
        <v>-67.372888754986562</v>
      </c>
      <c r="I86" s="719">
        <f>I82-I84</f>
        <v>22.454273052901435</v>
      </c>
      <c r="J86" s="719">
        <f>J82-J84</f>
        <v>186.45013001404857</v>
      </c>
      <c r="K86" s="719">
        <f>K82-K84</f>
        <v>401.18348455125204</v>
      </c>
      <c r="L86" s="660">
        <f>L82-L84</f>
        <v>471.41203984758204</v>
      </c>
      <c r="M86" s="660">
        <f t="shared" si="66"/>
        <v>695.57805772408085</v>
      </c>
      <c r="N86" s="660">
        <f>N82-N84</f>
        <v>959.9900803268165</v>
      </c>
      <c r="O86" s="660">
        <f>O82-O84</f>
        <v>1266.5207194039069</v>
      </c>
      <c r="P86" s="660">
        <f>P82-P84</f>
        <v>1509.2612147994973</v>
      </c>
    </row>
    <row r="87" spans="1:19" ht="3.75" customHeight="1">
      <c r="A87" s="81"/>
      <c r="B87" s="721"/>
      <c r="C87" s="719"/>
      <c r="D87" s="719"/>
      <c r="E87" s="719"/>
      <c r="F87" s="719"/>
      <c r="G87" s="719"/>
      <c r="H87" s="719"/>
      <c r="I87" s="719"/>
      <c r="J87" s="719"/>
      <c r="K87" s="719"/>
      <c r="L87" s="722"/>
      <c r="M87" s="722"/>
      <c r="N87" s="719"/>
      <c r="O87" s="719"/>
      <c r="P87" s="719"/>
    </row>
    <row r="88" spans="1:19">
      <c r="A88" s="81"/>
      <c r="B88" s="721" t="s">
        <v>142</v>
      </c>
      <c r="C88" s="719">
        <f>C86+C50-C55+C53</f>
        <v>-97.745999999999981</v>
      </c>
      <c r="D88" s="719">
        <f>D86+D50-D55+D53</f>
        <v>-241.86600000000004</v>
      </c>
      <c r="E88" s="719">
        <f t="shared" ref="E88:P88" si="67">E86+E50-E55+E53</f>
        <v>-302.99600000000009</v>
      </c>
      <c r="F88" s="719">
        <f t="shared" si="67"/>
        <v>-337.85900000000004</v>
      </c>
      <c r="G88" s="719">
        <f t="shared" si="67"/>
        <v>-184.26500000000004</v>
      </c>
      <c r="H88" s="719">
        <f t="shared" si="67"/>
        <v>-59.880219982430177</v>
      </c>
      <c r="I88" s="719">
        <f t="shared" si="67"/>
        <v>29.837232321679771</v>
      </c>
      <c r="J88" s="719">
        <f t="shared" si="67"/>
        <v>194.25284779089239</v>
      </c>
      <c r="K88" s="719">
        <f t="shared" si="67"/>
        <v>409.5174499935863</v>
      </c>
      <c r="L88" s="719">
        <f t="shared" si="67"/>
        <v>480.58323590316354</v>
      </c>
      <c r="M88" s="719">
        <f t="shared" si="67"/>
        <v>706.08534883219272</v>
      </c>
      <c r="N88" s="719">
        <f t="shared" si="67"/>
        <v>971.76866351517242</v>
      </c>
      <c r="O88" s="719">
        <f t="shared" si="67"/>
        <v>1279.4253558733656</v>
      </c>
      <c r="P88" s="719">
        <f t="shared" si="67"/>
        <v>1523.5509330303862</v>
      </c>
    </row>
    <row r="89" spans="1:19">
      <c r="A89" s="81"/>
      <c r="B89" s="721" t="s">
        <v>143</v>
      </c>
      <c r="C89" s="719"/>
      <c r="D89" s="669"/>
      <c r="E89" s="669"/>
      <c r="F89" s="669"/>
      <c r="G89" s="723">
        <f>G88/G$94</f>
        <v>-0.47923276983094942</v>
      </c>
      <c r="H89" s="723">
        <f t="shared" ref="H89:P89" si="68">H88/H$94</f>
        <v>-0.13887240125794834</v>
      </c>
      <c r="I89" s="723">
        <f t="shared" si="68"/>
        <v>6.5555557080183527E-2</v>
      </c>
      <c r="J89" s="723">
        <f t="shared" si="68"/>
        <v>0.42108904823288684</v>
      </c>
      <c r="K89" s="723">
        <f t="shared" si="68"/>
        <v>0.87696343114497211</v>
      </c>
      <c r="L89" s="723">
        <f t="shared" si="68"/>
        <v>1.0144898253504255</v>
      </c>
      <c r="M89" s="723">
        <f t="shared" si="68"/>
        <v>1.4690689753257935</v>
      </c>
      <c r="N89" s="723">
        <f t="shared" si="68"/>
        <v>1.993246591204177</v>
      </c>
      <c r="O89" s="723">
        <f t="shared" si="68"/>
        <v>2.587368192966224</v>
      </c>
      <c r="P89" s="723">
        <f t="shared" si="68"/>
        <v>3.0428692183721955</v>
      </c>
    </row>
    <row r="90" spans="1:19" ht="3.75" customHeight="1">
      <c r="A90" s="81"/>
      <c r="B90" s="721"/>
      <c r="C90" s="719"/>
      <c r="D90" s="719"/>
      <c r="E90" s="719"/>
      <c r="F90" s="719"/>
      <c r="G90" s="719"/>
      <c r="H90" s="719"/>
      <c r="I90" s="719"/>
      <c r="J90" s="719"/>
      <c r="K90" s="719"/>
      <c r="L90" s="719"/>
      <c r="M90" s="724"/>
      <c r="N90" s="724"/>
      <c r="O90" s="724"/>
      <c r="P90" s="724"/>
    </row>
    <row r="91" spans="1:19">
      <c r="A91" s="81"/>
      <c r="B91" s="721" t="s">
        <v>355</v>
      </c>
      <c r="C91" s="719">
        <f>C88+C73-C55+C53</f>
        <v>-102.17899999999997</v>
      </c>
      <c r="D91" s="719">
        <f>D88+D73-D55+D53</f>
        <v>-364.58100000000007</v>
      </c>
      <c r="E91" s="719">
        <f t="shared" ref="E91:P91" si="69">E88+E73-E55+E53</f>
        <v>-417.85100000000011</v>
      </c>
      <c r="F91" s="719">
        <f t="shared" si="69"/>
        <v>-421.005</v>
      </c>
      <c r="G91" s="719">
        <f t="shared" si="69"/>
        <v>-115.24000000000004</v>
      </c>
      <c r="H91" s="719">
        <f t="shared" si="69"/>
        <v>92.478780017569832</v>
      </c>
      <c r="I91" s="719">
        <f t="shared" si="69"/>
        <v>204.02923232167979</v>
      </c>
      <c r="J91" s="719">
        <f t="shared" si="69"/>
        <v>387.44484779089237</v>
      </c>
      <c r="K91" s="719">
        <f t="shared" si="69"/>
        <v>624.7094499935863</v>
      </c>
      <c r="L91" s="719">
        <f t="shared" si="69"/>
        <v>729.42653154667983</v>
      </c>
      <c r="M91" s="719">
        <f t="shared" si="69"/>
        <v>986.64564360000077</v>
      </c>
      <c r="N91" s="719">
        <f t="shared" si="69"/>
        <v>1279.5169193329575</v>
      </c>
      <c r="O91" s="719">
        <f t="shared" si="69"/>
        <v>1621.0173984800178</v>
      </c>
      <c r="P91" s="719">
        <f t="shared" si="69"/>
        <v>1858.6892477836782</v>
      </c>
    </row>
    <row r="92" spans="1:19">
      <c r="A92" s="81"/>
      <c r="B92" s="721" t="s">
        <v>145</v>
      </c>
      <c r="C92" s="719"/>
      <c r="D92" s="669"/>
      <c r="E92" s="669"/>
      <c r="F92" s="669"/>
      <c r="G92" s="723">
        <f>G91/G$94</f>
        <v>-0.29971391417425236</v>
      </c>
      <c r="H92" s="723">
        <f t="shared" ref="H92:P92" si="70">H91/H$94</f>
        <v>0.21447399909709355</v>
      </c>
      <c r="I92" s="723">
        <f t="shared" si="70"/>
        <v>0.44827381579126668</v>
      </c>
      <c r="J92" s="723">
        <f t="shared" si="70"/>
        <v>0.83987845766167379</v>
      </c>
      <c r="K92" s="723">
        <f t="shared" si="70"/>
        <v>1.3377875417607821</v>
      </c>
      <c r="L92" s="723">
        <f t="shared" si="70"/>
        <v>1.5397869490892215</v>
      </c>
      <c r="M92" s="723">
        <f t="shared" si="70"/>
        <v>2.0527978764187411</v>
      </c>
      <c r="N92" s="723">
        <f t="shared" si="70"/>
        <v>2.6244854702589078</v>
      </c>
      <c r="O92" s="723">
        <f t="shared" si="70"/>
        <v>3.2781661218594622</v>
      </c>
      <c r="P92" s="723">
        <f t="shared" si="70"/>
        <v>3.7122147845434221</v>
      </c>
      <c r="S92" s="952"/>
    </row>
    <row r="93" spans="1:19" ht="3.75" customHeight="1">
      <c r="A93" s="81"/>
      <c r="B93" s="721"/>
      <c r="C93" s="719"/>
      <c r="D93" s="719"/>
      <c r="E93" s="719"/>
      <c r="F93" s="719"/>
      <c r="G93" s="725"/>
      <c r="H93" s="725"/>
      <c r="I93" s="725"/>
      <c r="J93" s="725"/>
      <c r="K93" s="725"/>
      <c r="L93" s="725"/>
      <c r="M93" s="725"/>
      <c r="N93" s="725"/>
      <c r="O93" s="725"/>
      <c r="P93" s="725"/>
      <c r="S93" s="952"/>
    </row>
    <row r="94" spans="1:19">
      <c r="A94" s="81"/>
      <c r="B94" s="726" t="s">
        <v>356</v>
      </c>
      <c r="C94" s="719"/>
      <c r="D94" s="719"/>
      <c r="E94" s="719"/>
      <c r="F94" s="719"/>
      <c r="G94" s="719">
        <f>'Quarterly Model'!S147</f>
        <v>384.5</v>
      </c>
      <c r="H94" s="719">
        <f>'Quarterly Model'!X147</f>
        <v>431.18877069897962</v>
      </c>
      <c r="I94" s="719">
        <f>'Quarterly Model'!AC147</f>
        <v>455.14421127082636</v>
      </c>
      <c r="J94" s="719">
        <f>'Quarterly Model'!AH147</f>
        <v>461.31061495443885</v>
      </c>
      <c r="K94" s="719">
        <f>'Quarterly Model'!AM147</f>
        <v>466.97209421710579</v>
      </c>
      <c r="L94" s="719">
        <f t="shared" ref="L94:P94" si="71">K94+(L73/L95)</f>
        <v>473.71912846652776</v>
      </c>
      <c r="M94" s="719">
        <f t="shared" si="71"/>
        <v>480.63457924132194</v>
      </c>
      <c r="N94" s="719">
        <f t="shared" si="71"/>
        <v>487.53057840580544</v>
      </c>
      <c r="O94" s="719">
        <f t="shared" si="71"/>
        <v>494.48909488471378</v>
      </c>
      <c r="P94" s="719">
        <f t="shared" si="71"/>
        <v>500.69550272864524</v>
      </c>
      <c r="S94" s="952"/>
    </row>
    <row r="95" spans="1:19">
      <c r="A95" s="81"/>
      <c r="B95" s="726" t="s">
        <v>357</v>
      </c>
      <c r="C95" s="727"/>
      <c r="D95" s="727"/>
      <c r="E95" s="727"/>
      <c r="F95" s="727"/>
      <c r="G95" s="727">
        <f>AVERAGE('Quarterly Model'!O148:R148)</f>
        <v>13.576893750000002</v>
      </c>
      <c r="H95" s="727">
        <f>AVERAGE('Quarterly Model'!T148:W148)</f>
        <v>23.531969687500002</v>
      </c>
      <c r="I95" s="727">
        <f>AVERAGE('Quarterly Model'!Y148:AB148)</f>
        <v>31.184427832031254</v>
      </c>
      <c r="J95" s="727">
        <f>AVERAGE('Quarterly Model'!Z148:AC148)</f>
        <v>31.932362109375006</v>
      </c>
      <c r="K95" s="727">
        <f>AVERAGE('Quarterly Model'!AA148:AD148)</f>
        <v>33.528980214843756</v>
      </c>
      <c r="L95" s="727">
        <f t="shared" ref="L95:P95" si="72">K95*1.1</f>
        <v>36.881878236328134</v>
      </c>
      <c r="M95" s="727">
        <f t="shared" si="72"/>
        <v>40.570066059960951</v>
      </c>
      <c r="N95" s="727">
        <f t="shared" si="72"/>
        <v>44.627072665957051</v>
      </c>
      <c r="O95" s="727">
        <f t="shared" si="72"/>
        <v>49.089779932552759</v>
      </c>
      <c r="P95" s="727">
        <f t="shared" si="72"/>
        <v>53.998757925808036</v>
      </c>
    </row>
    <row r="96" spans="1:19" ht="3.75" customHeight="1">
      <c r="A96" s="81"/>
      <c r="B96" s="726"/>
      <c r="C96" s="727"/>
      <c r="D96" s="727"/>
      <c r="E96" s="727"/>
      <c r="F96" s="727"/>
      <c r="G96" s="727"/>
      <c r="H96" s="727"/>
      <c r="I96" s="727"/>
      <c r="J96" s="727"/>
      <c r="K96" s="727"/>
      <c r="L96" s="727"/>
      <c r="M96" s="727"/>
      <c r="N96" s="727"/>
      <c r="O96" s="727"/>
      <c r="P96" s="727"/>
    </row>
    <row r="97" spans="1:19" hidden="1">
      <c r="A97" s="81"/>
      <c r="B97" s="728" t="s">
        <v>200</v>
      </c>
      <c r="C97" s="729">
        <f>C86-'Quarterly Model'!C135</f>
        <v>0</v>
      </c>
      <c r="D97" s="729">
        <f>D86-'Quarterly Model'!D135</f>
        <v>0</v>
      </c>
      <c r="E97" s="729">
        <f>E86-'Quarterly Model'!I135</f>
        <v>0</v>
      </c>
      <c r="F97" s="729">
        <f>F86-'Quarterly Model'!N135</f>
        <v>32.199999999999932</v>
      </c>
      <c r="G97" s="729">
        <f>G86-'Quarterly Model'!S135</f>
        <v>48.208000000000197</v>
      </c>
      <c r="H97" s="729">
        <f>H86-'Quarterly Model'!X135</f>
        <v>6.4000000000021373E-2</v>
      </c>
      <c r="I97" s="729"/>
      <c r="J97" s="729"/>
      <c r="K97" s="729"/>
      <c r="L97" s="81"/>
      <c r="M97" s="81"/>
      <c r="N97" s="730"/>
      <c r="O97" s="730"/>
      <c r="P97" s="730"/>
    </row>
    <row r="98" spans="1:19" ht="3.75" customHeight="1">
      <c r="A98" s="249"/>
      <c r="B98" s="731"/>
      <c r="C98" s="732"/>
      <c r="D98" s="732"/>
      <c r="E98" s="732"/>
      <c r="F98" s="732"/>
      <c r="G98" s="733"/>
      <c r="H98" s="733"/>
      <c r="I98" s="733"/>
      <c r="J98" s="733"/>
      <c r="K98" s="733"/>
      <c r="L98" s="733"/>
      <c r="M98" s="733"/>
      <c r="N98" s="733"/>
      <c r="O98" s="733"/>
      <c r="P98" s="733"/>
    </row>
    <row r="99" spans="1:19">
      <c r="A99" s="81"/>
      <c r="B99" s="734" t="s">
        <v>358</v>
      </c>
      <c r="C99" s="706"/>
      <c r="D99" s="706"/>
      <c r="E99" s="706"/>
      <c r="F99" s="706"/>
      <c r="G99" s="706"/>
      <c r="H99" s="706"/>
      <c r="I99" s="706"/>
      <c r="J99" s="706"/>
      <c r="K99" s="706"/>
      <c r="L99" s="706"/>
      <c r="M99" s="706"/>
      <c r="N99" s="706"/>
      <c r="O99" s="706"/>
      <c r="P99" s="706"/>
      <c r="S99" s="973"/>
    </row>
    <row r="100" spans="1:19">
      <c r="A100" s="81"/>
      <c r="B100" s="726" t="s">
        <v>340</v>
      </c>
      <c r="C100" s="669">
        <f t="shared" ref="C100:P101" si="73">+C65</f>
        <v>3.58</v>
      </c>
      <c r="D100" s="669">
        <f t="shared" si="73"/>
        <v>8.2720000000000002</v>
      </c>
      <c r="E100" s="669">
        <f t="shared" si="73"/>
        <v>18.585999999999999</v>
      </c>
      <c r="F100" s="669">
        <f t="shared" si="73"/>
        <v>27.625999999999998</v>
      </c>
      <c r="G100" s="669">
        <f t="shared" si="73"/>
        <v>37.745000000000005</v>
      </c>
      <c r="H100" s="669">
        <f t="shared" si="73"/>
        <v>38.283912815244449</v>
      </c>
      <c r="I100" s="669">
        <f t="shared" si="73"/>
        <v>45.973848097579577</v>
      </c>
      <c r="J100" s="669">
        <f t="shared" si="73"/>
        <v>56.233676139522586</v>
      </c>
      <c r="K100" s="669">
        <f t="shared" si="73"/>
        <v>69.056511463473797</v>
      </c>
      <c r="L100" s="669">
        <f t="shared" si="73"/>
        <v>85.414270117754725</v>
      </c>
      <c r="M100" s="669">
        <f t="shared" si="73"/>
        <v>103.85510406729851</v>
      </c>
      <c r="N100" s="669">
        <f t="shared" si="73"/>
        <v>124.10132893542749</v>
      </c>
      <c r="O100" s="669">
        <f t="shared" si="73"/>
        <v>145.69708226735293</v>
      </c>
      <c r="P100" s="669">
        <f t="shared" si="73"/>
        <v>189.48933827753928</v>
      </c>
    </row>
    <row r="101" spans="1:19">
      <c r="A101" s="81"/>
      <c r="B101" s="735" t="s">
        <v>341</v>
      </c>
      <c r="C101" s="287">
        <f t="shared" si="73"/>
        <v>5.2937436231091123E-2</v>
      </c>
      <c r="D101" s="287">
        <f t="shared" si="73"/>
        <v>5.1653511839344607E-2</v>
      </c>
      <c r="E101" s="287">
        <f t="shared" si="73"/>
        <v>6.7265028410119082E-2</v>
      </c>
      <c r="F101" s="287">
        <f t="shared" si="73"/>
        <v>6.1231772432182037E-2</v>
      </c>
      <c r="G101" s="287">
        <f t="shared" si="73"/>
        <v>5.4972342700016615E-2</v>
      </c>
      <c r="H101" s="287">
        <f t="shared" si="73"/>
        <v>3.957800185071398E-2</v>
      </c>
      <c r="I101" s="287">
        <f t="shared" si="73"/>
        <v>3.4250471526936499E-2</v>
      </c>
      <c r="J101" s="287">
        <f t="shared" si="73"/>
        <v>3.0755008222715218E-2</v>
      </c>
      <c r="K101" s="287">
        <f t="shared" si="73"/>
        <v>2.8258764117866979E-2</v>
      </c>
      <c r="L101" s="287">
        <f t="shared" si="73"/>
        <v>2.7651553899733193E-2</v>
      </c>
      <c r="M101" s="287">
        <f t="shared" si="73"/>
        <v>2.7044343681599407E-2</v>
      </c>
      <c r="N101" s="287">
        <f t="shared" si="73"/>
        <v>2.6437133463465622E-2</v>
      </c>
      <c r="O101" s="287">
        <f t="shared" si="73"/>
        <v>2.5829923245331836E-2</v>
      </c>
      <c r="P101" s="287">
        <f t="shared" si="73"/>
        <v>0.03</v>
      </c>
    </row>
    <row r="102" spans="1:19">
      <c r="A102" s="81"/>
      <c r="B102" s="726" t="s">
        <v>359</v>
      </c>
      <c r="C102" s="668">
        <f>+'Quarterly Model'!C190</f>
        <v>-13.032999999999999</v>
      </c>
      <c r="D102" s="668">
        <f>+'Quarterly Model'!D190</f>
        <v>-47.930999999999997</v>
      </c>
      <c r="E102" s="668">
        <f>+'Quarterly Model'!I190</f>
        <v>-28.794</v>
      </c>
      <c r="F102" s="736">
        <f>+'Quarterly Model'!N190</f>
        <v>-37.432000000000002</v>
      </c>
      <c r="G102" s="736">
        <f>+'Quarterly Model'!S190</f>
        <v>-25.433</v>
      </c>
      <c r="H102" s="736">
        <f>+'Quarterly Model'!X190</f>
        <v>-25.565351765850203</v>
      </c>
      <c r="I102" s="736">
        <f>+'Quarterly Model'!AC190</f>
        <v>-46.979927915731352</v>
      </c>
      <c r="J102" s="736">
        <f>+'Quarterly Model'!AH190</f>
        <v>-63.995387373352152</v>
      </c>
      <c r="K102" s="736">
        <f>+'Quarterly Model'!AM190</f>
        <v>-85.530205466183702</v>
      </c>
      <c r="L102" s="737">
        <f t="shared" ref="L102:P102" si="74">L103*L29</f>
        <v>-108.11325341648377</v>
      </c>
      <c r="M102" s="737">
        <f t="shared" si="74"/>
        <v>-134.40624350697783</v>
      </c>
      <c r="N102" s="737">
        <f t="shared" si="74"/>
        <v>-164.29718141501445</v>
      </c>
      <c r="O102" s="737">
        <f t="shared" si="74"/>
        <v>-197.42210733355353</v>
      </c>
      <c r="P102" s="737">
        <f t="shared" si="74"/>
        <v>-189.48933827753928</v>
      </c>
    </row>
    <row r="103" spans="1:19">
      <c r="A103" s="81"/>
      <c r="B103" s="735" t="s">
        <v>360</v>
      </c>
      <c r="C103" s="287">
        <f>C102/C29</f>
        <v>-0.19271888446922084</v>
      </c>
      <c r="D103" s="287">
        <f>D102/D29</f>
        <v>-0.29929938055749833</v>
      </c>
      <c r="E103" s="287">
        <f t="shared" ref="E103:K103" si="75">E102/E29</f>
        <v>-0.10420904057037388</v>
      </c>
      <c r="F103" s="287">
        <f t="shared" si="75"/>
        <v>-8.2966325406553187E-2</v>
      </c>
      <c r="G103" s="287">
        <f t="shared" si="75"/>
        <v>-3.7040974748695783E-2</v>
      </c>
      <c r="H103" s="287">
        <f t="shared" si="75"/>
        <v>-2.6429522614001714E-2</v>
      </c>
      <c r="I103" s="287">
        <f t="shared" si="75"/>
        <v>-3.500000000000001E-2</v>
      </c>
      <c r="J103" s="287">
        <f t="shared" si="75"/>
        <v>-3.500000000000001E-2</v>
      </c>
      <c r="K103" s="287">
        <f t="shared" si="75"/>
        <v>-3.4999999999999989E-2</v>
      </c>
      <c r="L103" s="664">
        <f t="shared" ref="L103:O103" si="76">K103</f>
        <v>-3.4999999999999989E-2</v>
      </c>
      <c r="M103" s="664">
        <f t="shared" si="76"/>
        <v>-3.4999999999999989E-2</v>
      </c>
      <c r="N103" s="664">
        <f t="shared" si="76"/>
        <v>-3.4999999999999989E-2</v>
      </c>
      <c r="O103" s="664">
        <f t="shared" si="76"/>
        <v>-3.4999999999999989E-2</v>
      </c>
      <c r="P103" s="664">
        <v>-0.03</v>
      </c>
    </row>
    <row r="104" spans="1:19">
      <c r="A104" s="81"/>
      <c r="B104" s="726" t="s">
        <v>361</v>
      </c>
      <c r="C104" s="668">
        <f>SUM('Quarterly Model'!C177:C186)</f>
        <v>18.069999999999997</v>
      </c>
      <c r="D104" s="668">
        <f>SUM('Quarterly Model'!D177:D186)</f>
        <v>3.4759999999999991</v>
      </c>
      <c r="E104" s="668">
        <f>SUM('Quarterly Model'!I177:I186)</f>
        <v>-26.883999999999979</v>
      </c>
      <c r="F104" s="736">
        <f>SUM('Quarterly Model'!N177:N186)</f>
        <v>48.668999999999997</v>
      </c>
      <c r="G104" s="736">
        <f>SUM('Quarterly Model'!S177:S186)</f>
        <v>-33.797000000000061</v>
      </c>
      <c r="H104" s="736">
        <f>SUM('Quarterly Model'!X177:X186)</f>
        <v>-135.56222543805703</v>
      </c>
      <c r="I104" s="736">
        <f>SUM('Quarterly Model'!AC177:AC186)</f>
        <v>-184.98955207341356</v>
      </c>
      <c r="J104" s="736">
        <f>SUM('Quarterly Model'!AH177:AH186)</f>
        <v>-197.77586490998479</v>
      </c>
      <c r="K104" s="736">
        <f>SUM('Quarterly Model'!AM177:AM186)</f>
        <v>-246.31366635203491</v>
      </c>
      <c r="L104" s="737">
        <f t="shared" ref="L104:P104" si="77">+L105*L22</f>
        <v>-304.43633828459122</v>
      </c>
      <c r="M104" s="737">
        <f t="shared" si="77"/>
        <v>-370.15016576645519</v>
      </c>
      <c r="N104" s="737">
        <f t="shared" si="77"/>
        <v>-442.6041763621439</v>
      </c>
      <c r="O104" s="737">
        <f t="shared" si="77"/>
        <v>-520.34074325948484</v>
      </c>
      <c r="P104" s="737">
        <f t="shared" si="77"/>
        <v>-570.16968819994236</v>
      </c>
    </row>
    <row r="105" spans="1:19">
      <c r="A105" s="81"/>
      <c r="B105" s="735" t="s">
        <v>362</v>
      </c>
      <c r="C105" s="698">
        <f t="shared" ref="C105:K105" si="78">+C104/C22</f>
        <v>8.8818327934764962E-2</v>
      </c>
      <c r="D105" s="698">
        <f t="shared" si="78"/>
        <v>6.2921657467964421E-3</v>
      </c>
      <c r="E105" s="698">
        <f t="shared" si="78"/>
        <v>-3.1621092647307877E-2</v>
      </c>
      <c r="F105" s="698">
        <f t="shared" si="78"/>
        <v>3.8409208929239422E-2</v>
      </c>
      <c r="G105" s="698">
        <f t="shared" si="78"/>
        <v>-1.9779121342805562E-2</v>
      </c>
      <c r="H105" s="698">
        <f t="shared" si="78"/>
        <v>-6.1724797382408964E-2</v>
      </c>
      <c r="I105" s="698">
        <f t="shared" si="78"/>
        <v>-6.3354855519192482E-2</v>
      </c>
      <c r="J105" s="698">
        <f t="shared" si="78"/>
        <v>-5.1616088514335336E-2</v>
      </c>
      <c r="K105" s="698">
        <f t="shared" si="78"/>
        <v>-4.985376189163513E-2</v>
      </c>
      <c r="L105" s="702">
        <f>K105+0.0005</f>
        <v>-4.935376189163513E-2</v>
      </c>
      <c r="M105" s="702">
        <f t="shared" ref="M105:P105" si="79">L105+0.0005</f>
        <v>-4.8853761891635129E-2</v>
      </c>
      <c r="N105" s="702">
        <f t="shared" si="79"/>
        <v>-4.8353761891635129E-2</v>
      </c>
      <c r="O105" s="702">
        <f t="shared" si="79"/>
        <v>-4.7853761891635128E-2</v>
      </c>
      <c r="P105" s="702">
        <f t="shared" si="79"/>
        <v>-4.7353761891635128E-2</v>
      </c>
    </row>
    <row r="106" spans="1:19">
      <c r="A106" s="81"/>
      <c r="B106" s="726" t="s">
        <v>363</v>
      </c>
      <c r="C106" s="668">
        <f>SUM('Quarterly Model'!C170:C175)</f>
        <v>12.511000000000001</v>
      </c>
      <c r="D106" s="668">
        <f>SUM('Quarterly Model'!D170:D175)</f>
        <v>17.510000000000002</v>
      </c>
      <c r="E106" s="668">
        <f>SUM('Quarterly Model'!I170:I175)</f>
        <v>16.897000000000002</v>
      </c>
      <c r="F106" s="736">
        <f>SUM('Quarterly Model'!N170:N175)</f>
        <v>48.814000000000007</v>
      </c>
      <c r="G106" s="736">
        <f>SUM('Quarterly Model'!S170:S175)</f>
        <v>42.541000000000004</v>
      </c>
      <c r="H106" s="736">
        <f>SUM('Quarterly Model'!X170:X175)</f>
        <v>76.949255449999995</v>
      </c>
      <c r="I106" s="736">
        <f>SUM('Quarterly Model'!AC170:AC175)</f>
        <v>71.747768830499993</v>
      </c>
      <c r="J106" s="736">
        <f>SUM('Quarterly Model'!AH170:AH175)</f>
        <v>91.837144103039989</v>
      </c>
      <c r="K106" s="736">
        <f>SUM('Quarterly Model'!AM170:AM175)</f>
        <v>115.7148015698304</v>
      </c>
      <c r="L106" s="737">
        <f t="shared" ref="L106:P106" si="80">+L107*L22</f>
        <v>156.80587278851246</v>
      </c>
      <c r="M106" s="737">
        <f t="shared" si="80"/>
        <v>207.75771855148759</v>
      </c>
      <c r="N106" s="737">
        <f t="shared" si="80"/>
        <v>269.3004156760158</v>
      </c>
      <c r="O106" s="737">
        <f t="shared" si="80"/>
        <v>341.6539644459877</v>
      </c>
      <c r="P106" s="737">
        <f t="shared" si="80"/>
        <v>402.40568644515099</v>
      </c>
    </row>
    <row r="107" spans="1:19">
      <c r="A107" s="81"/>
      <c r="B107" s="735" t="s">
        <v>364</v>
      </c>
      <c r="C107" s="698">
        <f t="shared" ref="C107:H107" si="81">+C106/C22</f>
        <v>6.1494526883887367E-2</v>
      </c>
      <c r="D107" s="698">
        <f t="shared" si="81"/>
        <v>3.1696151388494173E-2</v>
      </c>
      <c r="E107" s="698">
        <f t="shared" si="81"/>
        <v>1.9874334268024166E-2</v>
      </c>
      <c r="F107" s="698">
        <f t="shared" si="81"/>
        <v>3.8523641839197306E-2</v>
      </c>
      <c r="G107" s="698">
        <f t="shared" si="81"/>
        <v>2.4896399119575405E-2</v>
      </c>
      <c r="H107" s="698">
        <f t="shared" si="81"/>
        <v>3.5036878348893491E-2</v>
      </c>
      <c r="I107" s="698">
        <f>+I106/I22</f>
        <v>2.4572033810195015E-2</v>
      </c>
      <c r="J107" s="698">
        <f t="shared" ref="J107:K107" si="82">+J106/J22</f>
        <v>2.3967910144565709E-2</v>
      </c>
      <c r="K107" s="698">
        <f t="shared" si="82"/>
        <v>2.3420617500594779E-2</v>
      </c>
      <c r="L107" s="702">
        <f>K107+0.002</f>
        <v>2.542061750059478E-2</v>
      </c>
      <c r="M107" s="702">
        <f>L107+0.002</f>
        <v>2.7420617500594782E-2</v>
      </c>
      <c r="N107" s="702">
        <f t="shared" ref="N107:P107" si="83">M107+0.002</f>
        <v>2.9420617500594784E-2</v>
      </c>
      <c r="O107" s="702">
        <f t="shared" si="83"/>
        <v>3.1420617500594786E-2</v>
      </c>
      <c r="P107" s="702">
        <f t="shared" si="83"/>
        <v>3.3420617500594788E-2</v>
      </c>
    </row>
    <row r="108" spans="1:19">
      <c r="A108" s="81"/>
      <c r="B108" s="726" t="s">
        <v>365</v>
      </c>
      <c r="C108" s="669">
        <f>-C80*(1-C85)</f>
        <v>5.0000000000000001E-3</v>
      </c>
      <c r="D108" s="669">
        <f t="shared" ref="D108:P108" si="84">-D80*(1-D85)</f>
        <v>-1.2059203693017887E-2</v>
      </c>
      <c r="E108" s="669">
        <f t="shared" si="84"/>
        <v>1.0679802820776532</v>
      </c>
      <c r="F108" s="669">
        <f t="shared" si="84"/>
        <v>1.1877434160083147</v>
      </c>
      <c r="G108" s="669">
        <f t="shared" si="84"/>
        <v>-0.24683510476268883</v>
      </c>
      <c r="H108" s="669">
        <f t="shared" si="84"/>
        <v>15.737904824213365</v>
      </c>
      <c r="I108" s="669">
        <f t="shared" si="84"/>
        <v>20.37749999999998</v>
      </c>
      <c r="J108" s="669">
        <f t="shared" si="84"/>
        <v>21.45</v>
      </c>
      <c r="K108" s="669">
        <f t="shared" si="84"/>
        <v>21.45</v>
      </c>
      <c r="L108" s="669">
        <f>-L80*(1-L85)</f>
        <v>15.55125</v>
      </c>
      <c r="M108" s="669">
        <f t="shared" si="84"/>
        <v>15.55125</v>
      </c>
      <c r="N108" s="669">
        <f t="shared" si="84"/>
        <v>15.55125</v>
      </c>
      <c r="O108" s="669">
        <f t="shared" si="84"/>
        <v>15.55125</v>
      </c>
      <c r="P108" s="669">
        <f t="shared" si="84"/>
        <v>15.55125</v>
      </c>
    </row>
    <row r="109" spans="1:19">
      <c r="A109" s="81"/>
      <c r="B109" s="721" t="s">
        <v>366</v>
      </c>
      <c r="C109" s="719">
        <f>+C86+C100+C102+C104+C106+C108</f>
        <v>-64.066000000000003</v>
      </c>
      <c r="D109" s="719">
        <f t="shared" ref="D109:P109" si="85">+D86+D100+D102+D104+D106+D108</f>
        <v>-123.17805920369305</v>
      </c>
      <c r="E109" s="719">
        <f t="shared" si="85"/>
        <v>-173.22001971792241</v>
      </c>
      <c r="F109" s="719">
        <f t="shared" si="85"/>
        <v>-90.952256583991741</v>
      </c>
      <c r="G109" s="719">
        <f t="shared" si="85"/>
        <v>-102.5728351047628</v>
      </c>
      <c r="H109" s="719">
        <f t="shared" si="85"/>
        <v>-97.529392869435995</v>
      </c>
      <c r="I109" s="719">
        <f>+I86+I100+I102+I104+I106+I108</f>
        <v>-71.416090008163906</v>
      </c>
      <c r="J109" s="719">
        <f t="shared" ref="J109:K109" si="86">+J86+J100+J102+J104+J106+J108</f>
        <v>94.199697973274198</v>
      </c>
      <c r="K109" s="719">
        <f t="shared" si="86"/>
        <v>275.56092576633762</v>
      </c>
      <c r="L109" s="719">
        <f t="shared" si="85"/>
        <v>316.6338410527743</v>
      </c>
      <c r="M109" s="719">
        <f t="shared" si="85"/>
        <v>518.18572106943395</v>
      </c>
      <c r="N109" s="719">
        <f t="shared" si="85"/>
        <v>762.04171716110159</v>
      </c>
      <c r="O109" s="719">
        <f t="shared" si="85"/>
        <v>1051.6601655242091</v>
      </c>
      <c r="P109" s="719">
        <f t="shared" si="85"/>
        <v>1357.0484630447058</v>
      </c>
    </row>
    <row r="110" spans="1:19">
      <c r="A110" s="81"/>
      <c r="B110" s="665" t="s">
        <v>26</v>
      </c>
      <c r="C110" s="146"/>
      <c r="D110" s="146"/>
      <c r="E110" s="146">
        <f t="shared" ref="E110:P110" si="87">+E109/D109-1</f>
        <v>0.40625709511689578</v>
      </c>
      <c r="F110" s="146">
        <f t="shared" si="87"/>
        <v>-0.47493218894616451</v>
      </c>
      <c r="G110" s="146">
        <f t="shared" si="87"/>
        <v>0.12776569771020241</v>
      </c>
      <c r="H110" s="146">
        <f t="shared" si="87"/>
        <v>-4.9169375402129512E-2</v>
      </c>
      <c r="I110" s="146">
        <f t="shared" si="87"/>
        <v>-0.26774803054736884</v>
      </c>
      <c r="J110" s="146">
        <f t="shared" si="87"/>
        <v>-2.3190262581234258</v>
      </c>
      <c r="K110" s="146">
        <f t="shared" si="87"/>
        <v>1.925284599580332</v>
      </c>
      <c r="L110" s="146">
        <f t="shared" si="87"/>
        <v>0.14905202968168485</v>
      </c>
      <c r="M110" s="146">
        <f t="shared" si="87"/>
        <v>0.63654560531660409</v>
      </c>
      <c r="N110" s="146">
        <f t="shared" si="87"/>
        <v>0.47059574622858502</v>
      </c>
      <c r="O110" s="146">
        <f t="shared" si="87"/>
        <v>0.38005589699478337</v>
      </c>
      <c r="P110" s="146">
        <f t="shared" si="87"/>
        <v>0.29038686405724357</v>
      </c>
    </row>
    <row r="111" spans="1:19" ht="3.75" customHeight="1">
      <c r="A111" s="81"/>
      <c r="B111" s="721"/>
      <c r="C111" s="738"/>
      <c r="D111" s="738"/>
      <c r="E111" s="738"/>
      <c r="F111" s="738"/>
      <c r="G111" s="738"/>
      <c r="H111" s="738"/>
      <c r="I111" s="738"/>
      <c r="J111" s="738"/>
      <c r="K111" s="738"/>
      <c r="L111" s="738"/>
      <c r="M111" s="738"/>
      <c r="N111" s="738"/>
      <c r="O111" s="738"/>
      <c r="P111" s="738"/>
    </row>
    <row r="112" spans="1:19">
      <c r="A112" s="81"/>
      <c r="B112" s="731" t="s">
        <v>200</v>
      </c>
      <c r="C112" s="739">
        <f>+C100+C104+C106-(SUM('Quarterly Model'!C170:C186)+'Quarterly Model'!C103)</f>
        <v>0</v>
      </c>
      <c r="D112" s="739">
        <f>+D100+D104+D106-(SUM('Quarterly Model'!D170:D186)+'Quarterly Model'!D103)</f>
        <v>0</v>
      </c>
      <c r="E112" s="739">
        <f>+E100+E104+E106-(SUM('Quarterly Model'!I170:I186)+'Quarterly Model'!I103)</f>
        <v>0</v>
      </c>
      <c r="F112" s="739">
        <f>+F100+F104+F106-(SUM('Quarterly Model'!N170:N186)+'Quarterly Model'!N103)</f>
        <v>0</v>
      </c>
      <c r="G112" s="739">
        <f>+G100+G104+G106-(SUM('Quarterly Model'!S170:S186)+'Quarterly Model'!S103)</f>
        <v>0</v>
      </c>
      <c r="H112" s="739">
        <f>+H100+H104+H106-(SUM('Quarterly Model'!X170:X186)+'Quarterly Model'!X103)</f>
        <v>0</v>
      </c>
      <c r="I112" s="739">
        <f>+I100+I104+I106-(SUM('Quarterly Model'!AC170:AC186)+'Quarterly Model'!AC103)</f>
        <v>0</v>
      </c>
      <c r="J112" s="739">
        <f>+J100+J104+J106-(SUM('Quarterly Model'!AH170:AH186)+'Quarterly Model'!AH103)</f>
        <v>0</v>
      </c>
      <c r="K112" s="739">
        <f>+K100+K104+K106-(SUM('Quarterly Model'!AM170:AM186)+'Quarterly Model'!AM103)</f>
        <v>0</v>
      </c>
      <c r="L112" s="81"/>
      <c r="M112" s="81"/>
      <c r="N112" s="739"/>
      <c r="O112" s="739"/>
      <c r="P112" s="739"/>
    </row>
    <row r="113" spans="1:19" ht="3.75" customHeight="1">
      <c r="A113" s="81"/>
      <c r="B113" s="721"/>
      <c r="C113" s="738"/>
      <c r="D113" s="738"/>
      <c r="E113" s="738"/>
      <c r="F113" s="738"/>
      <c r="G113" s="738"/>
      <c r="H113" s="738"/>
      <c r="I113" s="738"/>
      <c r="J113" s="738"/>
      <c r="K113" s="738"/>
      <c r="L113" s="738"/>
      <c r="M113" s="738"/>
      <c r="N113" s="738"/>
      <c r="O113" s="738"/>
      <c r="P113" s="738"/>
    </row>
    <row r="114" spans="1:19">
      <c r="A114" s="81"/>
      <c r="B114" s="726" t="s">
        <v>367</v>
      </c>
      <c r="C114" s="740" t="str">
        <f t="shared" ref="C114:P114" si="88">IF(C$4&lt;$R$3,"",(1+$C$121)^C$3)</f>
        <v/>
      </c>
      <c r="D114" s="740" t="str">
        <f t="shared" si="88"/>
        <v/>
      </c>
      <c r="E114" s="740" t="str">
        <f t="shared" si="88"/>
        <v/>
      </c>
      <c r="F114" s="740" t="str">
        <f t="shared" si="88"/>
        <v/>
      </c>
      <c r="G114" s="740" t="str">
        <f t="shared" si="88"/>
        <v/>
      </c>
      <c r="H114" s="740" t="str">
        <f t="shared" si="88"/>
        <v/>
      </c>
      <c r="I114" s="740">
        <f t="shared" si="88"/>
        <v>1.0108304412039841</v>
      </c>
      <c r="J114" s="740">
        <f t="shared" si="88"/>
        <v>1.0667677392343893</v>
      </c>
      <c r="K114" s="740">
        <f t="shared" si="88"/>
        <v>1.1627768357654844</v>
      </c>
      <c r="L114" s="740">
        <f t="shared" si="88"/>
        <v>1.2674267509843782</v>
      </c>
      <c r="M114" s="740">
        <f t="shared" si="88"/>
        <v>1.3814951585729724</v>
      </c>
      <c r="N114" s="740">
        <f t="shared" si="88"/>
        <v>1.5058297228445399</v>
      </c>
      <c r="O114" s="740">
        <f t="shared" si="88"/>
        <v>1.6413543979005487</v>
      </c>
      <c r="P114" s="740">
        <f t="shared" si="88"/>
        <v>1.789076293711598</v>
      </c>
    </row>
    <row r="115" spans="1:19">
      <c r="A115" s="81"/>
      <c r="B115" s="741" t="s">
        <v>368</v>
      </c>
      <c r="C115" s="742" t="str">
        <f>IF(C$4&lt;$R$3,"",IF(C$4=$R$3,(4-$R$4)/4*C109/C114,C109/C114))</f>
        <v/>
      </c>
      <c r="D115" s="742" t="str">
        <f>IF(D$4&lt;$R$3,"",IF(D$4=$R$3,(4-$R$4)/4*D109/D114,D109/D114))</f>
        <v/>
      </c>
      <c r="E115" s="742" t="str">
        <f t="shared" ref="E115:P115" si="89">IF(E$4&lt;$R$3,"",IF(E$4=$R$3,(4-$R$4)/4*E109/E114,E109/E114))</f>
        <v/>
      </c>
      <c r="F115" s="742" t="str">
        <f t="shared" si="89"/>
        <v/>
      </c>
      <c r="G115" s="742" t="str">
        <f t="shared" si="89"/>
        <v/>
      </c>
      <c r="H115" s="742" t="str">
        <f t="shared" si="89"/>
        <v/>
      </c>
      <c r="I115" s="742">
        <f>IF(I$4&lt;$R$3,"",IF(I$4=$R$3,(4-$R$4)/4*I109/I114,I109/I114))</f>
        <v>-17.662727371739351</v>
      </c>
      <c r="J115" s="742">
        <f t="shared" ref="J115:K115" si="90">IF(J$4&lt;$R$3,"",IF(J$4=$R$3,(4-$R$4)/4*J109/J114,J109/J114))</f>
        <v>88.303849571679564</v>
      </c>
      <c r="K115" s="742">
        <f t="shared" si="90"/>
        <v>236.98522131714907</v>
      </c>
      <c r="L115" s="742">
        <f t="shared" si="89"/>
        <v>249.82417390737007</v>
      </c>
      <c r="M115" s="742">
        <f t="shared" si="89"/>
        <v>375.09050817427288</v>
      </c>
      <c r="N115" s="742">
        <f t="shared" si="89"/>
        <v>506.061014469545</v>
      </c>
      <c r="O115" s="742">
        <f t="shared" si="89"/>
        <v>640.72705253014487</v>
      </c>
      <c r="P115" s="742">
        <f t="shared" si="89"/>
        <v>758.5190569091875</v>
      </c>
    </row>
    <row r="116" spans="1:19">
      <c r="A116" s="81"/>
      <c r="B116" s="726"/>
      <c r="C116" s="669"/>
      <c r="D116" s="669"/>
      <c r="E116" s="669"/>
      <c r="F116" s="669"/>
      <c r="G116" s="669"/>
      <c r="H116" s="669"/>
      <c r="I116" s="669"/>
      <c r="J116" s="669"/>
      <c r="K116" s="669"/>
      <c r="L116" s="669"/>
      <c r="M116" s="669"/>
      <c r="N116" s="669"/>
      <c r="O116" s="669"/>
      <c r="P116" s="669"/>
    </row>
    <row r="117" spans="1:19">
      <c r="A117" s="81"/>
      <c r="B117" s="741" t="s">
        <v>369</v>
      </c>
      <c r="C117" s="743"/>
      <c r="D117" s="743"/>
      <c r="E117" s="743"/>
      <c r="F117" s="743"/>
      <c r="G117" s="743"/>
      <c r="H117" s="743"/>
      <c r="I117" s="743"/>
      <c r="J117" s="743"/>
      <c r="K117" s="743"/>
      <c r="L117" s="744"/>
      <c r="M117" s="744"/>
      <c r="N117" s="744"/>
      <c r="O117" s="744"/>
      <c r="P117" s="745">
        <f>((P109*(1+C126)/(C121-C126))+(P109*C130/2*(C131-C126)/(C121-C126)))</f>
        <v>26688.619773212551</v>
      </c>
    </row>
    <row r="118" spans="1:19">
      <c r="A118" s="81"/>
      <c r="B118" s="81"/>
      <c r="C118" s="81"/>
      <c r="D118" s="746"/>
      <c r="E118" s="746"/>
      <c r="F118" s="746"/>
      <c r="G118" s="746"/>
      <c r="H118" s="746"/>
      <c r="I118" s="746"/>
      <c r="J118" s="746"/>
      <c r="K118" s="81"/>
      <c r="L118" s="81"/>
      <c r="M118" s="81"/>
      <c r="N118" s="747"/>
      <c r="O118" s="747"/>
      <c r="P118" s="747"/>
      <c r="Q118" s="747"/>
      <c r="R118" s="747"/>
      <c r="S118" s="81"/>
    </row>
    <row r="119" spans="1:19">
      <c r="A119" s="81"/>
      <c r="B119" s="81"/>
      <c r="C119" s="81"/>
      <c r="D119" s="746"/>
      <c r="E119" s="746"/>
      <c r="F119" s="746"/>
      <c r="G119" s="746"/>
      <c r="H119" s="746"/>
      <c r="I119" s="746"/>
      <c r="J119" s="746"/>
      <c r="K119" s="81"/>
      <c r="L119" s="81"/>
      <c r="M119" s="81"/>
      <c r="N119" s="747"/>
      <c r="O119" s="747"/>
      <c r="P119" s="747"/>
      <c r="Q119" s="747"/>
      <c r="R119" s="747"/>
      <c r="S119" s="81"/>
    </row>
    <row r="120" spans="1:19">
      <c r="A120" s="81"/>
      <c r="B120" s="748" t="s">
        <v>370</v>
      </c>
      <c r="C120" s="749"/>
      <c r="D120" s="81"/>
      <c r="E120" s="750" t="s">
        <v>371</v>
      </c>
      <c r="F120" s="751"/>
      <c r="G120" s="751"/>
      <c r="H120" s="751"/>
      <c r="I120" s="752"/>
      <c r="J120" s="81"/>
      <c r="K120" s="748" t="s">
        <v>372</v>
      </c>
      <c r="L120" s="753"/>
      <c r="M120" s="754"/>
      <c r="N120" s="754"/>
      <c r="O120" s="754"/>
      <c r="P120" s="754"/>
      <c r="Q120" s="754"/>
      <c r="R120" s="755"/>
      <c r="S120" s="81"/>
    </row>
    <row r="121" spans="1:19">
      <c r="A121" s="81"/>
      <c r="B121" s="756" t="s">
        <v>373</v>
      </c>
      <c r="C121" s="757">
        <v>0.09</v>
      </c>
      <c r="D121" s="81"/>
      <c r="E121" s="971" t="s">
        <v>451</v>
      </c>
      <c r="F121" s="759"/>
      <c r="G121" s="759"/>
      <c r="H121" s="759"/>
      <c r="I121" s="760">
        <f>SUM(I115:K115)</f>
        <v>307.62634351708925</v>
      </c>
      <c r="J121" s="81"/>
      <c r="K121" s="761"/>
      <c r="L121" s="762"/>
      <c r="M121" s="763"/>
      <c r="N121" s="763"/>
      <c r="O121" s="763"/>
      <c r="P121" s="763"/>
      <c r="Q121" s="763"/>
      <c r="R121" s="764"/>
      <c r="S121" s="81"/>
    </row>
    <row r="122" spans="1:19">
      <c r="A122" s="81"/>
      <c r="B122" s="972" t="s">
        <v>453</v>
      </c>
      <c r="C122" s="757">
        <f>(G29/C29)^0.25-1</f>
        <v>0.78504334224522632</v>
      </c>
      <c r="D122" s="81"/>
      <c r="E122" s="971" t="s">
        <v>452</v>
      </c>
      <c r="F122" s="759"/>
      <c r="G122" s="759"/>
      <c r="H122" s="759"/>
      <c r="I122" s="760">
        <f>SUM(L115:P115)</f>
        <v>2530.2218059905204</v>
      </c>
      <c r="J122" s="81"/>
      <c r="K122" s="756"/>
      <c r="L122" s="762"/>
      <c r="M122" s="985" t="s">
        <v>374</v>
      </c>
      <c r="N122" s="985"/>
      <c r="O122" s="986"/>
      <c r="P122" s="985"/>
      <c r="Q122" s="985"/>
      <c r="R122" s="765"/>
      <c r="S122" s="81"/>
    </row>
    <row r="123" spans="1:19">
      <c r="A123" s="81"/>
      <c r="B123" s="972" t="s">
        <v>454</v>
      </c>
      <c r="C123" s="757">
        <f>(P29/G29)^0.1-1</f>
        <v>0.24846057969400093</v>
      </c>
      <c r="D123" s="81"/>
      <c r="E123" s="758" t="s">
        <v>375</v>
      </c>
      <c r="F123" s="759"/>
      <c r="G123" s="759"/>
      <c r="H123" s="759"/>
      <c r="I123" s="760">
        <f>P117/(1+C121)^P3</f>
        <v>14917.541452547355</v>
      </c>
      <c r="J123" s="81"/>
      <c r="K123" s="756"/>
      <c r="L123" s="766">
        <f>I129</f>
        <v>39.519982733416384</v>
      </c>
      <c r="M123" s="767">
        <f>N123-0.01</f>
        <v>7.0000000000000007E-2</v>
      </c>
      <c r="N123" s="767">
        <f>O123-0.01</f>
        <v>0.08</v>
      </c>
      <c r="O123" s="768">
        <v>0.09</v>
      </c>
      <c r="P123" s="767">
        <f>O123+0.01</f>
        <v>9.9999999999999992E-2</v>
      </c>
      <c r="Q123" s="767">
        <f>P123+0.01</f>
        <v>0.10999999999999999</v>
      </c>
      <c r="R123" s="769"/>
      <c r="S123" s="81"/>
    </row>
    <row r="124" spans="1:19">
      <c r="A124" s="81"/>
      <c r="B124" s="756" t="s">
        <v>376</v>
      </c>
      <c r="C124" s="770">
        <f>P117/P109</f>
        <v>19.666666666666668</v>
      </c>
      <c r="D124" s="81"/>
      <c r="E124" s="771" t="s">
        <v>377</v>
      </c>
      <c r="F124" s="772"/>
      <c r="G124" s="773"/>
      <c r="H124" s="773"/>
      <c r="I124" s="774">
        <f>SUM(I121:I123)</f>
        <v>17755.389602054966</v>
      </c>
      <c r="J124" s="81"/>
      <c r="K124" s="756"/>
      <c r="L124" s="775">
        <f>L125-0.005</f>
        <v>1.9999999999999997E-2</v>
      </c>
      <c r="M124" s="776">
        <f t="dataTable" ref="M124:Q128" dt2D="1" dtr="0" r1="C121" r2="C126" ca="1"/>
        <v>53.387566676716631</v>
      </c>
      <c r="N124" s="777">
        <v>43.085823381767405</v>
      </c>
      <c r="O124" s="778">
        <v>35.796871656540304</v>
      </c>
      <c r="P124" s="777">
        <v>30.386921958844741</v>
      </c>
      <c r="Q124" s="779">
        <v>26.226360639226257</v>
      </c>
      <c r="R124" s="769"/>
      <c r="S124" s="81"/>
    </row>
    <row r="125" spans="1:19">
      <c r="A125" s="81"/>
      <c r="B125" s="756" t="s">
        <v>378</v>
      </c>
      <c r="C125" s="770">
        <f>+P117/P76</f>
        <v>10.196726839880165</v>
      </c>
      <c r="D125" s="81"/>
      <c r="E125" s="780" t="s">
        <v>379</v>
      </c>
      <c r="F125" s="759"/>
      <c r="G125" s="759"/>
      <c r="H125" s="759"/>
      <c r="I125" s="781">
        <v>354.23700000000002</v>
      </c>
      <c r="J125" s="81"/>
      <c r="K125" s="782" t="s">
        <v>380</v>
      </c>
      <c r="L125" s="783">
        <f>L126-0.005</f>
        <v>2.4999999999999998E-2</v>
      </c>
      <c r="M125" s="784">
        <v>57.660276998733309</v>
      </c>
      <c r="N125" s="778">
        <v>45.714445039707009</v>
      </c>
      <c r="O125" s="778">
        <v>37.515230615098488</v>
      </c>
      <c r="P125" s="778">
        <v>31.559973055366314</v>
      </c>
      <c r="Q125" s="785">
        <v>27.053413379344107</v>
      </c>
      <c r="R125" s="769"/>
      <c r="S125" s="81"/>
    </row>
    <row r="126" spans="1:19">
      <c r="A126" s="81"/>
      <c r="B126" s="756" t="s">
        <v>381</v>
      </c>
      <c r="C126" s="757">
        <f>CHOOSE(_Switch,C127,C128,C129)</f>
        <v>0.03</v>
      </c>
      <c r="D126" s="81"/>
      <c r="E126" s="780" t="s">
        <v>382</v>
      </c>
      <c r="F126" s="759"/>
      <c r="G126" s="759"/>
      <c r="H126" s="759"/>
      <c r="I126" s="786">
        <v>618.88996083132167</v>
      </c>
      <c r="J126" s="81"/>
      <c r="K126" s="782" t="s">
        <v>383</v>
      </c>
      <c r="L126" s="783">
        <f>C128</f>
        <v>0.03</v>
      </c>
      <c r="M126" s="784">
        <v>63.001164901254171</v>
      </c>
      <c r="N126" s="778">
        <v>48.868791029234536</v>
      </c>
      <c r="O126" s="787">
        <v>39.519982733416384</v>
      </c>
      <c r="P126" s="778">
        <v>32.900602879962406</v>
      </c>
      <c r="Q126" s="785">
        <v>27.98384771197669</v>
      </c>
      <c r="R126" s="769"/>
      <c r="S126" s="81"/>
    </row>
    <row r="127" spans="1:19">
      <c r="A127" s="81"/>
      <c r="B127" s="788" t="s">
        <v>96</v>
      </c>
      <c r="C127" s="789">
        <v>0.03</v>
      </c>
      <c r="D127" s="81"/>
      <c r="E127" s="771" t="s">
        <v>384</v>
      </c>
      <c r="F127" s="773"/>
      <c r="G127" s="773"/>
      <c r="H127" s="773"/>
      <c r="I127" s="774">
        <f>I124-I125+I126</f>
        <v>18020.042562886287</v>
      </c>
      <c r="J127" s="81"/>
      <c r="K127" s="782" t="s">
        <v>385</v>
      </c>
      <c r="L127" s="783">
        <f>L126+0.005</f>
        <v>3.4999999999999996E-2</v>
      </c>
      <c r="M127" s="784">
        <v>69.868020775923839</v>
      </c>
      <c r="N127" s="778">
        <v>52.724102794212605</v>
      </c>
      <c r="O127" s="778">
        <v>41.889235236882961</v>
      </c>
      <c r="P127" s="778">
        <v>34.447483446804036</v>
      </c>
      <c r="Q127" s="785">
        <v>29.038339955626952</v>
      </c>
      <c r="R127" s="769"/>
      <c r="S127" s="81"/>
    </row>
    <row r="128" spans="1:19">
      <c r="A128" s="81"/>
      <c r="B128" s="788" t="s">
        <v>97</v>
      </c>
      <c r="C128" s="789">
        <v>0.03</v>
      </c>
      <c r="D128" s="81"/>
      <c r="E128" s="780" t="s">
        <v>386</v>
      </c>
      <c r="F128" s="759"/>
      <c r="G128" s="759"/>
      <c r="H128" s="759"/>
      <c r="I128" s="643">
        <v>455.97293613312542</v>
      </c>
      <c r="J128" s="81"/>
      <c r="K128" s="756"/>
      <c r="L128" s="790">
        <f>L127+0.005</f>
        <v>3.9999999999999994E-2</v>
      </c>
      <c r="M128" s="791">
        <v>79.023828608816729</v>
      </c>
      <c r="N128" s="792">
        <v>57.543242500435213</v>
      </c>
      <c r="O128" s="792">
        <v>44.732338241042868</v>
      </c>
      <c r="P128" s="792">
        <v>36.252177441452623</v>
      </c>
      <c r="Q128" s="793">
        <v>30.243473948370106</v>
      </c>
      <c r="R128" s="769"/>
      <c r="S128" s="81"/>
    </row>
    <row r="129" spans="1:19">
      <c r="A129" s="81"/>
      <c r="B129" s="794" t="s">
        <v>98</v>
      </c>
      <c r="C129" s="795">
        <v>2.5000000000000001E-2</v>
      </c>
      <c r="D129" s="81"/>
      <c r="E129" s="796" t="s">
        <v>387</v>
      </c>
      <c r="F129" s="797"/>
      <c r="G129" s="797"/>
      <c r="H129" s="797"/>
      <c r="I129" s="798">
        <f>+I127/I128</f>
        <v>39.519982733416384</v>
      </c>
      <c r="J129" s="81"/>
      <c r="K129" s="799"/>
      <c r="L129" s="800" t="str">
        <f>IF(O123&lt;&gt;C121,"**ERROR - WACC in cell C51 needs to be copied and pasted into cell O52 above**","")</f>
        <v/>
      </c>
      <c r="M129" s="800"/>
      <c r="N129" s="800"/>
      <c r="O129" s="801"/>
      <c r="P129" s="800"/>
      <c r="Q129" s="800"/>
      <c r="R129" s="802"/>
      <c r="S129" s="81"/>
    </row>
    <row r="130" spans="1:19">
      <c r="A130" s="81"/>
      <c r="B130" s="803" t="s">
        <v>388</v>
      </c>
      <c r="C130" s="804">
        <v>10</v>
      </c>
      <c r="D130" s="81"/>
      <c r="E130" s="81"/>
      <c r="F130" s="81"/>
      <c r="G130" s="81"/>
      <c r="H130" s="81"/>
      <c r="I130" s="81"/>
      <c r="J130" s="81"/>
      <c r="K130" s="81"/>
      <c r="L130" s="81"/>
      <c r="M130" s="81"/>
      <c r="N130" s="81"/>
      <c r="O130" s="81"/>
      <c r="P130" s="81"/>
      <c r="Q130" s="81"/>
      <c r="R130" s="81"/>
      <c r="S130" s="81"/>
    </row>
    <row r="131" spans="1:19">
      <c r="A131" s="81"/>
      <c r="B131" s="700" t="s">
        <v>389</v>
      </c>
      <c r="C131" s="805">
        <v>0.06</v>
      </c>
      <c r="D131" s="81"/>
      <c r="E131" s="81"/>
      <c r="F131" s="81"/>
      <c r="G131" s="81"/>
      <c r="H131" s="81"/>
      <c r="I131" s="81"/>
      <c r="J131" s="81"/>
      <c r="K131" s="81"/>
      <c r="L131" s="81"/>
      <c r="M131" s="81"/>
      <c r="N131" s="81"/>
      <c r="O131" s="81"/>
      <c r="P131" s="81"/>
      <c r="Q131" s="81"/>
      <c r="R131" s="81"/>
      <c r="S131" s="81"/>
    </row>
    <row r="132" spans="1:19">
      <c r="A132" s="81"/>
      <c r="B132" s="81"/>
      <c r="C132" s="81"/>
      <c r="D132" s="81"/>
      <c r="E132" s="81"/>
      <c r="F132" s="81"/>
      <c r="G132" s="81"/>
      <c r="H132" s="81"/>
      <c r="I132" s="81"/>
      <c r="J132" s="81"/>
      <c r="K132" s="81"/>
      <c r="L132" s="81"/>
      <c r="M132" s="81"/>
      <c r="N132" s="81"/>
      <c r="O132" s="81"/>
      <c r="P132" s="81"/>
      <c r="Q132" s="81"/>
      <c r="R132" s="81"/>
      <c r="S132" s="81"/>
    </row>
    <row r="133" spans="1:19">
      <c r="A133" s="81"/>
      <c r="B133" s="81"/>
      <c r="C133" s="81"/>
      <c r="D133" s="81"/>
      <c r="E133" s="81"/>
      <c r="F133" s="81"/>
      <c r="G133" s="81"/>
      <c r="H133" s="81"/>
      <c r="I133" s="81"/>
      <c r="J133" s="81"/>
      <c r="K133" s="81"/>
      <c r="L133" s="81"/>
      <c r="M133" s="81"/>
      <c r="N133" s="81"/>
      <c r="O133" s="81"/>
      <c r="P133" s="746"/>
      <c r="Q133" s="81"/>
      <c r="R133" s="81"/>
      <c r="S133" s="81"/>
    </row>
    <row r="134" spans="1:19">
      <c r="A134" s="81"/>
      <c r="B134" s="748" t="s">
        <v>390</v>
      </c>
      <c r="C134" s="751"/>
      <c r="D134" s="751"/>
      <c r="E134" s="751"/>
      <c r="F134" s="806"/>
      <c r="G134" s="81"/>
      <c r="H134" s="81"/>
      <c r="I134" s="81"/>
      <c r="J134" s="81"/>
      <c r="K134" s="81"/>
      <c r="L134" s="81"/>
      <c r="M134" s="81"/>
      <c r="N134" s="81"/>
      <c r="O134" s="81"/>
      <c r="P134" s="81"/>
      <c r="Q134" s="81"/>
      <c r="R134" s="81"/>
      <c r="S134" s="81"/>
    </row>
    <row r="135" spans="1:19">
      <c r="A135" s="81"/>
      <c r="B135" s="807"/>
      <c r="C135" s="759"/>
      <c r="D135" s="759"/>
      <c r="E135" s="759"/>
      <c r="F135" s="808"/>
      <c r="G135" s="81"/>
      <c r="H135" s="81"/>
      <c r="I135" s="81"/>
      <c r="J135" s="81"/>
      <c r="K135" s="81"/>
      <c r="L135" s="81"/>
      <c r="M135" s="81"/>
      <c r="N135" s="81"/>
      <c r="O135" s="81"/>
      <c r="P135" s="81"/>
      <c r="Q135" s="81"/>
      <c r="R135" s="81"/>
      <c r="S135" s="81"/>
    </row>
    <row r="136" spans="1:19">
      <c r="A136" s="81"/>
      <c r="B136" s="807" t="s">
        <v>391</v>
      </c>
      <c r="C136" s="759"/>
      <c r="D136" s="759"/>
      <c r="E136" s="759"/>
      <c r="F136" s="809"/>
      <c r="G136" s="81"/>
      <c r="H136" s="81"/>
      <c r="I136" s="81"/>
      <c r="J136" s="81"/>
      <c r="K136" s="81"/>
      <c r="L136" s="810"/>
      <c r="M136" s="81"/>
      <c r="N136" s="81"/>
      <c r="O136" s="81"/>
      <c r="P136" s="81"/>
      <c r="Q136" s="81"/>
      <c r="R136" s="81"/>
      <c r="S136" s="81"/>
    </row>
    <row r="137" spans="1:19">
      <c r="A137" s="81"/>
      <c r="B137" s="756"/>
      <c r="C137" s="759"/>
      <c r="D137" s="759"/>
      <c r="E137" s="759"/>
      <c r="F137" s="809"/>
      <c r="G137" s="81"/>
      <c r="H137" s="81"/>
      <c r="I137" s="81"/>
      <c r="J137" s="811"/>
      <c r="K137" s="81"/>
      <c r="L137" s="81"/>
      <c r="M137" s="81"/>
      <c r="N137" s="81"/>
      <c r="O137" s="81"/>
      <c r="P137" s="81"/>
      <c r="Q137" s="81"/>
      <c r="R137" s="81"/>
      <c r="S137" s="81"/>
    </row>
    <row r="138" spans="1:19">
      <c r="A138" s="81"/>
      <c r="B138" s="761" t="s">
        <v>392</v>
      </c>
      <c r="C138" s="759"/>
      <c r="D138" s="759"/>
      <c r="E138" s="759"/>
      <c r="F138" s="809"/>
      <c r="G138" s="81"/>
      <c r="H138" s="81"/>
      <c r="I138" s="81"/>
      <c r="J138" s="81"/>
      <c r="K138" s="81"/>
      <c r="L138" s="81"/>
      <c r="M138" s="81"/>
      <c r="N138" s="81"/>
      <c r="O138" s="81"/>
      <c r="P138" s="81"/>
      <c r="Q138" s="81"/>
      <c r="R138" s="81"/>
      <c r="S138" s="81"/>
    </row>
    <row r="139" spans="1:19">
      <c r="A139" s="81"/>
      <c r="B139" s="756"/>
      <c r="C139" s="759"/>
      <c r="D139" s="759"/>
      <c r="E139" s="759"/>
      <c r="F139" s="812" t="s">
        <v>393</v>
      </c>
      <c r="G139" s="813"/>
      <c r="H139" s="81"/>
      <c r="I139" s="81"/>
      <c r="J139" s="81"/>
      <c r="K139" s="81"/>
      <c r="L139" s="746"/>
      <c r="M139" s="81"/>
      <c r="N139" s="81"/>
      <c r="O139" s="81"/>
      <c r="P139" s="81"/>
      <c r="Q139" s="81"/>
      <c r="R139" s="81"/>
      <c r="S139" s="81"/>
    </row>
    <row r="140" spans="1:19">
      <c r="A140" s="81"/>
      <c r="B140" s="756"/>
      <c r="C140" s="495" t="s">
        <v>394</v>
      </c>
      <c r="D140" s="814" t="s">
        <v>395</v>
      </c>
      <c r="E140" s="814" t="s">
        <v>396</v>
      </c>
      <c r="F140" s="812" t="s">
        <v>396</v>
      </c>
      <c r="G140" s="81"/>
      <c r="H140" s="81"/>
      <c r="I140" s="81"/>
      <c r="J140" s="81"/>
      <c r="K140" s="81"/>
      <c r="L140" s="746"/>
      <c r="M140" s="81"/>
      <c r="N140" s="81"/>
      <c r="O140" s="81"/>
      <c r="P140" s="81"/>
      <c r="Q140" s="81"/>
      <c r="R140" s="81"/>
      <c r="S140" s="81"/>
    </row>
    <row r="141" spans="1:19">
      <c r="A141" s="81"/>
      <c r="B141" s="815" t="s">
        <v>397</v>
      </c>
      <c r="C141" s="816">
        <v>5000</v>
      </c>
      <c r="D141" s="817">
        <f>+C141/C143</f>
        <v>1</v>
      </c>
      <c r="E141" s="818">
        <f>+C157</f>
        <v>9.1499999999999998E-2</v>
      </c>
      <c r="F141" s="819">
        <f>E141*D141</f>
        <v>9.1499999999999998E-2</v>
      </c>
      <c r="G141" s="81"/>
      <c r="H141" s="81"/>
      <c r="I141" s="81"/>
      <c r="J141" s="81"/>
      <c r="K141" s="81"/>
      <c r="L141" s="81"/>
      <c r="M141" s="81"/>
      <c r="N141" s="81"/>
      <c r="O141" s="81"/>
      <c r="P141" s="81"/>
      <c r="Q141" s="81"/>
      <c r="R141" s="81"/>
      <c r="S141" s="81"/>
    </row>
    <row r="142" spans="1:19">
      <c r="A142" s="81"/>
      <c r="B142" s="820" t="s">
        <v>214</v>
      </c>
      <c r="C142" s="821">
        <f>'Quarterly Model'!Q257</f>
        <v>0</v>
      </c>
      <c r="D142" s="822">
        <f>+C142/C143</f>
        <v>0</v>
      </c>
      <c r="E142" s="823"/>
      <c r="F142" s="824">
        <f>(C142/$C$143)*E142</f>
        <v>0</v>
      </c>
      <c r="G142" s="81"/>
      <c r="H142" s="81"/>
      <c r="I142" s="81"/>
      <c r="J142" s="81"/>
      <c r="K142" s="81"/>
      <c r="L142" s="81"/>
      <c r="M142" s="81"/>
      <c r="N142" s="81"/>
      <c r="O142" s="81"/>
      <c r="P142" s="81"/>
      <c r="Q142" s="81"/>
      <c r="R142" s="81"/>
      <c r="S142" s="81"/>
    </row>
    <row r="143" spans="1:19">
      <c r="A143" s="81"/>
      <c r="B143" s="825" t="s">
        <v>373</v>
      </c>
      <c r="C143" s="826">
        <f>+C141+C142</f>
        <v>5000</v>
      </c>
      <c r="D143" s="827">
        <f>+D141+D142</f>
        <v>1</v>
      </c>
      <c r="E143" s="828"/>
      <c r="F143" s="829">
        <f>F142+F141</f>
        <v>9.1499999999999998E-2</v>
      </c>
      <c r="G143" s="81"/>
      <c r="H143" s="81"/>
      <c r="I143" s="81"/>
      <c r="J143" s="81"/>
      <c r="K143" s="81"/>
      <c r="L143" s="81"/>
      <c r="M143" s="81"/>
      <c r="N143" s="81"/>
      <c r="O143" s="81"/>
      <c r="P143" s="81"/>
      <c r="Q143" s="81"/>
      <c r="R143" s="81"/>
      <c r="S143" s="81"/>
    </row>
    <row r="144" spans="1:19">
      <c r="A144" s="81"/>
      <c r="B144" s="756"/>
      <c r="C144" s="759"/>
      <c r="D144" s="759"/>
      <c r="E144" s="759"/>
      <c r="F144" s="809"/>
      <c r="G144" s="81"/>
      <c r="H144" s="81"/>
      <c r="I144" s="81"/>
      <c r="J144" s="81"/>
      <c r="K144" s="81"/>
      <c r="L144" s="81"/>
      <c r="M144" s="81"/>
      <c r="N144" s="81"/>
      <c r="O144" s="81"/>
      <c r="P144" s="81"/>
      <c r="Q144" s="81"/>
      <c r="R144" s="81"/>
      <c r="S144" s="81"/>
    </row>
    <row r="145" spans="1:19">
      <c r="A145" s="81"/>
      <c r="B145" s="756"/>
      <c r="C145" s="759"/>
      <c r="D145" s="759"/>
      <c r="E145" s="759"/>
      <c r="F145" s="809"/>
      <c r="G145" s="81"/>
      <c r="H145" s="81"/>
      <c r="I145" s="81"/>
      <c r="J145" s="81"/>
      <c r="K145" s="81"/>
      <c r="L145" s="81"/>
      <c r="M145" s="81"/>
      <c r="N145" s="81"/>
      <c r="O145" s="81"/>
      <c r="P145" s="81"/>
      <c r="Q145" s="81"/>
      <c r="R145" s="81"/>
      <c r="S145" s="81"/>
    </row>
    <row r="146" spans="1:19">
      <c r="A146" s="81"/>
      <c r="B146" s="761" t="s">
        <v>398</v>
      </c>
      <c r="C146" s="759"/>
      <c r="D146" s="759"/>
      <c r="E146" s="759"/>
      <c r="F146" s="809"/>
      <c r="G146" s="81"/>
      <c r="H146" s="81"/>
      <c r="I146" s="81"/>
      <c r="J146" s="81"/>
      <c r="K146" s="81"/>
      <c r="L146" s="81"/>
      <c r="M146" s="81"/>
      <c r="N146" s="81"/>
      <c r="O146" s="81"/>
      <c r="P146" s="81"/>
      <c r="Q146" s="81"/>
      <c r="R146" s="81"/>
      <c r="S146" s="81"/>
    </row>
    <row r="147" spans="1:19">
      <c r="A147" s="81"/>
      <c r="B147" s="756" t="s">
        <v>399</v>
      </c>
      <c r="C147" s="759"/>
      <c r="D147" s="759"/>
      <c r="E147" s="759"/>
      <c r="F147" s="809"/>
      <c r="G147" s="81"/>
      <c r="H147" s="81"/>
      <c r="I147" s="81"/>
      <c r="J147" s="81"/>
      <c r="K147" s="81"/>
      <c r="L147" s="81"/>
      <c r="M147" s="81"/>
      <c r="N147" s="81"/>
      <c r="O147" s="81"/>
      <c r="P147" s="81"/>
      <c r="Q147" s="81"/>
      <c r="R147" s="81"/>
      <c r="S147" s="81"/>
    </row>
    <row r="148" spans="1:19">
      <c r="A148" s="81"/>
      <c r="B148" s="756"/>
      <c r="C148" s="830"/>
      <c r="D148" s="759"/>
      <c r="E148" s="759"/>
      <c r="F148" s="809"/>
      <c r="G148" s="81"/>
      <c r="H148" s="81"/>
      <c r="I148" s="81"/>
      <c r="J148" s="81"/>
      <c r="K148" s="81"/>
      <c r="L148" s="81"/>
      <c r="M148" s="81"/>
      <c r="N148" s="81"/>
      <c r="O148" s="81"/>
      <c r="P148" s="81"/>
      <c r="Q148" s="81"/>
      <c r="R148" s="81"/>
      <c r="S148" s="81"/>
    </row>
    <row r="149" spans="1:19">
      <c r="A149" s="81"/>
      <c r="B149" s="825" t="s">
        <v>400</v>
      </c>
      <c r="C149" s="831">
        <v>2.2499999999999999E-2</v>
      </c>
      <c r="D149" s="832" t="s">
        <v>401</v>
      </c>
      <c r="E149" s="759"/>
      <c r="F149" s="809"/>
      <c r="G149" s="81" t="s">
        <v>139</v>
      </c>
      <c r="H149" s="81"/>
      <c r="I149" s="81"/>
      <c r="J149" s="81"/>
      <c r="K149" s="81"/>
      <c r="L149" s="81"/>
      <c r="M149" s="81"/>
      <c r="N149" s="81"/>
      <c r="O149" s="81"/>
      <c r="P149" s="81"/>
      <c r="Q149" s="81"/>
      <c r="R149" s="81"/>
      <c r="S149" s="81"/>
    </row>
    <row r="150" spans="1:19">
      <c r="A150" s="81"/>
      <c r="B150" s="77" t="s">
        <v>402</v>
      </c>
      <c r="C150" s="833"/>
      <c r="D150" s="832"/>
      <c r="E150" s="759"/>
      <c r="F150" s="809"/>
      <c r="G150" s="81"/>
      <c r="H150" s="81"/>
      <c r="I150" s="81"/>
      <c r="J150" s="81"/>
      <c r="K150" s="81"/>
      <c r="L150" s="81"/>
      <c r="M150" s="81"/>
      <c r="N150" s="81"/>
      <c r="O150" s="81"/>
      <c r="P150" s="81"/>
      <c r="Q150" s="81"/>
      <c r="R150" s="81"/>
      <c r="S150" s="81"/>
    </row>
    <row r="151" spans="1:19">
      <c r="A151" s="81"/>
      <c r="B151" s="825" t="s">
        <v>403</v>
      </c>
      <c r="C151" s="834">
        <v>1.1499999999999999</v>
      </c>
      <c r="D151" s="832"/>
      <c r="E151" s="759"/>
      <c r="F151" s="809"/>
      <c r="G151" s="81"/>
      <c r="H151" s="81"/>
      <c r="I151" s="81"/>
      <c r="J151" s="81"/>
      <c r="K151" s="81"/>
      <c r="L151" s="81"/>
      <c r="M151" s="81"/>
      <c r="N151" s="81"/>
      <c r="O151" s="81"/>
      <c r="P151" s="81"/>
      <c r="Q151" s="81"/>
      <c r="R151" s="81"/>
      <c r="S151" s="81"/>
    </row>
    <row r="152" spans="1:19">
      <c r="A152" s="81"/>
      <c r="B152" s="77" t="s">
        <v>404</v>
      </c>
      <c r="C152" s="830"/>
      <c r="D152" s="832"/>
      <c r="E152" s="759"/>
      <c r="F152" s="809"/>
      <c r="G152" s="81"/>
      <c r="H152" s="81"/>
      <c r="I152" s="81"/>
      <c r="J152" s="81"/>
      <c r="K152" s="81"/>
      <c r="L152" s="81"/>
      <c r="M152" s="81"/>
      <c r="N152" s="81"/>
      <c r="O152" s="81"/>
      <c r="P152" s="81"/>
      <c r="Q152" s="81"/>
      <c r="R152" s="81"/>
      <c r="S152" s="81"/>
    </row>
    <row r="153" spans="1:19">
      <c r="A153" s="81"/>
      <c r="B153" s="835" t="s">
        <v>405</v>
      </c>
      <c r="C153" s="836">
        <f>C154+C155</f>
        <v>8.249999999999999E-2</v>
      </c>
      <c r="D153" s="832"/>
      <c r="E153" s="759"/>
      <c r="F153" s="809"/>
      <c r="G153" s="81"/>
      <c r="H153" s="81"/>
      <c r="I153" s="81"/>
      <c r="J153" s="81"/>
      <c r="K153" s="81"/>
      <c r="L153" s="81"/>
      <c r="M153" s="81"/>
      <c r="N153" s="81"/>
      <c r="O153" s="81"/>
      <c r="P153" s="81"/>
      <c r="Q153" s="81"/>
      <c r="R153" s="81"/>
      <c r="S153" s="81"/>
    </row>
    <row r="154" spans="1:19">
      <c r="A154" s="81"/>
      <c r="B154" s="77" t="s">
        <v>406</v>
      </c>
      <c r="C154" s="836">
        <f>C149</f>
        <v>2.2499999999999999E-2</v>
      </c>
      <c r="D154" s="837"/>
      <c r="E154" s="759"/>
      <c r="F154" s="809"/>
      <c r="G154" s="81"/>
      <c r="H154" s="81"/>
      <c r="I154" s="25"/>
      <c r="J154" s="22"/>
      <c r="K154" s="81"/>
      <c r="L154" s="81"/>
      <c r="M154" s="81"/>
      <c r="N154" s="81"/>
      <c r="O154" s="81"/>
      <c r="P154" s="81"/>
      <c r="Q154" s="81"/>
      <c r="R154" s="81"/>
      <c r="S154" s="81"/>
    </row>
    <row r="155" spans="1:19">
      <c r="A155" s="81"/>
      <c r="B155" s="838" t="s">
        <v>407</v>
      </c>
      <c r="C155" s="839">
        <v>0.06</v>
      </c>
      <c r="D155" s="832"/>
      <c r="E155" s="759"/>
      <c r="F155" s="809"/>
      <c r="G155" s="81"/>
      <c r="H155" s="81"/>
      <c r="I155" s="22"/>
      <c r="J155" s="840"/>
      <c r="K155" s="22"/>
      <c r="L155" s="22"/>
      <c r="M155" s="22"/>
      <c r="N155" s="22"/>
      <c r="O155" s="22"/>
      <c r="P155" s="22"/>
      <c r="Q155" s="22"/>
      <c r="R155" s="81"/>
      <c r="S155" s="81"/>
    </row>
    <row r="156" spans="1:19">
      <c r="A156" s="81"/>
      <c r="B156" s="841" t="s">
        <v>408</v>
      </c>
      <c r="C156" s="842">
        <v>0</v>
      </c>
      <c r="D156" s="759"/>
      <c r="E156" s="759"/>
      <c r="F156" s="809"/>
      <c r="G156" s="81"/>
      <c r="H156" s="81"/>
      <c r="I156" s="843"/>
      <c r="J156" s="844"/>
      <c r="K156" s="840"/>
      <c r="L156" s="840"/>
      <c r="M156" s="840"/>
      <c r="N156" s="840"/>
      <c r="O156" s="840"/>
      <c r="P156" s="840"/>
      <c r="Q156" s="840"/>
      <c r="R156" s="81"/>
      <c r="S156" s="81"/>
    </row>
    <row r="157" spans="1:19">
      <c r="A157" s="81"/>
      <c r="B157" s="825" t="s">
        <v>409</v>
      </c>
      <c r="C157" s="845">
        <f>+C149+(C151*C155)+C156</f>
        <v>9.1499999999999998E-2</v>
      </c>
      <c r="D157" s="759"/>
      <c r="E157" s="759"/>
      <c r="F157" s="809"/>
      <c r="G157" s="81"/>
      <c r="H157" s="81"/>
      <c r="I157" s="846"/>
      <c r="J157" s="847"/>
      <c r="K157" s="844"/>
      <c r="L157" s="844"/>
      <c r="M157" s="844"/>
      <c r="N157" s="844"/>
      <c r="O157" s="844"/>
      <c r="P157" s="844"/>
      <c r="Q157" s="844"/>
      <c r="R157" s="81"/>
      <c r="S157" s="81"/>
    </row>
    <row r="158" spans="1:19">
      <c r="A158" s="81"/>
      <c r="B158" s="799"/>
      <c r="C158" s="848"/>
      <c r="D158" s="848"/>
      <c r="E158" s="848"/>
      <c r="F158" s="849"/>
      <c r="G158" s="81"/>
      <c r="H158" s="81"/>
      <c r="I158" s="844"/>
      <c r="J158" s="847"/>
      <c r="K158" s="847"/>
      <c r="L158" s="847"/>
      <c r="M158" s="850"/>
      <c r="N158" s="850"/>
      <c r="O158" s="847"/>
      <c r="P158" s="847"/>
      <c r="Q158" s="847"/>
      <c r="R158" s="81"/>
      <c r="S158" s="81"/>
    </row>
    <row r="159" spans="1:19">
      <c r="A159" s="81"/>
      <c r="B159" s="81"/>
      <c r="C159" s="81"/>
      <c r="D159" s="81"/>
      <c r="E159" s="81"/>
      <c r="F159" s="81"/>
      <c r="G159" s="81"/>
      <c r="H159" s="81"/>
      <c r="I159" s="844"/>
      <c r="J159" s="847"/>
      <c r="K159" s="847"/>
      <c r="L159" s="847"/>
      <c r="M159" s="850"/>
      <c r="N159" s="850"/>
      <c r="O159" s="847"/>
      <c r="P159" s="847"/>
      <c r="Q159" s="847"/>
      <c r="R159" s="81"/>
      <c r="S159" s="81"/>
    </row>
    <row r="160" spans="1:19">
      <c r="A160" s="81"/>
      <c r="B160" s="81"/>
      <c r="C160" s="81"/>
      <c r="D160" s="81"/>
      <c r="E160" s="81"/>
      <c r="F160" s="81"/>
      <c r="G160" s="81"/>
      <c r="H160" s="81"/>
      <c r="I160" s="844"/>
      <c r="J160" s="847"/>
      <c r="K160" s="847"/>
      <c r="L160" s="847"/>
      <c r="M160" s="850"/>
      <c r="N160" s="850"/>
      <c r="O160" s="847"/>
      <c r="P160" s="847"/>
      <c r="Q160" s="847"/>
      <c r="R160" s="81"/>
      <c r="S160" s="81"/>
    </row>
    <row r="161" spans="1:19">
      <c r="A161" s="81"/>
      <c r="B161" s="974"/>
      <c r="C161" s="974"/>
      <c r="D161" s="974"/>
      <c r="E161" s="974"/>
      <c r="F161" s="974"/>
      <c r="G161" s="81"/>
      <c r="H161" s="81"/>
      <c r="I161" s="844"/>
      <c r="J161" s="847"/>
      <c r="K161" s="847"/>
      <c r="L161" s="847"/>
      <c r="M161" s="850"/>
      <c r="N161" s="850"/>
      <c r="O161" s="847"/>
      <c r="P161" s="847"/>
      <c r="Q161" s="847"/>
      <c r="R161" s="81"/>
      <c r="S161" s="81"/>
    </row>
    <row r="162" spans="1:19">
      <c r="A162" s="81"/>
      <c r="B162" s="974"/>
      <c r="C162" s="974"/>
      <c r="D162" s="974"/>
      <c r="E162" s="974"/>
      <c r="F162" s="974"/>
      <c r="G162" s="81"/>
      <c r="H162" s="81"/>
      <c r="I162" s="844"/>
      <c r="J162" s="847"/>
      <c r="K162" s="847"/>
      <c r="L162" s="847"/>
      <c r="M162" s="850"/>
      <c r="N162" s="850"/>
      <c r="O162" s="847"/>
      <c r="P162" s="847"/>
      <c r="Q162" s="847"/>
      <c r="R162" s="81"/>
      <c r="S162" s="81"/>
    </row>
    <row r="163" spans="1:19">
      <c r="A163" s="81"/>
      <c r="B163" s="974"/>
      <c r="C163" s="974"/>
      <c r="D163" s="974"/>
      <c r="E163" s="974"/>
      <c r="F163" s="974"/>
      <c r="G163" s="81"/>
      <c r="H163" s="81"/>
      <c r="I163" s="844"/>
      <c r="J163" s="847"/>
      <c r="K163" s="847"/>
      <c r="L163" s="847"/>
      <c r="M163" s="850"/>
      <c r="N163" s="850"/>
      <c r="O163" s="847"/>
      <c r="P163" s="847"/>
      <c r="Q163" s="847"/>
      <c r="R163" s="81"/>
      <c r="S163" s="81"/>
    </row>
    <row r="164" spans="1:19">
      <c r="A164" s="81"/>
      <c r="B164" s="974"/>
      <c r="C164" s="974"/>
      <c r="D164" s="974"/>
      <c r="E164" s="974"/>
      <c r="F164" s="974"/>
      <c r="G164" s="81"/>
      <c r="H164" s="81"/>
      <c r="I164" s="844"/>
      <c r="J164" s="847"/>
      <c r="K164" s="847"/>
      <c r="L164" s="847"/>
      <c r="M164" s="850"/>
      <c r="N164" s="850"/>
      <c r="O164" s="847"/>
      <c r="P164" s="847"/>
      <c r="Q164" s="847"/>
      <c r="R164" s="81"/>
      <c r="S164" s="81"/>
    </row>
    <row r="165" spans="1:19">
      <c r="A165" s="81"/>
      <c r="B165" s="974"/>
      <c r="C165" s="974"/>
      <c r="D165" s="974"/>
      <c r="E165" s="974"/>
      <c r="F165" s="974"/>
      <c r="G165" s="81"/>
      <c r="H165" s="81"/>
      <c r="I165" s="844"/>
      <c r="J165" s="844"/>
      <c r="K165" s="847"/>
      <c r="L165" s="847"/>
      <c r="M165" s="850"/>
      <c r="N165" s="850"/>
      <c r="O165" s="847"/>
      <c r="P165" s="847"/>
      <c r="Q165" s="847"/>
      <c r="R165" s="81"/>
      <c r="S165" s="81"/>
    </row>
    <row r="166" spans="1:19">
      <c r="A166" s="81"/>
      <c r="B166" s="851"/>
      <c r="C166" s="990"/>
      <c r="D166" s="991" t="s">
        <v>313</v>
      </c>
      <c r="E166" s="991" t="s">
        <v>311</v>
      </c>
      <c r="F166" s="991" t="s">
        <v>308</v>
      </c>
      <c r="G166" s="81"/>
      <c r="H166" s="81"/>
      <c r="I166" s="22"/>
      <c r="J166" s="852"/>
      <c r="K166" s="844"/>
      <c r="L166" s="844"/>
      <c r="M166" s="844"/>
      <c r="N166" s="844"/>
      <c r="O166" s="844"/>
      <c r="P166" s="844"/>
      <c r="Q166" s="844"/>
      <c r="R166" s="81"/>
      <c r="S166" s="81"/>
    </row>
    <row r="167" spans="1:19">
      <c r="A167" s="81"/>
      <c r="B167" s="992" t="s">
        <v>455</v>
      </c>
      <c r="C167" s="993">
        <f>(K29/H29)^0.3333-1</f>
        <v>0.36191370221017238</v>
      </c>
      <c r="D167" s="994">
        <f t="dataTable" ref="D167:F169" dt2D="0" dtr="1" r1="A5"/>
        <v>0.26932071231818111</v>
      </c>
      <c r="E167" s="994">
        <v>0.36191370221017238</v>
      </c>
      <c r="F167" s="994">
        <v>0.44855229196803914</v>
      </c>
      <c r="G167" s="81"/>
      <c r="H167" s="81"/>
      <c r="I167" s="840"/>
      <c r="J167" s="840"/>
      <c r="K167" s="853"/>
      <c r="L167" s="22"/>
      <c r="M167" s="22"/>
      <c r="N167" s="844"/>
      <c r="O167" s="847"/>
      <c r="P167" s="847"/>
      <c r="Q167" s="847"/>
      <c r="R167" s="81"/>
      <c r="S167" s="81"/>
    </row>
    <row r="168" spans="1:19">
      <c r="A168" s="81"/>
      <c r="B168" s="992" t="s">
        <v>456</v>
      </c>
      <c r="C168" s="995">
        <f>K78</f>
        <v>0.28499007722076275</v>
      </c>
      <c r="D168" s="995">
        <v>0.2076755999553363</v>
      </c>
      <c r="E168" s="995">
        <v>0.28499007722076275</v>
      </c>
      <c r="F168" s="995">
        <v>0.31158945940205196</v>
      </c>
      <c r="G168" s="81"/>
      <c r="H168" s="81"/>
      <c r="I168" s="853"/>
      <c r="J168" s="854"/>
      <c r="K168" s="840"/>
      <c r="L168" s="22"/>
      <c r="M168" s="25"/>
      <c r="N168" s="846"/>
      <c r="O168" s="847"/>
      <c r="P168" s="847"/>
      <c r="Q168" s="847"/>
      <c r="R168" s="81"/>
      <c r="S168" s="81"/>
    </row>
    <row r="169" spans="1:19">
      <c r="A169" s="81"/>
      <c r="B169" s="992" t="s">
        <v>457</v>
      </c>
      <c r="C169" s="994">
        <f>(K6/H6)^0.3333-1</f>
        <v>0.27657441478697953</v>
      </c>
      <c r="D169" s="994">
        <v>0.23986580333465568</v>
      </c>
      <c r="E169" s="994">
        <v>0.27657441478697953</v>
      </c>
      <c r="F169" s="994">
        <v>0.32993701183351809</v>
      </c>
      <c r="G169" s="81"/>
      <c r="H169" s="81"/>
      <c r="I169" s="853"/>
      <c r="J169" s="854"/>
      <c r="K169" s="22"/>
      <c r="L169" s="22"/>
      <c r="M169" s="657"/>
      <c r="N169" s="657"/>
      <c r="O169" s="657"/>
      <c r="P169" s="657"/>
      <c r="Q169" s="657"/>
      <c r="R169" s="81"/>
      <c r="S169" s="81"/>
    </row>
    <row r="170" spans="1:19">
      <c r="A170" s="81"/>
      <c r="B170" s="977"/>
      <c r="C170" s="979"/>
      <c r="D170" s="979"/>
      <c r="E170" s="979"/>
      <c r="F170" s="979"/>
      <c r="G170" s="81"/>
      <c r="H170" s="81"/>
      <c r="I170" s="853"/>
      <c r="J170" s="854"/>
      <c r="K170" s="840"/>
      <c r="L170" s="22"/>
      <c r="M170" s="855"/>
      <c r="N170" s="657"/>
      <c r="O170" s="856"/>
      <c r="P170" s="856"/>
      <c r="Q170" s="856"/>
      <c r="R170" s="81"/>
      <c r="S170" s="81"/>
    </row>
    <row r="171" spans="1:19">
      <c r="A171" s="81"/>
      <c r="B171" s="977"/>
      <c r="C171" s="978"/>
      <c r="D171" s="978"/>
      <c r="E171" s="978"/>
      <c r="F171" s="978"/>
      <c r="G171" s="81"/>
      <c r="H171" s="81"/>
      <c r="I171" s="22"/>
      <c r="J171" s="22"/>
      <c r="K171" s="22"/>
      <c r="L171" s="22"/>
      <c r="M171" s="855"/>
      <c r="N171" s="657"/>
      <c r="O171" s="856"/>
      <c r="P171" s="856"/>
      <c r="Q171" s="856"/>
      <c r="R171" s="81"/>
      <c r="S171" s="81"/>
    </row>
    <row r="172" spans="1:19">
      <c r="A172" s="81"/>
      <c r="B172" s="977"/>
      <c r="C172" s="979"/>
      <c r="D172" s="979"/>
      <c r="E172" s="979"/>
      <c r="F172" s="979"/>
      <c r="G172" s="81"/>
      <c r="H172" s="81"/>
      <c r="I172" s="22"/>
      <c r="J172" s="22"/>
      <c r="K172" s="22"/>
      <c r="L172" s="22"/>
      <c r="M172" s="855"/>
      <c r="N172" s="657"/>
      <c r="O172" s="856"/>
      <c r="P172" s="856"/>
      <c r="Q172" s="856"/>
      <c r="R172" s="81"/>
      <c r="S172" s="81"/>
    </row>
    <row r="173" spans="1:19">
      <c r="A173" s="81"/>
      <c r="B173" s="977"/>
      <c r="C173" s="978"/>
      <c r="D173" s="978"/>
      <c r="E173" s="978"/>
      <c r="F173" s="978"/>
      <c r="G173" s="81"/>
      <c r="H173" s="81"/>
      <c r="I173" s="81"/>
      <c r="J173" s="81"/>
      <c r="K173" s="22"/>
      <c r="L173" s="22"/>
      <c r="M173" s="855"/>
      <c r="N173" s="657"/>
      <c r="O173" s="856"/>
      <c r="P173" s="856"/>
      <c r="Q173" s="856"/>
      <c r="R173" s="81"/>
      <c r="S173" s="81"/>
    </row>
    <row r="174" spans="1:19">
      <c r="A174" s="81"/>
      <c r="B174" s="977"/>
      <c r="C174" s="979"/>
      <c r="D174" s="979"/>
      <c r="E174" s="979"/>
      <c r="F174" s="979"/>
      <c r="G174" s="81"/>
      <c r="H174" s="81"/>
      <c r="I174" s="81"/>
      <c r="J174" s="81"/>
      <c r="K174" s="81"/>
      <c r="L174" s="81"/>
      <c r="M174" s="81"/>
      <c r="N174" s="81"/>
      <c r="O174" s="81"/>
      <c r="P174" s="81"/>
      <c r="Q174" s="81"/>
      <c r="R174" s="81"/>
      <c r="S174" s="81"/>
    </row>
    <row r="175" spans="1:19">
      <c r="A175" s="81"/>
      <c r="B175" s="977"/>
      <c r="C175" s="978"/>
      <c r="D175" s="978"/>
      <c r="E175" s="978"/>
      <c r="F175" s="978"/>
      <c r="G175" s="81"/>
      <c r="H175" s="81"/>
      <c r="I175" s="81"/>
      <c r="J175" s="81"/>
      <c r="K175" s="81"/>
      <c r="L175" s="81"/>
      <c r="M175" s="81"/>
      <c r="N175" s="81"/>
      <c r="O175" s="81"/>
      <c r="P175" s="81"/>
      <c r="Q175" s="81"/>
      <c r="R175" s="81"/>
      <c r="S175" s="81"/>
    </row>
    <row r="176" spans="1:19">
      <c r="B176" s="977"/>
      <c r="C176" s="978"/>
      <c r="D176" s="978"/>
      <c r="E176" s="978"/>
      <c r="F176" s="978"/>
    </row>
    <row r="177" spans="2:6">
      <c r="B177" s="977"/>
      <c r="C177" s="979"/>
      <c r="D177" s="979"/>
      <c r="E177" s="979"/>
      <c r="F177" s="979"/>
    </row>
    <row r="178" spans="2:6">
      <c r="B178" s="977"/>
      <c r="C178" s="979"/>
      <c r="D178" s="979"/>
      <c r="E178" s="979"/>
      <c r="F178" s="979"/>
    </row>
    <row r="179" spans="2:6">
      <c r="B179" s="977"/>
      <c r="C179" s="978"/>
      <c r="D179" s="978"/>
      <c r="E179" s="978"/>
      <c r="F179" s="978"/>
    </row>
    <row r="180" spans="2:6">
      <c r="B180" s="977"/>
      <c r="C180" s="978"/>
      <c r="D180" s="978"/>
      <c r="E180" s="978"/>
      <c r="F180" s="978"/>
    </row>
    <row r="181" spans="2:6">
      <c r="B181" s="977"/>
      <c r="C181" s="978"/>
      <c r="D181" s="978"/>
      <c r="E181" s="978"/>
      <c r="F181" s="978"/>
    </row>
    <row r="182" spans="2:6">
      <c r="B182" s="977"/>
      <c r="C182" s="978"/>
      <c r="D182" s="978"/>
      <c r="E182" s="978"/>
      <c r="F182" s="978"/>
    </row>
    <row r="183" spans="2:6">
      <c r="B183" s="977"/>
      <c r="C183" s="978"/>
      <c r="D183" s="978"/>
      <c r="E183" s="978"/>
      <c r="F183" s="978"/>
    </row>
    <row r="184" spans="2:6">
      <c r="B184" s="977"/>
      <c r="C184" s="978"/>
      <c r="D184" s="978"/>
      <c r="E184" s="978"/>
      <c r="F184" s="978"/>
    </row>
    <row r="185" spans="2:6">
      <c r="B185" s="977"/>
      <c r="C185" s="978"/>
      <c r="D185" s="978"/>
      <c r="E185" s="978"/>
      <c r="F185" s="978"/>
    </row>
    <row r="186" spans="2:6">
      <c r="B186" s="977"/>
      <c r="C186" s="978"/>
      <c r="D186" s="978"/>
      <c r="E186" s="978"/>
      <c r="F186" s="978"/>
    </row>
    <row r="187" spans="2:6">
      <c r="B187" s="977"/>
      <c r="C187" s="978"/>
      <c r="D187" s="978"/>
      <c r="E187" s="978"/>
      <c r="F187" s="978"/>
    </row>
    <row r="188" spans="2:6">
      <c r="B188" s="977"/>
      <c r="C188" s="978"/>
      <c r="D188" s="978"/>
      <c r="E188" s="978"/>
      <c r="F188" s="978"/>
    </row>
    <row r="189" spans="2:6">
      <c r="B189" s="977"/>
      <c r="C189" s="978"/>
      <c r="D189" s="978"/>
      <c r="E189" s="978"/>
      <c r="F189" s="978"/>
    </row>
    <row r="190" spans="2:6">
      <c r="B190" s="977"/>
      <c r="C190" s="980"/>
      <c r="D190" s="981"/>
      <c r="E190" s="981"/>
      <c r="F190" s="981"/>
    </row>
    <row r="191" spans="2:6">
      <c r="B191" s="977"/>
      <c r="C191" s="979"/>
      <c r="D191" s="979"/>
      <c r="E191" s="979"/>
      <c r="F191" s="979"/>
    </row>
    <row r="192" spans="2:6">
      <c r="B192" s="977"/>
      <c r="C192" s="978"/>
      <c r="D192" s="978"/>
      <c r="E192" s="978"/>
      <c r="F192" s="978"/>
    </row>
    <row r="193" spans="2:6">
      <c r="B193" s="977"/>
      <c r="C193" s="978"/>
      <c r="D193" s="978"/>
      <c r="E193" s="978"/>
      <c r="F193" s="978"/>
    </row>
    <row r="194" spans="2:6">
      <c r="B194" s="977"/>
      <c r="C194" s="979"/>
      <c r="D194" s="979"/>
      <c r="E194" s="979"/>
      <c r="F194" s="979"/>
    </row>
    <row r="195" spans="2:6">
      <c r="B195" s="977"/>
      <c r="C195" s="978"/>
      <c r="D195" s="978"/>
      <c r="E195" s="978"/>
      <c r="F195" s="978"/>
    </row>
    <row r="196" spans="2:6">
      <c r="B196" s="977"/>
      <c r="C196" s="979"/>
      <c r="D196" s="979"/>
      <c r="E196" s="979"/>
      <c r="F196" s="979"/>
    </row>
    <row r="197" spans="2:6">
      <c r="B197" s="977"/>
      <c r="C197" s="978"/>
      <c r="D197" s="978"/>
      <c r="E197" s="978"/>
      <c r="F197" s="978"/>
    </row>
    <row r="198" spans="2:6">
      <c r="B198" s="977"/>
      <c r="C198" s="979"/>
      <c r="D198" s="979"/>
      <c r="E198" s="979"/>
      <c r="F198" s="979"/>
    </row>
    <row r="199" spans="2:6">
      <c r="B199" s="977"/>
      <c r="C199" s="978"/>
      <c r="D199" s="978"/>
      <c r="E199" s="978"/>
      <c r="F199" s="978"/>
    </row>
    <row r="200" spans="2:6">
      <c r="B200" s="977"/>
      <c r="C200" s="979"/>
      <c r="D200" s="979"/>
      <c r="E200" s="979"/>
      <c r="F200" s="979"/>
    </row>
    <row r="201" spans="2:6">
      <c r="B201" s="977"/>
      <c r="C201" s="982"/>
      <c r="D201" s="982"/>
      <c r="E201" s="982"/>
      <c r="F201" s="982"/>
    </row>
    <row r="202" spans="2:6">
      <c r="B202" s="977"/>
      <c r="C202" s="979"/>
      <c r="D202" s="979"/>
      <c r="E202" s="979"/>
      <c r="F202" s="979"/>
    </row>
    <row r="203" spans="2:6">
      <c r="B203" s="977"/>
      <c r="C203" s="979"/>
      <c r="D203" s="979"/>
      <c r="E203" s="979"/>
      <c r="F203" s="979"/>
    </row>
    <row r="204" spans="2:6">
      <c r="B204" s="977"/>
      <c r="C204" s="979"/>
      <c r="D204" s="979"/>
      <c r="E204" s="979"/>
      <c r="F204" s="979"/>
    </row>
    <row r="205" spans="2:6">
      <c r="B205" s="975"/>
      <c r="C205" s="983"/>
      <c r="D205" s="974"/>
      <c r="E205" s="974"/>
      <c r="F205" s="974"/>
    </row>
    <row r="206" spans="2:6">
      <c r="B206" s="974"/>
      <c r="C206" s="984"/>
      <c r="D206" s="976"/>
      <c r="E206" s="976"/>
      <c r="F206" s="976"/>
    </row>
    <row r="207" spans="2:6">
      <c r="B207" s="974"/>
      <c r="C207" s="974"/>
      <c r="D207" s="974"/>
      <c r="E207" s="974"/>
      <c r="F207" s="974"/>
    </row>
    <row r="208" spans="2:6">
      <c r="B208" s="974"/>
      <c r="C208" s="974"/>
      <c r="D208" s="974"/>
      <c r="E208" s="974"/>
      <c r="F208" s="974"/>
    </row>
  </sheetData>
  <mergeCells count="1">
    <mergeCell ref="M122:Q122"/>
  </mergeCells>
  <dataValidations disablePrompts="1" count="1">
    <dataValidation type="list" allowBlank="1" showInputMessage="1" showErrorMessage="1" sqref="R4">
      <formula1>"0,1,2,3"</formula1>
    </dataValidation>
  </dataValidations>
  <pageMargins left="0" right="0" top="0" bottom="0" header="0" footer="0"/>
  <pageSetup paperSize="5" scale="26" orientation="landscape" r:id="rId1"/>
  <headerFooter alignWithMargins="0"/>
  <ignoredErrors>
    <ignoredError sqref="O74 M107" formula="1"/>
    <ignoredError sqref="C106:L106 C108:S112 C107:K107 Q107:S107 Q106:S106" formulaRange="1"/>
    <ignoredError sqref="M106" formula="1" formulaRange="1"/>
  </ignoredErrors>
  <drawing r:id="rId2"/>
  <legacyDrawing r:id="rId3"/>
  <controls>
    <mc:AlternateContent xmlns:mc="http://schemas.openxmlformats.org/markup-compatibility/2006">
      <mc:Choice Requires="x14">
        <control shapeId="5121" r:id="rId4" name="ComboBox1">
          <controlPr defaultSize="0" autoLine="0" linkedCell="'DCF Analysis'!$A$5" listFillRange="'DCF Analysis'!$A$2:$A$4" r:id="rId5">
            <anchor moveWithCells="1">
              <from>
                <xdr:col>1</xdr:col>
                <xdr:colOff>847725</xdr:colOff>
                <xdr:row>2</xdr:row>
                <xdr:rowOff>57150</xdr:rowOff>
              </from>
              <to>
                <xdr:col>2</xdr:col>
                <xdr:colOff>219075</xdr:colOff>
                <xdr:row>3</xdr:row>
                <xdr:rowOff>123825</xdr:rowOff>
              </to>
            </anchor>
          </controlPr>
        </control>
      </mc:Choice>
      <mc:Fallback>
        <control shapeId="5121" r:id="rId4" name="ComboBox1"/>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3"/>
    <pageSetUpPr fitToPage="1"/>
  </sheetPr>
  <dimension ref="A1:AM155"/>
  <sheetViews>
    <sheetView showGridLines="0" zoomScale="85" zoomScaleNormal="85" workbookViewId="0">
      <pane xSplit="2" ySplit="5" topLeftCell="C6" activePane="bottomRight" state="frozen"/>
      <selection activeCell="J35" sqref="J35"/>
      <selection pane="topRight" activeCell="J35" sqref="J35"/>
      <selection pane="bottomLeft" activeCell="J35" sqref="J35"/>
      <selection pane="bottomRight" activeCell="AP30" sqref="AP30"/>
    </sheetView>
  </sheetViews>
  <sheetFormatPr defaultRowHeight="12.75" outlineLevelCol="1"/>
  <cols>
    <col min="1" max="1" width="2.7109375" customWidth="1"/>
    <col min="2" max="2" width="52.85546875" customWidth="1"/>
    <col min="3" max="4" width="9" customWidth="1"/>
    <col min="5" max="8" width="7.7109375" hidden="1" customWidth="1" outlineLevel="1"/>
    <col min="9" max="9" width="9.140625" customWidth="1" collapsed="1"/>
    <col min="10" max="13" width="9.85546875" hidden="1" customWidth="1" outlineLevel="1"/>
    <col min="14" max="14" width="9.85546875" customWidth="1" collapsed="1"/>
    <col min="15" max="18" width="9.85546875" hidden="1" customWidth="1" outlineLevel="1"/>
    <col min="19" max="19" width="9.85546875" customWidth="1" collapsed="1"/>
    <col min="20" max="23" width="9.85546875" customWidth="1" outlineLevel="1"/>
    <col min="24" max="24" width="9.85546875" customWidth="1"/>
    <col min="25" max="28" width="9.85546875" customWidth="1" outlineLevel="1"/>
    <col min="29" max="29" width="9.85546875" customWidth="1"/>
    <col min="30" max="33" width="9.85546875" hidden="1" customWidth="1" outlineLevel="1"/>
    <col min="34" max="34" width="9.85546875" customWidth="1" collapsed="1"/>
    <col min="35" max="38" width="9.85546875" hidden="1" customWidth="1" outlineLevel="1"/>
    <col min="39" max="39" width="9.85546875" customWidth="1" collapsed="1"/>
  </cols>
  <sheetData>
    <row r="1" spans="1:39" ht="18">
      <c r="A1" s="110"/>
      <c r="B1" s="857" t="s">
        <v>410</v>
      </c>
      <c r="C1" s="360"/>
      <c r="D1" s="360"/>
      <c r="E1" s="360"/>
      <c r="F1" s="360"/>
      <c r="G1" s="360"/>
      <c r="H1" s="360"/>
      <c r="I1" s="360"/>
      <c r="J1" s="360"/>
      <c r="K1" s="360"/>
      <c r="L1" s="360"/>
      <c r="M1" s="360"/>
      <c r="N1" s="360"/>
      <c r="O1" s="360"/>
      <c r="P1" s="360"/>
      <c r="Q1" s="360"/>
      <c r="R1" s="360"/>
      <c r="S1" s="360"/>
      <c r="T1" s="360"/>
      <c r="U1" s="360"/>
      <c r="V1" s="360"/>
      <c r="W1" s="360"/>
      <c r="X1" s="360"/>
      <c r="Y1" s="360"/>
      <c r="Z1" s="360"/>
      <c r="AA1" s="360"/>
      <c r="AB1" s="360"/>
      <c r="AC1" s="360"/>
      <c r="AD1" s="360"/>
      <c r="AE1" s="360"/>
      <c r="AF1" s="360"/>
      <c r="AG1" s="360"/>
      <c r="AH1" s="360"/>
      <c r="AI1" s="360"/>
      <c r="AJ1" s="360"/>
      <c r="AK1" s="360"/>
      <c r="AL1" s="360"/>
      <c r="AM1" s="360"/>
    </row>
    <row r="2" spans="1:39" ht="15.75">
      <c r="A2" s="858"/>
      <c r="B2" s="857" t="s">
        <v>90</v>
      </c>
      <c r="C2" s="859"/>
      <c r="D2" s="858"/>
      <c r="E2" s="858"/>
      <c r="F2" s="858"/>
      <c r="G2" s="858"/>
      <c r="H2" s="858"/>
      <c r="I2" s="858"/>
      <c r="J2" s="858"/>
      <c r="K2" s="858"/>
      <c r="L2" s="858"/>
      <c r="M2" s="858"/>
      <c r="N2" s="858"/>
      <c r="O2" s="858"/>
      <c r="P2" s="858"/>
      <c r="Q2" s="858"/>
      <c r="R2" s="858"/>
      <c r="S2" s="858"/>
      <c r="T2" s="858"/>
      <c r="U2" s="858"/>
      <c r="V2" s="858"/>
      <c r="W2" s="858"/>
      <c r="X2" s="858"/>
      <c r="Y2" s="858"/>
      <c r="Z2" s="858"/>
      <c r="AA2" s="858"/>
      <c r="AB2" s="858"/>
      <c r="AC2" s="858"/>
      <c r="AD2" s="858"/>
      <c r="AE2" s="858"/>
      <c r="AF2" s="858"/>
      <c r="AG2" s="858"/>
      <c r="AH2" s="858"/>
      <c r="AI2" s="858"/>
      <c r="AJ2" s="858"/>
      <c r="AK2" s="858"/>
      <c r="AL2" s="858"/>
      <c r="AM2" s="858"/>
    </row>
    <row r="3" spans="1:39">
      <c r="A3" s="858"/>
      <c r="B3" s="95" t="s">
        <v>55</v>
      </c>
      <c r="C3" s="860"/>
      <c r="D3" s="858"/>
      <c r="E3" s="858"/>
      <c r="F3" s="858"/>
      <c r="G3" s="858"/>
      <c r="H3" s="858"/>
      <c r="I3" s="858"/>
      <c r="J3" s="858"/>
      <c r="K3" s="858"/>
      <c r="L3" s="858"/>
      <c r="M3" s="858"/>
      <c r="N3" s="858"/>
      <c r="O3" s="858"/>
      <c r="P3" s="858"/>
      <c r="Q3" s="858"/>
      <c r="R3" s="858"/>
      <c r="S3" s="858"/>
      <c r="T3" s="858"/>
      <c r="U3" s="858"/>
      <c r="V3" s="858"/>
      <c r="W3" s="858"/>
      <c r="X3" s="858"/>
      <c r="Y3" s="858"/>
      <c r="Z3" s="858"/>
      <c r="AA3" s="858"/>
      <c r="AB3" s="858"/>
      <c r="AC3" s="858"/>
      <c r="AD3" s="858"/>
      <c r="AE3" s="858"/>
      <c r="AF3" s="858"/>
      <c r="AG3" s="858"/>
      <c r="AH3" s="858"/>
      <c r="AI3" s="858"/>
      <c r="AJ3" s="858"/>
      <c r="AK3" s="858"/>
      <c r="AL3" s="858"/>
      <c r="AM3" s="858"/>
    </row>
    <row r="4" spans="1:39">
      <c r="A4" s="858"/>
      <c r="B4" s="95"/>
      <c r="C4" s="858"/>
      <c r="D4" s="858"/>
      <c r="E4" s="858"/>
      <c r="F4" s="858"/>
      <c r="G4" s="858"/>
      <c r="H4" s="858"/>
      <c r="I4" s="858"/>
      <c r="J4" s="858"/>
      <c r="K4" s="858"/>
      <c r="L4" s="858"/>
      <c r="M4" s="858"/>
      <c r="N4" s="858"/>
      <c r="O4" s="858"/>
      <c r="P4" s="858"/>
      <c r="Q4" s="858"/>
      <c r="R4" s="858"/>
      <c r="S4" s="858"/>
      <c r="T4" s="858"/>
      <c r="U4" s="858"/>
      <c r="V4" s="858"/>
      <c r="W4" s="858"/>
      <c r="X4" s="858"/>
      <c r="Y4" s="858"/>
      <c r="Z4" s="858"/>
      <c r="AA4" s="858"/>
      <c r="AB4" s="858"/>
      <c r="AC4" s="858"/>
      <c r="AD4" s="858"/>
      <c r="AE4" s="858"/>
      <c r="AF4" s="858"/>
      <c r="AG4" s="858"/>
      <c r="AH4" s="858"/>
      <c r="AI4" s="858"/>
      <c r="AJ4" s="858"/>
      <c r="AK4" s="858"/>
      <c r="AL4" s="858"/>
      <c r="AM4" s="858"/>
    </row>
    <row r="5" spans="1:39" ht="14.25" customHeight="1">
      <c r="A5" s="858"/>
      <c r="B5" s="861" t="s">
        <v>411</v>
      </c>
      <c r="C5" s="862" t="str">
        <f>'Segment Detail'!C5</f>
        <v>2012A</v>
      </c>
      <c r="D5" s="862" t="str">
        <f>'Segment Detail'!D5</f>
        <v>2013A</v>
      </c>
      <c r="E5" s="863" t="str">
        <f>'Segment Detail'!E5</f>
        <v>1Q14A</v>
      </c>
      <c r="F5" s="863" t="str">
        <f>'Segment Detail'!F5</f>
        <v>2Q14A</v>
      </c>
      <c r="G5" s="863" t="str">
        <f>'Segment Detail'!G5</f>
        <v>3Q14A</v>
      </c>
      <c r="H5" s="863" t="str">
        <f>'Segment Detail'!H5</f>
        <v>4Q14A</v>
      </c>
      <c r="I5" s="862" t="str">
        <f>'Segment Detail'!I5</f>
        <v>2014A</v>
      </c>
      <c r="J5" s="863" t="str">
        <f>'Segment Detail'!J5</f>
        <v>1Q15A</v>
      </c>
      <c r="K5" s="863" t="str">
        <f>'Segment Detail'!K5</f>
        <v>2Q15A</v>
      </c>
      <c r="L5" s="863" t="str">
        <f>'Segment Detail'!L5</f>
        <v>3Q15A</v>
      </c>
      <c r="M5" s="863" t="str">
        <f>'Segment Detail'!M5</f>
        <v>4Q15A</v>
      </c>
      <c r="N5" s="862" t="str">
        <f>'Segment Detail'!N5</f>
        <v>2015A</v>
      </c>
      <c r="O5" s="863" t="str">
        <f>'Segment Detail'!O5</f>
        <v>1Q16A</v>
      </c>
      <c r="P5" s="863" t="str">
        <f>'Segment Detail'!P5</f>
        <v>2Q16A</v>
      </c>
      <c r="Q5" s="863" t="str">
        <f>'Segment Detail'!Q5</f>
        <v>3Q16A</v>
      </c>
      <c r="R5" s="863" t="str">
        <f>'Segment Detail'!R5</f>
        <v>4Q16A</v>
      </c>
      <c r="S5" s="864" t="str">
        <f>'Segment Detail'!S5</f>
        <v>2016A</v>
      </c>
      <c r="T5" s="863" t="str">
        <f>'Segment Detail'!T5</f>
        <v>1Q17A</v>
      </c>
      <c r="U5" s="863" t="str">
        <f>'Segment Detail'!U5</f>
        <v>2Q17A</v>
      </c>
      <c r="V5" s="863" t="str">
        <f>'Segment Detail'!V5</f>
        <v>3Q17A</v>
      </c>
      <c r="W5" s="863" t="str">
        <f>'Segment Detail'!W5</f>
        <v>4Q17E</v>
      </c>
      <c r="X5" s="864" t="str">
        <f>'Segment Detail'!X5</f>
        <v>2017E</v>
      </c>
      <c r="Y5" s="863" t="str">
        <f>'Segment Detail'!Y5</f>
        <v>1Q18E</v>
      </c>
      <c r="Z5" s="863" t="str">
        <f>'Segment Detail'!Z5</f>
        <v>2Q18E</v>
      </c>
      <c r="AA5" s="863" t="str">
        <f>'Segment Detail'!AA5</f>
        <v>3Q18E</v>
      </c>
      <c r="AB5" s="863" t="str">
        <f>'Segment Detail'!AB5</f>
        <v>4Q18E</v>
      </c>
      <c r="AC5" s="865" t="str">
        <f>'Segment Detail'!AC5</f>
        <v>2018E</v>
      </c>
      <c r="AD5" s="863" t="str">
        <f>'Segment Detail'!AD5</f>
        <v>1Q19E</v>
      </c>
      <c r="AE5" s="863" t="str">
        <f>'Segment Detail'!AE5</f>
        <v>2Q19E</v>
      </c>
      <c r="AF5" s="863" t="str">
        <f>'Segment Detail'!AF5</f>
        <v>3Q19E</v>
      </c>
      <c r="AG5" s="863" t="str">
        <f>'Segment Detail'!AG5</f>
        <v>4Q19E</v>
      </c>
      <c r="AH5" s="865" t="str">
        <f>'Segment Detail'!AH5</f>
        <v>2019E</v>
      </c>
      <c r="AI5" s="863" t="str">
        <f>'Segment Detail'!AI5</f>
        <v>1Q20E</v>
      </c>
      <c r="AJ5" s="863" t="str">
        <f>'Segment Detail'!AJ5</f>
        <v>2Q20E</v>
      </c>
      <c r="AK5" s="863" t="str">
        <f>'Segment Detail'!AK5</f>
        <v>3Q20E</v>
      </c>
      <c r="AL5" s="863" t="str">
        <f>'Segment Detail'!AL5</f>
        <v>4Q20E</v>
      </c>
      <c r="AM5" s="865" t="str">
        <f>'Segment Detail'!AM5</f>
        <v>2020E</v>
      </c>
    </row>
    <row r="6" spans="1:39">
      <c r="A6" s="858"/>
      <c r="B6" s="866" t="str">
        <f>'Segment Detail'!B7</f>
        <v>Transaction revenue</v>
      </c>
      <c r="C6" s="867">
        <f>'Segment Detail'!C7</f>
        <v>193.97800000000001</v>
      </c>
      <c r="D6" s="868">
        <f>'Segment Detail'!D7</f>
        <v>433.73700000000002</v>
      </c>
      <c r="E6" s="869">
        <f>'Segment Detail'!E7</f>
        <v>137.01400000000001</v>
      </c>
      <c r="F6" s="869">
        <f>'Segment Detail'!F7</f>
        <v>172.89400000000001</v>
      </c>
      <c r="G6" s="869">
        <f>'Segment Detail'!G7</f>
        <v>191.56</v>
      </c>
      <c r="H6" s="869">
        <f>'Segment Detail'!H7</f>
        <v>206.33099999999999</v>
      </c>
      <c r="I6" s="868">
        <f>'Segment Detail'!I7</f>
        <v>707.79899999999998</v>
      </c>
      <c r="J6" s="869">
        <f>'Segment Detail'!J7</f>
        <v>211.11</v>
      </c>
      <c r="K6" s="869">
        <f>'Segment Detail'!K7</f>
        <v>259.86399999999998</v>
      </c>
      <c r="L6" s="869">
        <f>'Segment Detail'!L7</f>
        <v>280.95499999999998</v>
      </c>
      <c r="M6" s="869">
        <f>'Segment Detail'!M7</f>
        <v>298.51600000000002</v>
      </c>
      <c r="N6" s="868">
        <f>'Segment Detail'!N7</f>
        <v>1050.4449999999999</v>
      </c>
      <c r="O6" s="869">
        <f>'Segment Detail'!O7</f>
        <v>300.45299999999997</v>
      </c>
      <c r="P6" s="869">
        <f>'Segment Detail'!P7</f>
        <v>364.86399999999998</v>
      </c>
      <c r="Q6" s="869">
        <f>'Segment Detail'!Q7</f>
        <v>388.34699999999998</v>
      </c>
      <c r="R6" s="869">
        <f>'Segment Detail'!R7</f>
        <v>402.49599999999998</v>
      </c>
      <c r="S6" s="868">
        <f>'Segment Detail'!S7</f>
        <v>1456.1599999999999</v>
      </c>
      <c r="T6" s="869">
        <f>'Segment Detail'!T7</f>
        <v>403.47800000000001</v>
      </c>
      <c r="U6" s="869">
        <f>'Segment Detail'!U7</f>
        <v>482.065</v>
      </c>
      <c r="V6" s="869">
        <f>'Segment Detail'!V7</f>
        <v>510.01900000000001</v>
      </c>
      <c r="W6" s="869">
        <f>'Segment Detail'!W7</f>
        <v>514.44285401564468</v>
      </c>
      <c r="X6" s="868">
        <f>'Segment Detail'!X7</f>
        <v>1910.0048540156445</v>
      </c>
      <c r="Y6" s="869">
        <f>'Segment Detail'!Y7</f>
        <v>514.26200188769087</v>
      </c>
      <c r="Z6" s="869">
        <f>'Segment Detail'!Z7</f>
        <v>618.79507093117695</v>
      </c>
      <c r="AA6" s="869">
        <f>'Segment Detail'!AA7</f>
        <v>655.15931448812148</v>
      </c>
      <c r="AB6" s="869">
        <f>'Segment Detail'!AB7</f>
        <v>663.10254650819218</v>
      </c>
      <c r="AC6" s="868">
        <f>'Segment Detail'!AC7</f>
        <v>2451.3189338151815</v>
      </c>
      <c r="AD6" s="869">
        <f>'Segment Detail'!AD7</f>
        <v>653.74857713624442</v>
      </c>
      <c r="AE6" s="869">
        <f>'Segment Detail'!AE7</f>
        <v>786.63481975190655</v>
      </c>
      <c r="AF6" s="869">
        <f>'Segment Detail'!AF7</f>
        <v>832.86236990479563</v>
      </c>
      <c r="AG6" s="869">
        <f>'Segment Detail'!AG7</f>
        <v>842.96009560088612</v>
      </c>
      <c r="AH6" s="868">
        <f>'Segment Detail'!AH7</f>
        <v>3116.2058623938328</v>
      </c>
      <c r="AI6" s="869">
        <f>'Segment Detail'!AI7</f>
        <v>818.04465773886795</v>
      </c>
      <c r="AJ6" s="869">
        <f>'Segment Detail'!AJ7</f>
        <v>984.32705537700247</v>
      </c>
      <c r="AK6" s="869">
        <f>'Segment Detail'!AK7</f>
        <v>1042.1722297536426</v>
      </c>
      <c r="AL6" s="869">
        <f>'Segment Detail'!AL7</f>
        <v>1054.8076539058206</v>
      </c>
      <c r="AM6" s="868">
        <f>'Segment Detail'!AM7</f>
        <v>3899.3515967753337</v>
      </c>
    </row>
    <row r="7" spans="1:39">
      <c r="A7" s="858"/>
      <c r="B7" s="870" t="s">
        <v>26</v>
      </c>
      <c r="C7" s="871"/>
      <c r="D7" s="872">
        <f>'Segment Detail'!D8</f>
        <v>1.236011300250544</v>
      </c>
      <c r="E7" s="873">
        <f>'Segment Detail'!E8</f>
        <v>0</v>
      </c>
      <c r="F7" s="873">
        <f>'Segment Detail'!F8</f>
        <v>0</v>
      </c>
      <c r="G7" s="873">
        <f>'Segment Detail'!G8</f>
        <v>0</v>
      </c>
      <c r="H7" s="873">
        <f>'Segment Detail'!H8</f>
        <v>0</v>
      </c>
      <c r="I7" s="872">
        <f>'Segment Detail'!I8</f>
        <v>0.63186216532138118</v>
      </c>
      <c r="J7" s="873">
        <f>'Segment Detail'!J8</f>
        <v>0.54079145196841205</v>
      </c>
      <c r="K7" s="873">
        <f>'Segment Detail'!K8</f>
        <v>0.50302497484007525</v>
      </c>
      <c r="L7" s="873">
        <f>'Segment Detail'!L8</f>
        <v>0.46666840676550425</v>
      </c>
      <c r="M7" s="873">
        <f>'Segment Detail'!M8</f>
        <v>0.44678211223713382</v>
      </c>
      <c r="N7" s="872">
        <f>'Segment Detail'!N8</f>
        <v>0.48410071220784423</v>
      </c>
      <c r="O7" s="873">
        <f>'Segment Detail'!O8</f>
        <v>0.42320591161006083</v>
      </c>
      <c r="P7" s="873">
        <f>'Segment Detail'!P8</f>
        <v>0.40405750700366339</v>
      </c>
      <c r="Q7" s="873">
        <f>'Segment Detail'!Q8</f>
        <v>0.38223914861810604</v>
      </c>
      <c r="R7" s="873">
        <f>'Segment Detail'!R8</f>
        <v>0.34832303796111419</v>
      </c>
      <c r="S7" s="872">
        <f>'Segment Detail'!S8</f>
        <v>0.38623154948617011</v>
      </c>
      <c r="T7" s="873">
        <f>'Segment Detail'!T8</f>
        <v>0.34289888934375767</v>
      </c>
      <c r="U7" s="873">
        <f>'Segment Detail'!U8</f>
        <v>0.32121831696193648</v>
      </c>
      <c r="V7" s="873">
        <f>'Segment Detail'!V8</f>
        <v>0.3133074286656008</v>
      </c>
      <c r="W7" s="873">
        <f>'Segment Detail'!W8</f>
        <v>0.27813159389321807</v>
      </c>
      <c r="X7" s="872">
        <f>'Segment Detail'!X8</f>
        <v>0.31167238079307547</v>
      </c>
      <c r="Y7" s="873">
        <f>'Segment Detail'!Y8</f>
        <v>0.27457259599703288</v>
      </c>
      <c r="Z7" s="873">
        <f>'Segment Detail'!Z8</f>
        <v>0.28363409691883246</v>
      </c>
      <c r="AA7" s="873">
        <f>'Segment Detail'!AA8</f>
        <v>0.28457825000268899</v>
      </c>
      <c r="AB7" s="873">
        <f>'Segment Detail'!AB8</f>
        <v>0.28897221787053273</v>
      </c>
      <c r="AC7" s="872">
        <f>'Segment Detail'!AC8</f>
        <v>0.2834097927350625</v>
      </c>
      <c r="AD7" s="873">
        <f>'Segment Detail'!AD8</f>
        <v>0.27123640233294122</v>
      </c>
      <c r="AE7" s="873">
        <f>'Segment Detail'!AE8</f>
        <v>0.27123640233294122</v>
      </c>
      <c r="AF7" s="873">
        <f>'Segment Detail'!AF8</f>
        <v>0.27123640233294122</v>
      </c>
      <c r="AG7" s="873">
        <f>'Segment Detail'!AG8</f>
        <v>0.27123640233294122</v>
      </c>
      <c r="AH7" s="872">
        <f>'Segment Detail'!AH8</f>
        <v>0.27123640233294144</v>
      </c>
      <c r="AI7" s="873">
        <f>'Segment Detail'!AI8</f>
        <v>0.25131386338510286</v>
      </c>
      <c r="AJ7" s="873">
        <f>'Segment Detail'!AJ8</f>
        <v>0.25131386338510309</v>
      </c>
      <c r="AK7" s="873">
        <f>'Segment Detail'!AK8</f>
        <v>0.25131386338510309</v>
      </c>
      <c r="AL7" s="873">
        <f>'Segment Detail'!AL8</f>
        <v>0.25131386338510309</v>
      </c>
      <c r="AM7" s="872">
        <f>'Segment Detail'!AM8</f>
        <v>0.25131386338510309</v>
      </c>
    </row>
    <row r="8" spans="1:39" hidden="1">
      <c r="A8" s="858"/>
      <c r="B8" s="870" t="s">
        <v>412</v>
      </c>
      <c r="C8" s="874">
        <f>'Segment Detail'!C49</f>
        <v>0.95344779281294079</v>
      </c>
      <c r="D8" s="875">
        <f>'Segment Detail'!D49</f>
        <v>0.78513955538499691</v>
      </c>
      <c r="E8" s="876">
        <f>'Segment Detail'!E49</f>
        <v>0.82997540616178622</v>
      </c>
      <c r="F8" s="876">
        <f>'Segment Detail'!F49</f>
        <v>0.83606065881351677</v>
      </c>
      <c r="G8" s="876">
        <f>'Segment Detail'!G49</f>
        <v>0.84231817782077212</v>
      </c>
      <c r="H8" s="876">
        <f>'Segment Detail'!H49</f>
        <v>0.82238315782760851</v>
      </c>
      <c r="I8" s="875">
        <f>'Segment Detail'!I49</f>
        <v>0.8325166550614449</v>
      </c>
      <c r="J8" s="876">
        <f>'Segment Detail'!J49</f>
        <v>0.84256277014810999</v>
      </c>
      <c r="K8" s="876">
        <f>'Segment Detail'!K49</f>
        <v>0.83823581591739704</v>
      </c>
      <c r="L8" s="876">
        <f>'Segment Detail'!L49</f>
        <v>0.84577106939443925</v>
      </c>
      <c r="M8" s="876">
        <f>'Segment Detail'!M49</f>
        <v>0.79740356875734586</v>
      </c>
      <c r="N8" s="875">
        <f>'Segment Detail'!N49</f>
        <v>0.82900329724619171</v>
      </c>
      <c r="O8" s="876">
        <f>'Segment Detail'!O49</f>
        <v>0.7921897123150059</v>
      </c>
      <c r="P8" s="876">
        <f>'Segment Detail'!P49</f>
        <v>0.83201036181997712</v>
      </c>
      <c r="Q8" s="876">
        <f>'Segment Detail'!Q49</f>
        <v>0.88461328194404587</v>
      </c>
      <c r="R8" s="876">
        <f>'Segment Detail'!R49</f>
        <v>0.89064142309317851</v>
      </c>
      <c r="S8" s="875">
        <f>'Segment Detail'!S49</f>
        <v>0.85219295601798073</v>
      </c>
      <c r="T8" s="876">
        <f>'Segment Detail'!T49</f>
        <v>0.87417290284560412</v>
      </c>
      <c r="U8" s="876">
        <f>'Segment Detail'!U49</f>
        <v>0.87408999011794997</v>
      </c>
      <c r="V8" s="876">
        <f>'Segment Detail'!V49</f>
        <v>0.87159045661093804</v>
      </c>
      <c r="W8" s="876">
        <f>'Segment Detail'!W49</f>
        <v>0.86024635972309027</v>
      </c>
      <c r="X8" s="875">
        <f>'Segment Detail'!X49</f>
        <v>0.86967193281585164</v>
      </c>
      <c r="Y8" s="876">
        <f>'Segment Detail'!Y49</f>
        <v>0.84452830732638096</v>
      </c>
      <c r="Z8" s="876">
        <f>'Segment Detail'!Z49</f>
        <v>0.8451025224110833</v>
      </c>
      <c r="AA8" s="876">
        <f>'Segment Detail'!AA49</f>
        <v>0.84172056249642657</v>
      </c>
      <c r="AB8" s="876">
        <f>'Segment Detail'!AB49</f>
        <v>0.82847313587928084</v>
      </c>
      <c r="AC8" s="875">
        <f>'Segment Detail'!AC49</f>
        <v>0.83952285489987799</v>
      </c>
      <c r="AD8" s="876">
        <f>'Segment Detail'!AD49</f>
        <v>0.81929212440496624</v>
      </c>
      <c r="AE8" s="876">
        <f>'Segment Detail'!AE49</f>
        <v>0.81977006151361143</v>
      </c>
      <c r="AF8" s="876">
        <f>'Segment Detail'!AF49</f>
        <v>0.81561881433745942</v>
      </c>
      <c r="AG8" s="876">
        <f>'Segment Detail'!AG49</f>
        <v>0.80052719469515177</v>
      </c>
      <c r="AH8" s="875">
        <f>'Segment Detail'!AH49</f>
        <v>0.81327596618231435</v>
      </c>
      <c r="AI8" s="876">
        <f>'Segment Detail'!AI49</f>
        <v>0.79614416843563973</v>
      </c>
      <c r="AJ8" s="876">
        <f>'Segment Detail'!AJ49</f>
        <v>0.79652015622491945</v>
      </c>
      <c r="AK8" s="876">
        <f>'Segment Detail'!AK49</f>
        <v>0.79167653052402143</v>
      </c>
      <c r="AL8" s="876">
        <f>'Segment Detail'!AL49</f>
        <v>0.77501279925174116</v>
      </c>
      <c r="AM8" s="875">
        <f>'Segment Detail'!AM49</f>
        <v>0.78922679734533829</v>
      </c>
    </row>
    <row r="9" spans="1:39">
      <c r="A9" s="858"/>
      <c r="B9" s="866" t="str">
        <f>'Segment Detail'!B23</f>
        <v>Starbucks transaction revenue</v>
      </c>
      <c r="C9" s="867">
        <f>'Segment Detail'!C23</f>
        <v>9.4710000000000001</v>
      </c>
      <c r="D9" s="868">
        <f>'Segment Detail'!D23</f>
        <v>114.456</v>
      </c>
      <c r="E9" s="869">
        <f>'Segment Detail'!E23</f>
        <v>26.466000000000001</v>
      </c>
      <c r="F9" s="869">
        <f>'Segment Detail'!F23</f>
        <v>30.146999999999998</v>
      </c>
      <c r="G9" s="869">
        <f>'Segment Detail'!G23</f>
        <v>29.895</v>
      </c>
      <c r="H9" s="869">
        <f>'Segment Detail'!H23</f>
        <v>36.515999999999998</v>
      </c>
      <c r="I9" s="868">
        <f>'Segment Detail'!I23</f>
        <v>123.024</v>
      </c>
      <c r="J9" s="869">
        <f>'Segment Detail'!J23</f>
        <v>29.236999999999998</v>
      </c>
      <c r="K9" s="869">
        <f>'Segment Detail'!K23</f>
        <v>33.630000000000003</v>
      </c>
      <c r="L9" s="869">
        <f>'Segment Detail'!L23</f>
        <v>32.332000000000001</v>
      </c>
      <c r="M9" s="869">
        <f>'Segment Detail'!M23</f>
        <v>47.084000000000003</v>
      </c>
      <c r="N9" s="868">
        <f>'Segment Detail'!N23</f>
        <v>142.28300000000002</v>
      </c>
      <c r="O9" s="869">
        <f>'Segment Detail'!O23</f>
        <v>38.838000000000001</v>
      </c>
      <c r="P9" s="869">
        <f>'Segment Detail'!P23</f>
        <v>32.866999999999997</v>
      </c>
      <c r="Q9" s="869">
        <f>'Segment Detail'!Q23</f>
        <v>7.1639999999999997</v>
      </c>
      <c r="R9" s="869">
        <f>'Segment Detail'!R23</f>
        <v>3.4000000000000002E-2</v>
      </c>
      <c r="S9" s="868">
        <f>'Segment Detail'!S23</f>
        <v>78.903000000000006</v>
      </c>
      <c r="T9" s="869">
        <f>'Segment Detail'!T23</f>
        <v>0</v>
      </c>
      <c r="U9" s="869">
        <f>'Segment Detail'!U23</f>
        <v>0</v>
      </c>
      <c r="V9" s="869">
        <f>'Segment Detail'!V23</f>
        <v>0</v>
      </c>
      <c r="W9" s="869">
        <f>'Segment Detail'!W23</f>
        <v>0</v>
      </c>
      <c r="X9" s="868">
        <f>'Segment Detail'!X23</f>
        <v>0</v>
      </c>
      <c r="Y9" s="869">
        <f>'Segment Detail'!Y23</f>
        <v>0</v>
      </c>
      <c r="Z9" s="869">
        <f>'Segment Detail'!Z23</f>
        <v>0</v>
      </c>
      <c r="AA9" s="869">
        <f>'Segment Detail'!AA23</f>
        <v>0</v>
      </c>
      <c r="AB9" s="869">
        <f>'Segment Detail'!AB23</f>
        <v>0</v>
      </c>
      <c r="AC9" s="868">
        <f>'Segment Detail'!AC23</f>
        <v>0</v>
      </c>
      <c r="AD9" s="869">
        <f>'Segment Detail'!AD23</f>
        <v>0</v>
      </c>
      <c r="AE9" s="869">
        <f>'Segment Detail'!AE23</f>
        <v>0</v>
      </c>
      <c r="AF9" s="869">
        <f>'Segment Detail'!AF23</f>
        <v>0</v>
      </c>
      <c r="AG9" s="869">
        <f>'Segment Detail'!AG23</f>
        <v>0</v>
      </c>
      <c r="AH9" s="868">
        <f>'Segment Detail'!AH23</f>
        <v>0</v>
      </c>
      <c r="AI9" s="869">
        <f>'Segment Detail'!AI23</f>
        <v>0</v>
      </c>
      <c r="AJ9" s="869">
        <f>'Segment Detail'!AJ23</f>
        <v>0</v>
      </c>
      <c r="AK9" s="869">
        <f>'Segment Detail'!AK23</f>
        <v>0</v>
      </c>
      <c r="AL9" s="869">
        <f>'Segment Detail'!AL23</f>
        <v>0</v>
      </c>
      <c r="AM9" s="868">
        <f>'Segment Detail'!AM23</f>
        <v>0</v>
      </c>
    </row>
    <row r="10" spans="1:39">
      <c r="A10" s="858"/>
      <c r="B10" s="870" t="s">
        <v>26</v>
      </c>
      <c r="C10" s="871"/>
      <c r="D10" s="872">
        <f>'Segment Detail'!D24</f>
        <v>11.084890719037061</v>
      </c>
      <c r="E10" s="873">
        <f>'Segment Detail'!E24</f>
        <v>0</v>
      </c>
      <c r="F10" s="873">
        <f>'Segment Detail'!F24</f>
        <v>0</v>
      </c>
      <c r="G10" s="873">
        <f>'Segment Detail'!G24</f>
        <v>0</v>
      </c>
      <c r="H10" s="873">
        <f>'Segment Detail'!H24</f>
        <v>0</v>
      </c>
      <c r="I10" s="872">
        <f>'Segment Detail'!I24</f>
        <v>7.4858460893268974E-2</v>
      </c>
      <c r="J10" s="873">
        <f>'Segment Detail'!J24</f>
        <v>0.10470037028640511</v>
      </c>
      <c r="K10" s="873">
        <f>'Segment Detail'!K24</f>
        <v>0.11553388396855424</v>
      </c>
      <c r="L10" s="873">
        <f>'Segment Detail'!L24</f>
        <v>8.1518648603445376E-2</v>
      </c>
      <c r="M10" s="873">
        <f>'Segment Detail'!M24</f>
        <v>0.28940738306495795</v>
      </c>
      <c r="N10" s="872">
        <f>'Segment Detail'!N24</f>
        <v>0.15654669007673316</v>
      </c>
      <c r="O10" s="873">
        <f>'Segment Detail'!O24</f>
        <v>0.32838526524609235</v>
      </c>
      <c r="P10" s="873">
        <f>'Segment Detail'!P24</f>
        <v>-2.2688076122509782E-2</v>
      </c>
      <c r="Q10" s="873">
        <f>'Segment Detail'!Q24</f>
        <v>-0.77842385253000124</v>
      </c>
      <c r="R10" s="873">
        <f>'Segment Detail'!R24</f>
        <v>-0.99927788633081305</v>
      </c>
      <c r="S10" s="872">
        <f>'Segment Detail'!S24</f>
        <v>-0.44545026461348158</v>
      </c>
      <c r="T10" s="873">
        <f>'Segment Detail'!T24</f>
        <v>0</v>
      </c>
      <c r="U10" s="873">
        <f>'Segment Detail'!U24</f>
        <v>0</v>
      </c>
      <c r="V10" s="873">
        <f>'Segment Detail'!V24</f>
        <v>0</v>
      </c>
      <c r="W10" s="873">
        <f>'Segment Detail'!W24</f>
        <v>0</v>
      </c>
      <c r="X10" s="872">
        <f>'Segment Detail'!X24</f>
        <v>0</v>
      </c>
      <c r="Y10" s="873">
        <f>'Segment Detail'!Y24</f>
        <v>0</v>
      </c>
      <c r="Z10" s="873">
        <f>'Segment Detail'!Z24</f>
        <v>0</v>
      </c>
      <c r="AA10" s="873">
        <f>'Segment Detail'!AA24</f>
        <v>0</v>
      </c>
      <c r="AB10" s="873">
        <f>'Segment Detail'!AB24</f>
        <v>0</v>
      </c>
      <c r="AC10" s="872">
        <f>'Segment Detail'!AC24</f>
        <v>0</v>
      </c>
      <c r="AD10" s="873">
        <f>'Segment Detail'!AD24</f>
        <v>0</v>
      </c>
      <c r="AE10" s="873">
        <f>'Segment Detail'!AE24</f>
        <v>0</v>
      </c>
      <c r="AF10" s="873">
        <f>'Segment Detail'!AF24</f>
        <v>0</v>
      </c>
      <c r="AG10" s="873">
        <f>'Segment Detail'!AG24</f>
        <v>0</v>
      </c>
      <c r="AH10" s="872">
        <f>'Segment Detail'!AH24</f>
        <v>0</v>
      </c>
      <c r="AI10" s="873">
        <f>'Segment Detail'!AI24</f>
        <v>0</v>
      </c>
      <c r="AJ10" s="873">
        <f>'Segment Detail'!AJ24</f>
        <v>0</v>
      </c>
      <c r="AK10" s="873">
        <f>'Segment Detail'!AK24</f>
        <v>0</v>
      </c>
      <c r="AL10" s="873">
        <f>'Segment Detail'!AL24</f>
        <v>0</v>
      </c>
      <c r="AM10" s="872">
        <f>'Segment Detail'!AM24</f>
        <v>0</v>
      </c>
    </row>
    <row r="11" spans="1:39" hidden="1">
      <c r="A11" s="858"/>
      <c r="B11" s="870" t="s">
        <v>412</v>
      </c>
      <c r="C11" s="874">
        <f>'Segment Detail'!C50</f>
        <v>4.6552207187059165E-2</v>
      </c>
      <c r="D11" s="875">
        <f>'Segment Detail'!D50</f>
        <v>0.20718530572938257</v>
      </c>
      <c r="E11" s="876">
        <f>'Segment Detail'!E50</f>
        <v>0.16032032565634047</v>
      </c>
      <c r="F11" s="876">
        <f>'Segment Detail'!F50</f>
        <v>0.14578134973597168</v>
      </c>
      <c r="G11" s="876">
        <f>'Segment Detail'!G50</f>
        <v>0.13145281857356431</v>
      </c>
      <c r="H11" s="876">
        <f>'Segment Detail'!H50</f>
        <v>0.14554353631414063</v>
      </c>
      <c r="I11" s="875">
        <f>'Segment Detail'!I50</f>
        <v>0.14470143214709147</v>
      </c>
      <c r="J11" s="876">
        <f>'Segment Detail'!J50</f>
        <v>0.11668801909345976</v>
      </c>
      <c r="K11" s="876">
        <f>'Segment Detail'!K50</f>
        <v>0.10847932183489081</v>
      </c>
      <c r="L11" s="876">
        <f>'Segment Detail'!L50</f>
        <v>9.7330427348368997E-2</v>
      </c>
      <c r="M11" s="876">
        <f>'Segment Detail'!M50</f>
        <v>0.12577198418634469</v>
      </c>
      <c r="N11" s="875">
        <f>'Segment Detail'!N50</f>
        <v>0.11228867398300713</v>
      </c>
      <c r="O11" s="876">
        <f>'Segment Detail'!O50</f>
        <v>0.10240225275464117</v>
      </c>
      <c r="P11" s="876">
        <f>'Segment Detail'!P50</f>
        <v>7.4947609415939045E-2</v>
      </c>
      <c r="Q11" s="876">
        <f>'Segment Detail'!Q50</f>
        <v>1.6318832260445285E-2</v>
      </c>
      <c r="R11" s="876">
        <f>'Segment Detail'!R50</f>
        <v>7.5235054224558932E-5</v>
      </c>
      <c r="S11" s="875">
        <f>'Segment Detail'!S50</f>
        <v>4.6176643231984636E-2</v>
      </c>
      <c r="T11" s="876">
        <f>'Segment Detail'!T50</f>
        <v>0</v>
      </c>
      <c r="U11" s="876">
        <f>'Segment Detail'!U50</f>
        <v>0</v>
      </c>
      <c r="V11" s="876">
        <f>'Segment Detail'!V50</f>
        <v>0</v>
      </c>
      <c r="W11" s="876">
        <f>'Segment Detail'!W50</f>
        <v>0</v>
      </c>
      <c r="X11" s="875">
        <f>'Segment Detail'!X50</f>
        <v>0</v>
      </c>
      <c r="Y11" s="876">
        <f>'Segment Detail'!Y50</f>
        <v>0</v>
      </c>
      <c r="Z11" s="876">
        <f>'Segment Detail'!Z50</f>
        <v>0</v>
      </c>
      <c r="AA11" s="876">
        <f>'Segment Detail'!AA50</f>
        <v>0</v>
      </c>
      <c r="AB11" s="876">
        <f>'Segment Detail'!AB50</f>
        <v>0</v>
      </c>
      <c r="AC11" s="875">
        <f>'Segment Detail'!AC50</f>
        <v>0</v>
      </c>
      <c r="AD11" s="876">
        <f>'Segment Detail'!AD50</f>
        <v>0</v>
      </c>
      <c r="AE11" s="876">
        <f>'Segment Detail'!AE50</f>
        <v>0</v>
      </c>
      <c r="AF11" s="876">
        <f>'Segment Detail'!AF50</f>
        <v>0</v>
      </c>
      <c r="AG11" s="876">
        <f>'Segment Detail'!AG50</f>
        <v>0</v>
      </c>
      <c r="AH11" s="875">
        <f>'Segment Detail'!AH50</f>
        <v>0</v>
      </c>
      <c r="AI11" s="876">
        <f>'Segment Detail'!AI50</f>
        <v>0</v>
      </c>
      <c r="AJ11" s="876">
        <f>'Segment Detail'!AJ50</f>
        <v>0</v>
      </c>
      <c r="AK11" s="876">
        <f>'Segment Detail'!AK50</f>
        <v>0</v>
      </c>
      <c r="AL11" s="876">
        <f>'Segment Detail'!AL50</f>
        <v>0</v>
      </c>
      <c r="AM11" s="875">
        <f>'Segment Detail'!AM50</f>
        <v>0</v>
      </c>
    </row>
    <row r="12" spans="1:39">
      <c r="A12" s="858"/>
      <c r="B12" s="866" t="str">
        <f>'Segment Detail'!B30</f>
        <v>Subscription and services-based revenue</v>
      </c>
      <c r="C12" s="867">
        <f>'Segment Detail'!C30</f>
        <v>0</v>
      </c>
      <c r="D12" s="868">
        <f>'Segment Detail'!D30</f>
        <v>0</v>
      </c>
      <c r="E12" s="869">
        <f>'Segment Detail'!E30</f>
        <v>0.52300000000000002</v>
      </c>
      <c r="F12" s="869">
        <f>'Segment Detail'!F30</f>
        <v>1.766</v>
      </c>
      <c r="G12" s="869">
        <f>'Segment Detail'!G30</f>
        <v>3.7330000000000001</v>
      </c>
      <c r="H12" s="869">
        <f>'Segment Detail'!H30</f>
        <v>6.024</v>
      </c>
      <c r="I12" s="868">
        <f>'Segment Detail'!I30</f>
        <v>12.045999999999999</v>
      </c>
      <c r="J12" s="869">
        <f>'Segment Detail'!J30</f>
        <v>8.0060000000000002</v>
      </c>
      <c r="K12" s="869">
        <f>'Segment Detail'!K30</f>
        <v>12.928000000000001</v>
      </c>
      <c r="L12" s="869">
        <f>'Segment Detail'!L30</f>
        <v>14.694000000000001</v>
      </c>
      <c r="M12" s="869">
        <f>'Segment Detail'!M30</f>
        <v>22.385000000000002</v>
      </c>
      <c r="N12" s="868">
        <f>'Segment Detail'!N30</f>
        <v>58.013000000000005</v>
      </c>
      <c r="O12" s="869">
        <f>'Segment Detail'!O30</f>
        <v>23.795999999999999</v>
      </c>
      <c r="P12" s="869">
        <f>'Segment Detail'!P30</f>
        <v>29.716999999999999</v>
      </c>
      <c r="Q12" s="869">
        <f>'Segment Detail'!Q30</f>
        <v>35.32</v>
      </c>
      <c r="R12" s="869">
        <f>'Segment Detail'!R30</f>
        <v>40.518000000000001</v>
      </c>
      <c r="S12" s="868">
        <f>'Segment Detail'!S30</f>
        <v>129.351</v>
      </c>
      <c r="T12" s="869">
        <f>'Segment Detail'!T30</f>
        <v>49.06</v>
      </c>
      <c r="U12" s="869">
        <f>'Segment Detail'!U30</f>
        <v>59.151000000000003</v>
      </c>
      <c r="V12" s="869">
        <f>'Segment Detail'!V30</f>
        <v>65.051000000000002</v>
      </c>
      <c r="W12" s="869">
        <f>'Segment Detail'!W30</f>
        <v>72.932400000000001</v>
      </c>
      <c r="X12" s="868">
        <f>'Segment Detail'!X30</f>
        <v>246.1944</v>
      </c>
      <c r="Y12" s="869">
        <f>'Segment Detail'!Y30</f>
        <v>83.402000000000001</v>
      </c>
      <c r="Z12" s="869">
        <f>'Segment Detail'!Z30</f>
        <v>100.55670000000001</v>
      </c>
      <c r="AA12" s="869">
        <f>'Segment Detail'!AA30</f>
        <v>110.58669999999999</v>
      </c>
      <c r="AB12" s="869">
        <f>'Segment Detail'!AB30</f>
        <v>123.98508</v>
      </c>
      <c r="AC12" s="868">
        <f>'Segment Detail'!AC30</f>
        <v>418.53048000000001</v>
      </c>
      <c r="AD12" s="869">
        <f>'Segment Detail'!AD30</f>
        <v>130.10712000000001</v>
      </c>
      <c r="AE12" s="869">
        <f>'Segment Detail'!AE30</f>
        <v>156.86845200000002</v>
      </c>
      <c r="AF12" s="869">
        <f>'Segment Detail'!AF30</f>
        <v>172.515252</v>
      </c>
      <c r="AG12" s="869">
        <f>'Segment Detail'!AG30</f>
        <v>193.4167248</v>
      </c>
      <c r="AH12" s="868">
        <f>'Segment Detail'!AH30</f>
        <v>652.90754880000009</v>
      </c>
      <c r="AI12" s="869">
        <f>'Segment Detail'!AI30</f>
        <v>192.55853760000002</v>
      </c>
      <c r="AJ12" s="869">
        <f>'Segment Detail'!AJ30</f>
        <v>232.16530896000003</v>
      </c>
      <c r="AK12" s="869">
        <f>'Segment Detail'!AK30</f>
        <v>255.32257296</v>
      </c>
      <c r="AL12" s="869">
        <f>'Segment Detail'!AL30</f>
        <v>286.25675270400001</v>
      </c>
      <c r="AM12" s="868">
        <f>'Segment Detail'!AM30</f>
        <v>966.30317222400004</v>
      </c>
    </row>
    <row r="13" spans="1:39">
      <c r="A13" s="858"/>
      <c r="B13" s="870" t="s">
        <v>26</v>
      </c>
      <c r="C13" s="871"/>
      <c r="D13" s="872" t="str">
        <f>'Segment Detail'!D32</f>
        <v>NM</v>
      </c>
      <c r="E13" s="873">
        <f>'Segment Detail'!E32</f>
        <v>0</v>
      </c>
      <c r="F13" s="873">
        <f>'Segment Detail'!F32</f>
        <v>0</v>
      </c>
      <c r="G13" s="873">
        <f>'Segment Detail'!G32</f>
        <v>0</v>
      </c>
      <c r="H13" s="873">
        <f>'Segment Detail'!H32</f>
        <v>0</v>
      </c>
      <c r="I13" s="872" t="str">
        <f>'Segment Detail'!I32</f>
        <v>NM</v>
      </c>
      <c r="J13" s="873">
        <f>'Segment Detail'!J32</f>
        <v>14.307839388145315</v>
      </c>
      <c r="K13" s="873">
        <f>'Segment Detail'!K32</f>
        <v>6.3204983012457534</v>
      </c>
      <c r="L13" s="873">
        <f>'Segment Detail'!L32</f>
        <v>2.936244307527458</v>
      </c>
      <c r="M13" s="873">
        <f>'Segment Detail'!M32</f>
        <v>2.7159694555112885</v>
      </c>
      <c r="N13" s="872">
        <f>'Segment Detail'!N32</f>
        <v>3.8159555039017112</v>
      </c>
      <c r="O13" s="873">
        <f>'Segment Detail'!O32</f>
        <v>1.9722707969023232</v>
      </c>
      <c r="P13" s="873">
        <f>'Segment Detail'!P32</f>
        <v>1.2986540841584158</v>
      </c>
      <c r="Q13" s="873">
        <f>'Segment Detail'!Q32</f>
        <v>1.4037021913706274</v>
      </c>
      <c r="R13" s="873">
        <f>'Segment Detail'!R32</f>
        <v>0.81005137368773728</v>
      </c>
      <c r="S13" s="872">
        <f>'Segment Detail'!S32</f>
        <v>1.2296898970920309</v>
      </c>
      <c r="T13" s="873">
        <f>'Segment Detail'!T32</f>
        <v>1.0616910405110103</v>
      </c>
      <c r="U13" s="873">
        <f>'Segment Detail'!U32</f>
        <v>0.99047683144328191</v>
      </c>
      <c r="V13" s="873">
        <f>'Segment Detail'!V32</f>
        <v>0.8417610419026047</v>
      </c>
      <c r="W13" s="873">
        <f>'Segment Detail'!W32</f>
        <v>0.8</v>
      </c>
      <c r="X13" s="872">
        <f>'Segment Detail'!X32</f>
        <v>0.90330496092028678</v>
      </c>
      <c r="Y13" s="873">
        <f>'Segment Detail'!Y32</f>
        <v>0.7</v>
      </c>
      <c r="Z13" s="873">
        <f>'Segment Detail'!Z32</f>
        <v>0.7</v>
      </c>
      <c r="AA13" s="873">
        <f>'Segment Detail'!AA32</f>
        <v>0.7</v>
      </c>
      <c r="AB13" s="873">
        <f>'Segment Detail'!AB32</f>
        <v>0.7</v>
      </c>
      <c r="AC13" s="872">
        <f>'Segment Detail'!AC32</f>
        <v>0.7</v>
      </c>
      <c r="AD13" s="873">
        <f>'Segment Detail'!AD32</f>
        <v>0.56000000000000005</v>
      </c>
      <c r="AE13" s="873">
        <f>'Segment Detail'!AE32</f>
        <v>0.56000000000000005</v>
      </c>
      <c r="AF13" s="873">
        <f>'Segment Detail'!AF32</f>
        <v>0.56000000000000005</v>
      </c>
      <c r="AG13" s="873">
        <f>'Segment Detail'!AG32</f>
        <v>0.56000000000000005</v>
      </c>
      <c r="AH13" s="872">
        <f>'Segment Detail'!AH32</f>
        <v>0.56000000000000005</v>
      </c>
      <c r="AI13" s="873">
        <f>'Segment Detail'!AI32</f>
        <v>0.48</v>
      </c>
      <c r="AJ13" s="873">
        <f>'Segment Detail'!AJ32</f>
        <v>0.48</v>
      </c>
      <c r="AK13" s="873">
        <f>'Segment Detail'!AK32</f>
        <v>0.48</v>
      </c>
      <c r="AL13" s="873">
        <f>'Segment Detail'!AL32</f>
        <v>0.48</v>
      </c>
      <c r="AM13" s="872">
        <f>'Segment Detail'!AM32</f>
        <v>0.47999999999999976</v>
      </c>
    </row>
    <row r="14" spans="1:39" hidden="1">
      <c r="A14" s="858"/>
      <c r="B14" s="870" t="s">
        <v>412</v>
      </c>
      <c r="C14" s="874">
        <f>'Segment Detail'!C51</f>
        <v>0</v>
      </c>
      <c r="D14" s="875">
        <f>'Segment Detail'!D51</f>
        <v>0</v>
      </c>
      <c r="E14" s="876">
        <f>'Segment Detail'!E51</f>
        <v>3.1681225088138012E-3</v>
      </c>
      <c r="F14" s="876">
        <f>'Segment Detail'!F51</f>
        <v>8.5398170177372872E-3</v>
      </c>
      <c r="G14" s="876">
        <f>'Segment Detail'!G51</f>
        <v>1.6414563362940813E-2</v>
      </c>
      <c r="H14" s="876">
        <f>'Segment Detail'!H51</f>
        <v>2.4010139740288729E-2</v>
      </c>
      <c r="I14" s="875">
        <f>'Segment Detail'!I51</f>
        <v>1.416856427724561E-2</v>
      </c>
      <c r="J14" s="876">
        <f>'Segment Detail'!J51</f>
        <v>3.1952809141233329E-2</v>
      </c>
      <c r="K14" s="876">
        <f>'Segment Detail'!K51</f>
        <v>4.1701477034834032E-2</v>
      </c>
      <c r="L14" s="876">
        <f>'Segment Detail'!L51</f>
        <v>4.4233987982708591E-2</v>
      </c>
      <c r="M14" s="876">
        <f>'Segment Detail'!M51</f>
        <v>5.9795384122235284E-2</v>
      </c>
      <c r="N14" s="875">
        <f>'Segment Detail'!N51</f>
        <v>4.5783423485421255E-2</v>
      </c>
      <c r="O14" s="876">
        <f>'Segment Detail'!O51</f>
        <v>6.2741747941434708E-2</v>
      </c>
      <c r="P14" s="876">
        <f>'Segment Detail'!P51</f>
        <v>6.7764569599095173E-2</v>
      </c>
      <c r="Q14" s="876">
        <f>'Segment Detail'!Q51</f>
        <v>8.0455214327041794E-2</v>
      </c>
      <c r="R14" s="876">
        <f>'Segment Detail'!R51</f>
        <v>8.9658056678549369E-2</v>
      </c>
      <c r="S14" s="875">
        <f>'Segment Detail'!S51</f>
        <v>7.5700480066669754E-2</v>
      </c>
      <c r="T14" s="876">
        <f>'Segment Detail'!T51</f>
        <v>0.10629308813269953</v>
      </c>
      <c r="U14" s="876">
        <f>'Segment Detail'!U51</f>
        <v>0.10725378736366852</v>
      </c>
      <c r="V14" s="876">
        <f>'Segment Detail'!V51</f>
        <v>0.11116807568541198</v>
      </c>
      <c r="W14" s="876">
        <f>'Segment Detail'!W51</f>
        <v>0.12195685315897173</v>
      </c>
      <c r="X14" s="875">
        <f>'Segment Detail'!X51</f>
        <v>0.11209833275883664</v>
      </c>
      <c r="Y14" s="876">
        <f>'Segment Detail'!Y51</f>
        <v>0.13696393983823274</v>
      </c>
      <c r="Z14" s="876">
        <f>'Segment Detail'!Z51</f>
        <v>0.13733257552852457</v>
      </c>
      <c r="AA14" s="876">
        <f>'Segment Detail'!AA51</f>
        <v>0.14207704488083139</v>
      </c>
      <c r="AB14" s="876">
        <f>'Segment Detail'!AB51</f>
        <v>0.15490561538444414</v>
      </c>
      <c r="AC14" s="875">
        <f>'Segment Detail'!AC51</f>
        <v>0.14333749011001101</v>
      </c>
      <c r="AD14" s="876">
        <f>'Segment Detail'!AD51</f>
        <v>0.1630531101298241</v>
      </c>
      <c r="AE14" s="876">
        <f>'Segment Detail'!AE51</f>
        <v>0.16347618655647914</v>
      </c>
      <c r="AF14" s="876">
        <f>'Segment Detail'!AF51</f>
        <v>0.16894350180264739</v>
      </c>
      <c r="AG14" s="876">
        <f>'Segment Detail'!AG51</f>
        <v>0.18368051930251467</v>
      </c>
      <c r="AH14" s="875">
        <f>'Segment Detail'!AH51</f>
        <v>0.17039760562228812</v>
      </c>
      <c r="AI14" s="876">
        <f>'Segment Detail'!AI51</f>
        <v>0.18740340804434655</v>
      </c>
      <c r="AJ14" s="876">
        <f>'Segment Detail'!AJ51</f>
        <v>0.18786880554857746</v>
      </c>
      <c r="AK14" s="876">
        <f>'Segment Detail'!AK51</f>
        <v>0.19395343970470311</v>
      </c>
      <c r="AL14" s="876">
        <f>'Segment Detail'!AL51</f>
        <v>0.21032521559390274</v>
      </c>
      <c r="AM14" s="875">
        <f>'Segment Detail'!AM51</f>
        <v>0.19557927490038762</v>
      </c>
    </row>
    <row r="15" spans="1:39">
      <c r="A15" s="858"/>
      <c r="B15" s="866" t="str">
        <f>'Segment Detail'!B39</f>
        <v>Hardware revenue</v>
      </c>
      <c r="C15" s="867">
        <f>'Segment Detail'!C39</f>
        <v>0</v>
      </c>
      <c r="D15" s="868">
        <f>'Segment Detail'!D39</f>
        <v>4.24</v>
      </c>
      <c r="E15" s="869">
        <f>'Segment Detail'!E39</f>
        <v>1.079</v>
      </c>
      <c r="F15" s="869">
        <f>'Segment Detail'!F39</f>
        <v>1.9890000000000001</v>
      </c>
      <c r="G15" s="869">
        <f>'Segment Detail'!G39</f>
        <v>2.2320000000000002</v>
      </c>
      <c r="H15" s="869">
        <f>'Segment Detail'!H39</f>
        <v>2.0230000000000001</v>
      </c>
      <c r="I15" s="868">
        <f>'Segment Detail'!I39</f>
        <v>7.3230000000000004</v>
      </c>
      <c r="J15" s="869">
        <f>'Segment Detail'!J39</f>
        <v>2.2040000000000002</v>
      </c>
      <c r="K15" s="869">
        <f>'Segment Detail'!K39</f>
        <v>3.5910000000000002</v>
      </c>
      <c r="L15" s="869">
        <f>'Segment Detail'!L39</f>
        <v>4.2069999999999999</v>
      </c>
      <c r="M15" s="869">
        <f>'Segment Detail'!M39</f>
        <v>6.375</v>
      </c>
      <c r="N15" s="868">
        <f>'Segment Detail'!N39</f>
        <v>16.376999999999999</v>
      </c>
      <c r="O15" s="869">
        <f>'Segment Detail'!O39</f>
        <v>16.181999999999999</v>
      </c>
      <c r="P15" s="869">
        <f>'Segment Detail'!P39</f>
        <v>11.085000000000001</v>
      </c>
      <c r="Q15" s="869">
        <f>'Segment Detail'!Q39</f>
        <v>8.1709999999999994</v>
      </c>
      <c r="R15" s="869">
        <f>'Segment Detail'!R39</f>
        <v>8.8689999999999998</v>
      </c>
      <c r="S15" s="868">
        <f>'Segment Detail'!S39</f>
        <v>44.307000000000002</v>
      </c>
      <c r="T15" s="869">
        <f>'Segment Detail'!T39</f>
        <v>9.016</v>
      </c>
      <c r="U15" s="869">
        <f>'Segment Detail'!U39</f>
        <v>10.289</v>
      </c>
      <c r="V15" s="869">
        <f>'Segment Detail'!V39</f>
        <v>10.089</v>
      </c>
      <c r="W15" s="869">
        <f>'Segment Detail'!W39</f>
        <v>10.642799999999999</v>
      </c>
      <c r="X15" s="868">
        <f>'Segment Detail'!X39</f>
        <v>40.036799999999999</v>
      </c>
      <c r="Y15" s="869">
        <f>'Segment Detail'!Y39</f>
        <v>11.27</v>
      </c>
      <c r="Z15" s="869">
        <f>'Segment Detail'!Z39</f>
        <v>12.86125</v>
      </c>
      <c r="AA15" s="869">
        <f>'Segment Detail'!AA39</f>
        <v>12.61125</v>
      </c>
      <c r="AB15" s="869">
        <f>'Segment Detail'!AB39</f>
        <v>13.3035</v>
      </c>
      <c r="AC15" s="868">
        <f>'Segment Detail'!AC39</f>
        <v>50.045999999999999</v>
      </c>
      <c r="AD15" s="869">
        <f>'Segment Detail'!AD39</f>
        <v>14.087499999999999</v>
      </c>
      <c r="AE15" s="869">
        <f>'Segment Detail'!AE39</f>
        <v>16.076562500000001</v>
      </c>
      <c r="AF15" s="869">
        <f>'Segment Detail'!AF39</f>
        <v>15.7640625</v>
      </c>
      <c r="AG15" s="869">
        <f>'Segment Detail'!AG39</f>
        <v>16.629375</v>
      </c>
      <c r="AH15" s="868">
        <f>'Segment Detail'!AH39</f>
        <v>62.557500000000005</v>
      </c>
      <c r="AI15" s="869">
        <f>'Segment Detail'!AI39</f>
        <v>16.904999999999998</v>
      </c>
      <c r="AJ15" s="869">
        <f>'Segment Detail'!AJ39</f>
        <v>19.291875000000001</v>
      </c>
      <c r="AK15" s="869">
        <f>'Segment Detail'!AK39</f>
        <v>18.916874999999997</v>
      </c>
      <c r="AL15" s="869">
        <f>'Segment Detail'!AL39</f>
        <v>19.955249999999999</v>
      </c>
      <c r="AM15" s="868">
        <f>'Segment Detail'!AM39</f>
        <v>75.068999999999988</v>
      </c>
    </row>
    <row r="16" spans="1:39">
      <c r="A16" s="858"/>
      <c r="B16" s="870" t="s">
        <v>26</v>
      </c>
      <c r="C16" s="871"/>
      <c r="D16" s="872" t="str">
        <f>'Segment Detail'!D40</f>
        <v>NM</v>
      </c>
      <c r="E16" s="873">
        <f>'Segment Detail'!E40</f>
        <v>0</v>
      </c>
      <c r="F16" s="873">
        <f>'Segment Detail'!F40</f>
        <v>0</v>
      </c>
      <c r="G16" s="873">
        <f>'Segment Detail'!G40</f>
        <v>0</v>
      </c>
      <c r="H16" s="873">
        <f>'Segment Detail'!H40</f>
        <v>0</v>
      </c>
      <c r="I16" s="872">
        <f>'Segment Detail'!I40</f>
        <v>0.72712264150943406</v>
      </c>
      <c r="J16" s="873">
        <f>'Segment Detail'!J40</f>
        <v>1.0426320667284523</v>
      </c>
      <c r="K16" s="873">
        <f>'Segment Detail'!K40</f>
        <v>0.80542986425339369</v>
      </c>
      <c r="L16" s="873">
        <f>'Segment Detail'!L40</f>
        <v>0.8848566308243726</v>
      </c>
      <c r="M16" s="873">
        <f>'Segment Detail'!M40</f>
        <v>2.1512605042016806</v>
      </c>
      <c r="N16" s="872">
        <f>'Segment Detail'!N40</f>
        <v>1.2363785333879553</v>
      </c>
      <c r="O16" s="873">
        <f>'Segment Detail'!O40</f>
        <v>6.3421052631578938</v>
      </c>
      <c r="P16" s="873">
        <f>'Segment Detail'!P40</f>
        <v>2.0868838763575606</v>
      </c>
      <c r="Q16" s="873">
        <f>'Segment Detail'!Q40</f>
        <v>0.94223912526741138</v>
      </c>
      <c r="R16" s="873">
        <f>'Segment Detail'!R40</f>
        <v>0.39121568627450976</v>
      </c>
      <c r="S16" s="872">
        <f>'Segment Detail'!S40</f>
        <v>1.7054405568785493</v>
      </c>
      <c r="T16" s="873">
        <f>'Segment Detail'!T40</f>
        <v>-0.44283772092448392</v>
      </c>
      <c r="U16" s="873">
        <f>'Segment Detail'!U40</f>
        <v>-7.1808750563825074E-2</v>
      </c>
      <c r="V16" s="873">
        <f>'Segment Detail'!V40</f>
        <v>0.23473259087015075</v>
      </c>
      <c r="W16" s="873">
        <f>'Segment Detail'!W40</f>
        <v>0.2</v>
      </c>
      <c r="X16" s="872">
        <f>'Segment Detail'!X40</f>
        <v>-9.6377547565847488E-2</v>
      </c>
      <c r="Y16" s="873">
        <f>'Segment Detail'!Y40</f>
        <v>0.25</v>
      </c>
      <c r="Z16" s="873">
        <f>'Segment Detail'!Z40</f>
        <v>0.25</v>
      </c>
      <c r="AA16" s="873">
        <f>'Segment Detail'!AA40</f>
        <v>0.25</v>
      </c>
      <c r="AB16" s="873">
        <f>'Segment Detail'!AB40</f>
        <v>0.25</v>
      </c>
      <c r="AC16" s="872">
        <f>'Segment Detail'!AC40</f>
        <v>0.25</v>
      </c>
      <c r="AD16" s="873">
        <f>'Segment Detail'!AD40</f>
        <v>0.25</v>
      </c>
      <c r="AE16" s="873">
        <f>'Segment Detail'!AE40</f>
        <v>0.25</v>
      </c>
      <c r="AF16" s="873">
        <f>'Segment Detail'!AF40</f>
        <v>0.25</v>
      </c>
      <c r="AG16" s="873">
        <f>'Segment Detail'!AG40</f>
        <v>0.25</v>
      </c>
      <c r="AH16" s="872">
        <f>'Segment Detail'!AH40</f>
        <v>0.25</v>
      </c>
      <c r="AI16" s="873">
        <f>'Segment Detail'!AI40</f>
        <v>0.2</v>
      </c>
      <c r="AJ16" s="873">
        <f>'Segment Detail'!AJ40</f>
        <v>0.2</v>
      </c>
      <c r="AK16" s="873">
        <f>'Segment Detail'!AK40</f>
        <v>0.2</v>
      </c>
      <c r="AL16" s="873">
        <f>'Segment Detail'!AL40</f>
        <v>0.2</v>
      </c>
      <c r="AM16" s="872">
        <f>'Segment Detail'!AM40</f>
        <v>0.19999999999999973</v>
      </c>
    </row>
    <row r="17" spans="1:39" hidden="1">
      <c r="A17" s="858"/>
      <c r="B17" s="870" t="s">
        <v>412</v>
      </c>
      <c r="C17" s="874">
        <f>'Segment Detail'!C52</f>
        <v>0</v>
      </c>
      <c r="D17" s="875">
        <f>'Segment Detail'!D52</f>
        <v>7.6751388856205194E-3</v>
      </c>
      <c r="E17" s="876">
        <f>'Segment Detail'!E52</f>
        <v>6.5361456730594477E-3</v>
      </c>
      <c r="F17" s="876">
        <f>'Segment Detail'!F52</f>
        <v>9.6181744327743287E-3</v>
      </c>
      <c r="G17" s="876">
        <f>'Segment Detail'!G52</f>
        <v>9.8144402427227159E-3</v>
      </c>
      <c r="H17" s="876">
        <f>'Segment Detail'!H52</f>
        <v>8.0631661179621679E-3</v>
      </c>
      <c r="I17" s="875">
        <f>'Segment Detail'!I52</f>
        <v>8.6133485142179649E-3</v>
      </c>
      <c r="J17" s="876">
        <f>'Segment Detail'!J52</f>
        <v>8.7964016171968862E-3</v>
      </c>
      <c r="K17" s="876">
        <f>'Segment Detail'!K52</f>
        <v>1.1583385212878172E-2</v>
      </c>
      <c r="L17" s="876">
        <f>'Segment Detail'!L52</f>
        <v>1.2664515274483123E-2</v>
      </c>
      <c r="M17" s="876">
        <f>'Segment Detail'!M52</f>
        <v>1.7029062934074152E-2</v>
      </c>
      <c r="N17" s="875">
        <f>'Segment Detail'!N52</f>
        <v>1.2924605285379894E-2</v>
      </c>
      <c r="O17" s="876">
        <f>'Segment Detail'!O52</f>
        <v>4.2666286988918153E-2</v>
      </c>
      <c r="P17" s="876">
        <f>'Segment Detail'!P52</f>
        <v>2.527745916498873E-2</v>
      </c>
      <c r="Q17" s="876">
        <f>'Segment Detail'!Q52</f>
        <v>1.8612671468467113E-2</v>
      </c>
      <c r="R17" s="876">
        <f>'Segment Detail'!R52</f>
        <v>1.9625285174047446E-2</v>
      </c>
      <c r="S17" s="875">
        <f>'Segment Detail'!S52</f>
        <v>2.5929920683364929E-2</v>
      </c>
      <c r="T17" s="876">
        <f>'Segment Detail'!T52</f>
        <v>1.9534009021696268E-2</v>
      </c>
      <c r="U17" s="876">
        <f>'Segment Detail'!U52</f>
        <v>1.8656222518381518E-2</v>
      </c>
      <c r="V17" s="876">
        <f>'Segment Detail'!V52</f>
        <v>1.7241467703649774E-2</v>
      </c>
      <c r="W17" s="876">
        <f>'Segment Detail'!W52</f>
        <v>1.7796787117938039E-2</v>
      </c>
      <c r="X17" s="875">
        <f>'Segment Detail'!X52</f>
        <v>1.8229734425311828E-2</v>
      </c>
      <c r="Y17" s="876">
        <f>'Segment Detail'!Y52</f>
        <v>1.8507752835386238E-2</v>
      </c>
      <c r="Z17" s="876">
        <f>'Segment Detail'!Z52</f>
        <v>1.7564902060392164E-2</v>
      </c>
      <c r="AA17" s="876">
        <f>'Segment Detail'!AA52</f>
        <v>1.6202392622742021E-2</v>
      </c>
      <c r="AB17" s="876">
        <f>'Segment Detail'!AB52</f>
        <v>1.6621248736274984E-2</v>
      </c>
      <c r="AC17" s="875">
        <f>'Segment Detail'!AC52</f>
        <v>1.713965499011114E-2</v>
      </c>
      <c r="AD17" s="876">
        <f>'Segment Detail'!AD52</f>
        <v>1.7654765465209721E-2</v>
      </c>
      <c r="AE17" s="876">
        <f>'Segment Detail'!AE52</f>
        <v>1.6753751929909379E-2</v>
      </c>
      <c r="AF17" s="876">
        <f>'Segment Detail'!AF52</f>
        <v>1.5437683859893131E-2</v>
      </c>
      <c r="AG17" s="876">
        <f>'Segment Detail'!AG52</f>
        <v>1.5792286002333625E-2</v>
      </c>
      <c r="AH17" s="875">
        <f>'Segment Detail'!AH52</f>
        <v>1.6326428195397653E-2</v>
      </c>
      <c r="AI17" s="876">
        <f>'Segment Detail'!AI52</f>
        <v>1.6452423520013675E-2</v>
      </c>
      <c r="AJ17" s="876">
        <f>'Segment Detail'!AJ52</f>
        <v>1.56110382265031E-2</v>
      </c>
      <c r="AK17" s="876">
        <f>'Segment Detail'!AK52</f>
        <v>1.4370029771275673E-2</v>
      </c>
      <c r="AL17" s="876">
        <f>'Segment Detail'!AL52</f>
        <v>1.4661985154356079E-2</v>
      </c>
      <c r="AM17" s="875">
        <f>'Segment Detail'!AM52</f>
        <v>1.5193927754273952E-2</v>
      </c>
    </row>
    <row r="18" spans="1:39">
      <c r="A18" s="858"/>
      <c r="B18" s="877" t="s">
        <v>413</v>
      </c>
      <c r="C18" s="878">
        <f>C6+C9+C12+C15</f>
        <v>203.44900000000001</v>
      </c>
      <c r="D18" s="879">
        <f t="shared" ref="D18:AM18" si="0">D6+D9+D12+D15</f>
        <v>552.43299999999999</v>
      </c>
      <c r="E18" s="880">
        <f t="shared" si="0"/>
        <v>165.08200000000002</v>
      </c>
      <c r="F18" s="880">
        <f t="shared" si="0"/>
        <v>206.79599999999999</v>
      </c>
      <c r="G18" s="880">
        <f t="shared" si="0"/>
        <v>227.42000000000002</v>
      </c>
      <c r="H18" s="880">
        <f t="shared" si="0"/>
        <v>250.89399999999998</v>
      </c>
      <c r="I18" s="879">
        <f t="shared" si="0"/>
        <v>850.19200000000001</v>
      </c>
      <c r="J18" s="880">
        <f t="shared" si="0"/>
        <v>250.55700000000002</v>
      </c>
      <c r="K18" s="880">
        <f t="shared" si="0"/>
        <v>310.01299999999998</v>
      </c>
      <c r="L18" s="880">
        <f t="shared" si="0"/>
        <v>332.18799999999999</v>
      </c>
      <c r="M18" s="880">
        <f t="shared" si="0"/>
        <v>374.36</v>
      </c>
      <c r="N18" s="879">
        <f t="shared" si="0"/>
        <v>1267.1179999999999</v>
      </c>
      <c r="O18" s="880">
        <f t="shared" si="0"/>
        <v>379.26900000000001</v>
      </c>
      <c r="P18" s="880">
        <f t="shared" si="0"/>
        <v>438.53299999999996</v>
      </c>
      <c r="Q18" s="880">
        <f t="shared" si="0"/>
        <v>439.00199999999995</v>
      </c>
      <c r="R18" s="880">
        <f t="shared" si="0"/>
        <v>451.91700000000003</v>
      </c>
      <c r="S18" s="879">
        <f t="shared" si="0"/>
        <v>1708.7209999999998</v>
      </c>
      <c r="T18" s="880">
        <f t="shared" si="0"/>
        <v>461.55400000000003</v>
      </c>
      <c r="U18" s="880">
        <f t="shared" si="0"/>
        <v>551.505</v>
      </c>
      <c r="V18" s="880">
        <f t="shared" si="0"/>
        <v>585.15900000000011</v>
      </c>
      <c r="W18" s="880">
        <f t="shared" si="0"/>
        <v>598.01805401564468</v>
      </c>
      <c r="X18" s="879">
        <f t="shared" si="0"/>
        <v>2196.2360540156442</v>
      </c>
      <c r="Y18" s="880">
        <f t="shared" si="0"/>
        <v>608.9340018876909</v>
      </c>
      <c r="Z18" s="880">
        <f t="shared" si="0"/>
        <v>732.21302093117697</v>
      </c>
      <c r="AA18" s="880">
        <f t="shared" si="0"/>
        <v>778.35726448812147</v>
      </c>
      <c r="AB18" s="880">
        <f t="shared" si="0"/>
        <v>800.3911265081922</v>
      </c>
      <c r="AC18" s="879">
        <f t="shared" si="0"/>
        <v>2919.8954138151812</v>
      </c>
      <c r="AD18" s="880">
        <f t="shared" si="0"/>
        <v>797.94319713624441</v>
      </c>
      <c r="AE18" s="880">
        <f t="shared" si="0"/>
        <v>959.57983425190662</v>
      </c>
      <c r="AF18" s="880">
        <f t="shared" si="0"/>
        <v>1021.1416844047957</v>
      </c>
      <c r="AG18" s="880">
        <f t="shared" si="0"/>
        <v>1053.0061954008861</v>
      </c>
      <c r="AH18" s="879">
        <f t="shared" si="0"/>
        <v>3831.6709111938326</v>
      </c>
      <c r="AI18" s="880">
        <f t="shared" si="0"/>
        <v>1027.5081953388681</v>
      </c>
      <c r="AJ18" s="880">
        <f t="shared" si="0"/>
        <v>1235.7842393370024</v>
      </c>
      <c r="AK18" s="880">
        <f t="shared" si="0"/>
        <v>1316.4116777136423</v>
      </c>
      <c r="AL18" s="880">
        <f t="shared" si="0"/>
        <v>1361.0196566098207</v>
      </c>
      <c r="AM18" s="879">
        <f t="shared" si="0"/>
        <v>4940.7237689993344</v>
      </c>
    </row>
    <row r="19" spans="1:39">
      <c r="A19" s="858"/>
      <c r="B19" s="881" t="s">
        <v>26</v>
      </c>
      <c r="C19" s="882"/>
      <c r="D19" s="883">
        <f>'Segment Detail'!D46</f>
        <v>1.7153389793019378</v>
      </c>
      <c r="E19" s="884">
        <f>'Segment Detail'!E46</f>
        <v>0</v>
      </c>
      <c r="F19" s="884">
        <f>'Segment Detail'!F46</f>
        <v>0</v>
      </c>
      <c r="G19" s="884">
        <f>'Segment Detail'!G46</f>
        <v>0</v>
      </c>
      <c r="H19" s="884">
        <f>'Segment Detail'!H46</f>
        <v>0</v>
      </c>
      <c r="I19" s="883">
        <f>'Segment Detail'!I46</f>
        <v>0.53899567911402824</v>
      </c>
      <c r="J19" s="884">
        <f>'Segment Detail'!J46</f>
        <v>0.51777298554657669</v>
      </c>
      <c r="K19" s="884">
        <f>'Segment Detail'!K46</f>
        <v>0.49912474129093409</v>
      </c>
      <c r="L19" s="884">
        <f>'Segment Detail'!L46</f>
        <v>0.46068067892005971</v>
      </c>
      <c r="M19" s="884">
        <f>'Segment Detail'!M46</f>
        <v>0.49210423525472935</v>
      </c>
      <c r="N19" s="883">
        <f>'Segment Detail'!N46</f>
        <v>0.49039040593183647</v>
      </c>
      <c r="O19" s="884">
        <f>'Segment Detail'!O46</f>
        <v>0.51370346867179917</v>
      </c>
      <c r="P19" s="884">
        <f>'Segment Detail'!P46</f>
        <v>0.4145632602503766</v>
      </c>
      <c r="Q19" s="884">
        <f>'Segment Detail'!Q46</f>
        <v>0.32154683492480163</v>
      </c>
      <c r="R19" s="884">
        <f>'Segment Detail'!R46</f>
        <v>0.20717224062399842</v>
      </c>
      <c r="S19" s="883">
        <f>'Segment Detail'!S46</f>
        <v>0.34850976783535548</v>
      </c>
      <c r="T19" s="884">
        <f>'Segment Detail'!T46</f>
        <v>0.21695683011266409</v>
      </c>
      <c r="U19" s="884">
        <f>'Segment Detail'!U46</f>
        <v>0.25761345212332953</v>
      </c>
      <c r="V19" s="884">
        <f>'Segment Detail'!V46</f>
        <v>0.33293014610411831</v>
      </c>
      <c r="W19" s="884">
        <f>'Segment Detail'!W46</f>
        <v>0.32329178591565411</v>
      </c>
      <c r="X19" s="883">
        <f>'Segment Detail'!X46</f>
        <v>0.28530992128945831</v>
      </c>
      <c r="Y19" s="884">
        <f>'Segment Detail'!Y46</f>
        <v>0.31931258723289324</v>
      </c>
      <c r="Z19" s="884">
        <f>'Segment Detail'!Z46</f>
        <v>0.32766343175705925</v>
      </c>
      <c r="AA19" s="884">
        <f>'Segment Detail'!AA46</f>
        <v>0.33016370676708617</v>
      </c>
      <c r="AB19" s="884">
        <f>'Segment Detail'!AB46</f>
        <v>0.3384062924749982</v>
      </c>
      <c r="AC19" s="883">
        <f>'Segment Detail'!AC46</f>
        <v>0.32949980876435525</v>
      </c>
      <c r="AD19" s="884">
        <f>'Segment Detail'!AD46</f>
        <v>0.31039356426579312</v>
      </c>
      <c r="AE19" s="884">
        <f>'Segment Detail'!AE46</f>
        <v>0.31052003559234787</v>
      </c>
      <c r="AF19" s="884">
        <f>'Segment Detail'!AF46</f>
        <v>0.31191900043014154</v>
      </c>
      <c r="AG19" s="884">
        <f>'Segment Detail'!AG46</f>
        <v>0.31561452960474368</v>
      </c>
      <c r="AH19" s="883">
        <f>'Segment Detail'!AH46</f>
        <v>0.31226306704845674</v>
      </c>
      <c r="AI19" s="884">
        <f>'Segment Detail'!AI46</f>
        <v>0.28769591498055802</v>
      </c>
      <c r="AJ19" s="884">
        <f>'Segment Detail'!AJ46</f>
        <v>0.28783890117952105</v>
      </c>
      <c r="AK19" s="884">
        <f>'Segment Detail'!AK46</f>
        <v>0.28915673291797317</v>
      </c>
      <c r="AL19" s="884">
        <f>'Segment Detail'!AL46</f>
        <v>0.29250868850935108</v>
      </c>
      <c r="AM19" s="883">
        <f>'Segment Detail'!AM46</f>
        <v>0.28944366139730793</v>
      </c>
    </row>
    <row r="20" spans="1:39" ht="5.25" customHeight="1">
      <c r="A20" s="858"/>
      <c r="B20" s="870"/>
      <c r="C20" s="885"/>
      <c r="D20" s="886"/>
      <c r="E20" s="887"/>
      <c r="F20" s="887"/>
      <c r="G20" s="887"/>
      <c r="H20" s="887"/>
      <c r="I20" s="886"/>
      <c r="J20" s="887"/>
      <c r="K20" s="887"/>
      <c r="L20" s="887"/>
      <c r="M20" s="887"/>
      <c r="N20" s="886"/>
      <c r="O20" s="887"/>
      <c r="P20" s="887"/>
      <c r="Q20" s="887"/>
      <c r="R20" s="887"/>
      <c r="S20" s="886"/>
      <c r="T20" s="887"/>
      <c r="U20" s="887"/>
      <c r="V20" s="887"/>
      <c r="W20" s="887"/>
      <c r="X20" s="886"/>
      <c r="Y20" s="887"/>
      <c r="Z20" s="887"/>
      <c r="AA20" s="887"/>
      <c r="AB20" s="887"/>
      <c r="AC20" s="886"/>
      <c r="AD20" s="887"/>
      <c r="AE20" s="887"/>
      <c r="AF20" s="887"/>
      <c r="AG20" s="887"/>
      <c r="AH20" s="886"/>
      <c r="AI20" s="887"/>
      <c r="AJ20" s="887"/>
      <c r="AK20" s="887"/>
      <c r="AL20" s="887"/>
      <c r="AM20" s="886"/>
    </row>
    <row r="21" spans="1:39">
      <c r="A21" s="858"/>
      <c r="B21" s="866" t="s">
        <v>94</v>
      </c>
      <c r="C21" s="867">
        <f>'Quarterly Model'!C19</f>
        <v>126.351</v>
      </c>
      <c r="D21" s="868">
        <f>'Quarterly Model'!D19</f>
        <v>277.83300000000003</v>
      </c>
      <c r="E21" s="869">
        <f>'Quarterly Model'!E19</f>
        <v>86.275000000000006</v>
      </c>
      <c r="F21" s="869">
        <f>'Quarterly Model'!F19</f>
        <v>109.801</v>
      </c>
      <c r="G21" s="869">
        <f>'Quarterly Model'!G19</f>
        <v>122.425</v>
      </c>
      <c r="H21" s="869">
        <f>'Quarterly Model'!H19</f>
        <v>132.357</v>
      </c>
      <c r="I21" s="868">
        <f>'Quarterly Model'!I19</f>
        <v>450.85800000000006</v>
      </c>
      <c r="J21" s="869">
        <f>'Quarterly Model'!J19</f>
        <v>132.16399999999999</v>
      </c>
      <c r="K21" s="869">
        <f>'Quarterly Model'!K19</f>
        <v>166.76300000000001</v>
      </c>
      <c r="L21" s="869">
        <f>'Quarterly Model'!L19</f>
        <v>182.00700000000001</v>
      </c>
      <c r="M21" s="869">
        <f>'Quarterly Model'!M19</f>
        <v>192.73</v>
      </c>
      <c r="N21" s="868">
        <f>'Quarterly Model'!N19</f>
        <v>673.66399999999999</v>
      </c>
      <c r="O21" s="869">
        <f>'Quarterly Model'!O19</f>
        <v>194.27600000000001</v>
      </c>
      <c r="P21" s="869">
        <f>'Quarterly Model'!P19</f>
        <v>234.857</v>
      </c>
      <c r="Q21" s="869">
        <f>'Quarterly Model'!Q19</f>
        <v>254.06100000000001</v>
      </c>
      <c r="R21" s="869">
        <f>'Quarterly Model'!R19</f>
        <v>260.00599999999997</v>
      </c>
      <c r="S21" s="868">
        <f>'Quarterly Model'!S19</f>
        <v>943.2</v>
      </c>
      <c r="T21" s="869">
        <f>'Quarterly Model'!T19</f>
        <v>257.77800000000002</v>
      </c>
      <c r="U21" s="869">
        <f>'Quarterly Model'!U19</f>
        <v>311.09199999999998</v>
      </c>
      <c r="V21" s="869">
        <f>'Quarterly Model'!V19</f>
        <v>328.04300000000001</v>
      </c>
      <c r="W21" s="869">
        <f>'Quarterly Model'!W19</f>
        <v>332.02023363453344</v>
      </c>
      <c r="X21" s="868">
        <f>'Quarterly Model'!X19</f>
        <v>1228.9332336345335</v>
      </c>
      <c r="Y21" s="869">
        <f>'Quarterly Model'!Y19</f>
        <v>330.96704400000004</v>
      </c>
      <c r="Z21" s="869">
        <f>'Quarterly Model'!Z19</f>
        <v>398.24209200000001</v>
      </c>
      <c r="AA21" s="869">
        <f>'Quarterly Model'!AA19</f>
        <v>421.64527200000003</v>
      </c>
      <c r="AB21" s="869">
        <f>'Quarterly Model'!AB19</f>
        <v>426.75735107999998</v>
      </c>
      <c r="AC21" s="868">
        <f>'Quarterly Model'!AC19</f>
        <v>1577.6117590800002</v>
      </c>
      <c r="AD21" s="869">
        <f>'Quarterly Model'!AD19</f>
        <v>420.25772735999999</v>
      </c>
      <c r="AE21" s="869">
        <f>'Quarterly Model'!AE19</f>
        <v>505.68272448000005</v>
      </c>
      <c r="AF21" s="869">
        <f>'Quarterly Model'!AF19</f>
        <v>535.39978368000004</v>
      </c>
      <c r="AG21" s="869">
        <f>'Quarterly Model'!AG19</f>
        <v>541.89103643519991</v>
      </c>
      <c r="AH21" s="868">
        <f>'Quarterly Model'!AH19</f>
        <v>2003.2312719552001</v>
      </c>
      <c r="AI21" s="869">
        <f>'Quarterly Model'!AI19</f>
        <v>523.84618702080002</v>
      </c>
      <c r="AJ21" s="869">
        <f>'Quarterly Model'!AJ19</f>
        <v>630.32741533440014</v>
      </c>
      <c r="AK21" s="869">
        <f>'Quarterly Model'!AK19</f>
        <v>667.36937111040015</v>
      </c>
      <c r="AL21" s="869">
        <f>'Quarterly Model'!AL19</f>
        <v>675.46063935705604</v>
      </c>
      <c r="AM21" s="868">
        <f>'Quarterly Model'!AM19</f>
        <v>2497.0036128226566</v>
      </c>
    </row>
    <row r="22" spans="1:39">
      <c r="A22" s="858"/>
      <c r="B22" s="870" t="s">
        <v>95</v>
      </c>
      <c r="C22" s="871">
        <f>'Quarterly Model'!C20</f>
        <v>1.9384934028843202E-2</v>
      </c>
      <c r="D22" s="872">
        <f>'Quarterly Model'!D20</f>
        <v>1.8748431068223229E-2</v>
      </c>
      <c r="E22" s="873">
        <f>'Quarterly Model'!E20</f>
        <v>1.8735070575461456E-2</v>
      </c>
      <c r="F22" s="873">
        <f>'Quarterly Model'!F20</f>
        <v>1.896717913283814E-2</v>
      </c>
      <c r="G22" s="873">
        <f>'Quarterly Model'!G20</f>
        <v>1.9039657853810264E-2</v>
      </c>
      <c r="H22" s="873">
        <f>'Quarterly Model'!H20</f>
        <v>1.9030481667864845E-2</v>
      </c>
      <c r="I22" s="872">
        <f>'Quarterly Model'!I20</f>
        <v>1.8960343159931035E-2</v>
      </c>
      <c r="J22" s="873">
        <f>'Quarterly Model'!J20</f>
        <v>1.8572793704328273E-2</v>
      </c>
      <c r="K22" s="873">
        <f>'Quarterly Model'!K20</f>
        <v>1.8989182418583467E-2</v>
      </c>
      <c r="L22" s="873">
        <f>'Quarterly Model'!L20</f>
        <v>1.9078301886792454E-2</v>
      </c>
      <c r="M22" s="873">
        <f>'Quarterly Model'!M20</f>
        <v>1.8908074168547041E-2</v>
      </c>
      <c r="N22" s="872">
        <f>'Quarterly Model'!N20</f>
        <v>1.8906682383317896E-2</v>
      </c>
      <c r="O22" s="873">
        <f>'Quarterly Model'!O20</f>
        <v>1.8880077745383868E-2</v>
      </c>
      <c r="P22" s="873">
        <f>'Quarterly Model'!P20</f>
        <v>1.8862501003935425E-2</v>
      </c>
      <c r="Q22" s="873">
        <f>'Quarterly Model'!Q20</f>
        <v>1.9177309782608697E-2</v>
      </c>
      <c r="R22" s="873">
        <f>'Quarterly Model'!R20</f>
        <v>1.8986855557178325E-2</v>
      </c>
      <c r="S22" s="872">
        <f>'Quarterly Model'!S20</f>
        <v>1.8984360847774894E-2</v>
      </c>
      <c r="T22" s="873">
        <f>'Quarterly Model'!T20</f>
        <v>1.8888986590459442E-2</v>
      </c>
      <c r="U22" s="873">
        <f>'Quarterly Model'!U20</f>
        <v>1.8944765848608488E-2</v>
      </c>
      <c r="V22" s="873">
        <f>'Quarterly Model'!V20</f>
        <v>1.8868227309329345E-2</v>
      </c>
      <c r="W22" s="873">
        <f>'Quarterly Model'!W20</f>
        <v>1.8868227309329345E-2</v>
      </c>
      <c r="X22" s="872">
        <f>'Quarterly Model'!X20</f>
        <v>1.8891903290252643E-2</v>
      </c>
      <c r="Y22" s="873">
        <f>'Quarterly Model'!Y20</f>
        <v>1.8800000000000001E-2</v>
      </c>
      <c r="Z22" s="873">
        <f>'Quarterly Model'!Z20</f>
        <v>1.8800000000000001E-2</v>
      </c>
      <c r="AA22" s="873">
        <f>'Quarterly Model'!AA20</f>
        <v>1.8800000000000001E-2</v>
      </c>
      <c r="AB22" s="873">
        <f>'Quarterly Model'!AB20</f>
        <v>1.8800000000000001E-2</v>
      </c>
      <c r="AC22" s="872">
        <f>'Quarterly Model'!AC20</f>
        <v>1.8800000000000001E-2</v>
      </c>
      <c r="AD22" s="873">
        <f>'Quarterly Model'!AD20</f>
        <v>1.865E-2</v>
      </c>
      <c r="AE22" s="873">
        <f>'Quarterly Model'!AE20</f>
        <v>1.865E-2</v>
      </c>
      <c r="AF22" s="873">
        <f>'Quarterly Model'!AF20</f>
        <v>1.865E-2</v>
      </c>
      <c r="AG22" s="873">
        <f>'Quarterly Model'!AG20</f>
        <v>1.865E-2</v>
      </c>
      <c r="AH22" s="872">
        <f>'Quarterly Model'!AH20</f>
        <v>1.865E-2</v>
      </c>
      <c r="AI22" s="873">
        <f>'Quarterly Model'!AI20</f>
        <v>1.8450000000000001E-2</v>
      </c>
      <c r="AJ22" s="873">
        <f>'Quarterly Model'!AJ20</f>
        <v>1.8450000000000001E-2</v>
      </c>
      <c r="AK22" s="873">
        <f>'Quarterly Model'!AK20</f>
        <v>1.8450000000000001E-2</v>
      </c>
      <c r="AL22" s="873">
        <f>'Quarterly Model'!AL20</f>
        <v>1.8450000000000001E-2</v>
      </c>
      <c r="AM22" s="872">
        <f>'Quarterly Model'!AM20</f>
        <v>1.8450000000000001E-2</v>
      </c>
    </row>
    <row r="23" spans="1:39" ht="6" customHeight="1">
      <c r="A23" s="858"/>
      <c r="B23" s="870"/>
      <c r="C23" s="885"/>
      <c r="D23" s="886"/>
      <c r="E23" s="887"/>
      <c r="F23" s="887"/>
      <c r="G23" s="887"/>
      <c r="H23" s="887"/>
      <c r="I23" s="886"/>
      <c r="J23" s="887"/>
      <c r="K23" s="887"/>
      <c r="L23" s="887"/>
      <c r="M23" s="887"/>
      <c r="N23" s="886"/>
      <c r="O23" s="887"/>
      <c r="P23" s="887"/>
      <c r="Q23" s="887"/>
      <c r="R23" s="887"/>
      <c r="S23" s="886"/>
      <c r="T23" s="887"/>
      <c r="U23" s="887"/>
      <c r="V23" s="887"/>
      <c r="W23" s="887"/>
      <c r="X23" s="886"/>
      <c r="Y23" s="887"/>
      <c r="Z23" s="887"/>
      <c r="AA23" s="887"/>
      <c r="AB23" s="887"/>
      <c r="AC23" s="886"/>
      <c r="AD23" s="887"/>
      <c r="AE23" s="887"/>
      <c r="AF23" s="887"/>
      <c r="AG23" s="887"/>
      <c r="AH23" s="886"/>
      <c r="AI23" s="887"/>
      <c r="AJ23" s="887"/>
      <c r="AK23" s="887"/>
      <c r="AL23" s="887"/>
      <c r="AM23" s="886"/>
    </row>
    <row r="24" spans="1:39">
      <c r="A24" s="858"/>
      <c r="B24" s="877" t="s">
        <v>100</v>
      </c>
      <c r="C24" s="878">
        <f>'Quarterly Model'!C26</f>
        <v>67.62700000000001</v>
      </c>
      <c r="D24" s="879">
        <f>'Quarterly Model'!D26</f>
        <v>160.14399999999995</v>
      </c>
      <c r="E24" s="880">
        <f>'Quarterly Model'!E26</f>
        <v>52.341000000000008</v>
      </c>
      <c r="F24" s="880">
        <f>'Quarterly Model'!F26</f>
        <v>66.847999999999999</v>
      </c>
      <c r="G24" s="880">
        <f>'Quarterly Model'!G26</f>
        <v>75.100000000000009</v>
      </c>
      <c r="H24" s="880">
        <f>'Quarterly Model'!H26</f>
        <v>82.020999999999987</v>
      </c>
      <c r="I24" s="879">
        <f>'Quarterly Model'!I26</f>
        <v>276.30999999999995</v>
      </c>
      <c r="J24" s="880">
        <f>'Quarterly Model'!J26</f>
        <v>89.156000000000034</v>
      </c>
      <c r="K24" s="880">
        <f>'Quarterly Model'!K26</f>
        <v>109.61999999999998</v>
      </c>
      <c r="L24" s="880">
        <f>'Quarterly Model'!L26</f>
        <v>117.84899999999999</v>
      </c>
      <c r="M24" s="880">
        <f>'Quarterly Model'!M26</f>
        <v>134.54600000000002</v>
      </c>
      <c r="N24" s="879">
        <f>'Quarterly Model'!N26</f>
        <v>451.17100000000005</v>
      </c>
      <c r="O24" s="880">
        <f>'Quarterly Model'!O26</f>
        <v>146.15499999999997</v>
      </c>
      <c r="P24" s="880">
        <f>'Quarterly Model'!P26</f>
        <v>170.80899999999994</v>
      </c>
      <c r="Q24" s="880">
        <f>'Quarterly Model'!Q26</f>
        <v>177.77699999999996</v>
      </c>
      <c r="R24" s="880">
        <f>'Quarterly Model'!R26</f>
        <v>191.87700000000007</v>
      </c>
      <c r="S24" s="879">
        <f>'Quarterly Model'!S26</f>
        <v>686.61799999999971</v>
      </c>
      <c r="T24" s="880">
        <f>'Quarterly Model'!T26</f>
        <v>203.77600000000001</v>
      </c>
      <c r="U24" s="880">
        <f>'Quarterly Model'!U26</f>
        <v>240.41300000000001</v>
      </c>
      <c r="V24" s="880">
        <f>'Quarterly Model'!V26</f>
        <v>257.1160000000001</v>
      </c>
      <c r="W24" s="880">
        <f>'Quarterly Model'!W26</f>
        <v>265.99782038111124</v>
      </c>
      <c r="X24" s="879">
        <f>'Quarterly Model'!X26</f>
        <v>967.30282038111068</v>
      </c>
      <c r="Y24" s="880">
        <f>'Quarterly Model'!Y26</f>
        <v>277.96695788769085</v>
      </c>
      <c r="Z24" s="880">
        <f>'Quarterly Model'!Z26</f>
        <v>333.97092893117696</v>
      </c>
      <c r="AA24" s="880">
        <f>'Quarterly Model'!AA26</f>
        <v>356.71199248812144</v>
      </c>
      <c r="AB24" s="880">
        <f>'Quarterly Model'!AB26</f>
        <v>373.63377542819222</v>
      </c>
      <c r="AC24" s="879">
        <f>'Quarterly Model'!AC26</f>
        <v>1342.283654735181</v>
      </c>
      <c r="AD24" s="880">
        <f>'Quarterly Model'!AD26</f>
        <v>377.68546977624442</v>
      </c>
      <c r="AE24" s="880">
        <f>'Quarterly Model'!AE26</f>
        <v>453.89710977190657</v>
      </c>
      <c r="AF24" s="880">
        <f>'Quarterly Model'!AF26</f>
        <v>485.74190072479564</v>
      </c>
      <c r="AG24" s="880">
        <f>'Quarterly Model'!AG26</f>
        <v>511.11515896568619</v>
      </c>
      <c r="AH24" s="879">
        <f>'Quarterly Model'!AH26</f>
        <v>1828.4396392386325</v>
      </c>
      <c r="AI24" s="880">
        <f>'Quarterly Model'!AI26</f>
        <v>503.66200831806805</v>
      </c>
      <c r="AJ24" s="880">
        <f>'Quarterly Model'!AJ26</f>
        <v>605.45682400260227</v>
      </c>
      <c r="AK24" s="880">
        <f>'Quarterly Model'!AK26</f>
        <v>649.0423066032422</v>
      </c>
      <c r="AL24" s="880">
        <f>'Quarterly Model'!AL26</f>
        <v>685.55901725276465</v>
      </c>
      <c r="AM24" s="879">
        <f>'Quarterly Model'!AM26</f>
        <v>2443.7201561766778</v>
      </c>
    </row>
    <row r="25" spans="1:39">
      <c r="A25" s="858"/>
      <c r="B25" s="881" t="s">
        <v>26</v>
      </c>
      <c r="C25" s="882"/>
      <c r="D25" s="883">
        <f>'Quarterly Model'!D27</f>
        <v>1.3680482647463279</v>
      </c>
      <c r="E25" s="884">
        <f>'Quarterly Model'!E27</f>
        <v>0</v>
      </c>
      <c r="F25" s="884">
        <f>'Quarterly Model'!F27</f>
        <v>0</v>
      </c>
      <c r="G25" s="884">
        <f>'Quarterly Model'!G27</f>
        <v>0</v>
      </c>
      <c r="H25" s="884">
        <f>'Quarterly Model'!H27</f>
        <v>0</v>
      </c>
      <c r="I25" s="883">
        <f>'Quarterly Model'!I27</f>
        <v>0.7253846538115698</v>
      </c>
      <c r="J25" s="884">
        <f>'Quarterly Model'!J27</f>
        <v>0.70336829636422737</v>
      </c>
      <c r="K25" s="884">
        <f>'Quarterly Model'!K27</f>
        <v>0.63983963618956397</v>
      </c>
      <c r="L25" s="884">
        <f>'Quarterly Model'!L27</f>
        <v>0.56922769640479332</v>
      </c>
      <c r="M25" s="884">
        <f>'Quarterly Model'!M27</f>
        <v>0.64038477950768757</v>
      </c>
      <c r="N25" s="883">
        <f>'Quarterly Model'!N27</f>
        <v>0.63284354529333053</v>
      </c>
      <c r="O25" s="884">
        <f>'Quarterly Model'!O27</f>
        <v>0.63931760061016552</v>
      </c>
      <c r="P25" s="884">
        <f>'Quarterly Model'!P27</f>
        <v>0.55819193577814241</v>
      </c>
      <c r="Q25" s="884">
        <f>'Quarterly Model'!Q27</f>
        <v>0.5085151337728786</v>
      </c>
      <c r="R25" s="884">
        <f>'Quarterly Model'!R27</f>
        <v>0.42610705632274493</v>
      </c>
      <c r="S25" s="883">
        <f>'Quarterly Model'!S27</f>
        <v>0.52185756619995449</v>
      </c>
      <c r="T25" s="884">
        <f>'Quarterly Model'!T27</f>
        <v>0.39424583490130383</v>
      </c>
      <c r="U25" s="884">
        <f>'Quarterly Model'!U27</f>
        <v>0.40749609212629356</v>
      </c>
      <c r="V25" s="884">
        <f>'Quarterly Model'!V27</f>
        <v>0.44628382749174622</v>
      </c>
      <c r="W25" s="884">
        <f>'Quarterly Model'!W27</f>
        <v>0.38629340869990236</v>
      </c>
      <c r="X25" s="883">
        <f>'Quarterly Model'!X27</f>
        <v>0.4087932742530942</v>
      </c>
      <c r="Y25" s="884">
        <f>'Quarterly Model'!Y27</f>
        <v>0.36408094126732715</v>
      </c>
      <c r="Z25" s="884">
        <f>'Quarterly Model'!Z27</f>
        <v>0.38915503292740805</v>
      </c>
      <c r="AA25" s="884">
        <f>'Quarterly Model'!AA27</f>
        <v>0.38735820597754045</v>
      </c>
      <c r="AB25" s="884">
        <f>'Quarterly Model'!AB27</f>
        <v>0.40464976326822688</v>
      </c>
      <c r="AC25" s="883">
        <f>'Quarterly Model'!AC27</f>
        <v>0.38765609533354861</v>
      </c>
      <c r="AD25" s="884">
        <f>'Quarterly Model'!AD27</f>
        <v>0.35874232191598687</v>
      </c>
      <c r="AE25" s="884">
        <f>'Quarterly Model'!AE27</f>
        <v>0.35909167670532005</v>
      </c>
      <c r="AF25" s="884">
        <f>'Quarterly Model'!AF27</f>
        <v>0.36172012983547486</v>
      </c>
      <c r="AG25" s="884">
        <f>'Quarterly Model'!AG27</f>
        <v>0.36795758996877992</v>
      </c>
      <c r="AH25" s="883">
        <f>'Quarterly Model'!AH27</f>
        <v>0.36218572936386173</v>
      </c>
      <c r="AI25" s="884">
        <f>'Quarterly Model'!AI27</f>
        <v>0.33354880879176263</v>
      </c>
      <c r="AJ25" s="884">
        <f>'Quarterly Model'!AJ27</f>
        <v>0.33390764331338851</v>
      </c>
      <c r="AK25" s="884">
        <f>'Quarterly Model'!AK27</f>
        <v>0.33618760422928151</v>
      </c>
      <c r="AL25" s="884">
        <f>'Quarterly Model'!AL27</f>
        <v>0.34130049799362294</v>
      </c>
      <c r="AM25" s="883">
        <f>'Quarterly Model'!AM27</f>
        <v>0.33650578544351073</v>
      </c>
    </row>
    <row r="26" spans="1:39">
      <c r="A26" s="858"/>
      <c r="B26" s="866" t="s">
        <v>101</v>
      </c>
      <c r="C26" s="867">
        <f>'Quarterly Model'!C29</f>
        <v>12.547000000000001</v>
      </c>
      <c r="D26" s="868">
        <f>'Quarterly Model'!D29</f>
        <v>139.803</v>
      </c>
      <c r="E26" s="869">
        <f>'Quarterly Model'!E29</f>
        <v>33.015999999999998</v>
      </c>
      <c r="F26" s="869">
        <f>'Quarterly Model'!F29</f>
        <v>37.496000000000002</v>
      </c>
      <c r="G26" s="869">
        <f>'Quarterly Model'!G29</f>
        <v>37.377000000000002</v>
      </c>
      <c r="H26" s="869">
        <f>'Quarterly Model'!H29</f>
        <v>43.066000000000003</v>
      </c>
      <c r="I26" s="868">
        <f>'Quarterly Model'!I29</f>
        <v>150.95500000000001</v>
      </c>
      <c r="J26" s="869">
        <f>'Quarterly Model'!J29</f>
        <v>36.210999999999999</v>
      </c>
      <c r="K26" s="869">
        <f>'Quarterly Model'!K29</f>
        <v>40.920999999999999</v>
      </c>
      <c r="L26" s="869">
        <f>'Quarterly Model'!L29</f>
        <v>41.41</v>
      </c>
      <c r="M26" s="869">
        <f>'Quarterly Model'!M29</f>
        <v>46.896000000000001</v>
      </c>
      <c r="N26" s="868">
        <f>'Quarterly Model'!N29</f>
        <v>165.43799999999999</v>
      </c>
      <c r="O26" s="869">
        <f>'Quarterly Model'!O29</f>
        <v>36.61</v>
      </c>
      <c r="P26" s="869">
        <f>'Quarterly Model'!P29</f>
        <v>28.672000000000001</v>
      </c>
      <c r="Q26" s="869">
        <f>'Quarterly Model'!Q29</f>
        <v>4.5279999999999996</v>
      </c>
      <c r="R26" s="869">
        <f>'Quarterly Model'!R29</f>
        <v>-4.9000000000000002E-2</v>
      </c>
      <c r="S26" s="868">
        <f>'Quarterly Model'!S29</f>
        <v>69.760999999999996</v>
      </c>
      <c r="T26" s="869">
        <f>'Quarterly Model'!T29</f>
        <v>0</v>
      </c>
      <c r="U26" s="869">
        <f>'Quarterly Model'!U29</f>
        <v>0</v>
      </c>
      <c r="V26" s="869">
        <f>'Quarterly Model'!V29</f>
        <v>0</v>
      </c>
      <c r="W26" s="869">
        <f>'Quarterly Model'!W29</f>
        <v>0</v>
      </c>
      <c r="X26" s="868">
        <f>'Quarterly Model'!X29</f>
        <v>0</v>
      </c>
      <c r="Y26" s="869">
        <f>'Quarterly Model'!Y29</f>
        <v>0</v>
      </c>
      <c r="Z26" s="869">
        <f>'Quarterly Model'!Z29</f>
        <v>0</v>
      </c>
      <c r="AA26" s="869">
        <f>'Quarterly Model'!AA29</f>
        <v>0</v>
      </c>
      <c r="AB26" s="869">
        <f>'Quarterly Model'!AB29</f>
        <v>0</v>
      </c>
      <c r="AC26" s="868">
        <f>'Quarterly Model'!AC29</f>
        <v>0</v>
      </c>
      <c r="AD26" s="869">
        <f>'Quarterly Model'!AD29</f>
        <v>0</v>
      </c>
      <c r="AE26" s="869">
        <f>'Quarterly Model'!AE29</f>
        <v>0</v>
      </c>
      <c r="AF26" s="869">
        <f>'Quarterly Model'!AF29</f>
        <v>0</v>
      </c>
      <c r="AG26" s="869">
        <f>'Quarterly Model'!AG29</f>
        <v>0</v>
      </c>
      <c r="AH26" s="868">
        <f>'Quarterly Model'!AH29</f>
        <v>0</v>
      </c>
      <c r="AI26" s="869">
        <f>'Quarterly Model'!AI29</f>
        <v>0</v>
      </c>
      <c r="AJ26" s="869">
        <f>'Quarterly Model'!AJ29</f>
        <v>0</v>
      </c>
      <c r="AK26" s="869">
        <f>'Quarterly Model'!AK29</f>
        <v>0</v>
      </c>
      <c r="AL26" s="869">
        <f>'Quarterly Model'!AL29</f>
        <v>0</v>
      </c>
      <c r="AM26" s="868">
        <f>'Quarterly Model'!AM29</f>
        <v>0</v>
      </c>
    </row>
    <row r="27" spans="1:39">
      <c r="A27" s="858"/>
      <c r="B27" s="866" t="s">
        <v>414</v>
      </c>
      <c r="C27" s="867">
        <f>'Quarterly Model'!C32</f>
        <v>0</v>
      </c>
      <c r="D27" s="868">
        <f>'Quarterly Model'!D32</f>
        <v>0</v>
      </c>
      <c r="E27" s="869">
        <f>'Quarterly Model'!E32</f>
        <v>1.4E-2</v>
      </c>
      <c r="F27" s="869">
        <f>'Quarterly Model'!F32</f>
        <v>3.1E-2</v>
      </c>
      <c r="G27" s="869">
        <f>'Quarterly Model'!G32</f>
        <v>0.98699999999999999</v>
      </c>
      <c r="H27" s="869">
        <f>'Quarterly Model'!H32</f>
        <v>1.9410000000000001</v>
      </c>
      <c r="I27" s="868">
        <f>'Quarterly Model'!I32</f>
        <v>2.9729999999999999</v>
      </c>
      <c r="J27" s="869">
        <f>'Quarterly Model'!J32</f>
        <v>3.0979999999999999</v>
      </c>
      <c r="K27" s="869">
        <f>'Quarterly Model'!K32</f>
        <v>4.1319999999999997</v>
      </c>
      <c r="L27" s="869">
        <f>'Quarterly Model'!L32</f>
        <v>5.593</v>
      </c>
      <c r="M27" s="869">
        <f>'Quarterly Model'!M32</f>
        <v>8.65</v>
      </c>
      <c r="N27" s="868">
        <f>'Quarterly Model'!N32</f>
        <v>21.472999999999999</v>
      </c>
      <c r="O27" s="869">
        <f>'Quarterly Model'!O32</f>
        <v>9.0329999999999995</v>
      </c>
      <c r="P27" s="869">
        <f>'Quarterly Model'!P32</f>
        <v>10.144</v>
      </c>
      <c r="Q27" s="869">
        <f>'Quarterly Model'!Q32</f>
        <v>12.523999999999999</v>
      </c>
      <c r="R27" s="869">
        <f>'Quarterly Model'!R32</f>
        <v>11.430999999999999</v>
      </c>
      <c r="S27" s="868">
        <f>'Quarterly Model'!S32</f>
        <v>43.131999999999998</v>
      </c>
      <c r="T27" s="869">
        <f>'Quarterly Model'!T32</f>
        <v>15.875999999999999</v>
      </c>
      <c r="U27" s="869">
        <f>'Quarterly Model'!U32</f>
        <v>17.116</v>
      </c>
      <c r="V27" s="869">
        <f>'Quarterly Model'!V32</f>
        <v>18.169</v>
      </c>
      <c r="W27" s="869">
        <f>'Quarterly Model'!W32</f>
        <v>20.370305999907764</v>
      </c>
      <c r="X27" s="868">
        <f>'Quarterly Model'!X32</f>
        <v>71.531305999907772</v>
      </c>
      <c r="Y27" s="869">
        <f>'Quarterly Model'!Y32</f>
        <v>25.321159999999995</v>
      </c>
      <c r="Z27" s="869">
        <f>'Quarterly Model'!Z32</f>
        <v>27.086065999999995</v>
      </c>
      <c r="AA27" s="869">
        <f>'Quarterly Model'!AA32</f>
        <v>28.675565999999996</v>
      </c>
      <c r="AB27" s="869">
        <f>'Quarterly Model'!AB32</f>
        <v>32.149818599843194</v>
      </c>
      <c r="AC27" s="868">
        <f>'Quarterly Model'!AC32</f>
        <v>113.23261059984318</v>
      </c>
      <c r="AD27" s="869">
        <f>'Quarterly Model'!AD32</f>
        <v>36.248331599999993</v>
      </c>
      <c r="AE27" s="869">
        <f>'Quarterly Model'!AE32</f>
        <v>38.332551659999993</v>
      </c>
      <c r="AF27" s="869">
        <f>'Quarterly Model'!AF32</f>
        <v>40.421001659999995</v>
      </c>
      <c r="AG27" s="869">
        <f>'Quarterly Model'!AG32</f>
        <v>45.31829889575539</v>
      </c>
      <c r="AH27" s="868">
        <f>'Quarterly Model'!AH32</f>
        <v>160.32018381575537</v>
      </c>
      <c r="AI27" s="869">
        <f>'Quarterly Model'!AI32</f>
        <v>48.833567327999987</v>
      </c>
      <c r="AJ27" s="869">
        <f>'Quarterly Model'!AJ32</f>
        <v>50.928043732799992</v>
      </c>
      <c r="AK27" s="869">
        <f>'Quarterly Model'!AK32</f>
        <v>53.440018132799999</v>
      </c>
      <c r="AL27" s="869">
        <f>'Quarterly Model'!AL32</f>
        <v>59.914663548117979</v>
      </c>
      <c r="AM27" s="868">
        <f>'Quarterly Model'!AM32</f>
        <v>213.11629274171796</v>
      </c>
    </row>
    <row r="28" spans="1:39">
      <c r="A28" s="858"/>
      <c r="B28" s="866" t="s">
        <v>105</v>
      </c>
      <c r="C28" s="867">
        <f>'Quarterly Model'!C38</f>
        <v>0</v>
      </c>
      <c r="D28" s="868">
        <f>'Quarterly Model'!D38</f>
        <v>6.0119999999999996</v>
      </c>
      <c r="E28" s="869">
        <f>'Quarterly Model'!E38</f>
        <v>3.4409999999999998</v>
      </c>
      <c r="F28" s="869">
        <f>'Quarterly Model'!F38</f>
        <v>4.9240000000000004</v>
      </c>
      <c r="G28" s="869">
        <f>'Quarterly Model'!G38</f>
        <v>5.1619999999999999</v>
      </c>
      <c r="H28" s="869">
        <f>'Quarterly Model'!H38</f>
        <v>4.8029999999999999</v>
      </c>
      <c r="I28" s="868">
        <f>'Quarterly Model'!I38</f>
        <v>18.330000000000002</v>
      </c>
      <c r="J28" s="869">
        <f>'Quarterly Model'!J38</f>
        <v>4.1970000000000001</v>
      </c>
      <c r="K28" s="869">
        <f>'Quarterly Model'!K38</f>
        <v>6.7130000000000001</v>
      </c>
      <c r="L28" s="869">
        <f>'Quarterly Model'!L38</f>
        <v>5.726</v>
      </c>
      <c r="M28" s="869">
        <f>'Quarterly Model'!M38</f>
        <v>14.238</v>
      </c>
      <c r="N28" s="868">
        <f>'Quarterly Model'!N38</f>
        <v>30.873999999999999</v>
      </c>
      <c r="O28" s="869">
        <f>'Quarterly Model'!O38</f>
        <v>26.74</v>
      </c>
      <c r="P28" s="869">
        <f>'Quarterly Model'!P38</f>
        <v>14.015000000000001</v>
      </c>
      <c r="Q28" s="869">
        <f>'Quarterly Model'!Q38</f>
        <v>15.689</v>
      </c>
      <c r="R28" s="869">
        <f>'Quarterly Model'!R38</f>
        <v>12.118</v>
      </c>
      <c r="S28" s="868">
        <f>'Quarterly Model'!S38</f>
        <v>68.561999999999998</v>
      </c>
      <c r="T28" s="869">
        <f>'Quarterly Model'!T38</f>
        <v>12.662000000000001</v>
      </c>
      <c r="U28" s="869">
        <f>'Quarterly Model'!U38</f>
        <v>14.173</v>
      </c>
      <c r="V28" s="869">
        <f>'Quarterly Model'!V38</f>
        <v>18.774999999999999</v>
      </c>
      <c r="W28" s="869">
        <f>'Quarterly Model'!W38</f>
        <v>14.899919999999998</v>
      </c>
      <c r="X28" s="868">
        <f>'Quarterly Model'!X38</f>
        <v>60.509919999999994</v>
      </c>
      <c r="Y28" s="869">
        <f>'Quarterly Model'!Y38</f>
        <v>14.651</v>
      </c>
      <c r="Z28" s="869">
        <f>'Quarterly Model'!Z38</f>
        <v>16.719625000000001</v>
      </c>
      <c r="AA28" s="869">
        <f>'Quarterly Model'!AA38</f>
        <v>16.394625000000001</v>
      </c>
      <c r="AB28" s="869">
        <f>'Quarterly Model'!AB38</f>
        <v>17.294550000000001</v>
      </c>
      <c r="AC28" s="868">
        <f>'Quarterly Model'!AC38</f>
        <v>65.059799999999996</v>
      </c>
      <c r="AD28" s="869">
        <f>'Quarterly Model'!AD38</f>
        <v>14.087499999999999</v>
      </c>
      <c r="AE28" s="869">
        <f>'Quarterly Model'!AE38</f>
        <v>16.076562500000001</v>
      </c>
      <c r="AF28" s="869">
        <f>'Quarterly Model'!AF38</f>
        <v>15.7640625</v>
      </c>
      <c r="AG28" s="869">
        <f>'Quarterly Model'!AG38</f>
        <v>16.629375</v>
      </c>
      <c r="AH28" s="868">
        <f>'Quarterly Model'!AH38</f>
        <v>62.557500000000005</v>
      </c>
      <c r="AI28" s="869">
        <f>'Quarterly Model'!AI38</f>
        <v>16.904999999999998</v>
      </c>
      <c r="AJ28" s="869">
        <f>'Quarterly Model'!AJ38</f>
        <v>19.291875000000001</v>
      </c>
      <c r="AK28" s="869">
        <f>'Quarterly Model'!AK38</f>
        <v>18.916874999999997</v>
      </c>
      <c r="AL28" s="869">
        <f>'Quarterly Model'!AL38</f>
        <v>19.955249999999999</v>
      </c>
      <c r="AM28" s="868">
        <f>'Quarterly Model'!AM38</f>
        <v>75.068999999999988</v>
      </c>
    </row>
    <row r="29" spans="1:39">
      <c r="A29" s="858"/>
      <c r="B29" s="866" t="s">
        <v>107</v>
      </c>
      <c r="C29" s="867">
        <f>'Quarterly Model'!C44</f>
        <v>0</v>
      </c>
      <c r="D29" s="868">
        <f>'Quarterly Model'!D44</f>
        <v>0</v>
      </c>
      <c r="E29" s="869">
        <f>'Quarterly Model'!E44</f>
        <v>0.08</v>
      </c>
      <c r="F29" s="869">
        <f>'Quarterly Model'!F44</f>
        <v>0.192</v>
      </c>
      <c r="G29" s="869">
        <f>'Quarterly Model'!G44</f>
        <v>0.33</v>
      </c>
      <c r="H29" s="869">
        <f>'Quarterly Model'!H44</f>
        <v>0.4</v>
      </c>
      <c r="I29" s="868">
        <f>'Quarterly Model'!I44</f>
        <v>1.0020000000000002</v>
      </c>
      <c r="J29" s="869">
        <f>'Quarterly Model'!J44</f>
        <v>0.60199999999999998</v>
      </c>
      <c r="K29" s="869">
        <f>'Quarterly Model'!K44</f>
        <v>1.1419999999999999</v>
      </c>
      <c r="L29" s="869">
        <f>'Quarterly Model'!L44</f>
        <v>1.1419999999999999</v>
      </c>
      <c r="M29" s="869">
        <f>'Quarterly Model'!M44</f>
        <v>2.7530000000000001</v>
      </c>
      <c r="N29" s="868">
        <f>'Quarterly Model'!N44</f>
        <v>5.6389999999999993</v>
      </c>
      <c r="O29" s="869">
        <f>'Quarterly Model'!O44</f>
        <v>2.37</v>
      </c>
      <c r="P29" s="869">
        <f>'Quarterly Model'!P44</f>
        <v>1.8859999999999999</v>
      </c>
      <c r="Q29" s="869">
        <f>'Quarterly Model'!Q44</f>
        <v>1.8859999999999999</v>
      </c>
      <c r="R29" s="869">
        <f>'Quarterly Model'!R44</f>
        <v>1.8859999999999999</v>
      </c>
      <c r="S29" s="868">
        <f>'Quarterly Model'!S44</f>
        <v>8.0280000000000005</v>
      </c>
      <c r="T29" s="869">
        <f>'Quarterly Model'!T44</f>
        <v>1.8069999999999999</v>
      </c>
      <c r="U29" s="869">
        <f>'Quarterly Model'!U44</f>
        <v>1.6950000000000001</v>
      </c>
      <c r="V29" s="869">
        <f>'Quarterly Model'!V44</f>
        <v>1.556</v>
      </c>
      <c r="W29" s="869">
        <f>'Quarterly Model'!W44</f>
        <v>1.556</v>
      </c>
      <c r="X29" s="868">
        <f>'Quarterly Model'!X44</f>
        <v>6.6139999999999999</v>
      </c>
      <c r="Y29" s="869">
        <f>'Quarterly Model'!Y44</f>
        <v>1.556</v>
      </c>
      <c r="Z29" s="869">
        <f>'Quarterly Model'!Z44</f>
        <v>1.556</v>
      </c>
      <c r="AA29" s="869">
        <f>'Quarterly Model'!AA44</f>
        <v>1.556</v>
      </c>
      <c r="AB29" s="869">
        <f>'Quarterly Model'!AB44</f>
        <v>1.556</v>
      </c>
      <c r="AC29" s="868">
        <f>'Quarterly Model'!AC44</f>
        <v>6.2240000000000002</v>
      </c>
      <c r="AD29" s="869">
        <f>'Quarterly Model'!AD44</f>
        <v>1.556</v>
      </c>
      <c r="AE29" s="869">
        <f>'Quarterly Model'!AE44</f>
        <v>1.556</v>
      </c>
      <c r="AF29" s="869">
        <f>'Quarterly Model'!AF44</f>
        <v>1.556</v>
      </c>
      <c r="AG29" s="869">
        <f>'Quarterly Model'!AG44</f>
        <v>1.556</v>
      </c>
      <c r="AH29" s="868">
        <f>'Quarterly Model'!AH44</f>
        <v>6.2240000000000002</v>
      </c>
      <c r="AI29" s="869">
        <f>'Quarterly Model'!AI44</f>
        <v>1.556</v>
      </c>
      <c r="AJ29" s="869">
        <f>'Quarterly Model'!AJ44</f>
        <v>1.556</v>
      </c>
      <c r="AK29" s="869">
        <f>'Quarterly Model'!AK44</f>
        <v>1.556</v>
      </c>
      <c r="AL29" s="869">
        <f>'Quarterly Model'!AL44</f>
        <v>1.556</v>
      </c>
      <c r="AM29" s="868">
        <f>'Quarterly Model'!AM44</f>
        <v>6.2240000000000002</v>
      </c>
    </row>
    <row r="30" spans="1:39">
      <c r="A30" s="858"/>
      <c r="B30" s="866" t="s">
        <v>415</v>
      </c>
      <c r="C30" s="867">
        <f>'Quarterly Model'!C46</f>
        <v>138.898</v>
      </c>
      <c r="D30" s="868">
        <f>'Quarterly Model'!D46</f>
        <v>423.64800000000002</v>
      </c>
      <c r="E30" s="869">
        <f>'Quarterly Model'!E46</f>
        <v>122.82599999999999</v>
      </c>
      <c r="F30" s="869">
        <f>'Quarterly Model'!F46</f>
        <v>152.44400000000002</v>
      </c>
      <c r="G30" s="869">
        <f>'Quarterly Model'!G46</f>
        <v>166.28100000000001</v>
      </c>
      <c r="H30" s="869">
        <f>'Quarterly Model'!H46</f>
        <v>182.56700000000001</v>
      </c>
      <c r="I30" s="868">
        <f>'Quarterly Model'!I46</f>
        <v>624.11800000000005</v>
      </c>
      <c r="J30" s="869">
        <f>'Quarterly Model'!J46</f>
        <v>176.27200000000002</v>
      </c>
      <c r="K30" s="869">
        <f>'Quarterly Model'!K46</f>
        <v>219.67099999999999</v>
      </c>
      <c r="L30" s="869">
        <f>'Quarterly Model'!L46</f>
        <v>235.87799999999999</v>
      </c>
      <c r="M30" s="869">
        <f>'Quarterly Model'!M46</f>
        <v>265.267</v>
      </c>
      <c r="N30" s="868">
        <f>'Quarterly Model'!N46</f>
        <v>897.08799999999997</v>
      </c>
      <c r="O30" s="869">
        <f>'Quarterly Model'!O46</f>
        <v>269.029</v>
      </c>
      <c r="P30" s="869">
        <f>'Quarterly Model'!P46</f>
        <v>289.57400000000001</v>
      </c>
      <c r="Q30" s="869">
        <f>'Quarterly Model'!Q46</f>
        <v>288.68800000000005</v>
      </c>
      <c r="R30" s="869">
        <f>'Quarterly Model'!R46</f>
        <v>285.392</v>
      </c>
      <c r="S30" s="868">
        <f>'Quarterly Model'!S46</f>
        <v>1132.683</v>
      </c>
      <c r="T30" s="869">
        <f>'Quarterly Model'!T46</f>
        <v>288.12299999999999</v>
      </c>
      <c r="U30" s="869">
        <f>'Quarterly Model'!U46</f>
        <v>344.07599999999996</v>
      </c>
      <c r="V30" s="869">
        <f>'Quarterly Model'!V46</f>
        <v>366.54299999999995</v>
      </c>
      <c r="W30" s="869">
        <f>'Quarterly Model'!W46</f>
        <v>368.8464596344412</v>
      </c>
      <c r="X30" s="868">
        <f>'Quarterly Model'!X46</f>
        <v>1367.5884596344413</v>
      </c>
      <c r="Y30" s="869">
        <f>'Quarterly Model'!Y46</f>
        <v>372.49520400000006</v>
      </c>
      <c r="Z30" s="869">
        <f>'Quarterly Model'!Z46</f>
        <v>443.60378300000002</v>
      </c>
      <c r="AA30" s="869">
        <f>'Quarterly Model'!AA46</f>
        <v>468.27146300000004</v>
      </c>
      <c r="AB30" s="869">
        <f>'Quarterly Model'!AB46</f>
        <v>477.75771967984315</v>
      </c>
      <c r="AC30" s="868">
        <f>'Quarterly Model'!AC46</f>
        <v>1762.1281696798433</v>
      </c>
      <c r="AD30" s="869">
        <f>'Quarterly Model'!AD46</f>
        <v>472.14955895999992</v>
      </c>
      <c r="AE30" s="869">
        <f>'Quarterly Model'!AE46</f>
        <v>561.64783864000015</v>
      </c>
      <c r="AF30" s="869">
        <f>'Quarterly Model'!AF46</f>
        <v>593.14084784000011</v>
      </c>
      <c r="AG30" s="869">
        <f>'Quarterly Model'!AG46</f>
        <v>605.39471033095538</v>
      </c>
      <c r="AH30" s="868">
        <f>'Quarterly Model'!AH46</f>
        <v>2232.3329557709553</v>
      </c>
      <c r="AI30" s="869">
        <f>'Quarterly Model'!AI46</f>
        <v>591.14075434879999</v>
      </c>
      <c r="AJ30" s="869">
        <f>'Quarterly Model'!AJ46</f>
        <v>702.10333406720019</v>
      </c>
      <c r="AK30" s="869">
        <f>'Quarterly Model'!AK46</f>
        <v>741.28226424320019</v>
      </c>
      <c r="AL30" s="869">
        <f>'Quarterly Model'!AL46</f>
        <v>756.88655290517409</v>
      </c>
      <c r="AM30" s="868">
        <f>'Quarterly Model'!AM46</f>
        <v>2791.4129055643748</v>
      </c>
    </row>
    <row r="31" spans="1:39" ht="5.25" customHeight="1">
      <c r="A31" s="858"/>
      <c r="B31" s="866"/>
      <c r="C31" s="867"/>
      <c r="D31" s="868"/>
      <c r="E31" s="869"/>
      <c r="F31" s="869"/>
      <c r="G31" s="869"/>
      <c r="H31" s="869"/>
      <c r="I31" s="868"/>
      <c r="J31" s="869"/>
      <c r="K31" s="869"/>
      <c r="L31" s="869"/>
      <c r="M31" s="869"/>
      <c r="N31" s="868"/>
      <c r="O31" s="869"/>
      <c r="P31" s="869"/>
      <c r="Q31" s="869"/>
      <c r="R31" s="869"/>
      <c r="S31" s="868"/>
      <c r="T31" s="869"/>
      <c r="U31" s="869"/>
      <c r="V31" s="869"/>
      <c r="W31" s="869"/>
      <c r="X31" s="868"/>
      <c r="Y31" s="869"/>
      <c r="Z31" s="869"/>
      <c r="AA31" s="869"/>
      <c r="AB31" s="869"/>
      <c r="AC31" s="868"/>
      <c r="AD31" s="869"/>
      <c r="AE31" s="869"/>
      <c r="AF31" s="869"/>
      <c r="AG31" s="869"/>
      <c r="AH31" s="868"/>
      <c r="AI31" s="869"/>
      <c r="AJ31" s="869"/>
      <c r="AK31" s="869"/>
      <c r="AL31" s="869"/>
      <c r="AM31" s="868"/>
    </row>
    <row r="32" spans="1:39">
      <c r="A32" s="858"/>
      <c r="B32" s="877" t="s">
        <v>416</v>
      </c>
      <c r="C32" s="878">
        <f>'Quarterly Model'!C52</f>
        <v>67.62700000000001</v>
      </c>
      <c r="D32" s="879">
        <f>'Quarterly Model'!D52</f>
        <v>154.13199999999995</v>
      </c>
      <c r="E32" s="880">
        <f>'Quarterly Model'!E52</f>
        <v>48.806000000000004</v>
      </c>
      <c r="F32" s="880">
        <f>'Quarterly Model'!F52</f>
        <v>61.700999999999993</v>
      </c>
      <c r="G32" s="880">
        <f>'Quarterly Model'!G52</f>
        <v>68.621000000000009</v>
      </c>
      <c r="H32" s="880">
        <f>'Quarterly Model'!H52</f>
        <v>74.876999999999981</v>
      </c>
      <c r="I32" s="879">
        <f>'Quarterly Model'!I52</f>
        <v>254.00499999999991</v>
      </c>
      <c r="J32" s="880">
        <f>'Quarterly Model'!J52</f>
        <v>81.259000000000029</v>
      </c>
      <c r="K32" s="880">
        <f>'Quarterly Model'!K52</f>
        <v>97.632999999999981</v>
      </c>
      <c r="L32" s="880">
        <f>'Quarterly Model'!L52</f>
        <v>105.38799999999999</v>
      </c>
      <c r="M32" s="880">
        <f>'Quarterly Model'!M52</f>
        <v>108.90500000000002</v>
      </c>
      <c r="N32" s="879">
        <f>'Quarterly Model'!N52</f>
        <v>393.185</v>
      </c>
      <c r="O32" s="880">
        <f>'Quarterly Model'!O52</f>
        <v>108.01199999999999</v>
      </c>
      <c r="P32" s="880">
        <f>'Quarterly Model'!P52</f>
        <v>144.76399999999992</v>
      </c>
      <c r="Q32" s="880">
        <f>'Quarterly Model'!Q52</f>
        <v>147.67799999999997</v>
      </c>
      <c r="R32" s="880">
        <f>'Quarterly Model'!R52</f>
        <v>166.44200000000006</v>
      </c>
      <c r="S32" s="879">
        <f>'Quarterly Model'!S52</f>
        <v>566.89599999999973</v>
      </c>
      <c r="T32" s="880">
        <f>'Quarterly Model'!T52</f>
        <v>173.43100000000001</v>
      </c>
      <c r="U32" s="880">
        <f>'Quarterly Model'!U52</f>
        <v>207.42900000000003</v>
      </c>
      <c r="V32" s="880">
        <f>'Quarterly Model'!V52</f>
        <v>218.61600000000007</v>
      </c>
      <c r="W32" s="880">
        <f>'Quarterly Model'!W52</f>
        <v>229.17159438120345</v>
      </c>
      <c r="X32" s="879">
        <f>'Quarterly Model'!X52</f>
        <v>828.64759438120291</v>
      </c>
      <c r="Y32" s="880">
        <f>'Quarterly Model'!Y52</f>
        <v>236.43879788769084</v>
      </c>
      <c r="Z32" s="880">
        <f>'Quarterly Model'!Z52</f>
        <v>288.60923793117695</v>
      </c>
      <c r="AA32" s="880">
        <f>'Quarterly Model'!AA52</f>
        <v>310.08580148812143</v>
      </c>
      <c r="AB32" s="880">
        <f>'Quarterly Model'!AB52</f>
        <v>322.63340682834905</v>
      </c>
      <c r="AC32" s="879">
        <f>'Quarterly Model'!AC52</f>
        <v>1157.7672441353379</v>
      </c>
      <c r="AD32" s="880">
        <f>'Quarterly Model'!AD52</f>
        <v>325.79363817624449</v>
      </c>
      <c r="AE32" s="880">
        <f>'Quarterly Model'!AE52</f>
        <v>397.93199561190659</v>
      </c>
      <c r="AF32" s="880">
        <f>'Quarterly Model'!AF52</f>
        <v>428.00083656479563</v>
      </c>
      <c r="AG32" s="880">
        <f>'Quarterly Model'!AG52</f>
        <v>447.61148506993084</v>
      </c>
      <c r="AH32" s="879">
        <f>'Quarterly Model'!AH52</f>
        <v>1599.337955422877</v>
      </c>
      <c r="AI32" s="880">
        <f>'Quarterly Model'!AI52</f>
        <v>436.36744099006813</v>
      </c>
      <c r="AJ32" s="880">
        <f>'Quarterly Model'!AJ52</f>
        <v>533.68090526980222</v>
      </c>
      <c r="AK32" s="880">
        <f>'Quarterly Model'!AK52</f>
        <v>575.12941347044216</v>
      </c>
      <c r="AL32" s="880">
        <f>'Quarterly Model'!AL52</f>
        <v>604.1331037046466</v>
      </c>
      <c r="AM32" s="879">
        <f>'Quarterly Model'!AM52</f>
        <v>2149.3108634349596</v>
      </c>
    </row>
    <row r="33" spans="1:39">
      <c r="A33" s="858"/>
      <c r="B33" s="194" t="s">
        <v>110</v>
      </c>
      <c r="C33" s="178">
        <f>'Quarterly Model'!C53</f>
        <v>0.3324027151767765</v>
      </c>
      <c r="D33" s="888">
        <f>'Quarterly Model'!D53</f>
        <v>0.27900577988642955</v>
      </c>
      <c r="E33" s="889">
        <f>'Quarterly Model'!E53</f>
        <v>0.29564701178808106</v>
      </c>
      <c r="F33" s="889">
        <f>'Quarterly Model'!F53</f>
        <v>0.29836650612197524</v>
      </c>
      <c r="G33" s="889">
        <f>'Quarterly Model'!G53</f>
        <v>0.30173687450532055</v>
      </c>
      <c r="H33" s="889">
        <f>'Quarterly Model'!H53</f>
        <v>0.29844077578578998</v>
      </c>
      <c r="I33" s="888">
        <f>'Quarterly Model'!I53</f>
        <v>0.29876192671772955</v>
      </c>
      <c r="J33" s="889">
        <f>'Quarterly Model'!J53</f>
        <v>0.32431342967867599</v>
      </c>
      <c r="K33" s="889">
        <f>'Quarterly Model'!K53</f>
        <v>0.31493195446642558</v>
      </c>
      <c r="L33" s="889">
        <f>'Quarterly Model'!L53</f>
        <v>0.3172540850361843</v>
      </c>
      <c r="M33" s="889">
        <f>'Quarterly Model'!M53</f>
        <v>0.29090981942515232</v>
      </c>
      <c r="N33" s="888">
        <f>'Quarterly Model'!N53</f>
        <v>0.3102986462192156</v>
      </c>
      <c r="O33" s="889">
        <f>'Quarterly Model'!O53</f>
        <v>0.28478995119558936</v>
      </c>
      <c r="P33" s="889">
        <f>'Quarterly Model'!P53</f>
        <v>0.33010970668113904</v>
      </c>
      <c r="Q33" s="889">
        <f>'Quarterly Model'!Q53</f>
        <v>0.33639482280262956</v>
      </c>
      <c r="R33" s="889">
        <f>'Quarterly Model'!R53</f>
        <v>0.36830214397776595</v>
      </c>
      <c r="S33" s="888">
        <f>'Quarterly Model'!S53</f>
        <v>0.33176627430692301</v>
      </c>
      <c r="T33" s="889">
        <f>'Quarterly Model'!T53</f>
        <v>0.37575451626461909</v>
      </c>
      <c r="U33" s="889">
        <f>'Quarterly Model'!U53</f>
        <v>0.37611445045829145</v>
      </c>
      <c r="V33" s="889">
        <f>'Quarterly Model'!V53</f>
        <v>0.37360102126088812</v>
      </c>
      <c r="W33" s="889">
        <f>'Quarterly Model'!W53</f>
        <v>0.38321852131776629</v>
      </c>
      <c r="X33" s="888">
        <f>'Quarterly Model'!X53</f>
        <v>0.37730352020498265</v>
      </c>
      <c r="Y33" s="889">
        <f>'Quarterly Model'!Y53</f>
        <v>0.38828312617579624</v>
      </c>
      <c r="Z33" s="889">
        <f>'Quarterly Model'!Z53</f>
        <v>0.39416020977630806</v>
      </c>
      <c r="AA33" s="889">
        <f>'Quarterly Model'!AA53</f>
        <v>0.39838492635132805</v>
      </c>
      <c r="AB33" s="889">
        <f>'Quarterly Model'!AB53</f>
        <v>0.40309468226600437</v>
      </c>
      <c r="AC33" s="888">
        <f>'Quarterly Model'!AC53</f>
        <v>0.39650983341988305</v>
      </c>
      <c r="AD33" s="889">
        <f>'Quarterly Model'!AD53</f>
        <v>0.40829176731563388</v>
      </c>
      <c r="AE33" s="889">
        <f>'Quarterly Model'!AE53</f>
        <v>0.41469399565085319</v>
      </c>
      <c r="AF33" s="889">
        <f>'Quarterly Model'!AF53</f>
        <v>0.41913952108836816</v>
      </c>
      <c r="AG33" s="889">
        <f>'Quarterly Model'!AG53</f>
        <v>0.42507963108376806</v>
      </c>
      <c r="AH33" s="888">
        <f>'Quarterly Model'!AH53</f>
        <v>0.41739961298622374</v>
      </c>
      <c r="AI33" s="889">
        <f>'Quarterly Model'!AI53</f>
        <v>0.42468511975824769</v>
      </c>
      <c r="AJ33" s="889">
        <f>'Quarterly Model'!AJ53</f>
        <v>0.43185605406015032</v>
      </c>
      <c r="AK33" s="889">
        <f>'Quarterly Model'!AK53</f>
        <v>0.43689175901974142</v>
      </c>
      <c r="AL33" s="889">
        <f>'Quarterly Model'!AL53</f>
        <v>0.44388271746896635</v>
      </c>
      <c r="AM33" s="888">
        <f>'Quarterly Model'!AM53</f>
        <v>0.43501943519304836</v>
      </c>
    </row>
    <row r="34" spans="1:39">
      <c r="A34" s="858"/>
      <c r="B34" s="170" t="s">
        <v>111</v>
      </c>
      <c r="C34" s="882">
        <f>'Quarterly Model'!C54</f>
        <v>1</v>
      </c>
      <c r="D34" s="883">
        <f>'Quarterly Model'!D54</f>
        <v>0.96245878709161758</v>
      </c>
      <c r="E34" s="884">
        <f>'Quarterly Model'!E54</f>
        <v>0.93246212338319856</v>
      </c>
      <c r="F34" s="884">
        <f>'Quarterly Model'!F54</f>
        <v>0.92300442795595972</v>
      </c>
      <c r="G34" s="884">
        <f>'Quarterly Model'!G54</f>
        <v>0.91372836218375497</v>
      </c>
      <c r="H34" s="884">
        <f>'Quarterly Model'!H54</f>
        <v>0.91290035478718856</v>
      </c>
      <c r="I34" s="883">
        <f>'Quarterly Model'!I54</f>
        <v>0.91927545148565004</v>
      </c>
      <c r="J34" s="884">
        <f>'Quarterly Model'!J54</f>
        <v>0.9114249181210462</v>
      </c>
      <c r="K34" s="884">
        <f>'Quarterly Model'!K54</f>
        <v>0.89064951651158553</v>
      </c>
      <c r="L34" s="884">
        <f>'Quarterly Model'!L54</f>
        <v>0.8942629975646802</v>
      </c>
      <c r="M34" s="884">
        <f>'Quarterly Model'!M54</f>
        <v>0.80942577259821924</v>
      </c>
      <c r="N34" s="883">
        <f>'Quarterly Model'!N54</f>
        <v>0.87147666849154748</v>
      </c>
      <c r="O34" s="884">
        <f>'Quarterly Model'!O54</f>
        <v>0.73902363928705828</v>
      </c>
      <c r="P34" s="884">
        <f>'Quarterly Model'!P54</f>
        <v>0.84751974427576982</v>
      </c>
      <c r="Q34" s="884">
        <f>'Quarterly Model'!Q54</f>
        <v>0.83069238427918124</v>
      </c>
      <c r="R34" s="884">
        <f>'Quarterly Model'!R54</f>
        <v>0.86744112113489369</v>
      </c>
      <c r="S34" s="883">
        <f>'Quarterly Model'!S54</f>
        <v>0.82563521492299941</v>
      </c>
      <c r="T34" s="884">
        <f>'Quarterly Model'!T54</f>
        <v>0.85108648712311563</v>
      </c>
      <c r="U34" s="884">
        <f>'Quarterly Model'!U54</f>
        <v>0.86280276025006974</v>
      </c>
      <c r="V34" s="884">
        <f>'Quarterly Model'!V54</f>
        <v>0.85026213849001997</v>
      </c>
      <c r="W34" s="884">
        <f>'Quarterly Model'!W54</f>
        <v>0.86155440692279128</v>
      </c>
      <c r="X34" s="883">
        <f>'Quarterly Model'!X54</f>
        <v>0.85665789132582226</v>
      </c>
      <c r="Y34" s="884">
        <f>'Quarterly Model'!Y54</f>
        <v>0.85060037237670905</v>
      </c>
      <c r="Z34" s="884">
        <f>'Quarterly Model'!Z54</f>
        <v>0.86417473177928039</v>
      </c>
      <c r="AA34" s="884">
        <f>'Quarterly Model'!AA54</f>
        <v>0.86928897266734684</v>
      </c>
      <c r="AB34" s="884">
        <f>'Quarterly Model'!AB54</f>
        <v>0.86350171758054883</v>
      </c>
      <c r="AC34" s="883">
        <f>'Quarterly Model'!AC54</f>
        <v>0.86253545593815173</v>
      </c>
      <c r="AD34" s="884">
        <f>'Quarterly Model'!AD54</f>
        <v>0.86260569772318041</v>
      </c>
      <c r="AE34" s="884">
        <f>'Quarterly Model'!AE54</f>
        <v>0.87670088010006564</v>
      </c>
      <c r="AF34" s="884">
        <f>'Quarterly Model'!AF54</f>
        <v>0.88112809688881655</v>
      </c>
      <c r="AG34" s="884">
        <f>'Quarterly Model'!AG54</f>
        <v>0.87575466549600289</v>
      </c>
      <c r="AH34" s="883">
        <f>'Quarterly Model'!AH54</f>
        <v>0.87470098607621849</v>
      </c>
      <c r="AI34" s="884">
        <f>'Quarterly Model'!AI54</f>
        <v>0.86638943137139968</v>
      </c>
      <c r="AJ34" s="884">
        <f>'Quarterly Model'!AJ54</f>
        <v>0.88145163141725269</v>
      </c>
      <c r="AK34" s="884">
        <f>'Quarterly Model'!AK54</f>
        <v>0.88612006893722761</v>
      </c>
      <c r="AL34" s="884">
        <f>'Quarterly Model'!AL54</f>
        <v>0.88122698192430537</v>
      </c>
      <c r="AM34" s="883">
        <f>'Quarterly Model'!AM54</f>
        <v>0.87952413782012739</v>
      </c>
    </row>
    <row r="35" spans="1:39" ht="5.25" customHeight="1">
      <c r="A35" s="858"/>
      <c r="B35" s="866"/>
      <c r="C35" s="867"/>
      <c r="D35" s="868"/>
      <c r="E35" s="869"/>
      <c r="F35" s="869"/>
      <c r="G35" s="869"/>
      <c r="H35" s="869"/>
      <c r="I35" s="868"/>
      <c r="J35" s="869"/>
      <c r="K35" s="869"/>
      <c r="L35" s="869"/>
      <c r="M35" s="869"/>
      <c r="N35" s="868"/>
      <c r="O35" s="869"/>
      <c r="P35" s="869"/>
      <c r="Q35" s="869"/>
      <c r="R35" s="869"/>
      <c r="S35" s="868"/>
      <c r="T35" s="869"/>
      <c r="U35" s="869"/>
      <c r="V35" s="869"/>
      <c r="W35" s="869"/>
      <c r="X35" s="868"/>
      <c r="Y35" s="869"/>
      <c r="Z35" s="869"/>
      <c r="AA35" s="869"/>
      <c r="AB35" s="869"/>
      <c r="AC35" s="868"/>
      <c r="AD35" s="869"/>
      <c r="AE35" s="869"/>
      <c r="AF35" s="869"/>
      <c r="AG35" s="869"/>
      <c r="AH35" s="868"/>
      <c r="AI35" s="869"/>
      <c r="AJ35" s="869"/>
      <c r="AK35" s="869"/>
      <c r="AL35" s="869"/>
      <c r="AM35" s="868"/>
    </row>
    <row r="36" spans="1:39">
      <c r="A36" s="858"/>
      <c r="B36" s="866" t="s">
        <v>114</v>
      </c>
      <c r="C36" s="867">
        <f>'Quarterly Model'!C57</f>
        <v>46.567999999999998</v>
      </c>
      <c r="D36" s="868">
        <f>'Quarterly Model'!D57</f>
        <v>82.864000000000004</v>
      </c>
      <c r="E36" s="869">
        <f>'Quarterly Model'!E57</f>
        <v>30.933</v>
      </c>
      <c r="F36" s="869">
        <f>'Quarterly Model'!F57</f>
        <v>34.551000000000002</v>
      </c>
      <c r="G36" s="869">
        <f>'Quarterly Model'!G57</f>
        <v>39.482999999999997</v>
      </c>
      <c r="H36" s="869">
        <f>'Quarterly Model'!H57</f>
        <v>39.67</v>
      </c>
      <c r="I36" s="868">
        <f>'Quarterly Model'!I57</f>
        <v>144.637</v>
      </c>
      <c r="J36" s="869">
        <f>'Quarterly Model'!J57</f>
        <v>39.545000000000002</v>
      </c>
      <c r="K36" s="869">
        <f>'Quarterly Model'!K57</f>
        <v>45.887</v>
      </c>
      <c r="L36" s="869">
        <f>'Quarterly Model'!L57</f>
        <v>55.02</v>
      </c>
      <c r="M36" s="869">
        <f>'Quarterly Model'!M57</f>
        <v>59.186</v>
      </c>
      <c r="N36" s="868">
        <f>'Quarterly Model'!N57</f>
        <v>199.63800000000001</v>
      </c>
      <c r="O36" s="869">
        <f>'Quarterly Model'!O57</f>
        <v>64.591999999999999</v>
      </c>
      <c r="P36" s="869">
        <f>'Quarterly Model'!P57</f>
        <v>68.638000000000005</v>
      </c>
      <c r="Q36" s="869">
        <f>'Quarterly Model'!Q57</f>
        <v>70.418000000000006</v>
      </c>
      <c r="R36" s="869">
        <f>'Quarterly Model'!R57</f>
        <v>64.888999999999996</v>
      </c>
      <c r="S36" s="868">
        <f>'Quarterly Model'!S57</f>
        <v>268.53700000000003</v>
      </c>
      <c r="T36" s="869">
        <f>'Quarterly Model'!T57</f>
        <v>68.581999999999994</v>
      </c>
      <c r="U36" s="869">
        <f>'Quarterly Model'!U57</f>
        <v>78.126000000000005</v>
      </c>
      <c r="V36" s="869">
        <f>'Quarterly Model'!V57</f>
        <v>82.546999999999997</v>
      </c>
      <c r="W36" s="869">
        <f>'Quarterly Model'!W57</f>
        <v>89.109269827672264</v>
      </c>
      <c r="X36" s="868">
        <f>'Quarterly Model'!X57</f>
        <v>318.36426982767227</v>
      </c>
      <c r="Y36" s="869">
        <f>'Quarterly Model'!Y57</f>
        <v>86.602225166803549</v>
      </c>
      <c r="Z36" s="869">
        <f>'Quarterly Model'!Z57</f>
        <v>100.17985287920726</v>
      </c>
      <c r="AA36" s="869">
        <f>'Quarterly Model'!AA57</f>
        <v>105.60445801662499</v>
      </c>
      <c r="AB36" s="869">
        <f>'Quarterly Model'!AB57</f>
        <v>115.82647038273959</v>
      </c>
      <c r="AC36" s="868">
        <f>'Quarterly Model'!AC57</f>
        <v>408.21300644537541</v>
      </c>
      <c r="AD36" s="869">
        <f>'Quarterly Model'!AD57</f>
        <v>110.11639911070887</v>
      </c>
      <c r="AE36" s="869">
        <f>'Quarterly Model'!AE57</f>
        <v>127.07566202625594</v>
      </c>
      <c r="AF36" s="869">
        <f>'Quarterly Model'!AF57</f>
        <v>134.08887826710762</v>
      </c>
      <c r="AG36" s="869">
        <f>'Quarterly Model'!AG57</f>
        <v>148.22339610004897</v>
      </c>
      <c r="AH36" s="868">
        <f>'Quarterly Model'!AH57</f>
        <v>519.5043355041214</v>
      </c>
      <c r="AI36" s="869">
        <f>'Quarterly Model'!AI57</f>
        <v>138.03150771695792</v>
      </c>
      <c r="AJ36" s="869">
        <f>'Quarterly Model'!AJ57</f>
        <v>158.91170243588616</v>
      </c>
      <c r="AK36" s="869">
        <f>'Quarterly Model'!AK57</f>
        <v>167.80965663996156</v>
      </c>
      <c r="AL36" s="869">
        <f>'Quarterly Model'!AL57</f>
        <v>186.81483220137835</v>
      </c>
      <c r="AM36" s="868">
        <f>'Quarterly Model'!AM57</f>
        <v>651.56769899418396</v>
      </c>
    </row>
    <row r="37" spans="1:39">
      <c r="A37" s="858"/>
      <c r="B37" s="866" t="s">
        <v>116</v>
      </c>
      <c r="C37" s="867">
        <f>'Quarterly Model'!C64</f>
        <v>56.648000000000003</v>
      </c>
      <c r="D37" s="868">
        <f>'Quarterly Model'!D64</f>
        <v>64.162000000000006</v>
      </c>
      <c r="E37" s="869">
        <f>'Quarterly Model'!E64</f>
        <v>26.07</v>
      </c>
      <c r="F37" s="869">
        <f>'Quarterly Model'!F64</f>
        <v>29.72</v>
      </c>
      <c r="G37" s="869">
        <f>'Quarterly Model'!G64</f>
        <v>25.914000000000001</v>
      </c>
      <c r="H37" s="869">
        <f>'Quarterly Model'!H64</f>
        <v>30.873000000000001</v>
      </c>
      <c r="I37" s="868">
        <f>'Quarterly Model'!I64</f>
        <v>112.57700000000001</v>
      </c>
      <c r="J37" s="869">
        <f>'Quarterly Model'!J64</f>
        <v>36.180999999999997</v>
      </c>
      <c r="K37" s="869">
        <f>'Quarterly Model'!K64</f>
        <v>31.73</v>
      </c>
      <c r="L37" s="869">
        <f>'Quarterly Model'!L64</f>
        <v>39.259</v>
      </c>
      <c r="M37" s="869">
        <f>'Quarterly Model'!M64</f>
        <v>38.448</v>
      </c>
      <c r="N37" s="868">
        <f>'Quarterly Model'!N64</f>
        <v>145.61799999999999</v>
      </c>
      <c r="O37" s="869">
        <f>'Quarterly Model'!O64</f>
        <v>38.496000000000002</v>
      </c>
      <c r="P37" s="869">
        <f>'Quarterly Model'!P64</f>
        <v>39.22</v>
      </c>
      <c r="Q37" s="869">
        <f>'Quarterly Model'!Q64</f>
        <v>46.753999999999998</v>
      </c>
      <c r="R37" s="869">
        <f>'Quarterly Model'!R64</f>
        <v>49.405999999999999</v>
      </c>
      <c r="S37" s="868">
        <f>'Quarterly Model'!S64</f>
        <v>173.876</v>
      </c>
      <c r="T37" s="869">
        <f>'Quarterly Model'!T64</f>
        <v>49.9</v>
      </c>
      <c r="U37" s="869">
        <f>'Quarterly Model'!U64</f>
        <v>59.915999999999997</v>
      </c>
      <c r="V37" s="869">
        <f>'Quarterly Model'!V64</f>
        <v>66.533000000000001</v>
      </c>
      <c r="W37" s="869">
        <f>'Quarterly Model'!W64</f>
        <v>68.361439837945596</v>
      </c>
      <c r="X37" s="868">
        <f>'Quarterly Model'!X64</f>
        <v>244.71043983794559</v>
      </c>
      <c r="Y37" s="869">
        <f>'Quarterly Model'!Y64</f>
        <v>62.508299811485806</v>
      </c>
      <c r="Z37" s="869">
        <f>'Quarterly Model'!Z64</f>
        <v>78.223049018910928</v>
      </c>
      <c r="AA37" s="869">
        <f>'Quarterly Model'!AA64</f>
        <v>86.954423630981864</v>
      </c>
      <c r="AB37" s="869">
        <f>'Quarterly Model'!AB64</f>
        <v>88.551204776481569</v>
      </c>
      <c r="AC37" s="868">
        <f>'Quarterly Model'!AC64</f>
        <v>316.23697723786017</v>
      </c>
      <c r="AD37" s="869">
        <f>'Quarterly Model'!AD64</f>
        <v>81.155817727116428</v>
      </c>
      <c r="AE37" s="869">
        <f>'Quarterly Model'!AE64</f>
        <v>101.77332375039502</v>
      </c>
      <c r="AF37" s="869">
        <f>'Quarterly Model'!AF64</f>
        <v>113.55017002930154</v>
      </c>
      <c r="AG37" s="869">
        <f>'Quarterly Model'!AG64</f>
        <v>116.02314108521077</v>
      </c>
      <c r="AH37" s="868">
        <f>'Quarterly Model'!AH64</f>
        <v>412.50245259202381</v>
      </c>
      <c r="AI37" s="869">
        <f>'Quarterly Model'!AI64</f>
        <v>103.18862397333685</v>
      </c>
      <c r="AJ37" s="869">
        <f>'Quarterly Model'!AJ64</f>
        <v>129.70164619603389</v>
      </c>
      <c r="AK37" s="869">
        <f>'Quarterly Model'!AK64</f>
        <v>145.23390658524758</v>
      </c>
      <c r="AL37" s="869">
        <f>'Quarterly Model'!AL64</f>
        <v>148.76630674384992</v>
      </c>
      <c r="AM37" s="868">
        <f>'Quarterly Model'!AM64</f>
        <v>526.89048349846826</v>
      </c>
    </row>
    <row r="38" spans="1:39">
      <c r="A38" s="858"/>
      <c r="B38" s="866" t="s">
        <v>117</v>
      </c>
      <c r="C38" s="867">
        <f>'Quarterly Model'!C71</f>
        <v>36.183999999999997</v>
      </c>
      <c r="D38" s="868">
        <f>'Quarterly Model'!D71</f>
        <v>68.941999999999993</v>
      </c>
      <c r="E38" s="869">
        <f>'Quarterly Model'!E71</f>
        <v>23.402000000000001</v>
      </c>
      <c r="F38" s="869">
        <f>'Quarterly Model'!F71</f>
        <v>20.669</v>
      </c>
      <c r="G38" s="869">
        <f>'Quarterly Model'!G71</f>
        <v>24.513999999999999</v>
      </c>
      <c r="H38" s="869">
        <f>'Quarterly Model'!H71</f>
        <v>25.635000000000002</v>
      </c>
      <c r="I38" s="868">
        <f>'Quarterly Model'!I71</f>
        <v>94.22</v>
      </c>
      <c r="J38" s="869">
        <f>'Quarterly Model'!J71</f>
        <v>28.119</v>
      </c>
      <c r="K38" s="869">
        <f>'Quarterly Model'!K71</f>
        <v>31.803999999999998</v>
      </c>
      <c r="L38" s="869">
        <f>'Quarterly Model'!L71</f>
        <v>37.82</v>
      </c>
      <c r="M38" s="869">
        <f>'Quarterly Model'!M71</f>
        <v>45.722999999999999</v>
      </c>
      <c r="N38" s="868">
        <f>'Quarterly Model'!N71</f>
        <v>143.46600000000001</v>
      </c>
      <c r="O38" s="869">
        <f>'Quarterly Model'!O71</f>
        <v>46.106999999999999</v>
      </c>
      <c r="P38" s="869">
        <f>'Quarterly Model'!P71</f>
        <v>52.615000000000002</v>
      </c>
      <c r="Q38" s="869">
        <f>'Quarterly Model'!Q71</f>
        <v>52.075000000000003</v>
      </c>
      <c r="R38" s="869">
        <f>'Quarterly Model'!R71</f>
        <v>52.988</v>
      </c>
      <c r="S38" s="868">
        <f>'Quarterly Model'!S71</f>
        <v>203.78500000000003</v>
      </c>
      <c r="T38" s="869">
        <f>'Quarterly Model'!T71</f>
        <v>56.935000000000002</v>
      </c>
      <c r="U38" s="869">
        <f>'Quarterly Model'!U71</f>
        <v>62.985999999999997</v>
      </c>
      <c r="V38" s="869">
        <f>'Quarterly Model'!V71</f>
        <v>64.25</v>
      </c>
      <c r="W38" s="869">
        <f>'Quarterly Model'!W71</f>
        <v>69.69142893985115</v>
      </c>
      <c r="X38" s="868">
        <f>'Quarterly Model'!X71</f>
        <v>253.86242893985116</v>
      </c>
      <c r="Y38" s="869">
        <f>'Quarterly Model'!Y71</f>
        <v>67.935104864986087</v>
      </c>
      <c r="Z38" s="869">
        <f>'Quarterly Model'!Z71</f>
        <v>75.80833639137451</v>
      </c>
      <c r="AA38" s="869">
        <f>'Quarterly Model'!AA71</f>
        <v>76.652844996972718</v>
      </c>
      <c r="AB38" s="869">
        <f>'Quarterly Model'!AB71</f>
        <v>84.814867022199635</v>
      </c>
      <c r="AC38" s="868">
        <f>'Quarterly Model'!AC71</f>
        <v>305.21115327553292</v>
      </c>
      <c r="AD38" s="869">
        <f>'Quarterly Model'!AD71</f>
        <v>80.975738030569929</v>
      </c>
      <c r="AE38" s="869">
        <f>'Quarterly Model'!AE71</f>
        <v>89.413565721236921</v>
      </c>
      <c r="AF38" s="869">
        <f>'Quarterly Model'!AF71</f>
        <v>89.80746501979236</v>
      </c>
      <c r="AG38" s="869">
        <f>'Quarterly Model'!AG71</f>
        <v>100.68968631624018</v>
      </c>
      <c r="AH38" s="868">
        <f>'Quarterly Model'!AH71</f>
        <v>360.88645508783935</v>
      </c>
      <c r="AI38" s="869">
        <f>'Quarterly Model'!AI71</f>
        <v>95.393548783748656</v>
      </c>
      <c r="AJ38" s="869">
        <f>'Quarterly Model'!AJ71</f>
        <v>104.13301813139687</v>
      </c>
      <c r="AK38" s="869">
        <f>'Quarterly Model'!AK71</f>
        <v>103.7735638616203</v>
      </c>
      <c r="AL38" s="869">
        <f>'Quarterly Model'!AL71</f>
        <v>117.91615096747553</v>
      </c>
      <c r="AM38" s="868">
        <f>'Quarterly Model'!AM71</f>
        <v>421.21628174424131</v>
      </c>
    </row>
    <row r="39" spans="1:39">
      <c r="A39" s="858"/>
      <c r="B39" s="866" t="s">
        <v>118</v>
      </c>
      <c r="C39" s="867">
        <f>'Quarterly Model'!C78</f>
        <v>10.512</v>
      </c>
      <c r="D39" s="868">
        <f>'Quarterly Model'!D78</f>
        <v>15.329000000000001</v>
      </c>
      <c r="E39" s="869">
        <f>'Quarterly Model'!E78</f>
        <v>6.1280000000000001</v>
      </c>
      <c r="F39" s="869">
        <f>'Quarterly Model'!F78</f>
        <v>4.84</v>
      </c>
      <c r="G39" s="869">
        <f>'Quarterly Model'!G78</f>
        <v>6.8579999999999997</v>
      </c>
      <c r="H39" s="869">
        <f>'Quarterly Model'!H78</f>
        <v>6.2549999999999999</v>
      </c>
      <c r="I39" s="868">
        <f>'Quarterly Model'!I78</f>
        <v>24.081</v>
      </c>
      <c r="J39" s="869">
        <f>'Quarterly Model'!J78</f>
        <v>16.321999999999999</v>
      </c>
      <c r="K39" s="869">
        <f>'Quarterly Model'!K78</f>
        <v>8.5129999999999999</v>
      </c>
      <c r="L39" s="869">
        <f>'Quarterly Model'!L78</f>
        <v>16.004999999999999</v>
      </c>
      <c r="M39" s="869">
        <f>'Quarterly Model'!M78</f>
        <v>13.169</v>
      </c>
      <c r="N39" s="868">
        <f>'Quarterly Model'!N78</f>
        <v>54.009</v>
      </c>
      <c r="O39" s="869">
        <f>'Quarterly Model'!O78</f>
        <v>7.8609999999999998</v>
      </c>
      <c r="P39" s="869">
        <f>'Quarterly Model'!P78</f>
        <v>17.454999999999998</v>
      </c>
      <c r="Q39" s="869">
        <f>'Quarterly Model'!Q78</f>
        <v>12.885</v>
      </c>
      <c r="R39" s="869">
        <f>'Quarterly Model'!R78</f>
        <v>13.034000000000001</v>
      </c>
      <c r="S39" s="868">
        <f>'Quarterly Model'!S78</f>
        <v>51.234999999999999</v>
      </c>
      <c r="T39" s="869">
        <f>'Quarterly Model'!T78</f>
        <v>11.891</v>
      </c>
      <c r="U39" s="869">
        <f>'Quarterly Model'!U78</f>
        <v>18.401</v>
      </c>
      <c r="V39" s="869">
        <f>'Quarterly Model'!V78</f>
        <v>19.893000000000001</v>
      </c>
      <c r="W39" s="869">
        <f>'Quarterly Model'!W78</f>
        <v>20.13418517600368</v>
      </c>
      <c r="X39" s="868">
        <f>'Quarterly Model'!X78</f>
        <v>70.319185176003685</v>
      </c>
      <c r="Y39" s="869">
        <f>'Quarterly Model'!Y78</f>
        <v>19.365093000000002</v>
      </c>
      <c r="Z39" s="869">
        <f>'Quarterly Model'!Z78</f>
        <v>23.301399</v>
      </c>
      <c r="AA39" s="869">
        <f>'Quarterly Model'!AA78</f>
        <v>24.670734000000003</v>
      </c>
      <c r="AB39" s="869">
        <f>'Quarterly Model'!AB78</f>
        <v>24.96984501</v>
      </c>
      <c r="AC39" s="868">
        <f>'Quarterly Model'!AC78</f>
        <v>92.307071010000016</v>
      </c>
      <c r="AD39" s="869">
        <f>'Quarterly Model'!AD78</f>
        <v>22.533926400000002</v>
      </c>
      <c r="AE39" s="869">
        <f>'Quarterly Model'!AE78</f>
        <v>27.114355200000002</v>
      </c>
      <c r="AF39" s="869">
        <f>'Quarterly Model'!AF78</f>
        <v>28.707763200000006</v>
      </c>
      <c r="AG39" s="869">
        <f>'Quarterly Model'!AG78</f>
        <v>29.055819647999996</v>
      </c>
      <c r="AH39" s="868">
        <f>'Quarterly Model'!AH78</f>
        <v>107.411864448</v>
      </c>
      <c r="AI39" s="869">
        <f>'Quarterly Model'!AI78</f>
        <v>28.392747264</v>
      </c>
      <c r="AJ39" s="869">
        <f>'Quarterly Model'!AJ78</f>
        <v>34.164087552000005</v>
      </c>
      <c r="AK39" s="869">
        <f>'Quarterly Model'!AK78</f>
        <v>36.171781632000005</v>
      </c>
      <c r="AL39" s="869">
        <f>'Quarterly Model'!AL78</f>
        <v>36.610332756479998</v>
      </c>
      <c r="AM39" s="868">
        <f>'Quarterly Model'!AM78</f>
        <v>135.33894920448</v>
      </c>
    </row>
    <row r="40" spans="1:39">
      <c r="A40" s="858"/>
      <c r="B40" s="866" t="s">
        <v>122</v>
      </c>
      <c r="C40" s="867">
        <f>'Quarterly Model'!C89</f>
        <v>0</v>
      </c>
      <c r="D40" s="868">
        <f>'Quarterly Model'!D89</f>
        <v>0</v>
      </c>
      <c r="E40" s="869">
        <f>'Quarterly Model'!E89</f>
        <v>6.8000000000000005E-2</v>
      </c>
      <c r="F40" s="869">
        <f>'Quarterly Model'!F89</f>
        <v>0.16200000000000001</v>
      </c>
      <c r="G40" s="869">
        <f>'Quarterly Model'!G89</f>
        <v>0.36099999999999999</v>
      </c>
      <c r="H40" s="869">
        <f>'Quarterly Model'!H89</f>
        <v>0.45900000000000002</v>
      </c>
      <c r="I40" s="868">
        <f>'Quarterly Model'!I89</f>
        <v>1.05</v>
      </c>
      <c r="J40" s="869">
        <f>'Quarterly Model'!J89</f>
        <v>0.46800000000000003</v>
      </c>
      <c r="K40" s="869">
        <f>'Quarterly Model'!K89</f>
        <v>0.48199999999999998</v>
      </c>
      <c r="L40" s="869">
        <f>'Quarterly Model'!L89</f>
        <v>0.42299999999999999</v>
      </c>
      <c r="M40" s="869">
        <f>'Quarterly Model'!M89</f>
        <v>0.38400000000000001</v>
      </c>
      <c r="N40" s="868">
        <f>'Quarterly Model'!N89</f>
        <v>1.7570000000000001</v>
      </c>
      <c r="O40" s="869">
        <f>'Quarterly Model'!O89</f>
        <v>0.317</v>
      </c>
      <c r="P40" s="869">
        <f>'Quarterly Model'!P89</f>
        <v>0.222</v>
      </c>
      <c r="Q40" s="869">
        <f>'Quarterly Model'!Q89</f>
        <v>0.16400000000000001</v>
      </c>
      <c r="R40" s="869">
        <f>'Quarterly Model'!R89</f>
        <v>0.14699999999999999</v>
      </c>
      <c r="S40" s="868">
        <f>'Quarterly Model'!S89</f>
        <v>0.85000000000000009</v>
      </c>
      <c r="T40" s="869">
        <f>'Quarterly Model'!T89</f>
        <v>0.20499999999999999</v>
      </c>
      <c r="U40" s="869">
        <f>'Quarterly Model'!U89</f>
        <v>0.222</v>
      </c>
      <c r="V40" s="869">
        <f>'Quarterly Model'!V89</f>
        <v>0.222</v>
      </c>
      <c r="W40" s="869">
        <f>'Quarterly Model'!W89</f>
        <v>0.22966877255638182</v>
      </c>
      <c r="X40" s="868">
        <f>'Quarterly Model'!X89</f>
        <v>0.87866877255638187</v>
      </c>
      <c r="Y40" s="869">
        <f>'Quarterly Model'!Y89</f>
        <v>0.24000320731135885</v>
      </c>
      <c r="Z40" s="869">
        <f>'Quarterly Model'!Z89</f>
        <v>0.28835835273853533</v>
      </c>
      <c r="AA40" s="869">
        <f>'Quarterly Model'!AA89</f>
        <v>0.307993521727014</v>
      </c>
      <c r="AB40" s="869">
        <f>'Quarterly Model'!AB89</f>
        <v>0.32260418700142596</v>
      </c>
      <c r="AC40" s="868">
        <f>'Quarterly Model'!AC89</f>
        <v>1.1589592687783341</v>
      </c>
      <c r="AD40" s="869">
        <f>'Quarterly Model'!AD89</f>
        <v>0.32610251516951971</v>
      </c>
      <c r="AE40" s="869">
        <f>'Quarterly Model'!AE89</f>
        <v>0.3919054371154001</v>
      </c>
      <c r="AF40" s="869">
        <f>'Quarterly Model'!AF89</f>
        <v>0.41940097839459461</v>
      </c>
      <c r="AG40" s="869">
        <f>'Quarterly Model'!AG89</f>
        <v>0.44130884616430827</v>
      </c>
      <c r="AH40" s="868">
        <f>'Quarterly Model'!AH89</f>
        <v>1.5787177768438228</v>
      </c>
      <c r="AI40" s="869">
        <f>'Quarterly Model'!AI89</f>
        <v>0.43487362064831075</v>
      </c>
      <c r="AJ40" s="869">
        <f>'Quarterly Model'!AJ89</f>
        <v>0.52276565802430675</v>
      </c>
      <c r="AK40" s="869">
        <f>'Quarterly Model'!AK89</f>
        <v>0.56039838853249002</v>
      </c>
      <c r="AL40" s="869">
        <f>'Quarterly Model'!AL89</f>
        <v>0.59192777512917782</v>
      </c>
      <c r="AM40" s="868">
        <f>'Quarterly Model'!AM89</f>
        <v>2.1099654423342855</v>
      </c>
    </row>
    <row r="41" spans="1:39">
      <c r="A41" s="858"/>
      <c r="B41" s="866" t="s">
        <v>123</v>
      </c>
      <c r="C41" s="867">
        <f>'Quarterly Model'!C96</f>
        <v>0</v>
      </c>
      <c r="D41" s="868">
        <f>'Quarterly Model'!D96</f>
        <v>2.4300000000000002</v>
      </c>
      <c r="E41" s="869">
        <f>'Quarterly Model'!E96</f>
        <v>0</v>
      </c>
      <c r="F41" s="869">
        <f>'Quarterly Model'!F96</f>
        <v>0</v>
      </c>
      <c r="G41" s="869">
        <f>'Quarterly Model'!G96</f>
        <v>0</v>
      </c>
      <c r="H41" s="869">
        <f>'Quarterly Model'!H96</f>
        <v>0</v>
      </c>
      <c r="I41" s="868">
        <f>'Quarterly Model'!I96</f>
        <v>0</v>
      </c>
      <c r="J41" s="869">
        <f>'Quarterly Model'!J96</f>
        <v>0</v>
      </c>
      <c r="K41" s="869">
        <f>'Quarterly Model'!K96</f>
        <v>0</v>
      </c>
      <c r="L41" s="869">
        <f>'Quarterly Model'!L96</f>
        <v>0</v>
      </c>
      <c r="M41" s="869">
        <f>'Quarterly Model'!M96</f>
        <v>0</v>
      </c>
      <c r="N41" s="868">
        <f>'Quarterly Model'!N96</f>
        <v>0</v>
      </c>
      <c r="O41" s="869">
        <f>'Quarterly Model'!O96</f>
        <v>0</v>
      </c>
      <c r="P41" s="869">
        <f>'Quarterly Model'!P96</f>
        <v>0</v>
      </c>
      <c r="Q41" s="869">
        <f>'Quarterly Model'!Q96</f>
        <v>0</v>
      </c>
      <c r="R41" s="869">
        <f>'Quarterly Model'!R96</f>
        <v>0</v>
      </c>
      <c r="S41" s="868">
        <f>'Quarterly Model'!S96</f>
        <v>0</v>
      </c>
      <c r="T41" s="869">
        <f>'Quarterly Model'!T96</f>
        <v>0</v>
      </c>
      <c r="U41" s="869">
        <f>'Quarterly Model'!U96</f>
        <v>0</v>
      </c>
      <c r="V41" s="869">
        <f>'Quarterly Model'!V96</f>
        <v>0</v>
      </c>
      <c r="W41" s="869">
        <f>'Quarterly Model'!W96</f>
        <v>0</v>
      </c>
      <c r="X41" s="868">
        <f>'Quarterly Model'!X96</f>
        <v>0</v>
      </c>
      <c r="Y41" s="869">
        <f>'Quarterly Model'!Y96</f>
        <v>0</v>
      </c>
      <c r="Z41" s="869">
        <f>'Quarterly Model'!Z96</f>
        <v>0</v>
      </c>
      <c r="AA41" s="869">
        <f>'Quarterly Model'!AA96</f>
        <v>0</v>
      </c>
      <c r="AB41" s="869">
        <f>'Quarterly Model'!AB96</f>
        <v>0</v>
      </c>
      <c r="AC41" s="868">
        <f>'Quarterly Model'!AC96</f>
        <v>0</v>
      </c>
      <c r="AD41" s="869">
        <f>'Quarterly Model'!AD96</f>
        <v>0</v>
      </c>
      <c r="AE41" s="869">
        <f>'Quarterly Model'!AE96</f>
        <v>0</v>
      </c>
      <c r="AF41" s="869">
        <f>'Quarterly Model'!AF96</f>
        <v>0</v>
      </c>
      <c r="AG41" s="869">
        <f>'Quarterly Model'!AG96</f>
        <v>0</v>
      </c>
      <c r="AH41" s="868">
        <f>'Quarterly Model'!AH96</f>
        <v>0</v>
      </c>
      <c r="AI41" s="869">
        <f>'Quarterly Model'!AI96</f>
        <v>0</v>
      </c>
      <c r="AJ41" s="869">
        <f>'Quarterly Model'!AJ96</f>
        <v>0</v>
      </c>
      <c r="AK41" s="869">
        <f>'Quarterly Model'!AK96</f>
        <v>0</v>
      </c>
      <c r="AL41" s="869">
        <f>'Quarterly Model'!AL96</f>
        <v>0</v>
      </c>
      <c r="AM41" s="868">
        <f>'Quarterly Model'!AM96</f>
        <v>0</v>
      </c>
    </row>
    <row r="42" spans="1:39" ht="2.25" customHeight="1">
      <c r="A42" s="858"/>
      <c r="B42" s="870"/>
      <c r="C42" s="871"/>
      <c r="D42" s="872"/>
      <c r="E42" s="873"/>
      <c r="F42" s="873"/>
      <c r="G42" s="873"/>
      <c r="H42" s="873"/>
      <c r="I42" s="872"/>
      <c r="J42" s="873"/>
      <c r="K42" s="873"/>
      <c r="L42" s="873"/>
      <c r="M42" s="873"/>
      <c r="N42" s="872"/>
      <c r="O42" s="873"/>
      <c r="P42" s="873"/>
      <c r="Q42" s="873"/>
      <c r="R42" s="873"/>
      <c r="S42" s="872"/>
      <c r="T42" s="873"/>
      <c r="U42" s="873"/>
      <c r="V42" s="873"/>
      <c r="W42" s="873"/>
      <c r="X42" s="872"/>
      <c r="Y42" s="873"/>
      <c r="Z42" s="873"/>
      <c r="AA42" s="873"/>
      <c r="AB42" s="873"/>
      <c r="AC42" s="872"/>
      <c r="AD42" s="873"/>
      <c r="AE42" s="873"/>
      <c r="AF42" s="873"/>
      <c r="AG42" s="873"/>
      <c r="AH42" s="872"/>
      <c r="AI42" s="873"/>
      <c r="AJ42" s="873"/>
      <c r="AK42" s="873"/>
      <c r="AL42" s="873"/>
      <c r="AM42" s="872"/>
    </row>
    <row r="43" spans="1:39">
      <c r="A43" s="858"/>
      <c r="B43" s="877" t="str">
        <f>'Quarterly Model'!B98</f>
        <v xml:space="preserve">Operating Income </v>
      </c>
      <c r="C43" s="878">
        <f>'Quarterly Model'!C98</f>
        <v>-85.36099999999999</v>
      </c>
      <c r="D43" s="879">
        <f>'Quarterly Model'!D98</f>
        <v>-104.94200000000004</v>
      </c>
      <c r="E43" s="880">
        <f>'Quarterly Model'!E98</f>
        <v>-44.344999999999992</v>
      </c>
      <c r="F43" s="880">
        <f>'Quarterly Model'!F98</f>
        <v>-35.590000000000011</v>
      </c>
      <c r="G43" s="880">
        <f>'Quarterly Model'!G98</f>
        <v>-35.990999999999985</v>
      </c>
      <c r="H43" s="880">
        <f>'Quarterly Model'!H98</f>
        <v>-34.56500000000004</v>
      </c>
      <c r="I43" s="879">
        <f>'Quarterly Model'!I98</f>
        <v>-150.49100000000013</v>
      </c>
      <c r="J43" s="880">
        <f>'Quarterly Model'!J98</f>
        <v>-46.34999999999998</v>
      </c>
      <c r="K43" s="880">
        <f>'Quarterly Model'!K98</f>
        <v>-28.074000000000012</v>
      </c>
      <c r="L43" s="880">
        <f>'Quarterly Model'!L98</f>
        <v>-52.216999999999999</v>
      </c>
      <c r="M43" s="880">
        <f>'Quarterly Model'!M98</f>
        <v>-47.816999999999979</v>
      </c>
      <c r="N43" s="879">
        <f>'Quarterly Model'!N98</f>
        <v>-174.45799999999997</v>
      </c>
      <c r="O43" s="880">
        <f>'Quarterly Model'!O98</f>
        <v>-47.133000000000017</v>
      </c>
      <c r="P43" s="880">
        <f>'Quarterly Model'!P98</f>
        <v>-29.191000000000088</v>
      </c>
      <c r="Q43" s="880">
        <f>'Quarterly Model'!Q98</f>
        <v>-31.982000000000042</v>
      </c>
      <c r="R43" s="880">
        <f>'Quarterly Model'!R98</f>
        <v>-13.938999999999933</v>
      </c>
      <c r="S43" s="879">
        <f>'Quarterly Model'!S98</f>
        <v>-122.24500000000027</v>
      </c>
      <c r="T43" s="880">
        <f>'Quarterly Model'!T98</f>
        <v>-14.081999999999983</v>
      </c>
      <c r="U43" s="880">
        <f>'Quarterly Model'!U98</f>
        <v>-12.221999999999968</v>
      </c>
      <c r="V43" s="880">
        <f>'Quarterly Model'!V98</f>
        <v>-14.828999999999928</v>
      </c>
      <c r="W43" s="880">
        <f>'Quarterly Model'!W98</f>
        <v>-18.354398172825611</v>
      </c>
      <c r="X43" s="879">
        <f>'Quarterly Model'!X98</f>
        <v>-59.487398172826204</v>
      </c>
      <c r="Y43" s="880">
        <f>'Quarterly Model'!Y98</f>
        <v>-0.21192816289597075</v>
      </c>
      <c r="Z43" s="880">
        <f>'Quarterly Model'!Z98</f>
        <v>10.808242288945715</v>
      </c>
      <c r="AA43" s="880">
        <f>'Quarterly Model'!AA98</f>
        <v>15.895347321814846</v>
      </c>
      <c r="AB43" s="880">
        <f>'Quarterly Model'!AB98</f>
        <v>8.1484154499268353</v>
      </c>
      <c r="AC43" s="879">
        <f>'Quarterly Model'!AC98</f>
        <v>34.640076897791076</v>
      </c>
      <c r="AD43" s="880">
        <f>'Quarterly Model'!AD98</f>
        <v>30.685654392679751</v>
      </c>
      <c r="AE43" s="880">
        <f>'Quarterly Model'!AE98</f>
        <v>52.163183476903285</v>
      </c>
      <c r="AF43" s="880">
        <f>'Quarterly Model'!AF98</f>
        <v>61.427159070199494</v>
      </c>
      <c r="AG43" s="880">
        <f>'Quarterly Model'!AG98</f>
        <v>53.178133074266633</v>
      </c>
      <c r="AH43" s="879">
        <f>'Quarterly Model'!AH98</f>
        <v>197.45413001404862</v>
      </c>
      <c r="AI43" s="880">
        <f>'Quarterly Model'!AI98</f>
        <v>70.926139631376358</v>
      </c>
      <c r="AJ43" s="880">
        <f>'Quarterly Model'!AJ98</f>
        <v>106.24768529646103</v>
      </c>
      <c r="AK43" s="880">
        <f>'Quarterly Model'!AK98</f>
        <v>121.58010636308023</v>
      </c>
      <c r="AL43" s="880">
        <f>'Quarterly Model'!AL98</f>
        <v>113.4335532603336</v>
      </c>
      <c r="AM43" s="879">
        <f>'Quarterly Model'!AM98</f>
        <v>412.18748455125183</v>
      </c>
    </row>
    <row r="44" spans="1:39">
      <c r="A44" s="858"/>
      <c r="B44" s="890" t="s">
        <v>26</v>
      </c>
      <c r="C44" s="178"/>
      <c r="D44" s="888">
        <f>'Quarterly Model'!D99</f>
        <v>0.2293904710582122</v>
      </c>
      <c r="E44" s="891">
        <f>'Quarterly Model'!E99</f>
        <v>0</v>
      </c>
      <c r="F44" s="891">
        <f>'Quarterly Model'!F99</f>
        <v>0</v>
      </c>
      <c r="G44" s="891">
        <f>'Quarterly Model'!G99</f>
        <v>0</v>
      </c>
      <c r="H44" s="891">
        <f>'Quarterly Model'!H99</f>
        <v>0</v>
      </c>
      <c r="I44" s="888">
        <f>'Quarterly Model'!I99</f>
        <v>0.434039755293401</v>
      </c>
      <c r="J44" s="891">
        <f>'Quarterly Model'!J99</f>
        <v>4.521366557672768E-2</v>
      </c>
      <c r="K44" s="891">
        <f>'Quarterly Model'!K99</f>
        <v>-0.21118291654959243</v>
      </c>
      <c r="L44" s="891">
        <f>'Quarterly Model'!L99</f>
        <v>0.45083493095496152</v>
      </c>
      <c r="M44" s="891">
        <f>'Quarterly Model'!M99</f>
        <v>0.38339360624909369</v>
      </c>
      <c r="N44" s="888">
        <f>'Quarterly Model'!N99</f>
        <v>0.15925869321088859</v>
      </c>
      <c r="O44" s="891">
        <f>'Quarterly Model'!O99</f>
        <v>1.6893203883495911E-2</v>
      </c>
      <c r="P44" s="891">
        <f>'Quarterly Model'!P99</f>
        <v>3.9787703925342921E-2</v>
      </c>
      <c r="Q44" s="891">
        <f>'Quarterly Model'!Q99</f>
        <v>-0.38751747515176971</v>
      </c>
      <c r="R44" s="891">
        <f>'Quarterly Model'!R99</f>
        <v>-0.70849279544931854</v>
      </c>
      <c r="S44" s="888">
        <f>'Quarterly Model'!S99</f>
        <v>-0.29928693439108389</v>
      </c>
      <c r="T44" s="891">
        <f>'Quarterly Model'!T99</f>
        <v>-0.70122843867354123</v>
      </c>
      <c r="U44" s="891">
        <f>'Quarterly Model'!U99</f>
        <v>-0.58130930766332334</v>
      </c>
      <c r="V44" s="891">
        <f>'Quarterly Model'!V99</f>
        <v>-0.53633293727722131</v>
      </c>
      <c r="W44" s="891">
        <f>'Quarterly Model'!W99</f>
        <v>0.31676577751816493</v>
      </c>
      <c r="X44" s="888">
        <f>'Quarterly Model'!X99</f>
        <v>-0.51337561313079416</v>
      </c>
      <c r="Y44" s="891">
        <f>'Quarterly Model'!Y99</f>
        <v>-0.98495042160943258</v>
      </c>
      <c r="Z44" s="891">
        <f>'Quarterly Model'!Z99</f>
        <v>-1.8843268114012228</v>
      </c>
      <c r="AA44" s="891">
        <f>'Quarterly Model'!AA99</f>
        <v>-2.0719095907893266</v>
      </c>
      <c r="AB44" s="891">
        <f>'Quarterly Model'!AB99</f>
        <v>-1.4439489311063807</v>
      </c>
      <c r="AC44" s="888">
        <f>'Quarterly Model'!AC99</f>
        <v>-1.5823094968307865</v>
      </c>
      <c r="AD44" s="891">
        <f>'Quarterly Model'!AD99</f>
        <v>-145.79271642505782</v>
      </c>
      <c r="AE44" s="891">
        <f>'Quarterly Model'!AE99</f>
        <v>3.8262411299063794</v>
      </c>
      <c r="AF44" s="891">
        <f>'Quarterly Model'!AF99</f>
        <v>2.864474165084558</v>
      </c>
      <c r="AG44" s="891">
        <f>'Quarterly Model'!AG99</f>
        <v>5.5261931477418864</v>
      </c>
      <c r="AH44" s="888">
        <f>'Quarterly Model'!AH99</f>
        <v>4.7001643095844239</v>
      </c>
      <c r="AI44" s="891">
        <f>'Quarterly Model'!AI99</f>
        <v>1.3113777768511992</v>
      </c>
      <c r="AJ44" s="891">
        <f>'Quarterly Model'!AJ99</f>
        <v>1.036832842909313</v>
      </c>
      <c r="AK44" s="891">
        <f>'Quarterly Model'!AK99</f>
        <v>0.97925654064739387</v>
      </c>
      <c r="AL44" s="891">
        <f>'Quarterly Model'!AL99</f>
        <v>1.1330864154617171</v>
      </c>
      <c r="AM44" s="888">
        <f>'Quarterly Model'!AM99</f>
        <v>1.087510068905245</v>
      </c>
    </row>
    <row r="45" spans="1:39">
      <c r="A45" s="858"/>
      <c r="B45" s="881" t="s">
        <v>45</v>
      </c>
      <c r="C45" s="882">
        <f>'Quarterly Model'!C100</f>
        <v>-0.4195695235661025</v>
      </c>
      <c r="D45" s="883">
        <f>'Quarterly Model'!D100</f>
        <v>-0.18996330776763887</v>
      </c>
      <c r="E45" s="884">
        <f>'Quarterly Model'!E100</f>
        <v>-0.26862407773106689</v>
      </c>
      <c r="F45" s="884">
        <f>'Quarterly Model'!F100</f>
        <v>-0.17210197489313145</v>
      </c>
      <c r="G45" s="884">
        <f>'Quarterly Model'!G100</f>
        <v>-0.15825784891390371</v>
      </c>
      <c r="H45" s="884">
        <f>'Quarterly Model'!H100</f>
        <v>-0.13776734397793508</v>
      </c>
      <c r="I45" s="883">
        <f>'Quarterly Model'!I100</f>
        <v>-0.17700825225360875</v>
      </c>
      <c r="J45" s="884">
        <f>'Quarterly Model'!J100</f>
        <v>-0.18498784707671298</v>
      </c>
      <c r="K45" s="884">
        <f>'Quarterly Model'!K100</f>
        <v>-9.0557492750304072E-2</v>
      </c>
      <c r="L45" s="884">
        <f>'Quarterly Model'!L100</f>
        <v>-0.15719110864931907</v>
      </c>
      <c r="M45" s="884">
        <f>'Quarterly Model'!M100</f>
        <v>-0.12772999252056838</v>
      </c>
      <c r="N45" s="883">
        <f>'Quarterly Model'!N100</f>
        <v>-0.13768094210641785</v>
      </c>
      <c r="O45" s="884">
        <f>'Quarterly Model'!O100</f>
        <v>-0.1242732730594908</v>
      </c>
      <c r="P45" s="884">
        <f>'Quarterly Model'!P100</f>
        <v>-6.6565115966187471E-2</v>
      </c>
      <c r="Q45" s="884">
        <f>'Quarterly Model'!Q100</f>
        <v>-7.2851604320709348E-2</v>
      </c>
      <c r="R45" s="884">
        <f>'Quarterly Model'!R100</f>
        <v>-3.0844159436356523E-2</v>
      </c>
      <c r="S45" s="883">
        <f>'Quarterly Model'!S100</f>
        <v>-7.1541814023471526E-2</v>
      </c>
      <c r="T45" s="884">
        <f>'Quarterly Model'!T100</f>
        <v>-3.0509972830914653E-2</v>
      </c>
      <c r="U45" s="884">
        <f>'Quarterly Model'!U100</f>
        <v>-2.2161177142546246E-2</v>
      </c>
      <c r="V45" s="884">
        <f>'Quarterly Model'!V100</f>
        <v>-2.5341830169235927E-2</v>
      </c>
      <c r="W45" s="884">
        <f>'Quarterly Model'!W100</f>
        <v>-3.0692046919950422E-2</v>
      </c>
      <c r="X45" s="883">
        <f>'Quarterly Model'!X100</f>
        <v>-2.7086067576414744E-2</v>
      </c>
      <c r="Y45" s="884">
        <f>'Quarterly Model'!Y100</f>
        <v>-3.4803141594818979E-4</v>
      </c>
      <c r="Z45" s="884">
        <f>'Quarterly Model'!Z100</f>
        <v>1.476106266889457E-2</v>
      </c>
      <c r="AA45" s="884">
        <f>'Quarterly Model'!AA100</f>
        <v>2.0421659881684609E-2</v>
      </c>
      <c r="AB45" s="884">
        <f>'Quarterly Model'!AB100</f>
        <v>1.0180541962621864E-2</v>
      </c>
      <c r="AC45" s="883">
        <f>'Quarterly Model'!AC100</f>
        <v>1.1863464949427695E-2</v>
      </c>
      <c r="AD45" s="884">
        <f>'Quarterly Model'!AD100</f>
        <v>3.845593834599776E-2</v>
      </c>
      <c r="AE45" s="884">
        <f>'Quarterly Model'!AE100</f>
        <v>5.4360441533840662E-2</v>
      </c>
      <c r="AF45" s="884">
        <f>'Quarterly Model'!AF100</f>
        <v>6.0155373155689196E-2</v>
      </c>
      <c r="AG45" s="884">
        <f>'Quarterly Model'!AG100</f>
        <v>5.050125375000418E-2</v>
      </c>
      <c r="AH45" s="883">
        <f>'Quarterly Model'!AH100</f>
        <v>5.1532121257388437E-2</v>
      </c>
      <c r="AI45" s="884">
        <f>'Quarterly Model'!AI100</f>
        <v>6.9027322558712245E-2</v>
      </c>
      <c r="AJ45" s="884">
        <f>'Quarterly Model'!AJ100</f>
        <v>8.5975918703626503E-2</v>
      </c>
      <c r="AK45" s="884">
        <f>'Quarterly Model'!AK100</f>
        <v>9.2357207415724119E-2</v>
      </c>
      <c r="AL45" s="884">
        <f>'Quarterly Model'!AL100</f>
        <v>8.3344537097198523E-2</v>
      </c>
      <c r="AM45" s="883">
        <f>'Quarterly Model'!AM100</f>
        <v>8.3426539070556846E-2</v>
      </c>
    </row>
    <row r="46" spans="1:39" ht="6" customHeight="1">
      <c r="A46" s="858"/>
      <c r="B46" s="892"/>
      <c r="C46" s="867"/>
      <c r="D46" s="868"/>
      <c r="E46" s="869"/>
      <c r="F46" s="869"/>
      <c r="G46" s="869"/>
      <c r="H46" s="869"/>
      <c r="I46" s="868"/>
      <c r="J46" s="869"/>
      <c r="K46" s="869"/>
      <c r="L46" s="869"/>
      <c r="M46" s="869"/>
      <c r="N46" s="868"/>
      <c r="O46" s="869"/>
      <c r="P46" s="869"/>
      <c r="Q46" s="869"/>
      <c r="R46" s="869"/>
      <c r="S46" s="868"/>
      <c r="T46" s="869"/>
      <c r="U46" s="869"/>
      <c r="V46" s="869"/>
      <c r="W46" s="869"/>
      <c r="X46" s="868"/>
      <c r="Y46" s="869"/>
      <c r="Z46" s="869"/>
      <c r="AA46" s="869"/>
      <c r="AB46" s="869"/>
      <c r="AC46" s="868"/>
      <c r="AD46" s="869"/>
      <c r="AE46" s="869"/>
      <c r="AF46" s="869"/>
      <c r="AG46" s="869"/>
      <c r="AH46" s="868"/>
      <c r="AI46" s="869"/>
      <c r="AJ46" s="869"/>
      <c r="AK46" s="869"/>
      <c r="AL46" s="869"/>
      <c r="AM46" s="868"/>
    </row>
    <row r="47" spans="1:39">
      <c r="A47" s="858"/>
      <c r="B47" s="267" t="s">
        <v>127</v>
      </c>
      <c r="C47" s="867">
        <f>'Quarterly Model'!C110</f>
        <v>-81.780999999999992</v>
      </c>
      <c r="D47" s="868">
        <f>'Quarterly Model'!D110</f>
        <v>-96.67000000000003</v>
      </c>
      <c r="E47" s="869">
        <f>'Quarterly Model'!E110</f>
        <v>-40.550999999999995</v>
      </c>
      <c r="F47" s="869">
        <f>'Quarterly Model'!F110</f>
        <v>-31.67100000000001</v>
      </c>
      <c r="G47" s="869">
        <f>'Quarterly Model'!G110</f>
        <v>-30.860999999999986</v>
      </c>
      <c r="H47" s="869">
        <f>'Quarterly Model'!H110</f>
        <v>-28.822000000000038</v>
      </c>
      <c r="I47" s="868">
        <f>'Quarterly Model'!I110</f>
        <v>-131.90500000000014</v>
      </c>
      <c r="J47" s="869">
        <f>'Quarterly Model'!J110</f>
        <v>-40.803999999999981</v>
      </c>
      <c r="K47" s="869">
        <f>'Quarterly Model'!K110</f>
        <v>-21.664000000000012</v>
      </c>
      <c r="L47" s="869">
        <f>'Quarterly Model'!L110</f>
        <v>-45.646999999999998</v>
      </c>
      <c r="M47" s="869">
        <f>'Quarterly Model'!M110</f>
        <v>-38.716999999999977</v>
      </c>
      <c r="N47" s="868">
        <f>'Quarterly Model'!N110</f>
        <v>-146.83199999999997</v>
      </c>
      <c r="O47" s="869">
        <f>'Quarterly Model'!O110</f>
        <v>-38.015000000000015</v>
      </c>
      <c r="P47" s="869">
        <f>'Quarterly Model'!P110</f>
        <v>-20.173000000000087</v>
      </c>
      <c r="Q47" s="869">
        <f>'Quarterly Model'!Q110</f>
        <v>-22.301000000000045</v>
      </c>
      <c r="R47" s="869">
        <f>'Quarterly Model'!R110</f>
        <v>-4.0109999999999317</v>
      </c>
      <c r="S47" s="868">
        <f>'Quarterly Model'!S110</f>
        <v>-84.50000000000027</v>
      </c>
      <c r="T47" s="869">
        <f>'Quarterly Model'!T110</f>
        <v>-4.6449999999999836</v>
      </c>
      <c r="U47" s="869">
        <f>'Quarterly Model'!U110</f>
        <v>-3.0969999999999676</v>
      </c>
      <c r="V47" s="869">
        <f>'Quarterly Model'!V110</f>
        <v>-5.7469999999999271</v>
      </c>
      <c r="W47" s="869">
        <f>'Quarterly Model'!W110</f>
        <v>-7.7144853575811609</v>
      </c>
      <c r="X47" s="868">
        <f>'Quarterly Model'!X110</f>
        <v>-21.203485357581755</v>
      </c>
      <c r="Y47" s="869">
        <f>'Quarterly Model'!Y110</f>
        <v>10.576151495686112</v>
      </c>
      <c r="Z47" s="869">
        <f>'Quarterly Model'!Z110</f>
        <v>20.979499997424487</v>
      </c>
      <c r="AA47" s="869">
        <f>'Quarterly Model'!AA110</f>
        <v>26.711774586062262</v>
      </c>
      <c r="AB47" s="869">
        <f>'Quarterly Model'!AB110</f>
        <v>22.34649891619814</v>
      </c>
      <c r="AC47" s="868">
        <f>'Quarterly Model'!AC110</f>
        <v>80.613924995370652</v>
      </c>
      <c r="AD47" s="869">
        <f>'Quarterly Model'!AD110</f>
        <v>44.021975652779339</v>
      </c>
      <c r="AE47" s="869">
        <f>'Quarterly Model'!AE110</f>
        <v>64.398215285919932</v>
      </c>
      <c r="AF47" s="869">
        <f>'Quarterly Model'!AF110</f>
        <v>74.456009156289667</v>
      </c>
      <c r="AG47" s="869">
        <f>'Quarterly Model'!AG110</f>
        <v>70.811606058582811</v>
      </c>
      <c r="AH47" s="868">
        <f>'Quarterly Model'!AH110</f>
        <v>253.68780615357122</v>
      </c>
      <c r="AI47" s="869">
        <f>'Quarterly Model'!AI110</f>
        <v>87.451619940651256</v>
      </c>
      <c r="AJ47" s="869">
        <f>'Quarterly Model'!AJ110</f>
        <v>121.05444568268427</v>
      </c>
      <c r="AK47" s="869">
        <f>'Quarterly Model'!AK110</f>
        <v>137.36648857896742</v>
      </c>
      <c r="AL47" s="869">
        <f>'Quarterly Model'!AL110</f>
        <v>135.37144181242206</v>
      </c>
      <c r="AM47" s="868">
        <f>'Quarterly Model'!AM110</f>
        <v>481.24399601472561</v>
      </c>
    </row>
    <row r="48" spans="1:39">
      <c r="A48" s="858"/>
      <c r="B48" s="267" t="s">
        <v>417</v>
      </c>
      <c r="C48" s="867">
        <f>'Quarterly Model'!C154</f>
        <v>8.1140000000000008</v>
      </c>
      <c r="D48" s="868">
        <f>'Quarterly Model'!D154</f>
        <v>14.657999999999999</v>
      </c>
      <c r="E48" s="869">
        <f>'Quarterly Model'!E154</f>
        <v>6.2189999999999994</v>
      </c>
      <c r="F48" s="869">
        <f>'Quarterly Model'!F154</f>
        <v>8.1020000000000003</v>
      </c>
      <c r="G48" s="869">
        <f>'Quarterly Model'!G154</f>
        <v>10.332000000000001</v>
      </c>
      <c r="H48" s="869">
        <f>'Quarterly Model'!H154</f>
        <v>11.446999999999999</v>
      </c>
      <c r="I48" s="868">
        <f>'Quarterly Model'!I154</f>
        <v>36.1</v>
      </c>
      <c r="J48" s="869">
        <f>'Quarterly Model'!J154</f>
        <v>13.461</v>
      </c>
      <c r="K48" s="869">
        <f>'Quarterly Model'!K154</f>
        <v>15.232000000000001</v>
      </c>
      <c r="L48" s="869">
        <f>'Quarterly Model'!L154</f>
        <v>20.792999999999999</v>
      </c>
      <c r="M48" s="869">
        <f>'Quarterly Model'!M154</f>
        <v>32.805999999999997</v>
      </c>
      <c r="N48" s="868">
        <f>'Quarterly Model'!N154</f>
        <v>82.292000000000002</v>
      </c>
      <c r="O48" s="869">
        <f>'Quarterly Model'!O154</f>
        <v>31.198</v>
      </c>
      <c r="P48" s="869">
        <f>'Quarterly Model'!P154</f>
        <v>36.921999999999997</v>
      </c>
      <c r="Q48" s="869">
        <f>'Quarterly Model'!Q154</f>
        <v>36.779000000000003</v>
      </c>
      <c r="R48" s="869">
        <f>'Quarterly Model'!R154</f>
        <v>33.887</v>
      </c>
      <c r="S48" s="868">
        <f>'Quarterly Model'!S154</f>
        <v>138.786</v>
      </c>
      <c r="T48" s="869">
        <f>'Quarterly Model'!T154</f>
        <v>31.67</v>
      </c>
      <c r="U48" s="869">
        <f>'Quarterly Model'!U154</f>
        <v>39.593000000000004</v>
      </c>
      <c r="V48" s="869">
        <f>'Quarterly Model'!V154</f>
        <v>40.048000000000002</v>
      </c>
      <c r="W48" s="869">
        <f>'Quarterly Model'!W154</f>
        <v>41.048000000000002</v>
      </c>
      <c r="X48" s="868">
        <f>'Quarterly Model'!X154</f>
        <v>152.35900000000001</v>
      </c>
      <c r="Y48" s="869">
        <f>'Quarterly Model'!Y154</f>
        <v>42.048000000000002</v>
      </c>
      <c r="Z48" s="869">
        <f>'Quarterly Model'!Z154</f>
        <v>43.048000000000002</v>
      </c>
      <c r="AA48" s="869">
        <f>'Quarterly Model'!AA154</f>
        <v>44.048000000000002</v>
      </c>
      <c r="AB48" s="869">
        <f>'Quarterly Model'!AB154</f>
        <v>45.048000000000002</v>
      </c>
      <c r="AC48" s="868">
        <f>'Quarterly Model'!AC154</f>
        <v>174.19200000000001</v>
      </c>
      <c r="AD48" s="869">
        <f>'Quarterly Model'!AD154</f>
        <v>46.048000000000002</v>
      </c>
      <c r="AE48" s="869">
        <f>'Quarterly Model'!AE154</f>
        <v>47.548000000000002</v>
      </c>
      <c r="AF48" s="869">
        <f>'Quarterly Model'!AF154</f>
        <v>49.048000000000002</v>
      </c>
      <c r="AG48" s="869">
        <f>'Quarterly Model'!AG154</f>
        <v>50.548000000000002</v>
      </c>
      <c r="AH48" s="868">
        <f>'Quarterly Model'!AH154</f>
        <v>193.19200000000001</v>
      </c>
      <c r="AI48" s="869">
        <f>'Quarterly Model'!AI154</f>
        <v>51.548000000000002</v>
      </c>
      <c r="AJ48" s="869">
        <f>'Quarterly Model'!AJ154</f>
        <v>53.048000000000002</v>
      </c>
      <c r="AK48" s="869">
        <f>'Quarterly Model'!AK154</f>
        <v>54.548000000000002</v>
      </c>
      <c r="AL48" s="869">
        <f>'Quarterly Model'!AL154</f>
        <v>56.048000000000002</v>
      </c>
      <c r="AM48" s="868">
        <f>'Quarterly Model'!AM154</f>
        <v>215.19200000000001</v>
      </c>
    </row>
    <row r="49" spans="1:39" ht="6" customHeight="1">
      <c r="A49" s="858"/>
      <c r="B49" s="892"/>
      <c r="C49" s="867"/>
      <c r="D49" s="868"/>
      <c r="E49" s="869"/>
      <c r="F49" s="869"/>
      <c r="G49" s="869"/>
      <c r="H49" s="869"/>
      <c r="I49" s="868"/>
      <c r="J49" s="869"/>
      <c r="K49" s="869"/>
      <c r="L49" s="869"/>
      <c r="M49" s="869"/>
      <c r="N49" s="868"/>
      <c r="O49" s="869"/>
      <c r="P49" s="869"/>
      <c r="Q49" s="869"/>
      <c r="R49" s="869"/>
      <c r="S49" s="868"/>
      <c r="T49" s="869"/>
      <c r="U49" s="869"/>
      <c r="V49" s="869"/>
      <c r="W49" s="869"/>
      <c r="X49" s="868"/>
      <c r="Y49" s="869"/>
      <c r="Z49" s="869"/>
      <c r="AA49" s="869"/>
      <c r="AB49" s="869"/>
      <c r="AC49" s="868"/>
      <c r="AD49" s="869"/>
      <c r="AE49" s="869"/>
      <c r="AF49" s="869"/>
      <c r="AG49" s="869"/>
      <c r="AH49" s="868"/>
      <c r="AI49" s="869"/>
      <c r="AJ49" s="869"/>
      <c r="AK49" s="869"/>
      <c r="AL49" s="869"/>
      <c r="AM49" s="868"/>
    </row>
    <row r="50" spans="1:39">
      <c r="A50" s="858"/>
      <c r="B50" s="167" t="s">
        <v>418</v>
      </c>
      <c r="C50" s="878">
        <f>'Quarterly Model'!C115</f>
        <v>-70.577999999999975</v>
      </c>
      <c r="D50" s="879">
        <f>'Quarterly Model'!D115</f>
        <v>-51.53000000000003</v>
      </c>
      <c r="E50" s="893">
        <f>'Quarterly Model'!E115</f>
        <v>-27.781999999999996</v>
      </c>
      <c r="F50" s="893">
        <f>'Quarterly Model'!F115</f>
        <v>-16.220000000000006</v>
      </c>
      <c r="G50" s="893">
        <f>'Quarterly Model'!G115</f>
        <v>-13.046999999999983</v>
      </c>
      <c r="H50" s="893">
        <f>'Quarterly Model'!H115</f>
        <v>-10.692000000000036</v>
      </c>
      <c r="I50" s="879">
        <f>'Quarterly Model'!I115</f>
        <v>-67.741000000000142</v>
      </c>
      <c r="J50" s="893">
        <f>'Quarterly Model'!J115</f>
        <v>-20.128999999999984</v>
      </c>
      <c r="K50" s="893">
        <f>'Quarterly Model'!K115</f>
        <v>0.85899999999998577</v>
      </c>
      <c r="L50" s="893">
        <f>'Quarterly Model'!L115</f>
        <v>-15.776000000000003</v>
      </c>
      <c r="M50" s="893">
        <f>'Quarterly Model'!M115</f>
        <v>-6.0989999999999824</v>
      </c>
      <c r="N50" s="879">
        <f>'Quarterly Model'!N115</f>
        <v>-41.144999999999996</v>
      </c>
      <c r="O50" s="893">
        <f>'Quarterly Model'!O115</f>
        <v>-9.0450000000000159</v>
      </c>
      <c r="P50" s="893">
        <f>'Quarterly Model'!P115</f>
        <v>12.553999999999913</v>
      </c>
      <c r="Q50" s="893">
        <f>'Quarterly Model'!Q115</f>
        <v>11.622999999999958</v>
      </c>
      <c r="R50" s="893">
        <f>'Quarterly Model'!R115</f>
        <v>29.79300000000007</v>
      </c>
      <c r="S50" s="879">
        <f>'Quarterly Model'!S115</f>
        <v>44.92499999999972</v>
      </c>
      <c r="T50" s="893">
        <f>'Quarterly Model'!T115</f>
        <v>27.02500000000002</v>
      </c>
      <c r="U50" s="893">
        <f>'Quarterly Model'!U115</f>
        <v>36.496000000000038</v>
      </c>
      <c r="V50" s="893">
        <f>'Quarterly Model'!V115</f>
        <v>34.301000000000073</v>
      </c>
      <c r="W50" s="893">
        <f>'Quarterly Model'!W115</f>
        <v>33.333514642418841</v>
      </c>
      <c r="X50" s="879">
        <f>'Quarterly Model'!X115</f>
        <v>131.15551464241827</v>
      </c>
      <c r="Y50" s="893">
        <f>'Quarterly Model'!Y115</f>
        <v>52.624151495686114</v>
      </c>
      <c r="Z50" s="893">
        <f>'Quarterly Model'!Z115</f>
        <v>64.027499997424485</v>
      </c>
      <c r="AA50" s="893">
        <f>'Quarterly Model'!AA115</f>
        <v>70.759774586062264</v>
      </c>
      <c r="AB50" s="893">
        <f>'Quarterly Model'!AB115</f>
        <v>67.394498916198145</v>
      </c>
      <c r="AC50" s="879">
        <f>'Quarterly Model'!AC115</f>
        <v>254.80592499537067</v>
      </c>
      <c r="AD50" s="893">
        <f>'Quarterly Model'!AD115</f>
        <v>90.069975652779334</v>
      </c>
      <c r="AE50" s="893">
        <f>'Quarterly Model'!AE115</f>
        <v>111.94621528591993</v>
      </c>
      <c r="AF50" s="893">
        <f>'Quarterly Model'!AF115</f>
        <v>123.50400915628967</v>
      </c>
      <c r="AG50" s="893">
        <f>'Quarterly Model'!AG115</f>
        <v>121.35960605858281</v>
      </c>
      <c r="AH50" s="879">
        <f>'Quarterly Model'!AH115</f>
        <v>446.87980615357122</v>
      </c>
      <c r="AI50" s="893">
        <f>'Quarterly Model'!AI115</f>
        <v>138.99961994065126</v>
      </c>
      <c r="AJ50" s="893">
        <f>'Quarterly Model'!AJ115</f>
        <v>174.10244568268428</v>
      </c>
      <c r="AK50" s="893">
        <f>'Quarterly Model'!AK115</f>
        <v>191.91448857896742</v>
      </c>
      <c r="AL50" s="893">
        <f>'Quarterly Model'!AL115</f>
        <v>191.41944181242206</v>
      </c>
      <c r="AM50" s="879">
        <f>'Quarterly Model'!AM115</f>
        <v>696.43599601472556</v>
      </c>
    </row>
    <row r="51" spans="1:39">
      <c r="A51" s="894"/>
      <c r="B51" s="194" t="s">
        <v>26</v>
      </c>
      <c r="C51" s="454"/>
      <c r="D51" s="895">
        <f>'Quarterly Model'!D116</f>
        <v>-0.26988580010768159</v>
      </c>
      <c r="E51" s="896">
        <f>'Quarterly Model'!E116</f>
        <v>0</v>
      </c>
      <c r="F51" s="896">
        <f>'Quarterly Model'!F116</f>
        <v>0</v>
      </c>
      <c r="G51" s="896">
        <f>'Quarterly Model'!G116</f>
        <v>0</v>
      </c>
      <c r="H51" s="896">
        <f>'Quarterly Model'!H116</f>
        <v>0</v>
      </c>
      <c r="I51" s="895">
        <f>'Quarterly Model'!I116</f>
        <v>0.31459344071414908</v>
      </c>
      <c r="J51" s="896">
        <f>'Quarterly Model'!J116</f>
        <v>-0.27546612914836999</v>
      </c>
      <c r="K51" s="896">
        <f>'Quarterly Model'!K116</f>
        <v>-1.0529593094944505</v>
      </c>
      <c r="L51" s="896">
        <f>'Quarterly Model'!L116</f>
        <v>0.20916685828159909</v>
      </c>
      <c r="M51" s="896">
        <f>'Quarterly Model'!M116</f>
        <v>-0.42957351290684975</v>
      </c>
      <c r="N51" s="895">
        <f>'Quarterly Model'!N116</f>
        <v>-0.39261304084675586</v>
      </c>
      <c r="O51" s="896">
        <f>'Quarterly Model'!O116</f>
        <v>-0.55064831834666284</v>
      </c>
      <c r="P51" s="896">
        <f>'Quarterly Model'!P116</f>
        <v>13.614668218859279</v>
      </c>
      <c r="Q51" s="896">
        <f>'Quarterly Model'!Q116</f>
        <v>-1.736752028397563</v>
      </c>
      <c r="R51" s="896">
        <f>'Quarterly Model'!R116</f>
        <v>-5.8848991637973693</v>
      </c>
      <c r="S51" s="895">
        <f>'Quarterly Model'!S116</f>
        <v>-2.0918702150929569</v>
      </c>
      <c r="T51" s="896">
        <f>'Quarterly Model'!T116</f>
        <v>-3.987838584853507</v>
      </c>
      <c r="U51" s="896">
        <f>'Quarterly Model'!U116</f>
        <v>1.9071212362593828</v>
      </c>
      <c r="V51" s="896">
        <f>'Quarterly Model'!V116</f>
        <v>1.9511313774412971</v>
      </c>
      <c r="W51" s="896">
        <f>'Quarterly Model'!W116</f>
        <v>0.11883713095085291</v>
      </c>
      <c r="X51" s="895">
        <f>'Quarterly Model'!X116</f>
        <v>1.9194327132424949</v>
      </c>
      <c r="Y51" s="896">
        <f>'Quarterly Model'!Y116</f>
        <v>0.94723964831400842</v>
      </c>
      <c r="Z51" s="896">
        <f>'Quarterly Model'!Z116</f>
        <v>0.75437034188471119</v>
      </c>
      <c r="AA51" s="896">
        <f>'Quarterly Model'!AA116</f>
        <v>1.0629070460354542</v>
      </c>
      <c r="AB51" s="896">
        <f>'Quarterly Model'!AB116</f>
        <v>1.0218239702342915</v>
      </c>
      <c r="AC51" s="895">
        <f>'Quarterly Model'!AC116</f>
        <v>0.94277705889891283</v>
      </c>
      <c r="AD51" s="896">
        <f>'Quarterly Model'!AD116</f>
        <v>0.7115710770208401</v>
      </c>
      <c r="AE51" s="896">
        <f>'Quarterly Model'!AE116</f>
        <v>0.74840834470224493</v>
      </c>
      <c r="AF51" s="896">
        <f>'Quarterly Model'!AF116</f>
        <v>0.74539856689448203</v>
      </c>
      <c r="AG51" s="896">
        <f>'Quarterly Model'!AG116</f>
        <v>0.80073460015613018</v>
      </c>
      <c r="AH51" s="895">
        <f>'Quarterly Model'!AH116</f>
        <v>0.75380461094729312</v>
      </c>
      <c r="AI51" s="896">
        <f>'Quarterly Model'!AI116</f>
        <v>0.54324034100437868</v>
      </c>
      <c r="AJ51" s="896">
        <f>'Quarterly Model'!AJ116</f>
        <v>0.55523297717579978</v>
      </c>
      <c r="AK51" s="896">
        <f>'Quarterly Model'!AK116</f>
        <v>0.55391302590110136</v>
      </c>
      <c r="AL51" s="896">
        <f>'Quarterly Model'!AL116</f>
        <v>0.5772912258797207</v>
      </c>
      <c r="AM51" s="895">
        <f>'Quarterly Model'!AM116</f>
        <v>0.55844141181755225</v>
      </c>
    </row>
    <row r="52" spans="1:39">
      <c r="A52" s="894"/>
      <c r="B52" s="194" t="s">
        <v>42</v>
      </c>
      <c r="C52" s="454">
        <f>'Quarterly Model'!C117</f>
        <v>-0.3469075788035329</v>
      </c>
      <c r="D52" s="895">
        <f>'Quarterly Model'!D117</f>
        <v>-9.3278279900006034E-2</v>
      </c>
      <c r="E52" s="896">
        <f>'Quarterly Model'!E117</f>
        <v>-0.1682921214911377</v>
      </c>
      <c r="F52" s="896">
        <f>'Quarterly Model'!F117</f>
        <v>-7.8434785972649412E-2</v>
      </c>
      <c r="G52" s="896">
        <f>'Quarterly Model'!G117</f>
        <v>-5.736962448333472E-2</v>
      </c>
      <c r="H52" s="896">
        <f>'Quarterly Model'!H117</f>
        <v>-4.2615606590831336E-2</v>
      </c>
      <c r="I52" s="895">
        <f>'Quarterly Model'!I117</f>
        <v>-7.9677296422455329E-2</v>
      </c>
      <c r="J52" s="896">
        <f>'Quarterly Model'!J117</f>
        <v>-8.033700914362793E-2</v>
      </c>
      <c r="K52" s="896">
        <f>'Quarterly Model'!K117</f>
        <v>2.7708515449351668E-3</v>
      </c>
      <c r="L52" s="896">
        <f>'Quarterly Model'!L117</f>
        <v>-4.7491179693426623E-2</v>
      </c>
      <c r="M52" s="896">
        <f>'Quarterly Model'!M117</f>
        <v>-1.6291804679987129E-2</v>
      </c>
      <c r="N52" s="895">
        <f>'Quarterly Model'!N117</f>
        <v>-3.2471324691149522E-2</v>
      </c>
      <c r="O52" s="896">
        <f>'Quarterly Model'!O117</f>
        <v>-2.3848508578344172E-2</v>
      </c>
      <c r="P52" s="896">
        <f>'Quarterly Model'!P117</f>
        <v>2.8627264082748422E-2</v>
      </c>
      <c r="Q52" s="896">
        <f>'Quarterly Model'!Q117</f>
        <v>2.6475961385141661E-2</v>
      </c>
      <c r="R52" s="896">
        <f>'Quarterly Model'!R117</f>
        <v>6.5925822662126154E-2</v>
      </c>
      <c r="S52" s="895">
        <f>'Quarterly Model'!S117</f>
        <v>2.6291594707386241E-2</v>
      </c>
      <c r="T52" s="896">
        <f>'Quarterly Model'!T117</f>
        <v>5.8552195409421255E-2</v>
      </c>
      <c r="U52" s="896">
        <f>'Quarterly Model'!U117</f>
        <v>6.617528399561208E-2</v>
      </c>
      <c r="V52" s="896">
        <f>'Quarterly Model'!V117</f>
        <v>5.8618255892842912E-2</v>
      </c>
      <c r="W52" s="896">
        <f>'Quarterly Model'!W117</f>
        <v>5.5739980454748622E-2</v>
      </c>
      <c r="X52" s="895">
        <f>'Quarterly Model'!X117</f>
        <v>5.9718314159632691E-2</v>
      </c>
      <c r="Y52" s="896">
        <f>'Quarterly Model'!Y117</f>
        <v>8.6420123252358441E-2</v>
      </c>
      <c r="Z52" s="896">
        <f>'Quarterly Model'!Z117</f>
        <v>8.744381507446948E-2</v>
      </c>
      <c r="AA52" s="896">
        <f>'Quarterly Model'!AA117</f>
        <v>9.0909120804052224E-2</v>
      </c>
      <c r="AB52" s="896">
        <f>'Quarterly Model'!AB117</f>
        <v>8.4201956623651236E-2</v>
      </c>
      <c r="AC52" s="895">
        <f>'Quarterly Model'!AC117</f>
        <v>8.726542868274767E-2</v>
      </c>
      <c r="AD52" s="896">
        <f>'Quarterly Model'!AD117</f>
        <v>0.1128776784814175</v>
      </c>
      <c r="AE52" s="896">
        <f>'Quarterly Model'!AE117</f>
        <v>0.11666170055896785</v>
      </c>
      <c r="AF52" s="896">
        <f>'Quarterly Model'!AF117</f>
        <v>0.12094698614549051</v>
      </c>
      <c r="AG52" s="896">
        <f>'Quarterly Model'!AG117</f>
        <v>0.11525060971970867</v>
      </c>
      <c r="AH52" s="895">
        <f>'Quarterly Model'!AH117</f>
        <v>0.11662791938839472</v>
      </c>
      <c r="AI52" s="896">
        <f>'Quarterly Model'!AI117</f>
        <v>0.13527835648533174</v>
      </c>
      <c r="AJ52" s="896">
        <f>'Quarterly Model'!AJ117</f>
        <v>0.1408841771408981</v>
      </c>
      <c r="AK52" s="896">
        <f>'Quarterly Model'!AK117</f>
        <v>0.14578607272178451</v>
      </c>
      <c r="AL52" s="896">
        <f>'Quarterly Model'!AL117</f>
        <v>0.14064414197310782</v>
      </c>
      <c r="AM52" s="895">
        <f>'Quarterly Model'!AM117</f>
        <v>0.14095829448805183</v>
      </c>
    </row>
    <row r="53" spans="1:39">
      <c r="A53" s="894"/>
      <c r="B53" s="170" t="s">
        <v>31</v>
      </c>
      <c r="C53" s="897">
        <f>'Quarterly Model'!C118</f>
        <v>-1.0436364174072481</v>
      </c>
      <c r="D53" s="898">
        <f>'Quarterly Model'!D118</f>
        <v>-0.32177290438605283</v>
      </c>
      <c r="E53" s="899">
        <f>'Quarterly Model'!E118</f>
        <v>-0.53078848321583449</v>
      </c>
      <c r="F53" s="899">
        <f>'Quarterly Model'!F118</f>
        <v>-0.24264001914791775</v>
      </c>
      <c r="G53" s="899">
        <f>'Quarterly Model'!G118</f>
        <v>-0.17372836218375476</v>
      </c>
      <c r="H53" s="899">
        <f>'Quarterly Model'!H118</f>
        <v>-0.13035685982858095</v>
      </c>
      <c r="I53" s="898">
        <f>'Quarterly Model'!I118</f>
        <v>-0.24516304151134652</v>
      </c>
      <c r="J53" s="899">
        <f>'Quarterly Model'!J118</f>
        <v>-0.22577280272780267</v>
      </c>
      <c r="K53" s="899">
        <f>'Quarterly Model'!K118</f>
        <v>7.8361612844370186E-3</v>
      </c>
      <c r="L53" s="899">
        <f>'Quarterly Model'!L118</f>
        <v>-0.13386621863571185</v>
      </c>
      <c r="M53" s="899">
        <f>'Quarterly Model'!M118</f>
        <v>-4.533022163423648E-2</v>
      </c>
      <c r="N53" s="898">
        <f>'Quarterly Model'!N118</f>
        <v>-9.1196021020854598E-2</v>
      </c>
      <c r="O53" s="899">
        <f>'Quarterly Model'!O118</f>
        <v>-6.1886353528788053E-2</v>
      </c>
      <c r="P53" s="899">
        <f>'Quarterly Model'!P118</f>
        <v>7.3497298151736251E-2</v>
      </c>
      <c r="Q53" s="899">
        <f>'Quarterly Model'!Q118</f>
        <v>6.537966103601682E-2</v>
      </c>
      <c r="R53" s="899">
        <f>'Quarterly Model'!R118</f>
        <v>0.15527134570584311</v>
      </c>
      <c r="S53" s="898">
        <f>'Quarterly Model'!S118</f>
        <v>6.5429394510484337E-2</v>
      </c>
      <c r="T53" s="899">
        <f>'Quarterly Model'!T118</f>
        <v>0.13262111337939708</v>
      </c>
      <c r="U53" s="899">
        <f>'Quarterly Model'!U118</f>
        <v>0.15180543481425729</v>
      </c>
      <c r="V53" s="899">
        <f>'Quarterly Model'!V118</f>
        <v>0.13340671136763196</v>
      </c>
      <c r="W53" s="899">
        <f>'Quarterly Model'!W118</f>
        <v>0.12531499165917934</v>
      </c>
      <c r="X53" s="898">
        <f>'Quarterly Model'!X118</f>
        <v>0.1355888888970094</v>
      </c>
      <c r="Y53" s="899">
        <f>'Quarterly Model'!Y118</f>
        <v>0.18931801065703738</v>
      </c>
      <c r="Z53" s="899">
        <f>'Quarterly Model'!Z118</f>
        <v>0.19171578856379726</v>
      </c>
      <c r="AA53" s="899">
        <f>'Quarterly Model'!AA118</f>
        <v>0.19836668257913581</v>
      </c>
      <c r="AB53" s="899">
        <f>'Quarterly Model'!AB118</f>
        <v>0.18037582078590894</v>
      </c>
      <c r="AC53" s="898">
        <f>'Quarterly Model'!AC118</f>
        <v>0.18983016301844285</v>
      </c>
      <c r="AD53" s="899">
        <f>'Quarterly Model'!AD118</f>
        <v>0.23847879481871595</v>
      </c>
      <c r="AE53" s="899">
        <f>'Quarterly Model'!AE118</f>
        <v>0.24663346136346936</v>
      </c>
      <c r="AF53" s="899">
        <f>'Quarterly Model'!AF118</f>
        <v>0.25425850430445512</v>
      </c>
      <c r="AG53" s="899">
        <f>'Quarterly Model'!AG118</f>
        <v>0.23744082704213104</v>
      </c>
      <c r="AH53" s="898">
        <f>'Quarterly Model'!AH118</f>
        <v>0.24440500881924287</v>
      </c>
      <c r="AI53" s="899">
        <f>'Quarterly Model'!AI118</f>
        <v>0.27597797261863649</v>
      </c>
      <c r="AJ53" s="899">
        <f>'Quarterly Model'!AJ118</f>
        <v>0.28755550979129102</v>
      </c>
      <c r="AK53" s="899">
        <f>'Quarterly Model'!AK118</f>
        <v>0.29568871955874554</v>
      </c>
      <c r="AL53" s="899">
        <f>'Quarterly Model'!AL118</f>
        <v>0.27921657653850973</v>
      </c>
      <c r="AM53" s="898">
        <f>'Quarterly Model'!AM118</f>
        <v>0.28499007722076264</v>
      </c>
    </row>
    <row r="54" spans="1:39" ht="6" customHeight="1">
      <c r="A54" s="858"/>
      <c r="B54" s="900"/>
      <c r="C54" s="867"/>
      <c r="D54" s="868"/>
      <c r="E54" s="869"/>
      <c r="F54" s="869"/>
      <c r="G54" s="869"/>
      <c r="H54" s="869"/>
      <c r="I54" s="868"/>
      <c r="J54" s="869"/>
      <c r="K54" s="869"/>
      <c r="L54" s="869"/>
      <c r="M54" s="869"/>
      <c r="N54" s="868"/>
      <c r="O54" s="869"/>
      <c r="P54" s="869"/>
      <c r="Q54" s="869"/>
      <c r="R54" s="869"/>
      <c r="S54" s="868"/>
      <c r="T54" s="869"/>
      <c r="U54" s="869"/>
      <c r="V54" s="869"/>
      <c r="W54" s="869"/>
      <c r="X54" s="868"/>
      <c r="Y54" s="869"/>
      <c r="Z54" s="869"/>
      <c r="AA54" s="869"/>
      <c r="AB54" s="869"/>
      <c r="AC54" s="868"/>
      <c r="AD54" s="869"/>
      <c r="AE54" s="869"/>
      <c r="AF54" s="869"/>
      <c r="AG54" s="869"/>
      <c r="AH54" s="868"/>
      <c r="AI54" s="869"/>
      <c r="AJ54" s="869"/>
      <c r="AK54" s="869"/>
      <c r="AL54" s="869"/>
      <c r="AM54" s="868"/>
    </row>
    <row r="55" spans="1:39">
      <c r="A55" s="858"/>
      <c r="B55" s="122" t="s">
        <v>130</v>
      </c>
      <c r="C55" s="867">
        <f>'Quarterly Model'!C120</f>
        <v>-5.0000000000000001E-3</v>
      </c>
      <c r="D55" s="868">
        <f>'Quarterly Model'!D120</f>
        <v>1.2E-2</v>
      </c>
      <c r="E55" s="869">
        <f>'Quarterly Model'!E120</f>
        <v>-2E-3</v>
      </c>
      <c r="F55" s="869">
        <f>'Quarterly Model'!F120</f>
        <v>-0.18</v>
      </c>
      <c r="G55" s="869">
        <f>'Quarterly Model'!G120</f>
        <v>-0.433</v>
      </c>
      <c r="H55" s="869">
        <f>'Quarterly Model'!H120</f>
        <v>-0.443</v>
      </c>
      <c r="I55" s="868">
        <f>'Quarterly Model'!I120</f>
        <v>-1.0580000000000001</v>
      </c>
      <c r="J55" s="869">
        <f>'Quarterly Model'!J120</f>
        <v>-0.41399999999999998</v>
      </c>
      <c r="K55" s="869">
        <f>'Quarterly Model'!K120</f>
        <v>-0.44400000000000001</v>
      </c>
      <c r="L55" s="869">
        <f>'Quarterly Model'!L120</f>
        <v>-0.13700000000000001</v>
      </c>
      <c r="M55" s="869">
        <f>'Quarterly Model'!M120</f>
        <v>-0.16800000000000001</v>
      </c>
      <c r="N55" s="868">
        <f>'Quarterly Model'!N120</f>
        <v>-1.163</v>
      </c>
      <c r="O55" s="869">
        <f>'Quarterly Model'!O120</f>
        <v>-6.9000000000000006E-2</v>
      </c>
      <c r="P55" s="869">
        <f>'Quarterly Model'!P120</f>
        <v>0.129</v>
      </c>
      <c r="Q55" s="869">
        <f>'Quarterly Model'!Q120</f>
        <v>0.183</v>
      </c>
      <c r="R55" s="869">
        <f>'Quarterly Model'!R120</f>
        <v>0</v>
      </c>
      <c r="S55" s="868">
        <f>'Quarterly Model'!S120</f>
        <v>0.24299999999999999</v>
      </c>
      <c r="T55" s="869">
        <f>'Quarterly Model'!T120</f>
        <v>-0.11458333333333333</v>
      </c>
      <c r="U55" s="869">
        <f>'Quarterly Model'!U120</f>
        <v>-0.16249999999999998</v>
      </c>
      <c r="V55" s="869">
        <f>'Quarterly Model'!V120</f>
        <v>-0.16249999999999998</v>
      </c>
      <c r="W55" s="869">
        <f>'Quarterly Model'!W120</f>
        <v>-0.16249999999999998</v>
      </c>
      <c r="X55" s="868">
        <f>'Quarterly Model'!X120</f>
        <v>-0.6020833333333333</v>
      </c>
      <c r="Y55" s="869">
        <f>'Quarterly Model'!Y120</f>
        <v>-0.16249999999999998</v>
      </c>
      <c r="Z55" s="869">
        <f>'Quarterly Model'!Z120</f>
        <v>-0.16249999999999998</v>
      </c>
      <c r="AA55" s="869">
        <f>'Quarterly Model'!AA120</f>
        <v>-0.16249999999999998</v>
      </c>
      <c r="AB55" s="869">
        <f>'Quarterly Model'!AB120</f>
        <v>-0.16249999999999998</v>
      </c>
      <c r="AC55" s="868">
        <f>'Quarterly Model'!AC120</f>
        <v>-0.64999999999999991</v>
      </c>
      <c r="AD55" s="869">
        <f>'Quarterly Model'!AD120</f>
        <v>-0.16249999999999998</v>
      </c>
      <c r="AE55" s="869">
        <f>'Quarterly Model'!AE120</f>
        <v>-0.16249999999999998</v>
      </c>
      <c r="AF55" s="869">
        <f>'Quarterly Model'!AF120</f>
        <v>-0.16249999999999998</v>
      </c>
      <c r="AG55" s="869">
        <f>'Quarterly Model'!AG120</f>
        <v>-0.16249999999999998</v>
      </c>
      <c r="AH55" s="868">
        <f>'Quarterly Model'!AH120</f>
        <v>-0.64999999999999991</v>
      </c>
      <c r="AI55" s="869">
        <f>'Quarterly Model'!AI120</f>
        <v>-0.16249999999999998</v>
      </c>
      <c r="AJ55" s="869">
        <f>'Quarterly Model'!AJ120</f>
        <v>-0.16249999999999998</v>
      </c>
      <c r="AK55" s="869">
        <f>'Quarterly Model'!AK120</f>
        <v>-0.16249999999999998</v>
      </c>
      <c r="AL55" s="869">
        <f>'Quarterly Model'!AL120</f>
        <v>-0.16249999999999998</v>
      </c>
      <c r="AM55" s="868">
        <f>'Quarterly Model'!AM120</f>
        <v>-0.64999999999999991</v>
      </c>
    </row>
    <row r="56" spans="1:39">
      <c r="A56" s="858"/>
      <c r="B56" s="122" t="s">
        <v>131</v>
      </c>
      <c r="C56" s="867">
        <f>'Quarterly Model'!C122</f>
        <v>0.16700000000000001</v>
      </c>
      <c r="D56" s="868">
        <f>'Quarterly Model'!D122</f>
        <v>0.95</v>
      </c>
      <c r="E56" s="869">
        <f>'Quarterly Model'!E122</f>
        <v>-0.45400000000000001</v>
      </c>
      <c r="F56" s="869">
        <f>'Quarterly Model'!F122</f>
        <v>0.67400000000000004</v>
      </c>
      <c r="G56" s="869">
        <f>'Quarterly Model'!G122</f>
        <v>-0.95699999999999996</v>
      </c>
      <c r="H56" s="869">
        <f>'Quarterly Model'!H122</f>
        <v>-0.36699999999999999</v>
      </c>
      <c r="I56" s="868">
        <f>'Quarterly Model'!I122</f>
        <v>-1.1039999999999999</v>
      </c>
      <c r="J56" s="869">
        <f>'Quarterly Model'!J122</f>
        <v>-0.79600000000000004</v>
      </c>
      <c r="K56" s="869">
        <f>'Quarterly Model'!K122</f>
        <v>0.05</v>
      </c>
      <c r="L56" s="869">
        <f>'Quarterly Model'!L122</f>
        <v>-0.64400000000000002</v>
      </c>
      <c r="M56" s="869">
        <f>'Quarterly Model'!M122</f>
        <v>0.94</v>
      </c>
      <c r="N56" s="868">
        <f>'Quarterly Model'!N122</f>
        <v>-0.45000000000000018</v>
      </c>
      <c r="O56" s="869">
        <f>'Quarterly Model'!O122</f>
        <v>0.78600000000000003</v>
      </c>
      <c r="P56" s="869">
        <f>'Quarterly Model'!P122</f>
        <v>0.19800000000000001</v>
      </c>
      <c r="Q56" s="869">
        <f>'Quarterly Model'!Q122</f>
        <v>-0.29399999999999998</v>
      </c>
      <c r="R56" s="869">
        <f>'Quarterly Model'!R122</f>
        <v>-0.153</v>
      </c>
      <c r="S56" s="868">
        <f>'Quarterly Model'!S122</f>
        <v>0.53699999999999992</v>
      </c>
      <c r="T56" s="869">
        <f>'Quarterly Model'!T122</f>
        <v>1.1145833333333333</v>
      </c>
      <c r="U56" s="869">
        <f>'Quarterly Model'!U122</f>
        <v>1.1435</v>
      </c>
      <c r="V56" s="869">
        <f>'Quarterly Model'!V122</f>
        <v>2.6115000000000004</v>
      </c>
      <c r="W56" s="869">
        <f>'Quarterly Model'!W122</f>
        <v>2.6115000000000004</v>
      </c>
      <c r="X56" s="868">
        <f>'Quarterly Model'!X122</f>
        <v>7.4810833333333342</v>
      </c>
      <c r="Y56" s="869">
        <f>'Quarterly Model'!Y122</f>
        <v>2.6115000000000004</v>
      </c>
      <c r="Z56" s="869">
        <f>'Quarterly Model'!Z122</f>
        <v>2.6115000000000004</v>
      </c>
      <c r="AA56" s="869">
        <f>'Quarterly Model'!AA122</f>
        <v>2.6115000000000004</v>
      </c>
      <c r="AB56" s="869">
        <f>'Quarterly Model'!AB122</f>
        <v>2.6115000000000004</v>
      </c>
      <c r="AC56" s="868">
        <f>'Quarterly Model'!AC122</f>
        <v>10.446000000000002</v>
      </c>
      <c r="AD56" s="869">
        <f>'Quarterly Model'!AD122</f>
        <v>2.6115000000000004</v>
      </c>
      <c r="AE56" s="869">
        <f>'Quarterly Model'!AE122</f>
        <v>2.6115000000000004</v>
      </c>
      <c r="AF56" s="869">
        <f>'Quarterly Model'!AF122</f>
        <v>2.6115000000000004</v>
      </c>
      <c r="AG56" s="869">
        <f>'Quarterly Model'!AG122</f>
        <v>2.6115000000000004</v>
      </c>
      <c r="AH56" s="868">
        <f>'Quarterly Model'!AH122</f>
        <v>10.446000000000002</v>
      </c>
      <c r="AI56" s="869">
        <f>'Quarterly Model'!AI122</f>
        <v>2.6115000000000004</v>
      </c>
      <c r="AJ56" s="869">
        <f>'Quarterly Model'!AJ122</f>
        <v>2.6115000000000004</v>
      </c>
      <c r="AK56" s="869">
        <f>'Quarterly Model'!AK122</f>
        <v>2.6115000000000004</v>
      </c>
      <c r="AL56" s="869">
        <f>'Quarterly Model'!AL122</f>
        <v>2.6115000000000004</v>
      </c>
      <c r="AM56" s="868">
        <f>'Quarterly Model'!AM122</f>
        <v>10.446000000000002</v>
      </c>
    </row>
    <row r="57" spans="1:39">
      <c r="A57" s="858"/>
      <c r="B57" s="901" t="s">
        <v>419</v>
      </c>
      <c r="C57" s="867">
        <f>'Quarterly Model'!C127</f>
        <v>-85.198999999999984</v>
      </c>
      <c r="D57" s="868">
        <f>'Quarterly Model'!D127</f>
        <v>-103.98000000000003</v>
      </c>
      <c r="E57" s="869">
        <f>'Quarterly Model'!E127</f>
        <v>-44.800999999999995</v>
      </c>
      <c r="F57" s="869">
        <f>'Quarterly Model'!F127</f>
        <v>-35.096000000000011</v>
      </c>
      <c r="G57" s="869">
        <f>'Quarterly Model'!G127</f>
        <v>-37.380999999999986</v>
      </c>
      <c r="H57" s="869">
        <f>'Quarterly Model'!H127</f>
        <v>-35.375000000000036</v>
      </c>
      <c r="I57" s="868">
        <f>'Quarterly Model'!I127</f>
        <v>-152.65300000000013</v>
      </c>
      <c r="J57" s="869">
        <f>'Quarterly Model'!J127</f>
        <v>-47.559999999999981</v>
      </c>
      <c r="K57" s="869">
        <f>'Quarterly Model'!K127</f>
        <v>-28.468000000000011</v>
      </c>
      <c r="L57" s="869">
        <f>'Quarterly Model'!L127</f>
        <v>-52.997999999999998</v>
      </c>
      <c r="M57" s="869">
        <f>'Quarterly Model'!M127</f>
        <v>-47.04499999999998</v>
      </c>
      <c r="N57" s="868">
        <f>'Quarterly Model'!N127</f>
        <v>-176.07099999999997</v>
      </c>
      <c r="O57" s="869">
        <f>'Quarterly Model'!O127</f>
        <v>-46.416000000000018</v>
      </c>
      <c r="P57" s="869">
        <f>'Quarterly Model'!P127</f>
        <v>-28.864000000000086</v>
      </c>
      <c r="Q57" s="869">
        <f>'Quarterly Model'!Q127</f>
        <v>-32.093000000000039</v>
      </c>
      <c r="R57" s="869">
        <f>'Quarterly Model'!R127</f>
        <v>-14.091999999999933</v>
      </c>
      <c r="S57" s="868">
        <f>'Quarterly Model'!S127</f>
        <v>-121.46500000000027</v>
      </c>
      <c r="T57" s="869">
        <f>'Quarterly Model'!T127</f>
        <v>-14.580999999999984</v>
      </c>
      <c r="U57" s="869">
        <f>'Quarterly Model'!U127</f>
        <v>-15.487999999999968</v>
      </c>
      <c r="V57" s="869">
        <f>'Quarterly Model'!V127</f>
        <v>-16.682999999999929</v>
      </c>
      <c r="W57" s="869">
        <f>'Quarterly Model'!W127</f>
        <v>-21.105398172825616</v>
      </c>
      <c r="X57" s="868">
        <f>'Quarterly Model'!X127</f>
        <v>-67.857398172826208</v>
      </c>
      <c r="Y57" s="869">
        <f>'Quarterly Model'!Y127</f>
        <v>-2.9629281628959698</v>
      </c>
      <c r="Z57" s="869">
        <f>'Quarterly Model'!Z127</f>
        <v>8.0572422889457158</v>
      </c>
      <c r="AA57" s="869">
        <f>'Quarterly Model'!AA127</f>
        <v>13.144347321814847</v>
      </c>
      <c r="AB57" s="869">
        <f>'Quarterly Model'!AB127</f>
        <v>5.3974154499268359</v>
      </c>
      <c r="AC57" s="868">
        <f>'Quarterly Model'!AC127</f>
        <v>23.636076897791085</v>
      </c>
      <c r="AD57" s="869">
        <f>'Quarterly Model'!AD127</f>
        <v>27.934654392679747</v>
      </c>
      <c r="AE57" s="869">
        <f>'Quarterly Model'!AE127</f>
        <v>49.41218347690328</v>
      </c>
      <c r="AF57" s="869">
        <f>'Quarterly Model'!AF127</f>
        <v>58.676159070199489</v>
      </c>
      <c r="AG57" s="869">
        <f>'Quarterly Model'!AG127</f>
        <v>50.427133074266628</v>
      </c>
      <c r="AH57" s="868">
        <f>'Quarterly Model'!AH127</f>
        <v>186.4501300140486</v>
      </c>
      <c r="AI57" s="869">
        <f>'Quarterly Model'!AI127</f>
        <v>68.175139631376382</v>
      </c>
      <c r="AJ57" s="869">
        <f>'Quarterly Model'!AJ127</f>
        <v>103.49668529646105</v>
      </c>
      <c r="AK57" s="869">
        <f>'Quarterly Model'!AK127</f>
        <v>118.82910636308026</v>
      </c>
      <c r="AL57" s="869">
        <f>'Quarterly Model'!AL127</f>
        <v>110.68255326033362</v>
      </c>
      <c r="AM57" s="868">
        <f>'Quarterly Model'!AM127</f>
        <v>401.18348455125192</v>
      </c>
    </row>
    <row r="58" spans="1:39">
      <c r="A58" s="858"/>
      <c r="B58" s="866" t="s">
        <v>420</v>
      </c>
      <c r="C58" s="867">
        <f>'Quarterly Model'!C130</f>
        <v>0</v>
      </c>
      <c r="D58" s="868">
        <f>'Quarterly Model'!D130</f>
        <v>0.51300000000000001</v>
      </c>
      <c r="E58" s="869">
        <f>'Quarterly Model'!E130</f>
        <v>-0.81</v>
      </c>
      <c r="F58" s="869">
        <f>'Quarterly Model'!F130</f>
        <v>0.26800000000000002</v>
      </c>
      <c r="G58" s="869">
        <f>'Quarterly Model'!G130</f>
        <v>0.28499999999999998</v>
      </c>
      <c r="H58" s="869">
        <f>'Quarterly Model'!H130</f>
        <v>1.6970000000000001</v>
      </c>
      <c r="I58" s="868">
        <f>'Quarterly Model'!I130</f>
        <v>1.44</v>
      </c>
      <c r="J58" s="869">
        <f>'Quarterly Model'!J130</f>
        <v>0.41799999999999998</v>
      </c>
      <c r="K58" s="869">
        <f>'Quarterly Model'!K130</f>
        <v>1.1519999999999999</v>
      </c>
      <c r="L58" s="869">
        <f>'Quarterly Model'!L130</f>
        <v>0.93200000000000005</v>
      </c>
      <c r="M58" s="869">
        <f>'Quarterly Model'!M130</f>
        <v>1.244</v>
      </c>
      <c r="N58" s="868">
        <f>'Quarterly Model'!N130</f>
        <v>3.7459999999999996</v>
      </c>
      <c r="O58" s="869">
        <f>'Quarterly Model'!O130</f>
        <v>0.33900000000000002</v>
      </c>
      <c r="P58" s="869">
        <f>'Quarterly Model'!P130</f>
        <v>0.312</v>
      </c>
      <c r="Q58" s="869">
        <f>'Quarterly Model'!Q130</f>
        <v>0.23</v>
      </c>
      <c r="R58" s="869">
        <f>'Quarterly Model'!R130</f>
        <v>1.036</v>
      </c>
      <c r="S58" s="868">
        <f>'Quarterly Model'!S130</f>
        <v>1.917</v>
      </c>
      <c r="T58" s="869">
        <f>'Quarterly Model'!T130</f>
        <v>0.50900000000000001</v>
      </c>
      <c r="U58" s="869">
        <f>'Quarterly Model'!U130</f>
        <v>0.47199999999999998</v>
      </c>
      <c r="V58" s="869">
        <f>'Quarterly Model'!V130</f>
        <v>-0.64700000000000002</v>
      </c>
      <c r="W58" s="869">
        <f>'Quarterly Model'!W130</f>
        <v>-0.81850941783961106</v>
      </c>
      <c r="X58" s="868">
        <f>'Quarterly Model'!X130</f>
        <v>-0.4845094178396111</v>
      </c>
      <c r="Y58" s="869">
        <f>'Quarterly Model'!Y130</f>
        <v>-0.14814640814479849</v>
      </c>
      <c r="Z58" s="869">
        <f>'Quarterly Model'!Z130</f>
        <v>0.40286211444728581</v>
      </c>
      <c r="AA58" s="869">
        <f>'Quarterly Model'!AA130</f>
        <v>0.65721736609074233</v>
      </c>
      <c r="AB58" s="869">
        <f>'Quarterly Model'!AB130</f>
        <v>0.26987077249634178</v>
      </c>
      <c r="AC58" s="868">
        <f>'Quarterly Model'!AC130</f>
        <v>1.1818038448895714</v>
      </c>
      <c r="AD58" s="869">
        <f>'Quarterly Model'!AD130</f>
        <v>0</v>
      </c>
      <c r="AE58" s="869">
        <f>'Quarterly Model'!AE130</f>
        <v>0</v>
      </c>
      <c r="AF58" s="869">
        <f>'Quarterly Model'!AF130</f>
        <v>0</v>
      </c>
      <c r="AG58" s="869">
        <f>'Quarterly Model'!AG130</f>
        <v>0</v>
      </c>
      <c r="AH58" s="868">
        <f>'Quarterly Model'!AH130</f>
        <v>0</v>
      </c>
      <c r="AI58" s="869">
        <f>'Quarterly Model'!AI130</f>
        <v>0</v>
      </c>
      <c r="AJ58" s="869">
        <f>'Quarterly Model'!AJ130</f>
        <v>0</v>
      </c>
      <c r="AK58" s="869">
        <f>'Quarterly Model'!AK130</f>
        <v>0</v>
      </c>
      <c r="AL58" s="869">
        <f>'Quarterly Model'!AL130</f>
        <v>0</v>
      </c>
      <c r="AM58" s="868">
        <f>'Quarterly Model'!AM130</f>
        <v>0</v>
      </c>
    </row>
    <row r="59" spans="1:39">
      <c r="A59" s="24"/>
      <c r="B59" s="870" t="s">
        <v>421</v>
      </c>
      <c r="C59" s="871">
        <f>'Quarterly Model'!C131</f>
        <v>0</v>
      </c>
      <c r="D59" s="872">
        <f>'Quarterly Model'!D131</f>
        <v>-4.9336410848240036E-3</v>
      </c>
      <c r="E59" s="873">
        <f>'Quarterly Model'!E131</f>
        <v>1.8079953572464905E-2</v>
      </c>
      <c r="F59" s="873">
        <f>'Quarterly Model'!F131</f>
        <v>-7.6361978573056743E-3</v>
      </c>
      <c r="G59" s="873">
        <f>'Quarterly Model'!G131</f>
        <v>-7.624194109306869E-3</v>
      </c>
      <c r="H59" s="873">
        <f>'Quarterly Model'!H131</f>
        <v>-4.7971731448763204E-2</v>
      </c>
      <c r="I59" s="872">
        <f>'Quarterly Model'!I131</f>
        <v>-9.4331588635663804E-3</v>
      </c>
      <c r="J59" s="873">
        <f>'Quarterly Model'!J131</f>
        <v>-8.7888982338099279E-3</v>
      </c>
      <c r="K59" s="873">
        <f>'Quarterly Model'!K131</f>
        <v>-4.0466488689054357E-2</v>
      </c>
      <c r="L59" s="873">
        <f>'Quarterly Model'!L131</f>
        <v>-1.7585569266764786E-2</v>
      </c>
      <c r="M59" s="873">
        <f>'Quarterly Model'!M131</f>
        <v>-2.6442767562971634E-2</v>
      </c>
      <c r="N59" s="872">
        <f>'Quarterly Model'!N131</f>
        <v>-2.1275508175679129E-2</v>
      </c>
      <c r="O59" s="873">
        <f>'Quarterly Model'!O131</f>
        <v>-7.3035160289555302E-3</v>
      </c>
      <c r="P59" s="873">
        <f>'Quarterly Model'!P131</f>
        <v>-1.08093126385809E-2</v>
      </c>
      <c r="Q59" s="873">
        <f>'Quarterly Model'!Q131</f>
        <v>-7.1666718599071363E-3</v>
      </c>
      <c r="R59" s="873">
        <f>'Quarterly Model'!R131</f>
        <v>-7.3516889015044343E-2</v>
      </c>
      <c r="S59" s="872">
        <f>'Quarterly Model'!S131</f>
        <v>-1.5782324126291488E-2</v>
      </c>
      <c r="T59" s="873">
        <f>'Quarterly Model'!T131</f>
        <v>-3.4908442493656169E-2</v>
      </c>
      <c r="U59" s="873">
        <f>'Quarterly Model'!U131</f>
        <v>-3.0475206611570309E-2</v>
      </c>
      <c r="V59" s="873">
        <f>'Quarterly Model'!V131</f>
        <v>3.8781993646226864E-2</v>
      </c>
      <c r="W59" s="873">
        <f>'Quarterly Model'!W131</f>
        <v>3.8781993646226864E-2</v>
      </c>
      <c r="X59" s="872">
        <f>'Quarterly Model'!X131</f>
        <v>7.1401119242092458E-3</v>
      </c>
      <c r="Y59" s="873">
        <f>'Quarterly Model'!Y131</f>
        <v>0.05</v>
      </c>
      <c r="Z59" s="873">
        <f>'Quarterly Model'!Z131</f>
        <v>0.05</v>
      </c>
      <c r="AA59" s="873">
        <f>'Quarterly Model'!AA131</f>
        <v>0.05</v>
      </c>
      <c r="AB59" s="873">
        <f>'Quarterly Model'!AB131</f>
        <v>0.05</v>
      </c>
      <c r="AC59" s="872">
        <f>'Quarterly Model'!AC131</f>
        <v>5.0000000000000724E-2</v>
      </c>
      <c r="AD59" s="873">
        <f>'Quarterly Model'!AD131</f>
        <v>0</v>
      </c>
      <c r="AE59" s="873">
        <f>'Quarterly Model'!AE131</f>
        <v>0</v>
      </c>
      <c r="AF59" s="873">
        <f>'Quarterly Model'!AF131</f>
        <v>0</v>
      </c>
      <c r="AG59" s="873">
        <f>'Quarterly Model'!AG131</f>
        <v>0</v>
      </c>
      <c r="AH59" s="872">
        <f>'Quarterly Model'!AH131</f>
        <v>0</v>
      </c>
      <c r="AI59" s="873">
        <f>'Quarterly Model'!AI131</f>
        <v>0</v>
      </c>
      <c r="AJ59" s="873">
        <f>'Quarterly Model'!AJ131</f>
        <v>0</v>
      </c>
      <c r="AK59" s="873">
        <f>'Quarterly Model'!AK131</f>
        <v>0</v>
      </c>
      <c r="AL59" s="873">
        <f>'Quarterly Model'!AL131</f>
        <v>0</v>
      </c>
      <c r="AM59" s="872">
        <f>'Quarterly Model'!AM131</f>
        <v>0</v>
      </c>
    </row>
    <row r="60" spans="1:39" ht="6" hidden="1" customHeight="1">
      <c r="A60" s="24"/>
      <c r="B60" s="870"/>
      <c r="C60" s="871"/>
      <c r="D60" s="872"/>
      <c r="E60" s="873"/>
      <c r="F60" s="873"/>
      <c r="G60" s="873"/>
      <c r="H60" s="873"/>
      <c r="I60" s="872"/>
      <c r="J60" s="873"/>
      <c r="K60" s="873"/>
      <c r="L60" s="873"/>
      <c r="M60" s="873"/>
      <c r="N60" s="872"/>
      <c r="O60" s="873"/>
      <c r="P60" s="873"/>
      <c r="Q60" s="873"/>
      <c r="R60" s="873"/>
      <c r="S60" s="872"/>
      <c r="T60" s="873"/>
      <c r="U60" s="873"/>
      <c r="V60" s="873"/>
      <c r="W60" s="873"/>
      <c r="X60" s="872"/>
      <c r="Y60" s="873"/>
      <c r="Z60" s="873"/>
      <c r="AA60" s="873"/>
      <c r="AB60" s="873"/>
      <c r="AC60" s="872"/>
      <c r="AD60" s="873"/>
      <c r="AE60" s="873"/>
      <c r="AF60" s="873"/>
      <c r="AG60" s="873"/>
      <c r="AH60" s="872"/>
      <c r="AI60" s="873"/>
      <c r="AJ60" s="873"/>
      <c r="AK60" s="873"/>
      <c r="AL60" s="873"/>
      <c r="AM60" s="872"/>
    </row>
    <row r="61" spans="1:39" hidden="1">
      <c r="A61" s="858"/>
      <c r="B61" s="122" t="s">
        <v>138</v>
      </c>
      <c r="C61" s="867">
        <f>'Quarterly Model'!C133</f>
        <v>0</v>
      </c>
      <c r="D61" s="868">
        <f>'Quarterly Model'!D133</f>
        <v>0</v>
      </c>
      <c r="E61" s="869">
        <f>'Quarterly Model'!E133</f>
        <v>0</v>
      </c>
      <c r="F61" s="869">
        <f>'Quarterly Model'!F133</f>
        <v>0</v>
      </c>
      <c r="G61" s="869">
        <f>'Quarterly Model'!G133</f>
        <v>0</v>
      </c>
      <c r="H61" s="869">
        <f>'Quarterly Model'!H133</f>
        <v>0</v>
      </c>
      <c r="I61" s="868">
        <f>'Quarterly Model'!I133</f>
        <v>0</v>
      </c>
      <c r="J61" s="869">
        <f>'Quarterly Model'!J133</f>
        <v>0</v>
      </c>
      <c r="K61" s="869">
        <f>'Quarterly Model'!K133</f>
        <v>0</v>
      </c>
      <c r="L61" s="869">
        <f>'Quarterly Model'!L133</f>
        <v>0</v>
      </c>
      <c r="M61" s="869">
        <f>'Quarterly Model'!M133</f>
        <v>32.200000000000003</v>
      </c>
      <c r="N61" s="868">
        <f>'Quarterly Model'!N133</f>
        <v>32.200000000000003</v>
      </c>
      <c r="O61" s="869">
        <f>'Quarterly Model'!O133</f>
        <v>50</v>
      </c>
      <c r="P61" s="869">
        <f>'Quarterly Model'!P133</f>
        <v>-1.831</v>
      </c>
      <c r="Q61" s="869">
        <f>'Quarterly Model'!Q133</f>
        <v>0</v>
      </c>
      <c r="R61" s="869">
        <f>'Quarterly Model'!R133</f>
        <v>3.9E-2</v>
      </c>
      <c r="S61" s="868">
        <f>'Quarterly Model'!S133</f>
        <v>48.207999999999998</v>
      </c>
      <c r="T61" s="869">
        <f>'Quarterly Model'!T133</f>
        <v>0</v>
      </c>
      <c r="U61" s="869">
        <f>'Quarterly Model'!U133</f>
        <v>2E-3</v>
      </c>
      <c r="V61" s="869">
        <f>'Quarterly Model'!V133</f>
        <v>6.2E-2</v>
      </c>
      <c r="W61" s="869">
        <f>'Quarterly Model'!W133</f>
        <v>0</v>
      </c>
      <c r="X61" s="868">
        <f>'Quarterly Model'!X133</f>
        <v>6.4000000000000001E-2</v>
      </c>
      <c r="Y61" s="869">
        <f>'Quarterly Model'!Y133</f>
        <v>0</v>
      </c>
      <c r="Z61" s="869">
        <f>'Quarterly Model'!Z133</f>
        <v>0</v>
      </c>
      <c r="AA61" s="869">
        <f>'Quarterly Model'!AA133</f>
        <v>0</v>
      </c>
      <c r="AB61" s="869">
        <f>'Quarterly Model'!AB133</f>
        <v>0</v>
      </c>
      <c r="AC61" s="868">
        <f>'Quarterly Model'!AC133</f>
        <v>0</v>
      </c>
      <c r="AD61" s="869">
        <f>'Quarterly Model'!AD133</f>
        <v>0</v>
      </c>
      <c r="AE61" s="869">
        <f>'Quarterly Model'!AE133</f>
        <v>0</v>
      </c>
      <c r="AF61" s="869">
        <f>'Quarterly Model'!AF133</f>
        <v>0</v>
      </c>
      <c r="AG61" s="869">
        <f>'Quarterly Model'!AG133</f>
        <v>0</v>
      </c>
      <c r="AH61" s="868">
        <f>'Quarterly Model'!AH133</f>
        <v>0</v>
      </c>
      <c r="AI61" s="869">
        <f>'Quarterly Model'!AI133</f>
        <v>0</v>
      </c>
      <c r="AJ61" s="869">
        <f>'Quarterly Model'!AJ133</f>
        <v>0</v>
      </c>
      <c r="AK61" s="869">
        <f>'Quarterly Model'!AK133</f>
        <v>0</v>
      </c>
      <c r="AL61" s="869">
        <f>'Quarterly Model'!AL133</f>
        <v>0</v>
      </c>
      <c r="AM61" s="868">
        <f>'Quarterly Model'!AM133</f>
        <v>0</v>
      </c>
    </row>
    <row r="62" spans="1:39" ht="6" customHeight="1">
      <c r="A62" s="24"/>
      <c r="B62" s="870"/>
      <c r="C62" s="871"/>
      <c r="D62" s="872"/>
      <c r="E62" s="873"/>
      <c r="F62" s="873"/>
      <c r="G62" s="873"/>
      <c r="H62" s="873"/>
      <c r="I62" s="872"/>
      <c r="J62" s="873"/>
      <c r="K62" s="873"/>
      <c r="L62" s="873"/>
      <c r="M62" s="873"/>
      <c r="N62" s="872"/>
      <c r="O62" s="873"/>
      <c r="P62" s="873"/>
      <c r="Q62" s="873"/>
      <c r="R62" s="873"/>
      <c r="S62" s="872"/>
      <c r="T62" s="873"/>
      <c r="U62" s="873"/>
      <c r="V62" s="873"/>
      <c r="W62" s="873"/>
      <c r="X62" s="872"/>
      <c r="Y62" s="873"/>
      <c r="Z62" s="873"/>
      <c r="AA62" s="873"/>
      <c r="AB62" s="873"/>
      <c r="AC62" s="872"/>
      <c r="AD62" s="873"/>
      <c r="AE62" s="873"/>
      <c r="AF62" s="873"/>
      <c r="AG62" s="873"/>
      <c r="AH62" s="872"/>
      <c r="AI62" s="873"/>
      <c r="AJ62" s="873"/>
      <c r="AK62" s="873"/>
      <c r="AL62" s="873"/>
      <c r="AM62" s="872"/>
    </row>
    <row r="63" spans="1:39" ht="12.75" customHeight="1">
      <c r="A63" s="196"/>
      <c r="B63" s="267" t="s">
        <v>140</v>
      </c>
      <c r="C63" s="902">
        <f>'Quarterly Model'!C135</f>
        <v>-85.198999999999984</v>
      </c>
      <c r="D63" s="902">
        <f>'Quarterly Model'!D135</f>
        <v>-104.49300000000004</v>
      </c>
      <c r="E63" s="305">
        <f>'Quarterly Model'!E135</f>
        <v>-43.990999999999993</v>
      </c>
      <c r="F63" s="305">
        <f>'Quarterly Model'!F135</f>
        <v>-35.364000000000011</v>
      </c>
      <c r="G63" s="305">
        <f>'Quarterly Model'!G135</f>
        <v>-37.665999999999983</v>
      </c>
      <c r="H63" s="305">
        <f>'Quarterly Model'!H135</f>
        <v>-37.072000000000038</v>
      </c>
      <c r="I63" s="902">
        <f>'Quarterly Model'!I135</f>
        <v>-154.09300000000013</v>
      </c>
      <c r="J63" s="305">
        <f>'Quarterly Model'!J135</f>
        <v>-47.97799999999998</v>
      </c>
      <c r="K63" s="305">
        <f>'Quarterly Model'!K135</f>
        <v>-29.620000000000012</v>
      </c>
      <c r="L63" s="305">
        <f>'Quarterly Model'!L135</f>
        <v>-53.93</v>
      </c>
      <c r="M63" s="305">
        <f>'Quarterly Model'!M135</f>
        <v>-80.488999999999976</v>
      </c>
      <c r="N63" s="902">
        <f>'Quarterly Model'!N135</f>
        <v>-212.017</v>
      </c>
      <c r="O63" s="305">
        <f>'Quarterly Model'!O135</f>
        <v>-96.755000000000024</v>
      </c>
      <c r="P63" s="305">
        <f>'Quarterly Model'!P135</f>
        <v>-27.345000000000088</v>
      </c>
      <c r="Q63" s="305">
        <f>'Quarterly Model'!Q135</f>
        <v>-32.323000000000036</v>
      </c>
      <c r="R63" s="305">
        <f>'Quarterly Model'!R135</f>
        <v>-15.166999999999932</v>
      </c>
      <c r="S63" s="902">
        <f>'Quarterly Model'!S135</f>
        <v>-171.59000000000026</v>
      </c>
      <c r="T63" s="305">
        <f>'Quarterly Model'!T135</f>
        <v>-15.089999999999984</v>
      </c>
      <c r="U63" s="305">
        <f>'Quarterly Model'!U135</f>
        <v>-15.961999999999968</v>
      </c>
      <c r="V63" s="305">
        <f>'Quarterly Model'!V135</f>
        <v>-16.097999999999931</v>
      </c>
      <c r="W63" s="305">
        <f>'Quarterly Model'!W135</f>
        <v>-20.286888754986006</v>
      </c>
      <c r="X63" s="902">
        <f>'Quarterly Model'!X135</f>
        <v>-67.436888754986583</v>
      </c>
      <c r="Y63" s="305">
        <f>'Quarterly Model'!Y135</f>
        <v>-2.8147817547511713</v>
      </c>
      <c r="Z63" s="305">
        <f>'Quarterly Model'!Z135</f>
        <v>7.6543801744984297</v>
      </c>
      <c r="AA63" s="305">
        <f>'Quarterly Model'!AA135</f>
        <v>12.487129955724104</v>
      </c>
      <c r="AB63" s="305">
        <f>'Quarterly Model'!AB135</f>
        <v>5.1275446774304942</v>
      </c>
      <c r="AC63" s="902">
        <f>'Quarterly Model'!AC135</f>
        <v>22.454273052901513</v>
      </c>
      <c r="AD63" s="305">
        <f>'Quarterly Model'!AD135</f>
        <v>27.934654392679747</v>
      </c>
      <c r="AE63" s="305">
        <f>'Quarterly Model'!AE135</f>
        <v>49.41218347690328</v>
      </c>
      <c r="AF63" s="305">
        <f>'Quarterly Model'!AF135</f>
        <v>58.676159070199489</v>
      </c>
      <c r="AG63" s="305">
        <f>'Quarterly Model'!AG135</f>
        <v>50.427133074266628</v>
      </c>
      <c r="AH63" s="902">
        <f>'Quarterly Model'!AH135</f>
        <v>186.4501300140486</v>
      </c>
      <c r="AI63" s="305">
        <f>'Quarterly Model'!AI135</f>
        <v>68.175139631376382</v>
      </c>
      <c r="AJ63" s="305">
        <f>'Quarterly Model'!AJ135</f>
        <v>103.49668529646105</v>
      </c>
      <c r="AK63" s="305">
        <f>'Quarterly Model'!AK135</f>
        <v>118.82910636308026</v>
      </c>
      <c r="AL63" s="305">
        <f>'Quarterly Model'!AL135</f>
        <v>110.68255326033362</v>
      </c>
      <c r="AM63" s="902">
        <f>'Quarterly Model'!AM135</f>
        <v>401.18348455125192</v>
      </c>
    </row>
    <row r="64" spans="1:39" ht="12.75" customHeight="1" thickBot="1">
      <c r="A64" s="249"/>
      <c r="B64" s="307" t="s">
        <v>141</v>
      </c>
      <c r="C64" s="903">
        <f>'Quarterly Model'!C136</f>
        <v>-0.71463680590504941</v>
      </c>
      <c r="D64" s="903">
        <f>'Quarterly Model'!D136</f>
        <v>-0.81734131174469116</v>
      </c>
      <c r="E64" s="904">
        <f>'Quarterly Model'!E136</f>
        <v>-0.32479825163724418</v>
      </c>
      <c r="F64" s="904">
        <f>'Quarterly Model'!F136</f>
        <v>-0.26110262032914711</v>
      </c>
      <c r="G64" s="904">
        <f>'Quarterly Model'!G136</f>
        <v>-0.27809895083468067</v>
      </c>
      <c r="H64" s="904">
        <f>'Quarterly Model'!H136</f>
        <v>-0.27371327736800555</v>
      </c>
      <c r="I64" s="903">
        <f>'Quarterly Model'!I136</f>
        <v>-1.084841103335634</v>
      </c>
      <c r="J64" s="904">
        <f>'Quarterly Model'!J136</f>
        <v>-0.17113852168391908</v>
      </c>
      <c r="K64" s="904">
        <f>'Quarterly Model'!K136</f>
        <v>-0.1056551547016901</v>
      </c>
      <c r="L64" s="904">
        <f>'Quarterly Model'!L136</f>
        <v>-0.15016655846488108</v>
      </c>
      <c r="M64" s="904">
        <f>'Quarterly Model'!M136</f>
        <v>-0.34316643075191422</v>
      </c>
      <c r="N64" s="903">
        <f>'Quarterly Model'!N136</f>
        <v>-0.73465583337866958</v>
      </c>
      <c r="O64" s="904">
        <f>'Quarterly Model'!O136</f>
        <v>-0.29202532868129089</v>
      </c>
      <c r="P64" s="904">
        <f>'Quarterly Model'!P136</f>
        <v>-7.1345851844667629E-2</v>
      </c>
      <c r="Q64" s="904">
        <f>'Quarterly Model'!Q136</f>
        <v>-8.3760041461518622E-2</v>
      </c>
      <c r="R64" s="904">
        <f>'Quarterly Model'!R136</f>
        <v>-3.9649074192679629E-2</v>
      </c>
      <c r="S64" s="903">
        <f>'Quarterly Model'!S136</f>
        <v>-0.44626788036410991</v>
      </c>
      <c r="T64" s="904">
        <f>'Quarterly Model'!T136</f>
        <v>-3.5673498879156607E-2</v>
      </c>
      <c r="U64" s="904">
        <f>'Quarterly Model'!U136</f>
        <v>-3.814389630748341E-2</v>
      </c>
      <c r="V64" s="904">
        <f>'Quarterly Model'!V136</f>
        <v>-3.7239407426599022E-2</v>
      </c>
      <c r="W64" s="904">
        <f>'Quarterly Model'!W136</f>
        <v>-4.4982014977796018E-2</v>
      </c>
      <c r="X64" s="903">
        <f>'Quarterly Model'!X136</f>
        <v>-0.15639759970016809</v>
      </c>
      <c r="Y64" s="904">
        <f>'Quarterly Model'!Y136</f>
        <v>-6.2177635536418939E-3</v>
      </c>
      <c r="Z64" s="904">
        <f>'Quarterly Model'!Z136</f>
        <v>1.6846598227329181E-2</v>
      </c>
      <c r="AA64" s="904">
        <f>'Quarterly Model'!AA136</f>
        <v>2.7385682276718226E-2</v>
      </c>
      <c r="AB64" s="904">
        <f>'Quarterly Model'!AB136</f>
        <v>1.1206614682824424E-2</v>
      </c>
      <c r="AC64" s="903">
        <f>'Quarterly Model'!AC136</f>
        <v>4.9334414229296776E-2</v>
      </c>
      <c r="AD64" s="904">
        <f>'Quarterly Model'!AD136</f>
        <v>6.0849481877184489E-2</v>
      </c>
      <c r="AE64" s="904">
        <f>'Quarterly Model'!AE136</f>
        <v>0.1072815462587563</v>
      </c>
      <c r="AF64" s="904">
        <f>'Quarterly Model'!AF136</f>
        <v>0.12698709192120461</v>
      </c>
      <c r="AG64" s="904">
        <f>'Quarterly Model'!AG136</f>
        <v>0.1087925593684444</v>
      </c>
      <c r="AH64" s="903">
        <f>'Quarterly Model'!AH136</f>
        <v>0.40417480970487374</v>
      </c>
      <c r="AI64" s="904">
        <f>'Quarterly Model'!AI136</f>
        <v>0.14663622552878738</v>
      </c>
      <c r="AJ64" s="904">
        <f>'Quarterly Model'!AJ136</f>
        <v>0.22194846600863569</v>
      </c>
      <c r="AK64" s="904">
        <f>'Quarterly Model'!AK136</f>
        <v>0.25409106142131138</v>
      </c>
      <c r="AL64" s="904">
        <f>'Quarterly Model'!AL136</f>
        <v>0.23600276010460983</v>
      </c>
      <c r="AM64" s="903">
        <f>'Quarterly Model'!AM136</f>
        <v>0.85911661428901731</v>
      </c>
    </row>
    <row r="65" spans="1:39" ht="4.5" customHeight="1" thickTop="1">
      <c r="A65" s="81"/>
      <c r="B65" s="312"/>
      <c r="C65" s="905"/>
      <c r="D65" s="905"/>
      <c r="E65" s="314"/>
      <c r="F65" s="314"/>
      <c r="G65" s="314"/>
      <c r="H65" s="314"/>
      <c r="I65" s="906"/>
      <c r="J65" s="314"/>
      <c r="K65" s="314"/>
      <c r="L65" s="314"/>
      <c r="M65" s="314"/>
      <c r="N65" s="906"/>
      <c r="O65" s="314"/>
      <c r="P65" s="314"/>
      <c r="Q65" s="314"/>
      <c r="R65" s="314"/>
      <c r="S65" s="906"/>
      <c r="T65" s="314"/>
      <c r="U65" s="314"/>
      <c r="V65" s="314"/>
      <c r="W65" s="314"/>
      <c r="X65" s="906"/>
      <c r="Y65" s="314"/>
      <c r="Z65" s="314"/>
      <c r="AA65" s="314"/>
      <c r="AB65" s="314"/>
      <c r="AC65" s="906"/>
      <c r="AD65" s="314"/>
      <c r="AE65" s="314"/>
      <c r="AF65" s="314"/>
      <c r="AG65" s="314"/>
      <c r="AH65" s="906"/>
      <c r="AI65" s="314"/>
      <c r="AJ65" s="314"/>
      <c r="AK65" s="314"/>
      <c r="AL65" s="314"/>
      <c r="AM65" s="906"/>
    </row>
    <row r="66" spans="1:39" ht="12.75" customHeight="1">
      <c r="A66" s="253"/>
      <c r="B66" s="317" t="s">
        <v>142</v>
      </c>
      <c r="C66" s="907">
        <f>'Quarterly Model'!C138</f>
        <v>-82.12299999999999</v>
      </c>
      <c r="D66" s="907">
        <f>'Quarterly Model'!D138</f>
        <v>-76.716000000000037</v>
      </c>
      <c r="E66" s="908">
        <f>'Quarterly Model'!E138</f>
        <v>-37.292999999999999</v>
      </c>
      <c r="F66" s="908">
        <f>'Quarterly Model'!F138</f>
        <v>-27.661000000000008</v>
      </c>
      <c r="G66" s="908">
        <f>'Quarterly Model'!G138</f>
        <v>-29.492999999999984</v>
      </c>
      <c r="H66" s="908">
        <f>'Quarterly Model'!H138</f>
        <v>-29.663000000000032</v>
      </c>
      <c r="I66" s="907">
        <f>'Quarterly Model'!I138</f>
        <v>-124.11000000000013</v>
      </c>
      <c r="J66" s="908">
        <f>'Quarterly Model'!J138</f>
        <v>-39.933999999999983</v>
      </c>
      <c r="K66" s="908">
        <f>'Quarterly Model'!K138</f>
        <v>-20.705000000000016</v>
      </c>
      <c r="L66" s="908">
        <f>'Quarterly Model'!L138</f>
        <v>-43.286999999999999</v>
      </c>
      <c r="M66" s="908">
        <f>'Quarterly Model'!M138</f>
        <v>-45.339999999999982</v>
      </c>
      <c r="N66" s="907">
        <f>'Quarterly Model'!N138</f>
        <v>-149.26599999999999</v>
      </c>
      <c r="O66" s="908">
        <f>'Quarterly Model'!O138</f>
        <v>-46.296000000000021</v>
      </c>
      <c r="P66" s="908">
        <f>'Quarterly Model'!P138</f>
        <v>-31.26300000000008</v>
      </c>
      <c r="Q66" s="908">
        <f>'Quarterly Model'!Q138</f>
        <v>-32.909000000000034</v>
      </c>
      <c r="R66" s="908">
        <f>'Quarterly Model'!R138</f>
        <v>-13.177999999999933</v>
      </c>
      <c r="S66" s="907">
        <f>'Quarterly Model'!S138</f>
        <v>-123.64600000000029</v>
      </c>
      <c r="T66" s="908">
        <f>'Quarterly Model'!T138</f>
        <v>-12.968999999999983</v>
      </c>
      <c r="U66" s="908">
        <f>'Quarterly Model'!U138</f>
        <v>-14.016999999999967</v>
      </c>
      <c r="V66" s="908">
        <f>'Quarterly Model'!V138</f>
        <v>-14.23199999999993</v>
      </c>
      <c r="W66" s="908">
        <f>'Quarterly Model'!W138</f>
        <v>-17.90121998242962</v>
      </c>
      <c r="X66" s="907">
        <f>'Quarterly Model'!X138</f>
        <v>-59.119219982430209</v>
      </c>
      <c r="Y66" s="908">
        <f>'Quarterly Model'!Y138</f>
        <v>-0.41877854743981235</v>
      </c>
      <c r="Z66" s="908">
        <f>'Quarterly Model'!Z138</f>
        <v>10.098738527236964</v>
      </c>
      <c r="AA66" s="908">
        <f>'Quarterly Model'!AA138</f>
        <v>14.951123477451118</v>
      </c>
      <c r="AB66" s="908">
        <f>'Quarterly Model'!AB138</f>
        <v>7.60614886443192</v>
      </c>
      <c r="AC66" s="907">
        <f>'Quarterly Model'!AC138</f>
        <v>32.237232321679848</v>
      </c>
      <c r="AD66" s="908">
        <f>'Quarterly Model'!AD138</f>
        <v>30.416756907849269</v>
      </c>
      <c r="AE66" s="908">
        <f>'Quarterly Model'!AE138</f>
        <v>51.960088914018677</v>
      </c>
      <c r="AF66" s="908">
        <f>'Quarterly Model'!AF138</f>
        <v>61.251560048594079</v>
      </c>
      <c r="AG66" s="908">
        <f>'Quarterly Model'!AG138</f>
        <v>53.024441920430938</v>
      </c>
      <c r="AH66" s="907">
        <f>'Quarterly Model'!AH138</f>
        <v>196.65284779089242</v>
      </c>
      <c r="AI66" s="908">
        <f>'Quarterly Model'!AI138</f>
        <v>70.766013252024678</v>
      </c>
      <c r="AJ66" s="908">
        <f>'Quarterly Model'!AJ138</f>
        <v>106.17545095448536</v>
      </c>
      <c r="AK66" s="908">
        <f>'Quarterly Model'!AK138</f>
        <v>121.54550475161274</v>
      </c>
      <c r="AL66" s="908">
        <f>'Quarterly Model'!AL138</f>
        <v>113.43048103546279</v>
      </c>
      <c r="AM66" s="907">
        <f>'Quarterly Model'!AM138</f>
        <v>411.91744999358616</v>
      </c>
    </row>
    <row r="67" spans="1:39" ht="12.75" customHeight="1" thickBot="1">
      <c r="A67" s="249"/>
      <c r="B67" s="307" t="s">
        <v>143</v>
      </c>
      <c r="C67" s="903">
        <f>'Quarterly Model'!C139</f>
        <v>-0.68883576581110539</v>
      </c>
      <c r="D67" s="903">
        <f>'Quarterly Model'!D139</f>
        <v>-0.60007039774727233</v>
      </c>
      <c r="E67" s="904">
        <f>'Quarterly Model'!E139</f>
        <v>-0.27534498416284581</v>
      </c>
      <c r="F67" s="904">
        <f>'Quarterly Model'!F139</f>
        <v>-0.20422914774698953</v>
      </c>
      <c r="G67" s="904">
        <f>'Quarterly Model'!G139</f>
        <v>-0.21775533258023777</v>
      </c>
      <c r="H67" s="904">
        <f>'Quarterly Model'!H139</f>
        <v>-0.21901049165319239</v>
      </c>
      <c r="I67" s="903">
        <f>'Quarterly Model'!I139</f>
        <v>-0.8737556497374025</v>
      </c>
      <c r="J67" s="904">
        <f>'Quarterly Model'!J139</f>
        <v>-0.14244540674737641</v>
      </c>
      <c r="K67" s="904">
        <f>'Quarterly Model'!K139</f>
        <v>-7.3855164689348218E-2</v>
      </c>
      <c r="L67" s="904">
        <f>'Quarterly Model'!L139</f>
        <v>-0.12053142622416665</v>
      </c>
      <c r="M67" s="904">
        <f>'Quarterly Model'!M139</f>
        <v>-0.19330797960332205</v>
      </c>
      <c r="N67" s="903">
        <f>'Quarterly Model'!N139</f>
        <v>-0.51721860806020503</v>
      </c>
      <c r="O67" s="904">
        <f>'Quarterly Model'!O139</f>
        <v>-0.13973029421351915</v>
      </c>
      <c r="P67" s="904">
        <f>'Quarterly Model'!P139</f>
        <v>-8.156830741341535E-2</v>
      </c>
      <c r="Q67" s="904">
        <f>'Quarterly Model'!Q139</f>
        <v>-8.5278569577610874E-2</v>
      </c>
      <c r="R67" s="904">
        <f>'Quarterly Model'!R139</f>
        <v>-3.4449495596435148E-2</v>
      </c>
      <c r="S67" s="903">
        <f>'Quarterly Model'!S139</f>
        <v>-0.3215760728218473</v>
      </c>
      <c r="T67" s="904">
        <f>'Quarterly Model'!T139</f>
        <v>-3.0659351024770177E-2</v>
      </c>
      <c r="U67" s="904">
        <f>'Quarterly Model'!U139</f>
        <v>-3.3495990135446359E-2</v>
      </c>
      <c r="V67" s="904">
        <f>'Quarterly Model'!V139</f>
        <v>-3.2922800751357742E-2</v>
      </c>
      <c r="W67" s="904">
        <f>'Quarterly Model'!W139</f>
        <v>-3.9692283774788513E-2</v>
      </c>
      <c r="X67" s="903">
        <f>'Quarterly Model'!X139</f>
        <v>-0.1371075129962101</v>
      </c>
      <c r="Y67" s="904">
        <f>'Quarterly Model'!Y139</f>
        <v>-9.2506851905061523E-4</v>
      </c>
      <c r="Z67" s="904">
        <f>'Quarterly Model'!Z139</f>
        <v>2.2226409806246562E-2</v>
      </c>
      <c r="AA67" s="904">
        <f>'Quarterly Model'!AA139</f>
        <v>3.2789497561508785E-2</v>
      </c>
      <c r="AB67" s="904">
        <f>'Quarterly Model'!AB139</f>
        <v>1.6623780952915258E-2</v>
      </c>
      <c r="AC67" s="903">
        <f>'Quarterly Model'!AC139</f>
        <v>7.0828611071794112E-2</v>
      </c>
      <c r="AD67" s="904">
        <f>'Quarterly Model'!AD139</f>
        <v>6.6256194625121709E-2</v>
      </c>
      <c r="AE67" s="904">
        <f>'Quarterly Model'!AE139</f>
        <v>0.11281344579811992</v>
      </c>
      <c r="AF67" s="904">
        <f>'Quarterly Model'!AF139</f>
        <v>0.13256078123488452</v>
      </c>
      <c r="AG67" s="904">
        <f>'Quarterly Model'!AG139</f>
        <v>0.11439604819713439</v>
      </c>
      <c r="AH67" s="903">
        <f>'Quarterly Model'!AH139</f>
        <v>0.42629161657230619</v>
      </c>
      <c r="AI67" s="904">
        <f>'Quarterly Model'!AI139</f>
        <v>0.15220887166648769</v>
      </c>
      <c r="AJ67" s="904">
        <f>'Quarterly Model'!AJ139</f>
        <v>0.22769307441703113</v>
      </c>
      <c r="AK67" s="904">
        <f>'Quarterly Model'!AK139</f>
        <v>0.25989950828176678</v>
      </c>
      <c r="AL67" s="904">
        <f>'Quarterly Model'!AL139</f>
        <v>0.24186202627073486</v>
      </c>
      <c r="AM67" s="903">
        <f>'Quarterly Model'!AM139</f>
        <v>0.88210292455308159</v>
      </c>
    </row>
    <row r="68" spans="1:39" ht="4.5" customHeight="1" thickTop="1">
      <c r="A68" s="249"/>
      <c r="B68" s="258"/>
      <c r="C68" s="909"/>
      <c r="D68" s="909"/>
      <c r="E68" s="910"/>
      <c r="F68" s="910"/>
      <c r="G68" s="910"/>
      <c r="H68" s="910"/>
      <c r="I68" s="909"/>
      <c r="J68" s="910"/>
      <c r="K68" s="910"/>
      <c r="L68" s="910"/>
      <c r="M68" s="910"/>
      <c r="N68" s="909"/>
      <c r="O68" s="910"/>
      <c r="P68" s="910"/>
      <c r="Q68" s="910"/>
      <c r="R68" s="910"/>
      <c r="S68" s="909"/>
      <c r="T68" s="910"/>
      <c r="U68" s="910"/>
      <c r="V68" s="910"/>
      <c r="W68" s="910"/>
      <c r="X68" s="909"/>
      <c r="Y68" s="910"/>
      <c r="Z68" s="910"/>
      <c r="AA68" s="910"/>
      <c r="AB68" s="910"/>
      <c r="AC68" s="909"/>
      <c r="AD68" s="910"/>
      <c r="AE68" s="910"/>
      <c r="AF68" s="910"/>
      <c r="AG68" s="910"/>
      <c r="AH68" s="909"/>
      <c r="AI68" s="910"/>
      <c r="AJ68" s="910"/>
      <c r="AK68" s="910"/>
      <c r="AL68" s="910"/>
      <c r="AM68" s="909"/>
    </row>
    <row r="69" spans="1:39" ht="12.75" customHeight="1">
      <c r="A69" s="253"/>
      <c r="B69" s="317" t="s">
        <v>144</v>
      </c>
      <c r="C69" s="907">
        <f>'Quarterly Model'!C141</f>
        <v>-74.008999999999986</v>
      </c>
      <c r="D69" s="907">
        <f>'Quarterly Model'!D141</f>
        <v>-62.058000000000035</v>
      </c>
      <c r="E69" s="908">
        <f>'Quarterly Model'!E141</f>
        <v>-31.073999999999998</v>
      </c>
      <c r="F69" s="908">
        <f>'Quarterly Model'!F141</f>
        <v>-19.559000000000008</v>
      </c>
      <c r="G69" s="908">
        <f>'Quarterly Model'!G141</f>
        <v>-19.160999999999984</v>
      </c>
      <c r="H69" s="908">
        <f>'Quarterly Model'!H141</f>
        <v>-18.216000000000033</v>
      </c>
      <c r="I69" s="907">
        <f>'Quarterly Model'!I141</f>
        <v>-88.010000000000133</v>
      </c>
      <c r="J69" s="908">
        <f>'Quarterly Model'!J141</f>
        <v>-26.472999999999985</v>
      </c>
      <c r="K69" s="908">
        <f>'Quarterly Model'!K141</f>
        <v>-5.473000000000015</v>
      </c>
      <c r="L69" s="908">
        <f>'Quarterly Model'!L141</f>
        <v>-22.494</v>
      </c>
      <c r="M69" s="908">
        <f>'Quarterly Model'!M141</f>
        <v>-12.533999999999985</v>
      </c>
      <c r="N69" s="907">
        <f>'Quarterly Model'!N141</f>
        <v>-66.97399999999999</v>
      </c>
      <c r="O69" s="908">
        <f>'Quarterly Model'!O141</f>
        <v>-15.09800000000002</v>
      </c>
      <c r="P69" s="908">
        <f>'Quarterly Model'!P141</f>
        <v>5.6589999999999172</v>
      </c>
      <c r="Q69" s="908">
        <f>'Quarterly Model'!Q141</f>
        <v>3.869999999999969</v>
      </c>
      <c r="R69" s="908">
        <f>'Quarterly Model'!R141</f>
        <v>20.709000000000067</v>
      </c>
      <c r="S69" s="907">
        <f>'Quarterly Model'!S141</f>
        <v>15.139999999999716</v>
      </c>
      <c r="T69" s="908">
        <f>'Quarterly Model'!T141</f>
        <v>20.091000000000019</v>
      </c>
      <c r="U69" s="908">
        <f>'Quarterly Model'!U141</f>
        <v>29.797000000000036</v>
      </c>
      <c r="V69" s="908">
        <f>'Quarterly Model'!V141</f>
        <v>30.093000000000075</v>
      </c>
      <c r="W69" s="908">
        <f>'Quarterly Model'!W141</f>
        <v>27.74678001757038</v>
      </c>
      <c r="X69" s="907">
        <f>'Quarterly Model'!X141</f>
        <v>107.7277800175698</v>
      </c>
      <c r="Y69" s="908">
        <f>'Quarterly Model'!Y141</f>
        <v>46.229221452560189</v>
      </c>
      <c r="Z69" s="908">
        <f>'Quarterly Model'!Z141</f>
        <v>57.746738527236964</v>
      </c>
      <c r="AA69" s="908">
        <f>'Quarterly Model'!AA141</f>
        <v>63.599123477451123</v>
      </c>
      <c r="AB69" s="908">
        <f>'Quarterly Model'!AB141</f>
        <v>57.254148864431926</v>
      </c>
      <c r="AC69" s="907">
        <f>'Quarterly Model'!AC141</f>
        <v>224.82923232167985</v>
      </c>
      <c r="AD69" s="908">
        <f>'Quarterly Model'!AD141</f>
        <v>81.064756907849272</v>
      </c>
      <c r="AE69" s="908">
        <f>'Quarterly Model'!AE141</f>
        <v>104.10808891401868</v>
      </c>
      <c r="AF69" s="908">
        <f>'Quarterly Model'!AF141</f>
        <v>114.89956004859408</v>
      </c>
      <c r="AG69" s="908">
        <f>'Quarterly Model'!AG141</f>
        <v>108.17244192043094</v>
      </c>
      <c r="AH69" s="907">
        <f>'Quarterly Model'!AH141</f>
        <v>408.24484779089244</v>
      </c>
      <c r="AI69" s="908">
        <f>'Quarterly Model'!AI141</f>
        <v>126.91401325202467</v>
      </c>
      <c r="AJ69" s="908">
        <f>'Quarterly Model'!AJ141</f>
        <v>163.82345095448537</v>
      </c>
      <c r="AK69" s="908">
        <f>'Quarterly Model'!AK141</f>
        <v>180.69350475161272</v>
      </c>
      <c r="AL69" s="908">
        <f>'Quarterly Model'!AL141</f>
        <v>174.07848103546277</v>
      </c>
      <c r="AM69" s="907">
        <f>'Quarterly Model'!AM141</f>
        <v>645.50944999358614</v>
      </c>
    </row>
    <row r="70" spans="1:39" ht="12.75" customHeight="1" thickBot="1">
      <c r="A70" s="249"/>
      <c r="B70" s="307" t="s">
        <v>145</v>
      </c>
      <c r="C70" s="903">
        <f>'Quarterly Model'!C142</f>
        <v>-0.62077671531622203</v>
      </c>
      <c r="D70" s="903">
        <f>'Quarterly Model'!D142</f>
        <v>-0.48541593335679956</v>
      </c>
      <c r="E70" s="904">
        <f>'Quarterly Model'!E142</f>
        <v>-0.22942831195871263</v>
      </c>
      <c r="F70" s="904">
        <f>'Quarterly Model'!F142</f>
        <v>-0.14440974298772166</v>
      </c>
      <c r="G70" s="904">
        <f>'Quarterly Model'!G142</f>
        <v>-0.14147119409927558</v>
      </c>
      <c r="H70" s="904">
        <f>'Quarterly Model'!H142</f>
        <v>-0.13449398631138307</v>
      </c>
      <c r="I70" s="903">
        <f>'Quarterly Model'!I142</f>
        <v>-0.61960546880500222</v>
      </c>
      <c r="J70" s="904">
        <f>'Quarterly Model'!J142</f>
        <v>-9.4429740392229553E-2</v>
      </c>
      <c r="K70" s="904">
        <f>'Quarterly Model'!K142</f>
        <v>-1.9522304580768104E-2</v>
      </c>
      <c r="L70" s="904">
        <f>'Quarterly Model'!L142</f>
        <v>-6.2633906287947988E-2</v>
      </c>
      <c r="M70" s="904">
        <f>'Quarterly Model'!M142</f>
        <v>-5.3438954926070502E-2</v>
      </c>
      <c r="N70" s="903">
        <f>'Quarterly Model'!N142</f>
        <v>-0.23207025750153529</v>
      </c>
      <c r="O70" s="904">
        <f>'Quarterly Model'!O142</f>
        <v>-4.5568688051574956E-2</v>
      </c>
      <c r="P70" s="904">
        <f>'Quarterly Model'!P142</f>
        <v>1.4764899454707145E-2</v>
      </c>
      <c r="Q70" s="904">
        <f>'Quarterly Model'!Q142</f>
        <v>1.0028504793988001E-2</v>
      </c>
      <c r="R70" s="904">
        <f>'Quarterly Model'!R142</f>
        <v>5.4136788913839835E-2</v>
      </c>
      <c r="S70" s="903">
        <f>'Quarterly Model'!S142</f>
        <v>3.937581274382241E-2</v>
      </c>
      <c r="T70" s="904">
        <f>'Quarterly Model'!T142</f>
        <v>4.749610775222908E-2</v>
      </c>
      <c r="U70" s="904">
        <f>'Quarterly Model'!U142</f>
        <v>7.1204966688014459E-2</v>
      </c>
      <c r="V70" s="904">
        <f>'Quarterly Model'!V142</f>
        <v>6.9613957490908929E-2</v>
      </c>
      <c r="W70" s="904">
        <f>'Quarterly Model'!W142</f>
        <v>6.1522793830532996E-2</v>
      </c>
      <c r="X70" s="903">
        <f>'Quarterly Model'!X142</f>
        <v>0.24983902025773402</v>
      </c>
      <c r="Y70" s="904">
        <f>'Quarterly Model'!Y142</f>
        <v>0.10211888284972162</v>
      </c>
      <c r="Z70" s="904">
        <f>'Quarterly Model'!Z142</f>
        <v>0.12709534681176707</v>
      </c>
      <c r="AA70" s="904">
        <f>'Quarterly Model'!AA142</f>
        <v>0.13948004023397298</v>
      </c>
      <c r="AB70" s="904">
        <f>'Quarterly Model'!AB142</f>
        <v>0.12513302675663632</v>
      </c>
      <c r="AC70" s="903">
        <f>'Quarterly Model'!AC142</f>
        <v>0.49397361705189036</v>
      </c>
      <c r="AD70" s="904">
        <f>'Quarterly Model'!AD142</f>
        <v>0.1765816890734529</v>
      </c>
      <c r="AE70" s="904">
        <f>'Quarterly Model'!AE142</f>
        <v>0.22603487583099161</v>
      </c>
      <c r="AF70" s="904">
        <f>'Quarterly Model'!AF142</f>
        <v>0.24866591857419576</v>
      </c>
      <c r="AG70" s="904">
        <f>'Quarterly Model'!AG142</f>
        <v>0.23337350533741871</v>
      </c>
      <c r="AH70" s="903">
        <f>'Quarterly Model'!AH142</f>
        <v>0.88496738326997437</v>
      </c>
      <c r="AI70" s="904">
        <f>'Quarterly Model'!AI142</f>
        <v>0.27297621934641986</v>
      </c>
      <c r="AJ70" s="904">
        <f>'Quarterly Model'!AJ142</f>
        <v>0.35131911260188242</v>
      </c>
      <c r="AK70" s="904">
        <f>'Quarterly Model'!AK142</f>
        <v>0.38637507105362623</v>
      </c>
      <c r="AL70" s="904">
        <f>'Quarterly Model'!AL142</f>
        <v>0.37117866175852404</v>
      </c>
      <c r="AM70" s="903">
        <f>'Quarterly Model'!AM142</f>
        <v>1.3823298179643992</v>
      </c>
    </row>
    <row r="71" spans="1:39" ht="13.5" thickTop="1">
      <c r="A71" s="858"/>
      <c r="B71" s="215" t="s">
        <v>26</v>
      </c>
      <c r="C71" s="871"/>
      <c r="D71" s="872">
        <f>'Quarterly Model'!D143</f>
        <v>0</v>
      </c>
      <c r="E71" s="873">
        <f>'Quarterly Model'!E143</f>
        <v>0</v>
      </c>
      <c r="F71" s="873">
        <f>'Quarterly Model'!F143</f>
        <v>0</v>
      </c>
      <c r="G71" s="873">
        <f>'Quarterly Model'!G143</f>
        <v>0</v>
      </c>
      <c r="H71" s="873">
        <f>'Quarterly Model'!H143</f>
        <v>0</v>
      </c>
      <c r="I71" s="872">
        <f>'Quarterly Model'!I143</f>
        <v>0</v>
      </c>
      <c r="J71" s="873">
        <f>'Quarterly Model'!J143</f>
        <v>0</v>
      </c>
      <c r="K71" s="873">
        <f>'Quarterly Model'!K143</f>
        <v>0</v>
      </c>
      <c r="L71" s="873">
        <f>'Quarterly Model'!L143</f>
        <v>0</v>
      </c>
      <c r="M71" s="873">
        <f>'Quarterly Model'!M143</f>
        <v>0</v>
      </c>
      <c r="N71" s="872">
        <f>'Quarterly Model'!N143</f>
        <v>0</v>
      </c>
      <c r="O71" s="873">
        <f>'Quarterly Model'!O143</f>
        <v>0</v>
      </c>
      <c r="P71" s="873">
        <f>'Quarterly Model'!P143</f>
        <v>0</v>
      </c>
      <c r="Q71" s="873">
        <f>'Quarterly Model'!Q143</f>
        <v>0</v>
      </c>
      <c r="R71" s="873">
        <f>'Quarterly Model'!R143</f>
        <v>-2.0130585261020681</v>
      </c>
      <c r="S71" s="872">
        <f>'Quarterly Model'!S143</f>
        <v>-1.169671948347633</v>
      </c>
      <c r="T71" s="873">
        <f>'Quarterly Model'!T143</f>
        <v>-2.0422970197972927</v>
      </c>
      <c r="U71" s="873">
        <f>'Quarterly Model'!U143</f>
        <v>3.8225839198189631</v>
      </c>
      <c r="V71" s="873">
        <f>'Quarterly Model'!V143</f>
        <v>5.9416088361090358</v>
      </c>
      <c r="W71" s="873">
        <f>'Quarterly Model'!W143</f>
        <v>0.13643226842375511</v>
      </c>
      <c r="X71" s="872">
        <f>'Quarterly Model'!X143</f>
        <v>5.3449870072061119</v>
      </c>
      <c r="Y71" s="873">
        <f>'Quarterly Model'!Y143</f>
        <v>1.1500473971981209</v>
      </c>
      <c r="Z71" s="873">
        <f>'Quarterly Model'!Z143</f>
        <v>0.78492249520510393</v>
      </c>
      <c r="AA71" s="873">
        <f>'Quarterly Model'!AA143</f>
        <v>1.003621762951604</v>
      </c>
      <c r="AB71" s="873">
        <f>'Quarterly Model'!AB143</f>
        <v>1.0339295237683817</v>
      </c>
      <c r="AC71" s="872">
        <f>'Quarterly Model'!AC143</f>
        <v>0.97716760393275237</v>
      </c>
      <c r="AD71" s="873">
        <f>'Quarterly Model'!AD143</f>
        <v>0.72917764223205328</v>
      </c>
      <c r="AE71" s="873">
        <f>'Quarterly Model'!AE143</f>
        <v>0.7784669659524015</v>
      </c>
      <c r="AF71" s="873">
        <f>'Quarterly Model'!AF143</f>
        <v>0.78280647293381356</v>
      </c>
      <c r="AG71" s="873">
        <f>'Quarterly Model'!AG143</f>
        <v>0.86500327999971405</v>
      </c>
      <c r="AH71" s="872">
        <f>'Quarterly Model'!AH143</f>
        <v>0.791527629656811</v>
      </c>
      <c r="AI71" s="873">
        <f>'Quarterly Model'!AI143</f>
        <v>0.54589199355132245</v>
      </c>
      <c r="AJ71" s="873">
        <f>'Quarterly Model'!AJ143</f>
        <v>0.55426949629032918</v>
      </c>
      <c r="AK71" s="873">
        <f>'Quarterly Model'!AK143</f>
        <v>0.55379182345948008</v>
      </c>
      <c r="AL71" s="873">
        <f>'Quarterly Model'!AL143</f>
        <v>0.59049186505495688</v>
      </c>
      <c r="AM71" s="872">
        <f>'Quarterly Model'!AM143</f>
        <v>0.56201216462538928</v>
      </c>
    </row>
    <row r="72" spans="1:39">
      <c r="A72" s="858"/>
      <c r="B72" s="911" t="s">
        <v>422</v>
      </c>
      <c r="C72" s="912">
        <f>'Quarterly Model'!C147</f>
        <v>119.22</v>
      </c>
      <c r="D72" s="913">
        <f>'Quarterly Model'!D147</f>
        <v>127.845</v>
      </c>
      <c r="E72" s="914">
        <f>'Quarterly Model'!E147</f>
        <v>135.441</v>
      </c>
      <c r="F72" s="914">
        <f>'Quarterly Model'!F147</f>
        <v>135.441</v>
      </c>
      <c r="G72" s="914">
        <f>'Quarterly Model'!G147</f>
        <v>135.441</v>
      </c>
      <c r="H72" s="914">
        <f>'Quarterly Model'!H147</f>
        <v>135.441</v>
      </c>
      <c r="I72" s="913">
        <f>'Quarterly Model'!I147</f>
        <v>142.042</v>
      </c>
      <c r="J72" s="914">
        <f>'Quarterly Model'!J147</f>
        <v>280.346</v>
      </c>
      <c r="K72" s="914">
        <f>'Quarterly Model'!K147</f>
        <v>280.346</v>
      </c>
      <c r="L72" s="914">
        <f>'Quarterly Model'!L147</f>
        <v>359.13455400000004</v>
      </c>
      <c r="M72" s="914">
        <f>'Quarterly Model'!M147</f>
        <v>234.548</v>
      </c>
      <c r="N72" s="913">
        <f>'Quarterly Model'!N147</f>
        <v>288.5936385</v>
      </c>
      <c r="O72" s="914">
        <f>'Quarterly Model'!O147</f>
        <v>331.32400000000001</v>
      </c>
      <c r="P72" s="914">
        <f>'Quarterly Model'!P147</f>
        <v>383.27385955857568</v>
      </c>
      <c r="Q72" s="914">
        <f>'Quarterly Model'!Q147</f>
        <v>385.9</v>
      </c>
      <c r="R72" s="914">
        <f>'Quarterly Model'!R147</f>
        <v>382.53100000000001</v>
      </c>
      <c r="S72" s="913">
        <f>'Quarterly Model'!S147</f>
        <v>384.5</v>
      </c>
      <c r="T72" s="914">
        <f>'Quarterly Model'!T147</f>
        <v>423.00308279591837</v>
      </c>
      <c r="U72" s="914">
        <f>'Quarterly Model'!U147</f>
        <v>418.46800000000002</v>
      </c>
      <c r="V72" s="914">
        <f>'Quarterly Model'!V147</f>
        <v>432.28399999999999</v>
      </c>
      <c r="W72" s="914">
        <f>'Quarterly Model'!W147</f>
        <v>451</v>
      </c>
      <c r="X72" s="913">
        <f>'Quarterly Model'!X147</f>
        <v>431.18877069897962</v>
      </c>
      <c r="Y72" s="914">
        <f>'Quarterly Model'!Y147</f>
        <v>452.70003120374139</v>
      </c>
      <c r="Z72" s="914">
        <f>'Quarterly Model'!Z147</f>
        <v>454.35761399480685</v>
      </c>
      <c r="AA72" s="914">
        <f>'Quarterly Model'!AA147</f>
        <v>455.97293613312542</v>
      </c>
      <c r="AB72" s="914">
        <f>'Quarterly Model'!AB147</f>
        <v>457.5462637516319</v>
      </c>
      <c r="AC72" s="913">
        <f>'Quarterly Model'!AC147</f>
        <v>455.14421127082636</v>
      </c>
      <c r="AD72" s="914">
        <f>'Quarterly Model'!AD147</f>
        <v>459.07793346641205</v>
      </c>
      <c r="AE72" s="914">
        <f>'Quarterly Model'!AE147</f>
        <v>460.5841843267641</v>
      </c>
      <c r="AF72" s="914">
        <f>'Quarterly Model'!AF147</f>
        <v>462.06396400201055</v>
      </c>
      <c r="AG72" s="914">
        <f>'Quarterly Model'!AG147</f>
        <v>463.51637802256874</v>
      </c>
      <c r="AH72" s="913">
        <f>'Quarterly Model'!AH147</f>
        <v>461.31061495443885</v>
      </c>
      <c r="AI72" s="914">
        <f>'Quarterly Model'!AI147</f>
        <v>464.92699457810551</v>
      </c>
      <c r="AJ72" s="914">
        <f>'Quarterly Model'!AJ147</f>
        <v>466.30953192726349</v>
      </c>
      <c r="AK72" s="914">
        <f>'Quarterly Model'!AK147</f>
        <v>467.66346560317731</v>
      </c>
      <c r="AL72" s="914">
        <f>'Quarterly Model'!AL147</f>
        <v>468.98838475987662</v>
      </c>
      <c r="AM72" s="913">
        <f>'Quarterly Model'!AM147</f>
        <v>466.97209421710579</v>
      </c>
    </row>
    <row r="73" spans="1:39">
      <c r="A73" s="24"/>
      <c r="B73" s="915"/>
      <c r="C73" s="858"/>
      <c r="D73" s="858"/>
      <c r="E73" s="858"/>
      <c r="F73" s="858"/>
      <c r="G73" s="858"/>
      <c r="H73" s="858"/>
      <c r="I73" s="858"/>
      <c r="J73" s="858"/>
      <c r="K73" s="858"/>
      <c r="L73" s="858"/>
      <c r="M73" s="858"/>
      <c r="N73" s="858"/>
      <c r="O73" s="858"/>
      <c r="P73" s="858"/>
      <c r="Q73" s="858"/>
      <c r="R73" s="858"/>
      <c r="S73" s="858"/>
      <c r="T73" s="858"/>
      <c r="U73" s="858"/>
      <c r="V73" s="858"/>
      <c r="W73" s="858"/>
      <c r="X73" s="858"/>
      <c r="Y73" s="858"/>
      <c r="Z73" s="858"/>
      <c r="AA73" s="858"/>
      <c r="AB73" s="858"/>
      <c r="AC73" s="858"/>
      <c r="AD73" s="858"/>
      <c r="AE73" s="858"/>
      <c r="AF73" s="858"/>
      <c r="AG73" s="858"/>
      <c r="AH73" s="858"/>
      <c r="AI73" s="858"/>
      <c r="AJ73" s="858"/>
      <c r="AK73" s="858"/>
      <c r="AL73" s="858"/>
      <c r="AM73" s="858"/>
    </row>
    <row r="74" spans="1:39">
      <c r="A74" s="858"/>
      <c r="B74" s="916" t="s">
        <v>423</v>
      </c>
      <c r="C74" s="917" t="str">
        <f>C5</f>
        <v>2012A</v>
      </c>
      <c r="D74" s="917" t="str">
        <f t="shared" ref="D74:AM74" si="1">D5</f>
        <v>2013A</v>
      </c>
      <c r="E74" s="918" t="str">
        <f t="shared" si="1"/>
        <v>1Q14A</v>
      </c>
      <c r="F74" s="918" t="str">
        <f t="shared" si="1"/>
        <v>2Q14A</v>
      </c>
      <c r="G74" s="918" t="str">
        <f t="shared" si="1"/>
        <v>3Q14A</v>
      </c>
      <c r="H74" s="918" t="str">
        <f t="shared" si="1"/>
        <v>4Q14A</v>
      </c>
      <c r="I74" s="917" t="str">
        <f t="shared" si="1"/>
        <v>2014A</v>
      </c>
      <c r="J74" s="918" t="str">
        <f t="shared" si="1"/>
        <v>1Q15A</v>
      </c>
      <c r="K74" s="918" t="str">
        <f t="shared" si="1"/>
        <v>2Q15A</v>
      </c>
      <c r="L74" s="918" t="str">
        <f t="shared" si="1"/>
        <v>3Q15A</v>
      </c>
      <c r="M74" s="918" t="str">
        <f t="shared" si="1"/>
        <v>4Q15A</v>
      </c>
      <c r="N74" s="917" t="str">
        <f t="shared" si="1"/>
        <v>2015A</v>
      </c>
      <c r="O74" s="918" t="str">
        <f t="shared" si="1"/>
        <v>1Q16A</v>
      </c>
      <c r="P74" s="918" t="str">
        <f t="shared" si="1"/>
        <v>2Q16A</v>
      </c>
      <c r="Q74" s="918" t="str">
        <f t="shared" si="1"/>
        <v>3Q16A</v>
      </c>
      <c r="R74" s="918" t="str">
        <f t="shared" si="1"/>
        <v>4Q16A</v>
      </c>
      <c r="S74" s="919" t="str">
        <f t="shared" si="1"/>
        <v>2016A</v>
      </c>
      <c r="T74" s="918" t="str">
        <f t="shared" si="1"/>
        <v>1Q17A</v>
      </c>
      <c r="U74" s="918" t="str">
        <f t="shared" si="1"/>
        <v>2Q17A</v>
      </c>
      <c r="V74" s="918" t="str">
        <f t="shared" si="1"/>
        <v>3Q17A</v>
      </c>
      <c r="W74" s="918" t="str">
        <f t="shared" si="1"/>
        <v>4Q17E</v>
      </c>
      <c r="X74" s="919" t="str">
        <f t="shared" si="1"/>
        <v>2017E</v>
      </c>
      <c r="Y74" s="918" t="str">
        <f t="shared" si="1"/>
        <v>1Q18E</v>
      </c>
      <c r="Z74" s="918" t="str">
        <f t="shared" si="1"/>
        <v>2Q18E</v>
      </c>
      <c r="AA74" s="918" t="str">
        <f t="shared" si="1"/>
        <v>3Q18E</v>
      </c>
      <c r="AB74" s="918" t="str">
        <f t="shared" si="1"/>
        <v>4Q18E</v>
      </c>
      <c r="AC74" s="920" t="str">
        <f t="shared" si="1"/>
        <v>2018E</v>
      </c>
      <c r="AD74" s="918" t="str">
        <f t="shared" si="1"/>
        <v>1Q19E</v>
      </c>
      <c r="AE74" s="918" t="str">
        <f t="shared" si="1"/>
        <v>2Q19E</v>
      </c>
      <c r="AF74" s="918" t="str">
        <f t="shared" si="1"/>
        <v>3Q19E</v>
      </c>
      <c r="AG74" s="918" t="str">
        <f t="shared" si="1"/>
        <v>4Q19E</v>
      </c>
      <c r="AH74" s="920" t="str">
        <f t="shared" si="1"/>
        <v>2019E</v>
      </c>
      <c r="AI74" s="918" t="str">
        <f t="shared" si="1"/>
        <v>1Q20E</v>
      </c>
      <c r="AJ74" s="918" t="str">
        <f t="shared" si="1"/>
        <v>2Q20E</v>
      </c>
      <c r="AK74" s="918" t="str">
        <f t="shared" si="1"/>
        <v>3Q20E</v>
      </c>
      <c r="AL74" s="918" t="str">
        <f t="shared" si="1"/>
        <v>4Q20E</v>
      </c>
      <c r="AM74" s="920" t="str">
        <f t="shared" si="1"/>
        <v>2020E</v>
      </c>
    </row>
    <row r="75" spans="1:39">
      <c r="A75" s="858"/>
      <c r="B75" s="921" t="s">
        <v>424</v>
      </c>
      <c r="C75" s="75"/>
      <c r="D75" s="922"/>
      <c r="E75" s="24"/>
      <c r="F75" s="24"/>
      <c r="G75" s="24"/>
      <c r="H75" s="24"/>
      <c r="I75" s="922"/>
      <c r="J75" s="858"/>
      <c r="K75" s="858"/>
      <c r="L75" s="858"/>
      <c r="M75" s="858"/>
      <c r="N75" s="922"/>
      <c r="O75" s="858"/>
      <c r="P75" s="858"/>
      <c r="Q75" s="858"/>
      <c r="R75" s="858"/>
      <c r="S75" s="922"/>
      <c r="T75" s="858"/>
      <c r="U75" s="858"/>
      <c r="V75" s="858"/>
      <c r="W75" s="858"/>
      <c r="X75" s="922"/>
      <c r="Y75" s="858"/>
      <c r="Z75" s="858"/>
      <c r="AA75" s="858"/>
      <c r="AB75" s="858"/>
      <c r="AC75" s="922"/>
      <c r="AD75" s="858"/>
      <c r="AE75" s="858"/>
      <c r="AF75" s="858"/>
      <c r="AG75" s="858"/>
      <c r="AH75" s="922"/>
      <c r="AI75" s="858"/>
      <c r="AJ75" s="858"/>
      <c r="AK75" s="858"/>
      <c r="AL75" s="858"/>
      <c r="AM75" s="922"/>
    </row>
    <row r="76" spans="1:39">
      <c r="A76" s="858"/>
      <c r="B76" s="923" t="str">
        <f>'Quarterly Model'!B164</f>
        <v>Net income</v>
      </c>
      <c r="C76" s="924">
        <f>'Quarterly Model'!C164</f>
        <v>-85.198999999999998</v>
      </c>
      <c r="D76" s="925">
        <f>'Quarterly Model'!D164</f>
        <v>-104.49299999999999</v>
      </c>
      <c r="E76" s="528"/>
      <c r="F76" s="528"/>
      <c r="G76" s="528"/>
      <c r="H76" s="528"/>
      <c r="I76" s="925">
        <f>'Quarterly Model'!I164</f>
        <v>-154.09299999999999</v>
      </c>
      <c r="J76" s="528">
        <f>'Quarterly Model'!J164</f>
        <v>-47.978000000000002</v>
      </c>
      <c r="K76" s="528">
        <f>'Quarterly Model'!K164</f>
        <v>-29.62</v>
      </c>
      <c r="L76" s="528">
        <f>'Quarterly Model'!L164</f>
        <v>-53.929999999999986</v>
      </c>
      <c r="M76" s="528">
        <f>'Quarterly Model'!M164</f>
        <v>-48.289000000000023</v>
      </c>
      <c r="N76" s="925">
        <f>'Quarterly Model'!N164</f>
        <v>-179.81700000000001</v>
      </c>
      <c r="O76" s="528">
        <f>'Quarterly Model'!O164</f>
        <v>-96.754999999999995</v>
      </c>
      <c r="P76" s="528">
        <f>'Quarterly Model'!P164</f>
        <v>-27.344999999999999</v>
      </c>
      <c r="Q76" s="528">
        <f>'Quarterly Model'!Q164</f>
        <v>-32.323000000000008</v>
      </c>
      <c r="R76" s="528">
        <f>'Quarterly Model'!R164</f>
        <v>-15.167000000000002</v>
      </c>
      <c r="S76" s="925">
        <f>'Quarterly Model'!S164</f>
        <v>-171.59</v>
      </c>
      <c r="T76" s="528">
        <f>'Quarterly Model'!T164</f>
        <v>-15.09</v>
      </c>
      <c r="U76" s="528">
        <f>'Quarterly Model'!U164</f>
        <v>-15.962</v>
      </c>
      <c r="V76" s="528">
        <f>'Quarterly Model'!V164</f>
        <v>-16.097999999999999</v>
      </c>
      <c r="W76" s="528">
        <f>'Quarterly Model'!W164</f>
        <v>-20.286888754986006</v>
      </c>
      <c r="X76" s="925">
        <f>'Quarterly Model'!X164</f>
        <v>-67.436888754986001</v>
      </c>
      <c r="Y76" s="528">
        <f>'Quarterly Model'!Y164</f>
        <v>-2.8147817547511713</v>
      </c>
      <c r="Z76" s="528">
        <f>'Quarterly Model'!Z164</f>
        <v>7.6543801744984297</v>
      </c>
      <c r="AA76" s="528">
        <f>'Quarterly Model'!AA164</f>
        <v>12.487129955724104</v>
      </c>
      <c r="AB76" s="528">
        <f>'Quarterly Model'!AB164</f>
        <v>5.1275446774304942</v>
      </c>
      <c r="AC76" s="925">
        <f>'Quarterly Model'!AC164</f>
        <v>22.454273052901854</v>
      </c>
      <c r="AD76" s="528">
        <f>'Quarterly Model'!AD164</f>
        <v>27.934654392679747</v>
      </c>
      <c r="AE76" s="528">
        <f>'Quarterly Model'!AE164</f>
        <v>49.41218347690328</v>
      </c>
      <c r="AF76" s="528">
        <f>'Quarterly Model'!AF164</f>
        <v>58.676159070199489</v>
      </c>
      <c r="AG76" s="528">
        <f>'Quarterly Model'!AG164</f>
        <v>50.427133074266628</v>
      </c>
      <c r="AH76" s="925">
        <f>'Quarterly Model'!AH164</f>
        <v>186.45013001404914</v>
      </c>
      <c r="AI76" s="528">
        <f>'Quarterly Model'!AI164</f>
        <v>68.175139631376382</v>
      </c>
      <c r="AJ76" s="528">
        <f>'Quarterly Model'!AJ164</f>
        <v>103.49668529646105</v>
      </c>
      <c r="AK76" s="528">
        <f>'Quarterly Model'!AK164</f>
        <v>118.82910636308026</v>
      </c>
      <c r="AL76" s="528">
        <f>'Quarterly Model'!AL164</f>
        <v>110.68255326033362</v>
      </c>
      <c r="AM76" s="925">
        <f>'Quarterly Model'!AM164</f>
        <v>401.18348455125135</v>
      </c>
    </row>
    <row r="77" spans="1:39">
      <c r="A77" s="858"/>
      <c r="B77" s="923" t="str">
        <f>'Quarterly Model'!B165</f>
        <v>Adjustments to reconcile net income to net cash provided by operating activities:</v>
      </c>
      <c r="C77" s="924"/>
      <c r="D77" s="925"/>
      <c r="E77" s="528"/>
      <c r="F77" s="528"/>
      <c r="G77" s="528"/>
      <c r="H77" s="528"/>
      <c r="I77" s="925"/>
      <c r="J77" s="528"/>
      <c r="K77" s="528"/>
      <c r="L77" s="528"/>
      <c r="M77" s="528"/>
      <c r="N77" s="925"/>
      <c r="O77" s="528"/>
      <c r="P77" s="528"/>
      <c r="Q77" s="528"/>
      <c r="R77" s="528"/>
      <c r="S77" s="925"/>
      <c r="T77" s="528"/>
      <c r="U77" s="528"/>
      <c r="V77" s="528"/>
      <c r="W77" s="528"/>
      <c r="X77" s="925"/>
      <c r="Y77" s="528"/>
      <c r="Z77" s="528"/>
      <c r="AA77" s="528"/>
      <c r="AB77" s="528"/>
      <c r="AC77" s="925"/>
      <c r="AD77" s="528"/>
      <c r="AE77" s="528"/>
      <c r="AF77" s="528"/>
      <c r="AG77" s="528"/>
      <c r="AH77" s="925"/>
      <c r="AI77" s="528"/>
      <c r="AJ77" s="528"/>
      <c r="AK77" s="528"/>
      <c r="AL77" s="528"/>
      <c r="AM77" s="925"/>
    </row>
    <row r="78" spans="1:39">
      <c r="A78" s="858"/>
      <c r="B78" s="926" t="str">
        <f>'Quarterly Model'!B166</f>
        <v>Depreciation and amortization on property and equipment and intangible assets</v>
      </c>
      <c r="C78" s="924">
        <f>'Quarterly Model'!C166</f>
        <v>3.5790000000000002</v>
      </c>
      <c r="D78" s="925">
        <f>'Quarterly Model'!D166</f>
        <v>8.2720000000000002</v>
      </c>
      <c r="E78" s="528"/>
      <c r="F78" s="528"/>
      <c r="G78" s="528"/>
      <c r="H78" s="528"/>
      <c r="I78" s="925">
        <f>'Quarterly Model'!I166</f>
        <v>18.585999999999999</v>
      </c>
      <c r="J78" s="528">
        <f>'Quarterly Model'!J166</f>
        <v>5.5460000000000003</v>
      </c>
      <c r="K78" s="528">
        <f>'Quarterly Model'!K166</f>
        <v>6.4089999999999998</v>
      </c>
      <c r="L78" s="528">
        <f>'Quarterly Model'!L166</f>
        <v>6.5710000000000006</v>
      </c>
      <c r="M78" s="528">
        <f>'Quarterly Model'!M166</f>
        <v>9.1000000000000014</v>
      </c>
      <c r="N78" s="925">
        <f>'Quarterly Model'!N166</f>
        <v>27.626000000000001</v>
      </c>
      <c r="O78" s="528">
        <f>'Quarterly Model'!O166</f>
        <v>9.1180000000000003</v>
      </c>
      <c r="P78" s="528">
        <f>'Quarterly Model'!P166</f>
        <v>9.0179999999999989</v>
      </c>
      <c r="Q78" s="528">
        <f>'Quarterly Model'!Q166</f>
        <v>9.6809999999999992</v>
      </c>
      <c r="R78" s="528">
        <f>'Quarterly Model'!R166</f>
        <v>9.927999999999999</v>
      </c>
      <c r="S78" s="925">
        <f>'Quarterly Model'!S166</f>
        <v>37.745000000000005</v>
      </c>
      <c r="T78" s="528">
        <f>'Quarterly Model'!T166</f>
        <v>9.4369999999999994</v>
      </c>
      <c r="U78" s="528">
        <f>'Quarterly Model'!U166</f>
        <v>9.1250000000000018</v>
      </c>
      <c r="V78" s="528">
        <f>'Quarterly Model'!V166</f>
        <v>9.0849999999999991</v>
      </c>
      <c r="W78" s="528">
        <f>'Quarterly Model'!W166</f>
        <v>10.63991281524445</v>
      </c>
      <c r="X78" s="925">
        <f>'Quarterly Model'!X166</f>
        <v>38.283912815244449</v>
      </c>
      <c r="Y78" s="528">
        <f>'Quarterly Model'!Y166</f>
        <v>10.788079658582083</v>
      </c>
      <c r="Z78" s="528">
        <f>'Quarterly Model'!Z166</f>
        <v>10.171257708478771</v>
      </c>
      <c r="AA78" s="528">
        <f>'Quarterly Model'!AA166</f>
        <v>10.816427264247416</v>
      </c>
      <c r="AB78" s="528">
        <f>'Quarterly Model'!AB166</f>
        <v>14.198083466271305</v>
      </c>
      <c r="AC78" s="925">
        <f>'Quarterly Model'!AC166</f>
        <v>45.973848097579577</v>
      </c>
      <c r="AD78" s="528">
        <f>'Quarterly Model'!AD166</f>
        <v>13.33632126009959</v>
      </c>
      <c r="AE78" s="528">
        <f>'Quarterly Model'!AE166</f>
        <v>12.235031809016652</v>
      </c>
      <c r="AF78" s="528">
        <f>'Quarterly Model'!AF166</f>
        <v>13.028850086090175</v>
      </c>
      <c r="AG78" s="528">
        <f>'Quarterly Model'!AG166</f>
        <v>17.633472984316171</v>
      </c>
      <c r="AH78" s="925">
        <f>'Quarterly Model'!AH166</f>
        <v>56.233676139522586</v>
      </c>
      <c r="AI78" s="528">
        <f>'Quarterly Model'!AI166</f>
        <v>16.525480309274897</v>
      </c>
      <c r="AJ78" s="528">
        <f>'Quarterly Model'!AJ166</f>
        <v>14.806760386223242</v>
      </c>
      <c r="AK78" s="528">
        <f>'Quarterly Model'!AK166</f>
        <v>15.786382215887194</v>
      </c>
      <c r="AL78" s="528">
        <f>'Quarterly Model'!AL166</f>
        <v>21.937888552088463</v>
      </c>
      <c r="AM78" s="925">
        <f>'Quarterly Model'!AM166</f>
        <v>69.056511463473797</v>
      </c>
    </row>
    <row r="79" spans="1:39">
      <c r="A79" s="858"/>
      <c r="B79" s="926" t="str">
        <f>'Quarterly Model'!B167</f>
        <v xml:space="preserve">Depreciation </v>
      </c>
      <c r="C79" s="924">
        <f>'Quarterly Model'!C167</f>
        <v>3.2789999999999999</v>
      </c>
      <c r="D79" s="925">
        <f>'Quarterly Model'!D167</f>
        <v>7.6720000000000006</v>
      </c>
      <c r="E79" s="528"/>
      <c r="F79" s="528"/>
      <c r="G79" s="528"/>
      <c r="H79" s="528"/>
      <c r="I79" s="925">
        <f>'Quarterly Model'!I167</f>
        <v>13.785999999999998</v>
      </c>
      <c r="J79" s="528">
        <f>'Quarterly Model'!J167</f>
        <v>3.9460000000000002</v>
      </c>
      <c r="K79" s="528">
        <f>'Quarterly Model'!K167</f>
        <v>4.8089999999999993</v>
      </c>
      <c r="L79" s="528">
        <f>'Quarterly Model'!L167</f>
        <v>4.9710000000000001</v>
      </c>
      <c r="M79" s="528">
        <f>'Quarterly Model'!M167</f>
        <v>7.5000000000000018</v>
      </c>
      <c r="N79" s="925">
        <f>'Quarterly Model'!N167</f>
        <v>21.225999999999999</v>
      </c>
      <c r="O79" s="528">
        <f>'Quarterly Model'!O167</f>
        <v>7.718</v>
      </c>
      <c r="P79" s="528">
        <f>'Quarterly Model'!P167</f>
        <v>7.8179999999999987</v>
      </c>
      <c r="Q79" s="528">
        <f>'Quarterly Model'!Q167</f>
        <v>8.5809999999999995</v>
      </c>
      <c r="R79" s="528">
        <f>'Quarterly Model'!R167</f>
        <v>8.8279999999999994</v>
      </c>
      <c r="S79" s="925">
        <f>'Quarterly Model'!S167</f>
        <v>32.944999999999993</v>
      </c>
      <c r="T79" s="528">
        <f>'Quarterly Model'!T167</f>
        <v>8.3369999999999997</v>
      </c>
      <c r="U79" s="528">
        <f>'Quarterly Model'!U167</f>
        <v>8.0250000000000021</v>
      </c>
      <c r="V79" s="528">
        <f>'Quarterly Model'!V167</f>
        <v>7.9849999999999994</v>
      </c>
      <c r="W79" s="528">
        <f>'Quarterly Model'!W167</f>
        <v>9.5399128152444508</v>
      </c>
      <c r="X79" s="925">
        <f>'Quarterly Model'!X167</f>
        <v>33.88691281524445</v>
      </c>
      <c r="Y79" s="528">
        <f>'Quarterly Model'!Y167</f>
        <v>9.7880796585820828</v>
      </c>
      <c r="Z79" s="528">
        <f>'Quarterly Model'!Z167</f>
        <v>9.1712577084787714</v>
      </c>
      <c r="AA79" s="528">
        <f>'Quarterly Model'!AA167</f>
        <v>9.816427264247416</v>
      </c>
      <c r="AB79" s="528">
        <f>'Quarterly Model'!AB167</f>
        <v>13.198083466271305</v>
      </c>
      <c r="AC79" s="925">
        <f>'Quarterly Model'!AC167</f>
        <v>41.973848097579577</v>
      </c>
      <c r="AD79" s="528">
        <f>'Quarterly Model'!AD167</f>
        <v>12.33632126009959</v>
      </c>
      <c r="AE79" s="528">
        <f>'Quarterly Model'!AE167</f>
        <v>11.235031809016652</v>
      </c>
      <c r="AF79" s="528">
        <f>'Quarterly Model'!AF167</f>
        <v>12.028850086090175</v>
      </c>
      <c r="AG79" s="528">
        <f>'Quarterly Model'!AG167</f>
        <v>16.633472984316171</v>
      </c>
      <c r="AH79" s="925">
        <f>'Quarterly Model'!AH167</f>
        <v>52.233676139522586</v>
      </c>
      <c r="AI79" s="528">
        <f>'Quarterly Model'!AI167</f>
        <v>15.525480309274897</v>
      </c>
      <c r="AJ79" s="528">
        <f>'Quarterly Model'!AJ167</f>
        <v>13.806760386223242</v>
      </c>
      <c r="AK79" s="528">
        <f>'Quarterly Model'!AK167</f>
        <v>14.786382215887194</v>
      </c>
      <c r="AL79" s="528">
        <f>'Quarterly Model'!AL167</f>
        <v>20.937888552088463</v>
      </c>
      <c r="AM79" s="925">
        <f>'Quarterly Model'!AM167</f>
        <v>65.056511463473797</v>
      </c>
    </row>
    <row r="80" spans="1:39">
      <c r="A80" s="858"/>
      <c r="B80" s="926" t="str">
        <f>'Quarterly Model'!B168</f>
        <v>Amortization</v>
      </c>
      <c r="C80" s="924">
        <f>'Quarterly Model'!C168</f>
        <v>0.30000000000000004</v>
      </c>
      <c r="D80" s="925">
        <f>'Quarterly Model'!D168</f>
        <v>0.6</v>
      </c>
      <c r="E80" s="528"/>
      <c r="F80" s="528"/>
      <c r="G80" s="528"/>
      <c r="H80" s="528"/>
      <c r="I80" s="925">
        <f>'Quarterly Model'!I168</f>
        <v>4.8000000000000007</v>
      </c>
      <c r="J80" s="528">
        <f>'Quarterly Model'!J168</f>
        <v>1.6</v>
      </c>
      <c r="K80" s="528">
        <f>'Quarterly Model'!K168</f>
        <v>1.6</v>
      </c>
      <c r="L80" s="528">
        <f>'Quarterly Model'!L168</f>
        <v>1.6</v>
      </c>
      <c r="M80" s="528">
        <f>'Quarterly Model'!M168</f>
        <v>1.6</v>
      </c>
      <c r="N80" s="925">
        <f>'Quarterly Model'!N168</f>
        <v>6.4</v>
      </c>
      <c r="O80" s="528">
        <f>'Quarterly Model'!O168</f>
        <v>1.4</v>
      </c>
      <c r="P80" s="528">
        <f>'Quarterly Model'!P168</f>
        <v>1.2</v>
      </c>
      <c r="Q80" s="528">
        <f>'Quarterly Model'!Q168</f>
        <v>1.1000000000000001</v>
      </c>
      <c r="R80" s="528">
        <f>'Quarterly Model'!R168</f>
        <v>1.1000000000000001</v>
      </c>
      <c r="S80" s="925">
        <f>'Quarterly Model'!S168</f>
        <v>4.8</v>
      </c>
      <c r="T80" s="528">
        <f>'Quarterly Model'!T168</f>
        <v>1.1000000000000001</v>
      </c>
      <c r="U80" s="528">
        <f>'Quarterly Model'!U168</f>
        <v>1.1000000000000001</v>
      </c>
      <c r="V80" s="528">
        <f>'Quarterly Model'!V168</f>
        <v>1.1000000000000001</v>
      </c>
      <c r="W80" s="528">
        <f>'Quarterly Model'!W168</f>
        <v>1.1000000000000001</v>
      </c>
      <c r="X80" s="925">
        <f>'Quarterly Model'!X168</f>
        <v>4.4000000000000004</v>
      </c>
      <c r="Y80" s="528">
        <f>'Quarterly Model'!Y168</f>
        <v>1</v>
      </c>
      <c r="Z80" s="528">
        <f>'Quarterly Model'!Z168</f>
        <v>1</v>
      </c>
      <c r="AA80" s="528">
        <f>'Quarterly Model'!AA168</f>
        <v>1</v>
      </c>
      <c r="AB80" s="528">
        <f>'Quarterly Model'!AB168</f>
        <v>1</v>
      </c>
      <c r="AC80" s="925">
        <f>'Quarterly Model'!AC168</f>
        <v>4</v>
      </c>
      <c r="AD80" s="528">
        <f>'Quarterly Model'!AD168</f>
        <v>1</v>
      </c>
      <c r="AE80" s="528">
        <f>'Quarterly Model'!AE168</f>
        <v>1</v>
      </c>
      <c r="AF80" s="528">
        <f>'Quarterly Model'!AF168</f>
        <v>1</v>
      </c>
      <c r="AG80" s="528">
        <f>'Quarterly Model'!AG168</f>
        <v>1</v>
      </c>
      <c r="AH80" s="925">
        <f>'Quarterly Model'!AH168</f>
        <v>4</v>
      </c>
      <c r="AI80" s="528">
        <f>'Quarterly Model'!AI168</f>
        <v>1</v>
      </c>
      <c r="AJ80" s="528">
        <f>'Quarterly Model'!AJ168</f>
        <v>1</v>
      </c>
      <c r="AK80" s="528">
        <f>'Quarterly Model'!AK168</f>
        <v>1</v>
      </c>
      <c r="AL80" s="528">
        <f>'Quarterly Model'!AL168</f>
        <v>1</v>
      </c>
      <c r="AM80" s="925">
        <f>'Quarterly Model'!AM168</f>
        <v>4</v>
      </c>
    </row>
    <row r="81" spans="1:39">
      <c r="A81" s="858"/>
      <c r="B81" s="926" t="str">
        <f>'Quarterly Model'!B169</f>
        <v>Stock-based compensation</v>
      </c>
      <c r="C81" s="924">
        <f>'Quarterly Model'!C169</f>
        <v>8.1140000000000008</v>
      </c>
      <c r="D81" s="925">
        <f>'Quarterly Model'!D169</f>
        <v>14.657999999999999</v>
      </c>
      <c r="E81" s="528"/>
      <c r="F81" s="528"/>
      <c r="G81" s="528"/>
      <c r="H81" s="528"/>
      <c r="I81" s="925">
        <f>'Quarterly Model'!I169</f>
        <v>36.1</v>
      </c>
      <c r="J81" s="528">
        <f>'Quarterly Model'!J169</f>
        <v>13.461</v>
      </c>
      <c r="K81" s="528">
        <f>'Quarterly Model'!K169</f>
        <v>15.231999999999999</v>
      </c>
      <c r="L81" s="528">
        <f>'Quarterly Model'!L169</f>
        <v>20.792999999999999</v>
      </c>
      <c r="M81" s="528">
        <f>'Quarterly Model'!M169</f>
        <v>32.806000000000004</v>
      </c>
      <c r="N81" s="925">
        <f>'Quarterly Model'!N169</f>
        <v>82.292000000000002</v>
      </c>
      <c r="O81" s="528">
        <f>'Quarterly Model'!O169</f>
        <v>31.198</v>
      </c>
      <c r="P81" s="528">
        <f>'Quarterly Model'!P169</f>
        <v>36.922000000000004</v>
      </c>
      <c r="Q81" s="528">
        <f>'Quarterly Model'!Q169</f>
        <v>36.779000000000003</v>
      </c>
      <c r="R81" s="528">
        <f>'Quarterly Model'!R169</f>
        <v>33.887000000000008</v>
      </c>
      <c r="S81" s="925">
        <f>'Quarterly Model'!S169</f>
        <v>138.786</v>
      </c>
      <c r="T81" s="528">
        <f>'Quarterly Model'!T169</f>
        <v>31.67</v>
      </c>
      <c r="U81" s="528">
        <f>'Quarterly Model'!U169</f>
        <v>39.593000000000004</v>
      </c>
      <c r="V81" s="528">
        <f>'Quarterly Model'!V169</f>
        <v>40.048000000000002</v>
      </c>
      <c r="W81" s="528">
        <f>'Quarterly Model'!W169</f>
        <v>41.048000000000002</v>
      </c>
      <c r="X81" s="925">
        <f>'Quarterly Model'!X169</f>
        <v>152.35900000000001</v>
      </c>
      <c r="Y81" s="528">
        <f>'Quarterly Model'!Y169</f>
        <v>42.048000000000002</v>
      </c>
      <c r="Z81" s="528">
        <f>'Quarterly Model'!Z169</f>
        <v>43.048000000000002</v>
      </c>
      <c r="AA81" s="528">
        <f>'Quarterly Model'!AA169</f>
        <v>44.048000000000002</v>
      </c>
      <c r="AB81" s="528">
        <f>'Quarterly Model'!AB169</f>
        <v>45.048000000000002</v>
      </c>
      <c r="AC81" s="925">
        <f>'Quarterly Model'!AC169</f>
        <v>174.19200000000001</v>
      </c>
      <c r="AD81" s="528">
        <f>'Quarterly Model'!AD169</f>
        <v>46.048000000000002</v>
      </c>
      <c r="AE81" s="528">
        <f>'Quarterly Model'!AE169</f>
        <v>47.548000000000002</v>
      </c>
      <c r="AF81" s="528">
        <f>'Quarterly Model'!AF169</f>
        <v>49.048000000000002</v>
      </c>
      <c r="AG81" s="528">
        <f>'Quarterly Model'!AG169</f>
        <v>50.548000000000002</v>
      </c>
      <c r="AH81" s="925">
        <f>'Quarterly Model'!AH169</f>
        <v>193.19200000000001</v>
      </c>
      <c r="AI81" s="528">
        <f>'Quarterly Model'!AI169</f>
        <v>51.548000000000002</v>
      </c>
      <c r="AJ81" s="528">
        <f>'Quarterly Model'!AJ169</f>
        <v>53.048000000000002</v>
      </c>
      <c r="AK81" s="528">
        <f>'Quarterly Model'!AK169</f>
        <v>54.548000000000002</v>
      </c>
      <c r="AL81" s="528">
        <f>'Quarterly Model'!AL169</f>
        <v>56.048000000000002</v>
      </c>
      <c r="AM81" s="925">
        <f>'Quarterly Model'!AM169</f>
        <v>215.19200000000001</v>
      </c>
    </row>
    <row r="82" spans="1:39">
      <c r="A82" s="858"/>
      <c r="B82" s="926" t="str">
        <f>'Quarterly Model'!B170</f>
        <v>Starbucks share-based incentive</v>
      </c>
      <c r="C82" s="924">
        <f>'Quarterly Model'!C170</f>
        <v>1.9990000000000001</v>
      </c>
      <c r="D82" s="925">
        <f>'Quarterly Model'!D170</f>
        <v>0</v>
      </c>
      <c r="E82" s="528"/>
      <c r="F82" s="528"/>
      <c r="G82" s="528"/>
      <c r="H82" s="528"/>
      <c r="I82" s="925">
        <f>'Quarterly Model'!I170</f>
        <v>0</v>
      </c>
      <c r="J82" s="528">
        <f>'Quarterly Model'!J170</f>
        <v>0</v>
      </c>
      <c r="K82" s="528">
        <f>'Quarterly Model'!K170</f>
        <v>0</v>
      </c>
      <c r="L82" s="528">
        <f>'Quarterly Model'!L170</f>
        <v>1.4850000000000001</v>
      </c>
      <c r="M82" s="528">
        <f>'Quarterly Model'!M170</f>
        <v>-1.4850000000000001</v>
      </c>
      <c r="N82" s="925">
        <f>'Quarterly Model'!N170</f>
        <v>0</v>
      </c>
      <c r="O82" s="528">
        <f>'Quarterly Model'!O170</f>
        <v>0</v>
      </c>
      <c r="P82" s="528">
        <f>'Quarterly Model'!P170</f>
        <v>0</v>
      </c>
      <c r="Q82" s="528">
        <f>'Quarterly Model'!Q170</f>
        <v>0</v>
      </c>
      <c r="R82" s="528">
        <f>'Quarterly Model'!R170</f>
        <v>0</v>
      </c>
      <c r="S82" s="925">
        <f>'Quarterly Model'!S170</f>
        <v>0</v>
      </c>
      <c r="T82" s="528">
        <f>'Quarterly Model'!T170</f>
        <v>0</v>
      </c>
      <c r="U82" s="528">
        <f>'Quarterly Model'!U170</f>
        <v>3.0000000000000001E-3</v>
      </c>
      <c r="V82" s="528">
        <f>'Quarterly Model'!V170</f>
        <v>1.6140000000000001</v>
      </c>
      <c r="W82" s="528">
        <f>'Quarterly Model'!W170</f>
        <v>0</v>
      </c>
      <c r="X82" s="925">
        <f>'Quarterly Model'!X170</f>
        <v>1.617</v>
      </c>
      <c r="Y82" s="528">
        <f>'Quarterly Model'!Y170</f>
        <v>0</v>
      </c>
      <c r="Z82" s="528">
        <f>'Quarterly Model'!Z170</f>
        <v>0</v>
      </c>
      <c r="AA82" s="528">
        <f>'Quarterly Model'!AA170</f>
        <v>0</v>
      </c>
      <c r="AB82" s="528">
        <f>'Quarterly Model'!AB170</f>
        <v>0</v>
      </c>
      <c r="AC82" s="925">
        <f>'Quarterly Model'!AC170</f>
        <v>0</v>
      </c>
      <c r="AD82" s="528">
        <f>'Quarterly Model'!AD170</f>
        <v>0</v>
      </c>
      <c r="AE82" s="528">
        <f>'Quarterly Model'!AE170</f>
        <v>0</v>
      </c>
      <c r="AF82" s="528">
        <f>'Quarterly Model'!AF170</f>
        <v>0</v>
      </c>
      <c r="AG82" s="528">
        <f>'Quarterly Model'!AG170</f>
        <v>0</v>
      </c>
      <c r="AH82" s="925">
        <f>'Quarterly Model'!AH170</f>
        <v>0</v>
      </c>
      <c r="AI82" s="528">
        <f>'Quarterly Model'!AI170</f>
        <v>0</v>
      </c>
      <c r="AJ82" s="528">
        <f>'Quarterly Model'!AJ170</f>
        <v>0</v>
      </c>
      <c r="AK82" s="528">
        <f>'Quarterly Model'!AK170</f>
        <v>0</v>
      </c>
      <c r="AL82" s="528">
        <f>'Quarterly Model'!AL170</f>
        <v>0</v>
      </c>
      <c r="AM82" s="925">
        <f>'Quarterly Model'!AM170</f>
        <v>0</v>
      </c>
    </row>
    <row r="83" spans="1:39">
      <c r="A83" s="858"/>
      <c r="B83" s="926" t="str">
        <f>'Quarterly Model'!B171</f>
        <v>Excess tax benefit from share-based payment activity</v>
      </c>
      <c r="C83" s="924">
        <f>'Quarterly Model'!C171</f>
        <v>0</v>
      </c>
      <c r="D83" s="925">
        <f>'Quarterly Model'!D171</f>
        <v>0</v>
      </c>
      <c r="E83" s="528"/>
      <c r="F83" s="528"/>
      <c r="G83" s="528"/>
      <c r="H83" s="528"/>
      <c r="I83" s="925">
        <f>'Quarterly Model'!I171</f>
        <v>-1.3480000000000001</v>
      </c>
      <c r="J83" s="528">
        <f>'Quarterly Model'!J171</f>
        <v>0</v>
      </c>
      <c r="K83" s="528">
        <f>'Quarterly Model'!K171</f>
        <v>0</v>
      </c>
      <c r="L83" s="528">
        <f>'Quarterly Model'!L171</f>
        <v>0</v>
      </c>
      <c r="M83" s="528">
        <f>'Quarterly Model'!M171</f>
        <v>-1.101</v>
      </c>
      <c r="N83" s="925">
        <f>'Quarterly Model'!N171</f>
        <v>-1.101</v>
      </c>
      <c r="O83" s="528">
        <f>'Quarterly Model'!O171</f>
        <v>0</v>
      </c>
      <c r="P83" s="528">
        <f>'Quarterly Model'!P171</f>
        <v>0</v>
      </c>
      <c r="Q83" s="528">
        <f>'Quarterly Model'!Q171</f>
        <v>0</v>
      </c>
      <c r="R83" s="528">
        <f>'Quarterly Model'!R171</f>
        <v>0</v>
      </c>
      <c r="S83" s="925">
        <f>'Quarterly Model'!S171</f>
        <v>0</v>
      </c>
      <c r="T83" s="528">
        <f>'Quarterly Model'!T171</f>
        <v>0</v>
      </c>
      <c r="U83" s="528">
        <f>'Quarterly Model'!U171</f>
        <v>0</v>
      </c>
      <c r="V83" s="528">
        <f>'Quarterly Model'!V171</f>
        <v>0</v>
      </c>
      <c r="W83" s="528">
        <f>'Quarterly Model'!W171</f>
        <v>0</v>
      </c>
      <c r="X83" s="925">
        <f>'Quarterly Model'!X171</f>
        <v>0</v>
      </c>
      <c r="Y83" s="528">
        <f>'Quarterly Model'!Y171</f>
        <v>0</v>
      </c>
      <c r="Z83" s="528">
        <f>'Quarterly Model'!Z171</f>
        <v>0</v>
      </c>
      <c r="AA83" s="528">
        <f>'Quarterly Model'!AA171</f>
        <v>0</v>
      </c>
      <c r="AB83" s="528">
        <f>'Quarterly Model'!AB171</f>
        <v>0</v>
      </c>
      <c r="AC83" s="925">
        <f>'Quarterly Model'!AC171</f>
        <v>0</v>
      </c>
      <c r="AD83" s="528">
        <f>'Quarterly Model'!AD171</f>
        <v>0</v>
      </c>
      <c r="AE83" s="528">
        <f>'Quarterly Model'!AE171</f>
        <v>0</v>
      </c>
      <c r="AF83" s="528">
        <f>'Quarterly Model'!AF171</f>
        <v>0</v>
      </c>
      <c r="AG83" s="528">
        <f>'Quarterly Model'!AG171</f>
        <v>0</v>
      </c>
      <c r="AH83" s="925">
        <f>'Quarterly Model'!AH171</f>
        <v>0</v>
      </c>
      <c r="AI83" s="528">
        <f>'Quarterly Model'!AI171</f>
        <v>0</v>
      </c>
      <c r="AJ83" s="528">
        <f>'Quarterly Model'!AJ171</f>
        <v>0</v>
      </c>
      <c r="AK83" s="528">
        <f>'Quarterly Model'!AK171</f>
        <v>0</v>
      </c>
      <c r="AL83" s="528">
        <f>'Quarterly Model'!AL171</f>
        <v>0</v>
      </c>
      <c r="AM83" s="925">
        <f>'Quarterly Model'!AM171</f>
        <v>0</v>
      </c>
    </row>
    <row r="84" spans="1:39">
      <c r="A84" s="858"/>
      <c r="B84" s="926" t="str">
        <f>'Quarterly Model'!B172</f>
        <v>Provision for transaction losses</v>
      </c>
      <c r="C84" s="924">
        <f>'Quarterly Model'!C172</f>
        <v>10.512</v>
      </c>
      <c r="D84" s="925">
        <f>'Quarterly Model'!D172</f>
        <v>15.08</v>
      </c>
      <c r="E84" s="528"/>
      <c r="F84" s="528"/>
      <c r="G84" s="528"/>
      <c r="H84" s="528"/>
      <c r="I84" s="925">
        <f>'Quarterly Model'!I172</f>
        <v>18.478000000000002</v>
      </c>
      <c r="J84" s="528">
        <f>'Quarterly Model'!J172</f>
        <v>13.757</v>
      </c>
      <c r="K84" s="528">
        <f>'Quarterly Model'!K172</f>
        <v>7.8090000000000002</v>
      </c>
      <c r="L84" s="528">
        <f>'Quarterly Model'!L172</f>
        <v>11.400999999999998</v>
      </c>
      <c r="M84" s="528">
        <f>'Quarterly Model'!M172</f>
        <v>10.412000000000001</v>
      </c>
      <c r="N84" s="925">
        <f>'Quarterly Model'!N172</f>
        <v>43.378999999999998</v>
      </c>
      <c r="O84" s="528">
        <f>'Quarterly Model'!O172</f>
        <v>7.1820000000000004</v>
      </c>
      <c r="P84" s="528">
        <f>'Quarterly Model'!P172</f>
        <v>16.21</v>
      </c>
      <c r="Q84" s="528">
        <f>'Quarterly Model'!Q172</f>
        <v>13.482999999999999</v>
      </c>
      <c r="R84" s="528">
        <f>'Quarterly Model'!R172</f>
        <v>13.944000000000004</v>
      </c>
      <c r="S84" s="925">
        <f>'Quarterly Model'!S172</f>
        <v>50.819000000000003</v>
      </c>
      <c r="T84" s="528">
        <f>'Quarterly Model'!T172</f>
        <v>11.558</v>
      </c>
      <c r="U84" s="528">
        <f>'Quarterly Model'!U172</f>
        <v>18.734000000000002</v>
      </c>
      <c r="V84" s="528">
        <f>'Quarterly Model'!V172</f>
        <v>19.893000000000001</v>
      </c>
      <c r="W84" s="528">
        <f>'Quarterly Model'!W172</f>
        <v>15.045255449999996</v>
      </c>
      <c r="X84" s="925">
        <f>'Quarterly Model'!X172</f>
        <v>65.230255450000001</v>
      </c>
      <c r="Y84" s="528">
        <f>'Quarterly Model'!Y172</f>
        <v>15.05195865</v>
      </c>
      <c r="Z84" s="528">
        <f>'Quarterly Model'!Z172</f>
        <v>18.111541949999999</v>
      </c>
      <c r="AA84" s="528">
        <f>'Quarterly Model'!AA172</f>
        <v>19.175888700000002</v>
      </c>
      <c r="AB84" s="528">
        <f>'Quarterly Model'!AB172</f>
        <v>19.408379530499996</v>
      </c>
      <c r="AC84" s="925">
        <f>'Quarterly Model'!AC172</f>
        <v>71.747768830499993</v>
      </c>
      <c r="AD84" s="528">
        <f>'Quarterly Model'!AD172</f>
        <v>19.266507072</v>
      </c>
      <c r="AE84" s="528">
        <f>'Quarterly Model'!AE172</f>
        <v>23.182773695999998</v>
      </c>
      <c r="AF84" s="528">
        <f>'Quarterly Model'!AF172</f>
        <v>24.545137536000002</v>
      </c>
      <c r="AG84" s="528">
        <f>'Quarterly Model'!AG172</f>
        <v>24.842725799039997</v>
      </c>
      <c r="AH84" s="925">
        <f>'Quarterly Model'!AH172</f>
        <v>91.837144103039989</v>
      </c>
      <c r="AI84" s="528">
        <f>'Quarterly Model'!AI172</f>
        <v>24.275798910719999</v>
      </c>
      <c r="AJ84" s="528">
        <f>'Quarterly Model'!AJ172</f>
        <v>29.210294856960001</v>
      </c>
      <c r="AK84" s="528">
        <f>'Quarterly Model'!AK172</f>
        <v>30.92687329536</v>
      </c>
      <c r="AL84" s="528">
        <f>'Quarterly Model'!AL172</f>
        <v>31.301834506790396</v>
      </c>
      <c r="AM84" s="925">
        <f>'Quarterly Model'!AM172</f>
        <v>115.7148015698304</v>
      </c>
    </row>
    <row r="85" spans="1:39">
      <c r="A85" s="858"/>
      <c r="B85" s="926" t="str">
        <f>'Quarterly Model'!B173</f>
        <v>Provision for uncollectible receivables related to merchant cash
advances</v>
      </c>
      <c r="C85" s="924">
        <f>'Quarterly Model'!C173</f>
        <v>0</v>
      </c>
      <c r="D85" s="925">
        <f>'Quarterly Model'!D173</f>
        <v>0</v>
      </c>
      <c r="E85" s="528"/>
      <c r="F85" s="528"/>
      <c r="G85" s="528"/>
      <c r="H85" s="528"/>
      <c r="I85" s="925">
        <f>'Quarterly Model'!I173</f>
        <v>2.431</v>
      </c>
      <c r="J85" s="528">
        <f>'Quarterly Model'!J173</f>
        <v>2.504</v>
      </c>
      <c r="K85" s="528">
        <f>'Quarterly Model'!K173</f>
        <v>0.63300000000000001</v>
      </c>
      <c r="L85" s="528">
        <f>'Quarterly Model'!L173</f>
        <v>1.4789999999999996</v>
      </c>
      <c r="M85" s="528">
        <f>'Quarterly Model'!M173</f>
        <v>1.624000000000001</v>
      </c>
      <c r="N85" s="925">
        <f>'Quarterly Model'!N173</f>
        <v>6.24</v>
      </c>
      <c r="O85" s="528">
        <f>'Quarterly Model'!O173</f>
        <v>7.2999999999999995E-2</v>
      </c>
      <c r="P85" s="528">
        <f>'Quarterly Model'!P173</f>
        <v>-0.16599999999999998</v>
      </c>
      <c r="Q85" s="528">
        <f>'Quarterly Model'!Q173</f>
        <v>0.60200000000000009</v>
      </c>
      <c r="R85" s="528">
        <f>'Quarterly Model'!R173</f>
        <v>0.64999999999999991</v>
      </c>
      <c r="S85" s="925">
        <f>'Quarterly Model'!S173</f>
        <v>1.159</v>
      </c>
      <c r="T85" s="528">
        <f>'Quarterly Model'!T173</f>
        <v>0.219</v>
      </c>
      <c r="U85" s="528">
        <f>'Quarterly Model'!U173</f>
        <v>-0.219</v>
      </c>
      <c r="V85" s="528">
        <f>'Quarterly Model'!V173</f>
        <v>0</v>
      </c>
      <c r="W85" s="528">
        <f>'Quarterly Model'!W173</f>
        <v>0</v>
      </c>
      <c r="X85" s="925">
        <f>'Quarterly Model'!X173</f>
        <v>0</v>
      </c>
      <c r="Y85" s="528">
        <f>'Quarterly Model'!Y173</f>
        <v>0</v>
      </c>
      <c r="Z85" s="528">
        <f>'Quarterly Model'!Z173</f>
        <v>0</v>
      </c>
      <c r="AA85" s="528">
        <f>'Quarterly Model'!AA173</f>
        <v>0</v>
      </c>
      <c r="AB85" s="528">
        <f>'Quarterly Model'!AB173</f>
        <v>0</v>
      </c>
      <c r="AC85" s="925">
        <f>'Quarterly Model'!AC173</f>
        <v>0</v>
      </c>
      <c r="AD85" s="528">
        <f>'Quarterly Model'!AD173</f>
        <v>0</v>
      </c>
      <c r="AE85" s="528">
        <f>'Quarterly Model'!AE173</f>
        <v>0</v>
      </c>
      <c r="AF85" s="528">
        <f>'Quarterly Model'!AF173</f>
        <v>0</v>
      </c>
      <c r="AG85" s="528">
        <f>'Quarterly Model'!AG173</f>
        <v>0</v>
      </c>
      <c r="AH85" s="925">
        <f>'Quarterly Model'!AH173</f>
        <v>0</v>
      </c>
      <c r="AI85" s="528">
        <f>'Quarterly Model'!AI173</f>
        <v>0</v>
      </c>
      <c r="AJ85" s="528">
        <f>'Quarterly Model'!AJ173</f>
        <v>0</v>
      </c>
      <c r="AK85" s="528">
        <f>'Quarterly Model'!AK173</f>
        <v>0</v>
      </c>
      <c r="AL85" s="528">
        <f>'Quarterly Model'!AL173</f>
        <v>0</v>
      </c>
      <c r="AM85" s="925">
        <f>'Quarterly Model'!AM173</f>
        <v>0</v>
      </c>
    </row>
    <row r="86" spans="1:39">
      <c r="A86" s="858"/>
      <c r="B86" s="926" t="str">
        <f>'Quarterly Model'!B174</f>
        <v>Deferred tax assets</v>
      </c>
      <c r="C86" s="924">
        <f>'Quarterly Model'!C174</f>
        <v>0</v>
      </c>
      <c r="D86" s="925">
        <f>'Quarterly Model'!D174</f>
        <v>0</v>
      </c>
      <c r="E86" s="528"/>
      <c r="F86" s="528"/>
      <c r="G86" s="528"/>
      <c r="H86" s="528"/>
      <c r="I86" s="925">
        <f>'Quarterly Model'!I174</f>
        <v>-2.6640000000000001</v>
      </c>
      <c r="J86" s="528">
        <f>'Quarterly Model'!J174</f>
        <v>-0.20699999999999999</v>
      </c>
      <c r="K86" s="528">
        <f>'Quarterly Model'!K174</f>
        <v>0</v>
      </c>
      <c r="L86" s="528">
        <f>'Quarterly Model'!L174</f>
        <v>0</v>
      </c>
      <c r="M86" s="528">
        <f>'Quarterly Model'!M174</f>
        <v>0.23299999999999998</v>
      </c>
      <c r="N86" s="925">
        <f>'Quarterly Model'!N174</f>
        <v>2.5999999999999995E-2</v>
      </c>
      <c r="O86" s="528">
        <f>'Quarterly Model'!O174</f>
        <v>7.8E-2</v>
      </c>
      <c r="P86" s="528">
        <f>'Quarterly Model'!P174</f>
        <v>-1.4999999999999999E-2</v>
      </c>
      <c r="Q86" s="528">
        <f>'Quarterly Model'!Q174</f>
        <v>-0.16699999999999998</v>
      </c>
      <c r="R86" s="528">
        <f>'Quarterly Model'!R174</f>
        <v>0.16199999999999998</v>
      </c>
      <c r="S86" s="925">
        <f>'Quarterly Model'!S174</f>
        <v>5.7999999999999996E-2</v>
      </c>
      <c r="T86" s="528">
        <f>'Quarterly Model'!T174</f>
        <v>9.9000000000000005E-2</v>
      </c>
      <c r="U86" s="528">
        <f>'Quarterly Model'!U174</f>
        <v>0</v>
      </c>
      <c r="V86" s="528">
        <f>'Quarterly Model'!V174</f>
        <v>3.4000000000000002E-2</v>
      </c>
      <c r="W86" s="528">
        <f>'Quarterly Model'!W174</f>
        <v>0</v>
      </c>
      <c r="X86" s="925">
        <f>'Quarterly Model'!X174</f>
        <v>0.13300000000000001</v>
      </c>
      <c r="Y86" s="528">
        <f>'Quarterly Model'!Y174</f>
        <v>0</v>
      </c>
      <c r="Z86" s="528">
        <f>'Quarterly Model'!Z174</f>
        <v>0</v>
      </c>
      <c r="AA86" s="528">
        <f>'Quarterly Model'!AA174</f>
        <v>0</v>
      </c>
      <c r="AB86" s="528">
        <f>'Quarterly Model'!AB174</f>
        <v>0</v>
      </c>
      <c r="AC86" s="925">
        <f>'Quarterly Model'!AC174</f>
        <v>0</v>
      </c>
      <c r="AD86" s="528">
        <f>'Quarterly Model'!AD174</f>
        <v>0</v>
      </c>
      <c r="AE86" s="528">
        <f>'Quarterly Model'!AE174</f>
        <v>0</v>
      </c>
      <c r="AF86" s="528">
        <f>'Quarterly Model'!AF174</f>
        <v>0</v>
      </c>
      <c r="AG86" s="528">
        <f>'Quarterly Model'!AG174</f>
        <v>0</v>
      </c>
      <c r="AH86" s="925">
        <f>'Quarterly Model'!AH174</f>
        <v>0</v>
      </c>
      <c r="AI86" s="528">
        <f>'Quarterly Model'!AI174</f>
        <v>0</v>
      </c>
      <c r="AJ86" s="528">
        <f>'Quarterly Model'!AJ174</f>
        <v>0</v>
      </c>
      <c r="AK86" s="528">
        <f>'Quarterly Model'!AK174</f>
        <v>0</v>
      </c>
      <c r="AL86" s="528">
        <f>'Quarterly Model'!AL174</f>
        <v>0</v>
      </c>
      <c r="AM86" s="925">
        <f>'Quarterly Model'!AM174</f>
        <v>0</v>
      </c>
    </row>
    <row r="87" spans="1:39">
      <c r="A87" s="858"/>
      <c r="B87" s="926" t="str">
        <f>'Quarterly Model'!B175</f>
        <v>Other</v>
      </c>
      <c r="C87" s="924">
        <f>'Quarterly Model'!C175</f>
        <v>0</v>
      </c>
      <c r="D87" s="925">
        <f>'Quarterly Model'!D175</f>
        <v>2.4300000000000002</v>
      </c>
      <c r="E87" s="528"/>
      <c r="F87" s="528"/>
      <c r="G87" s="528"/>
      <c r="H87" s="528"/>
      <c r="I87" s="925">
        <f>'Quarterly Model'!I175</f>
        <v>0</v>
      </c>
      <c r="J87" s="528">
        <f>'Quarterly Model'!J175</f>
        <v>0</v>
      </c>
      <c r="K87" s="528">
        <f>'Quarterly Model'!K175</f>
        <v>0</v>
      </c>
      <c r="L87" s="528">
        <f>'Quarterly Model'!L175</f>
        <v>0</v>
      </c>
      <c r="M87" s="528">
        <f>'Quarterly Model'!M175</f>
        <v>0.27</v>
      </c>
      <c r="N87" s="925">
        <f>'Quarterly Model'!N175</f>
        <v>0.27</v>
      </c>
      <c r="O87" s="528">
        <f>'Quarterly Model'!O175</f>
        <v>-3.7999999999999999E-2</v>
      </c>
      <c r="P87" s="528">
        <f>'Quarterly Model'!P175</f>
        <v>0.16900000000000001</v>
      </c>
      <c r="Q87" s="528">
        <f>'Quarterly Model'!Q175</f>
        <v>-0.219</v>
      </c>
      <c r="R87" s="528">
        <f>'Quarterly Model'!R175</f>
        <v>-9.407</v>
      </c>
      <c r="S87" s="925">
        <f>'Quarterly Model'!S175</f>
        <v>-9.4949999999999992</v>
      </c>
      <c r="T87" s="528">
        <f>'Quarterly Model'!T175</f>
        <v>1.534</v>
      </c>
      <c r="U87" s="528">
        <f>'Quarterly Model'!U175</f>
        <v>4.1459999999999999</v>
      </c>
      <c r="V87" s="528">
        <f>'Quarterly Model'!V175</f>
        <v>4.2889999999999997</v>
      </c>
      <c r="W87" s="528">
        <f>'Quarterly Model'!W175</f>
        <v>0</v>
      </c>
      <c r="X87" s="925">
        <f>'Quarterly Model'!X175</f>
        <v>9.9689999999999994</v>
      </c>
      <c r="Y87" s="528">
        <f>'Quarterly Model'!Y175</f>
        <v>0</v>
      </c>
      <c r="Z87" s="528">
        <f>'Quarterly Model'!Z175</f>
        <v>0</v>
      </c>
      <c r="AA87" s="528">
        <f>'Quarterly Model'!AA175</f>
        <v>0</v>
      </c>
      <c r="AB87" s="528">
        <f>'Quarterly Model'!AB175</f>
        <v>0</v>
      </c>
      <c r="AC87" s="925">
        <f>'Quarterly Model'!AC175</f>
        <v>0</v>
      </c>
      <c r="AD87" s="528">
        <f>'Quarterly Model'!AD175</f>
        <v>0</v>
      </c>
      <c r="AE87" s="528">
        <f>'Quarterly Model'!AE175</f>
        <v>0</v>
      </c>
      <c r="AF87" s="528">
        <f>'Quarterly Model'!AF175</f>
        <v>0</v>
      </c>
      <c r="AG87" s="528">
        <f>'Quarterly Model'!AG175</f>
        <v>0</v>
      </c>
      <c r="AH87" s="925">
        <f>'Quarterly Model'!AH175</f>
        <v>0</v>
      </c>
      <c r="AI87" s="528">
        <f>'Quarterly Model'!AI175</f>
        <v>0</v>
      </c>
      <c r="AJ87" s="528">
        <f>'Quarterly Model'!AJ175</f>
        <v>0</v>
      </c>
      <c r="AK87" s="528">
        <f>'Quarterly Model'!AK175</f>
        <v>0</v>
      </c>
      <c r="AL87" s="528">
        <f>'Quarterly Model'!AL175</f>
        <v>0</v>
      </c>
      <c r="AM87" s="925">
        <f>'Quarterly Model'!AM175</f>
        <v>0</v>
      </c>
    </row>
    <row r="88" spans="1:39">
      <c r="A88" s="858"/>
      <c r="B88" s="923" t="str">
        <f>'Quarterly Model'!B176</f>
        <v>Net changes in assets and liabilities:</v>
      </c>
      <c r="C88" s="924"/>
      <c r="D88" s="925"/>
      <c r="E88" s="528"/>
      <c r="F88" s="528"/>
      <c r="G88" s="528"/>
      <c r="H88" s="528"/>
      <c r="I88" s="925"/>
      <c r="J88" s="528"/>
      <c r="K88" s="528"/>
      <c r="L88" s="528"/>
      <c r="M88" s="528"/>
      <c r="N88" s="925"/>
      <c r="O88" s="528"/>
      <c r="P88" s="528"/>
      <c r="Q88" s="528"/>
      <c r="R88" s="528"/>
      <c r="S88" s="925"/>
      <c r="T88" s="528"/>
      <c r="U88" s="528"/>
      <c r="V88" s="528"/>
      <c r="W88" s="528"/>
      <c r="X88" s="925"/>
      <c r="Y88" s="528"/>
      <c r="Z88" s="528"/>
      <c r="AA88" s="528"/>
      <c r="AB88" s="528"/>
      <c r="AC88" s="925"/>
      <c r="AD88" s="528"/>
      <c r="AE88" s="528"/>
      <c r="AF88" s="528"/>
      <c r="AG88" s="528"/>
      <c r="AH88" s="925"/>
      <c r="AI88" s="528"/>
      <c r="AJ88" s="528"/>
      <c r="AK88" s="528"/>
      <c r="AL88" s="528"/>
      <c r="AM88" s="925"/>
    </row>
    <row r="89" spans="1:39">
      <c r="A89" s="858"/>
      <c r="B89" s="926" t="str">
        <f>'Quarterly Model'!B177</f>
        <v>Settlements receivable</v>
      </c>
      <c r="C89" s="924">
        <f>'Quarterly Model'!C177</f>
        <v>-19.853999999999999</v>
      </c>
      <c r="D89" s="925">
        <f>'Quarterly Model'!D177</f>
        <v>-27.704000000000001</v>
      </c>
      <c r="E89" s="528"/>
      <c r="F89" s="528"/>
      <c r="G89" s="528"/>
      <c r="H89" s="528"/>
      <c r="I89" s="925">
        <f>'Quarterly Model'!I177</f>
        <v>-50.360999999999997</v>
      </c>
      <c r="J89" s="528">
        <f>'Quarterly Model'!J177</f>
        <v>-34.03</v>
      </c>
      <c r="K89" s="528">
        <f>'Quarterly Model'!K177</f>
        <v>-22.295999999999999</v>
      </c>
      <c r="L89" s="528">
        <f>'Quarterly Model'!L177</f>
        <v>15.597000000000001</v>
      </c>
      <c r="M89" s="528">
        <f>'Quarterly Model'!M177</f>
        <v>13.308999999999997</v>
      </c>
      <c r="N89" s="925">
        <f>'Quarterly Model'!N177</f>
        <v>-27.42</v>
      </c>
      <c r="O89" s="528">
        <f>'Quarterly Model'!O177</f>
        <v>-46.503</v>
      </c>
      <c r="P89" s="528">
        <f>'Quarterly Model'!P177</f>
        <v>-15.665999999999997</v>
      </c>
      <c r="Q89" s="528">
        <f>'Quarterly Model'!Q177</f>
        <v>-29.221000000000004</v>
      </c>
      <c r="R89" s="528">
        <f>'Quarterly Model'!R177</f>
        <v>-87.015000000000001</v>
      </c>
      <c r="S89" s="925">
        <f>'Quarterly Model'!S177</f>
        <v>-178.405</v>
      </c>
      <c r="T89" s="528">
        <f>'Quarterly Model'!T177</f>
        <v>54.918999999999997</v>
      </c>
      <c r="U89" s="528">
        <f>'Quarterly Model'!U177</f>
        <v>-45.984999999999999</v>
      </c>
      <c r="V89" s="528">
        <f>'Quarterly Model'!V177</f>
        <v>-280.16899999999998</v>
      </c>
      <c r="W89" s="528">
        <f>'Quarterly Model'!W177</f>
        <v>182.75330176979855</v>
      </c>
      <c r="X89" s="925">
        <f>'Quarterly Model'!X177</f>
        <v>-88.481698230201459</v>
      </c>
      <c r="Y89" s="528">
        <f>'Quarterly Model'!Y177</f>
        <v>42.399910687989575</v>
      </c>
      <c r="Z89" s="528">
        <f>'Quarterly Model'!Z177</f>
        <v>-73.679974253835724</v>
      </c>
      <c r="AA89" s="528">
        <f>'Quarterly Model'!AA177</f>
        <v>28.761123370319126</v>
      </c>
      <c r="AB89" s="528">
        <f>'Quarterly Model'!AB177</f>
        <v>-14.905959639023649</v>
      </c>
      <c r="AC89" s="925">
        <f>'Quarterly Model'!AC177</f>
        <v>-17.424899834550672</v>
      </c>
      <c r="AD89" s="528">
        <f>'Quarterly Model'!AD177</f>
        <v>12.980753976245751</v>
      </c>
      <c r="AE89" s="528">
        <f>'Quarterly Model'!AE177</f>
        <v>-83.201877445703587</v>
      </c>
      <c r="AF89" s="528">
        <f>'Quarterly Model'!AF177</f>
        <v>-41.548182730763415</v>
      </c>
      <c r="AG89" s="528">
        <f>'Quarterly Model'!AG177</f>
        <v>-6.4751412579092857</v>
      </c>
      <c r="AH89" s="925">
        <f>'Quarterly Model'!AH177</f>
        <v>-118.24444745813054</v>
      </c>
      <c r="AI89" s="528">
        <f>'Quarterly Model'!AI177</f>
        <v>12.33560640893154</v>
      </c>
      <c r="AJ89" s="528">
        <f>'Quarterly Model'!AJ177</f>
        <v>-107.36834162102298</v>
      </c>
      <c r="AK89" s="528">
        <f>'Quarterly Model'!AK177</f>
        <v>-37.35055863889238</v>
      </c>
      <c r="AL89" s="528">
        <f>'Quarterly Model'!AL177</f>
        <v>-8.1586779849657205</v>
      </c>
      <c r="AM89" s="925">
        <f>'Quarterly Model'!AM177</f>
        <v>-140.54197183594954</v>
      </c>
    </row>
    <row r="90" spans="1:39">
      <c r="A90" s="858"/>
      <c r="B90" s="926" t="str">
        <f>'Quarterly Model'!B178</f>
        <v>Merchant cash advance receivable</v>
      </c>
      <c r="C90" s="924">
        <f>'Quarterly Model'!C178</f>
        <v>0</v>
      </c>
      <c r="D90" s="925">
        <f>'Quarterly Model'!D178</f>
        <v>0</v>
      </c>
      <c r="E90" s="528"/>
      <c r="F90" s="528"/>
      <c r="G90" s="528"/>
      <c r="H90" s="528"/>
      <c r="I90" s="925">
        <f>'Quarterly Model'!I178</f>
        <v>-31.733000000000001</v>
      </c>
      <c r="J90" s="528">
        <f>'Quarterly Model'!J178</f>
        <v>-3.895</v>
      </c>
      <c r="K90" s="528">
        <f>'Quarterly Model'!K178</f>
        <v>-2.2389999999999999</v>
      </c>
      <c r="L90" s="528">
        <f>'Quarterly Model'!L178</f>
        <v>-12.591000000000001</v>
      </c>
      <c r="M90" s="528">
        <f>'Quarterly Model'!M178</f>
        <v>5.3140000000000018</v>
      </c>
      <c r="N90" s="925">
        <f>'Quarterly Model'!N178</f>
        <v>-13.411</v>
      </c>
      <c r="O90" s="528">
        <f>'Quarterly Model'!O178</f>
        <v>-11.756</v>
      </c>
      <c r="P90" s="528">
        <f>'Quarterly Model'!P178</f>
        <v>27.054000000000002</v>
      </c>
      <c r="Q90" s="528">
        <f>'Quarterly Model'!Q178</f>
        <v>12.398</v>
      </c>
      <c r="R90" s="528">
        <f>'Quarterly Model'!R178</f>
        <v>3.4059999999999988</v>
      </c>
      <c r="S90" s="925">
        <f>'Quarterly Model'!S178</f>
        <v>31.102</v>
      </c>
      <c r="T90" s="528">
        <f>'Quarterly Model'!T178</f>
        <v>0</v>
      </c>
      <c r="U90" s="528">
        <f>'Quarterly Model'!U178</f>
        <v>0</v>
      </c>
      <c r="V90" s="528">
        <f>'Quarterly Model'!V178</f>
        <v>0</v>
      </c>
      <c r="W90" s="528">
        <f>'Quarterly Model'!W178</f>
        <v>0</v>
      </c>
      <c r="X90" s="925">
        <f>'Quarterly Model'!X178</f>
        <v>0</v>
      </c>
      <c r="Y90" s="528">
        <f>'Quarterly Model'!Y178</f>
        <v>0</v>
      </c>
      <c r="Z90" s="528">
        <f>'Quarterly Model'!Z178</f>
        <v>0</v>
      </c>
      <c r="AA90" s="528">
        <f>'Quarterly Model'!AA178</f>
        <v>0</v>
      </c>
      <c r="AB90" s="528">
        <f>'Quarterly Model'!AB178</f>
        <v>0</v>
      </c>
      <c r="AC90" s="925">
        <f>'Quarterly Model'!AC178</f>
        <v>0</v>
      </c>
      <c r="AD90" s="528">
        <f>'Quarterly Model'!AD178</f>
        <v>0</v>
      </c>
      <c r="AE90" s="528">
        <f>'Quarterly Model'!AE178</f>
        <v>0</v>
      </c>
      <c r="AF90" s="528">
        <f>'Quarterly Model'!AF178</f>
        <v>0</v>
      </c>
      <c r="AG90" s="528">
        <f>'Quarterly Model'!AG178</f>
        <v>0</v>
      </c>
      <c r="AH90" s="925">
        <f>'Quarterly Model'!AH178</f>
        <v>0</v>
      </c>
      <c r="AI90" s="528">
        <f>'Quarterly Model'!AI178</f>
        <v>0</v>
      </c>
      <c r="AJ90" s="528">
        <f>'Quarterly Model'!AJ178</f>
        <v>0</v>
      </c>
      <c r="AK90" s="528">
        <f>'Quarterly Model'!AK178</f>
        <v>0</v>
      </c>
      <c r="AL90" s="528">
        <f>'Quarterly Model'!AL178</f>
        <v>0</v>
      </c>
      <c r="AM90" s="925">
        <f>'Quarterly Model'!AM178</f>
        <v>0</v>
      </c>
    </row>
    <row r="91" spans="1:39">
      <c r="A91" s="858"/>
      <c r="B91" s="926" t="str">
        <f>'Quarterly Model'!B179</f>
        <v>Other current assets</v>
      </c>
      <c r="C91" s="924">
        <f>'Quarterly Model'!C179</f>
        <v>-7.6050000000000004</v>
      </c>
      <c r="D91" s="925">
        <f>'Quarterly Model'!D179</f>
        <v>-2.3839999999999999</v>
      </c>
      <c r="E91" s="528"/>
      <c r="F91" s="528"/>
      <c r="G91" s="528"/>
      <c r="H91" s="528"/>
      <c r="I91" s="925">
        <f>'Quarterly Model'!I179</f>
        <v>-14.19</v>
      </c>
      <c r="J91" s="528">
        <f>'Quarterly Model'!J179</f>
        <v>3.45</v>
      </c>
      <c r="K91" s="528">
        <f>'Quarterly Model'!K179</f>
        <v>-8.1829999999999998</v>
      </c>
      <c r="L91" s="528">
        <f>'Quarterly Model'!L179</f>
        <v>0.2759999999999998</v>
      </c>
      <c r="M91" s="528">
        <f>'Quarterly Model'!M179</f>
        <v>-8.7680000000000007</v>
      </c>
      <c r="N91" s="925">
        <f>'Quarterly Model'!N179</f>
        <v>-13.225000000000001</v>
      </c>
      <c r="O91" s="528">
        <f>'Quarterly Model'!O179</f>
        <v>-13.327</v>
      </c>
      <c r="P91" s="528">
        <f>'Quarterly Model'!P179</f>
        <v>6.0140000000000002</v>
      </c>
      <c r="Q91" s="528">
        <f>'Quarterly Model'!Q179</f>
        <v>4.3019999999999996</v>
      </c>
      <c r="R91" s="528">
        <f>'Quarterly Model'!R179</f>
        <v>-11.975</v>
      </c>
      <c r="S91" s="925">
        <f>'Quarterly Model'!S179</f>
        <v>-14.986000000000001</v>
      </c>
      <c r="T91" s="528">
        <f>'Quarterly Model'!T179</f>
        <v>6.1050000000000004</v>
      </c>
      <c r="U91" s="528">
        <f>'Quarterly Model'!U179</f>
        <v>-8.3060000000000009</v>
      </c>
      <c r="V91" s="528">
        <f>'Quarterly Model'!V179</f>
        <v>-4.0609999999999991</v>
      </c>
      <c r="W91" s="528">
        <f>'Quarterly Model'!W179</f>
        <v>-9.2362693231813182</v>
      </c>
      <c r="X91" s="925">
        <f>'Quarterly Model'!X179</f>
        <v>-15.498269323181319</v>
      </c>
      <c r="Y91" s="528">
        <f>'Quarterly Model'!Y179</f>
        <v>-7.8405949878866181</v>
      </c>
      <c r="Z91" s="528">
        <f>'Quarterly Model'!Z179</f>
        <v>-88.547588368315758</v>
      </c>
      <c r="AA91" s="528">
        <f>'Quarterly Model'!AA179</f>
        <v>-33.1440136022361</v>
      </c>
      <c r="AB91" s="528">
        <f>'Quarterly Model'!AB179</f>
        <v>-15.826256239346549</v>
      </c>
      <c r="AC91" s="925">
        <f>'Quarterly Model'!AC179</f>
        <v>-145.35845319778502</v>
      </c>
      <c r="AD91" s="528">
        <f>'Quarterly Model'!AD179</f>
        <v>1.7582735818613173</v>
      </c>
      <c r="AE91" s="528">
        <f>'Quarterly Model'!AE179</f>
        <v>-116.09870454523821</v>
      </c>
      <c r="AF91" s="528">
        <f>'Quarterly Model'!AF179</f>
        <v>-44.218013809852664</v>
      </c>
      <c r="AG91" s="528">
        <f>'Quarterly Model'!AG179</f>
        <v>-22.887313876533995</v>
      </c>
      <c r="AH91" s="925">
        <f>'Quarterly Model'!AH179</f>
        <v>-181.44575864976355</v>
      </c>
      <c r="AI91" s="528">
        <f>'Quarterly Model'!AI179</f>
        <v>18.31444175355125</v>
      </c>
      <c r="AJ91" s="528">
        <f>'Quarterly Model'!AJ179</f>
        <v>-149.59837897819887</v>
      </c>
      <c r="AK91" s="528">
        <f>'Quarterly Model'!AK179</f>
        <v>-57.912248815413477</v>
      </c>
      <c r="AL91" s="528">
        <f>'Quarterly Model'!AL179</f>
        <v>-32.040561191097709</v>
      </c>
      <c r="AM91" s="925">
        <f>'Quarterly Model'!AM179</f>
        <v>-221.2367472311588</v>
      </c>
    </row>
    <row r="92" spans="1:39">
      <c r="A92" s="858"/>
      <c r="B92" s="926" t="str">
        <f>'Quarterly Model'!B180</f>
        <v>Other assets</v>
      </c>
      <c r="C92" s="924">
        <f>'Quarterly Model'!C180</f>
        <v>-1.615</v>
      </c>
      <c r="D92" s="925">
        <f>'Quarterly Model'!D180</f>
        <v>2.6680000000000001</v>
      </c>
      <c r="E92" s="528"/>
      <c r="F92" s="528"/>
      <c r="G92" s="528"/>
      <c r="H92" s="528"/>
      <c r="I92" s="925">
        <f>'Quarterly Model'!I180</f>
        <v>-0.63600000000000001</v>
      </c>
      <c r="J92" s="528">
        <f>'Quarterly Model'!J180</f>
        <v>0.82099999999999995</v>
      </c>
      <c r="K92" s="528">
        <f>'Quarterly Model'!K180</f>
        <v>0.35599999999999998</v>
      </c>
      <c r="L92" s="528">
        <f>'Quarterly Model'!L180</f>
        <v>-7.4999999999999845E-2</v>
      </c>
      <c r="M92" s="528">
        <f>'Quarterly Model'!M180</f>
        <v>0.11799999999999999</v>
      </c>
      <c r="N92" s="925">
        <f>'Quarterly Model'!N180</f>
        <v>1.2200000000000002</v>
      </c>
      <c r="O92" s="528">
        <f>'Quarterly Model'!O180</f>
        <v>-6.3010000000000002</v>
      </c>
      <c r="P92" s="528">
        <f>'Quarterly Model'!P180</f>
        <v>5.9240000000000004</v>
      </c>
      <c r="Q92" s="528">
        <f>'Quarterly Model'!Q180</f>
        <v>-27.500000000000007</v>
      </c>
      <c r="R92" s="528">
        <f>'Quarterly Model'!R180</f>
        <v>-12.841000000000067</v>
      </c>
      <c r="S92" s="925">
        <f>'Quarterly Model'!S180</f>
        <v>-40.718000000000075</v>
      </c>
      <c r="T92" s="528">
        <f>'Quarterly Model'!T180</f>
        <v>-23.550999999999984</v>
      </c>
      <c r="U92" s="528">
        <f>'Quarterly Model'!U180</f>
        <v>12.831000000000017</v>
      </c>
      <c r="V92" s="528">
        <f>'Quarterly Model'!V180</f>
        <v>-13.290000000000077</v>
      </c>
      <c r="W92" s="528">
        <f>'Quarterly Model'!W180</f>
        <v>0</v>
      </c>
      <c r="X92" s="925">
        <f>'Quarterly Model'!X180</f>
        <v>-24.010000000000044</v>
      </c>
      <c r="Y92" s="528">
        <f>'Quarterly Model'!Y180</f>
        <v>0</v>
      </c>
      <c r="Z92" s="528">
        <f>'Quarterly Model'!Z180</f>
        <v>0</v>
      </c>
      <c r="AA92" s="528">
        <f>'Quarterly Model'!AA180</f>
        <v>0</v>
      </c>
      <c r="AB92" s="528">
        <f>'Quarterly Model'!AB180</f>
        <v>0</v>
      </c>
      <c r="AC92" s="925">
        <f>'Quarterly Model'!AC180</f>
        <v>0</v>
      </c>
      <c r="AD92" s="528">
        <f>'Quarterly Model'!AD180</f>
        <v>0</v>
      </c>
      <c r="AE92" s="528">
        <f>'Quarterly Model'!AE180</f>
        <v>0</v>
      </c>
      <c r="AF92" s="528">
        <f>'Quarterly Model'!AF180</f>
        <v>0</v>
      </c>
      <c r="AG92" s="528">
        <f>'Quarterly Model'!AG180</f>
        <v>0</v>
      </c>
      <c r="AH92" s="925">
        <f>'Quarterly Model'!AH180</f>
        <v>0</v>
      </c>
      <c r="AI92" s="528">
        <f>'Quarterly Model'!AI180</f>
        <v>0</v>
      </c>
      <c r="AJ92" s="528">
        <f>'Quarterly Model'!AJ180</f>
        <v>0</v>
      </c>
      <c r="AK92" s="528">
        <f>'Quarterly Model'!AK180</f>
        <v>0</v>
      </c>
      <c r="AL92" s="528">
        <f>'Quarterly Model'!AL180</f>
        <v>0</v>
      </c>
      <c r="AM92" s="925">
        <f>'Quarterly Model'!AM180</f>
        <v>0</v>
      </c>
    </row>
    <row r="93" spans="1:39">
      <c r="A93" s="858"/>
      <c r="B93" s="926" t="str">
        <f>'Quarterly Model'!B181</f>
        <v>Accounts payable</v>
      </c>
      <c r="C93" s="924">
        <f>'Quarterly Model'!C181</f>
        <v>2.028</v>
      </c>
      <c r="D93" s="925">
        <f>'Quarterly Model'!D181</f>
        <v>-0.94199999999999995</v>
      </c>
      <c r="E93" s="528"/>
      <c r="F93" s="528"/>
      <c r="G93" s="528"/>
      <c r="H93" s="528"/>
      <c r="I93" s="925">
        <f>'Quarterly Model'!I181</f>
        <v>0.17899999999999999</v>
      </c>
      <c r="J93" s="528">
        <f>'Quarterly Model'!J181</f>
        <v>4.6829999999999998</v>
      </c>
      <c r="K93" s="528">
        <f>'Quarterly Model'!K181</f>
        <v>-1.2749999999999999</v>
      </c>
      <c r="L93" s="528">
        <f>'Quarterly Model'!L181</f>
        <v>-1.3599999999999999</v>
      </c>
      <c r="M93" s="528">
        <f>'Quarterly Model'!M181</f>
        <v>5.7830000000000013</v>
      </c>
      <c r="N93" s="925">
        <f>'Quarterly Model'!N181</f>
        <v>7.8310000000000013</v>
      </c>
      <c r="O93" s="528">
        <f>'Quarterly Model'!O181</f>
        <v>2.5760000000000001</v>
      </c>
      <c r="P93" s="528">
        <f>'Quarterly Model'!P181</f>
        <v>-3.8000000000000256E-2</v>
      </c>
      <c r="Q93" s="528">
        <f>'Quarterly Model'!Q181</f>
        <v>-3.4049999999999998</v>
      </c>
      <c r="R93" s="528">
        <f>'Quarterly Model'!R181</f>
        <v>-1.2799999999999998</v>
      </c>
      <c r="S93" s="925">
        <f>'Quarterly Model'!S181</f>
        <v>-2.1469999999999998</v>
      </c>
      <c r="T93" s="528">
        <f>'Quarterly Model'!T181</f>
        <v>-1.4590000000000001</v>
      </c>
      <c r="U93" s="528">
        <f>'Quarterly Model'!U181</f>
        <v>1.6020000000000001</v>
      </c>
      <c r="V93" s="528">
        <f>'Quarterly Model'!V181</f>
        <v>1.08</v>
      </c>
      <c r="W93" s="528">
        <f>'Quarterly Model'!W181</f>
        <v>2.6096947145226927</v>
      </c>
      <c r="X93" s="925">
        <f>'Quarterly Model'!X181</f>
        <v>3.8326947145226926</v>
      </c>
      <c r="Y93" s="528">
        <f>'Quarterly Model'!Y181</f>
        <v>-0.7090673760244357</v>
      </c>
      <c r="Z93" s="528">
        <f>'Quarterly Model'!Z181</f>
        <v>2.6829975773752217</v>
      </c>
      <c r="AA93" s="528">
        <f>'Quarterly Model'!AA181</f>
        <v>1.0685926957697092</v>
      </c>
      <c r="AB93" s="528">
        <f>'Quarterly Model'!AB181</f>
        <v>1.323203826229939</v>
      </c>
      <c r="AC93" s="925">
        <f>'Quarterly Model'!AC181</f>
        <v>4.3657267233504342</v>
      </c>
      <c r="AD93" s="528">
        <f>'Quarterly Model'!AD181</f>
        <v>-1.2633808951847101</v>
      </c>
      <c r="AE93" s="528">
        <f>'Quarterly Model'!AE181</f>
        <v>3.3030860085137945</v>
      </c>
      <c r="AF93" s="528">
        <f>'Quarterly Model'!AF181</f>
        <v>1.3564772214454521</v>
      </c>
      <c r="AG93" s="528">
        <f>'Quarterly Model'!AG181</f>
        <v>1.8164507774696403</v>
      </c>
      <c r="AH93" s="925">
        <f>'Quarterly Model'!AH181</f>
        <v>5.2126331122441769</v>
      </c>
      <c r="AI93" s="528">
        <f>'Quarterly Model'!AI181</f>
        <v>-1.8902817015306077</v>
      </c>
      <c r="AJ93" s="528">
        <f>'Quarterly Model'!AJ181</f>
        <v>4.0418730936751501</v>
      </c>
      <c r="AK93" s="528">
        <f>'Quarterly Model'!AK181</f>
        <v>1.7027688811381445</v>
      </c>
      <c r="AL93" s="528">
        <f>'Quarterly Model'!AL181</f>
        <v>2.4221958655692148</v>
      </c>
      <c r="AM93" s="925">
        <f>'Quarterly Model'!AM181</f>
        <v>6.2765561388519018</v>
      </c>
    </row>
    <row r="94" spans="1:39">
      <c r="A94" s="858"/>
      <c r="B94" s="926" t="str">
        <f>'Quarterly Model'!B182</f>
        <v>Customers payable</v>
      </c>
      <c r="C94" s="924">
        <f>'Quarterly Model'!C182</f>
        <v>47.100999999999999</v>
      </c>
      <c r="D94" s="925">
        <f>'Quarterly Model'!D182</f>
        <v>21.148</v>
      </c>
      <c r="E94" s="528"/>
      <c r="F94" s="528"/>
      <c r="G94" s="528"/>
      <c r="H94" s="528"/>
      <c r="I94" s="925">
        <f>'Quarterly Model'!I182</f>
        <v>52.956000000000003</v>
      </c>
      <c r="J94" s="528">
        <f>'Quarterly Model'!J182</f>
        <v>38.631</v>
      </c>
      <c r="K94" s="528">
        <f>'Quarterly Model'!K182</f>
        <v>28.655000000000001</v>
      </c>
      <c r="L94" s="528">
        <f>'Quarterly Model'!L182</f>
        <v>22.159999999999997</v>
      </c>
      <c r="M94" s="528">
        <f>'Quarterly Model'!M182</f>
        <v>-13.438000000000002</v>
      </c>
      <c r="N94" s="925">
        <f>'Quarterly Model'!N182</f>
        <v>76.007999999999996</v>
      </c>
      <c r="O94" s="528">
        <f>'Quarterly Model'!O182</f>
        <v>58.866</v>
      </c>
      <c r="P94" s="528">
        <f>'Quarterly Model'!P182</f>
        <v>25.959999999999994</v>
      </c>
      <c r="Q94" s="528">
        <f>'Quarterly Model'!Q182</f>
        <v>54.278999999999996</v>
      </c>
      <c r="R94" s="528">
        <f>'Quarterly Model'!R182</f>
        <v>33.341000000000008</v>
      </c>
      <c r="S94" s="925">
        <f>'Quarterly Model'!S182</f>
        <v>172.446</v>
      </c>
      <c r="T94" s="528">
        <f>'Quarterly Model'!T182</f>
        <v>-26.51</v>
      </c>
      <c r="U94" s="528">
        <f>'Quarterly Model'!U182</f>
        <v>21.320000000000007</v>
      </c>
      <c r="V94" s="528">
        <f>'Quarterly Model'!V182</f>
        <v>288.95999999999998</v>
      </c>
      <c r="W94" s="528">
        <f>'Quarterly Model'!W182</f>
        <v>-251.5233166666668</v>
      </c>
      <c r="X94" s="925">
        <f>'Quarterly Model'!X182</f>
        <v>32.246683333333181</v>
      </c>
      <c r="Y94" s="528">
        <f>'Quarterly Model'!Y182</f>
        <v>-58.354984885838007</v>
      </c>
      <c r="Z94" s="528">
        <f>'Quarterly Model'!Z182</f>
        <v>101.40572737549292</v>
      </c>
      <c r="AA94" s="528">
        <f>'Quarterly Model'!AA182</f>
        <v>-39.583925822988022</v>
      </c>
      <c r="AB94" s="528">
        <f>'Quarterly Model'!AB182</f>
        <v>20.515067964294872</v>
      </c>
      <c r="AC94" s="925">
        <f>'Quarterly Model'!AC182</f>
        <v>23.981884630961758</v>
      </c>
      <c r="AD94" s="528">
        <f>'Quarterly Model'!AD182</f>
        <v>-17.865407964294945</v>
      </c>
      <c r="AE94" s="528">
        <f>'Quarterly Model'!AE182</f>
        <v>114.51071999999999</v>
      </c>
      <c r="AF94" s="528">
        <f>'Quarterly Model'!AF182</f>
        <v>57.182751943261223</v>
      </c>
      <c r="AG94" s="528">
        <f>'Quarterly Model'!AG182</f>
        <v>8.911735051036203</v>
      </c>
      <c r="AH94" s="925">
        <f>'Quarterly Model'!AH182</f>
        <v>162.73979903000247</v>
      </c>
      <c r="AI94" s="528">
        <f>'Quarterly Model'!AI182</f>
        <v>-16.977491552942183</v>
      </c>
      <c r="AJ94" s="528">
        <f>'Quarterly Model'!AJ182</f>
        <v>147.77101769431522</v>
      </c>
      <c r="AK94" s="528">
        <f>'Quarterly Model'!AK182</f>
        <v>51.405563112838649</v>
      </c>
      <c r="AL94" s="528">
        <f>'Quarterly Model'!AL182</f>
        <v>11.228786164305689</v>
      </c>
      <c r="AM94" s="925">
        <f>'Quarterly Model'!AM182</f>
        <v>193.42787541851737</v>
      </c>
    </row>
    <row r="95" spans="1:39">
      <c r="A95" s="858"/>
      <c r="B95" s="926" t="str">
        <f>'Quarterly Model'!B183</f>
        <v>Charge-offs and recoveries to accrued transaction losses</v>
      </c>
      <c r="C95" s="924">
        <f>'Quarterly Model'!C183</f>
        <v>-7.335</v>
      </c>
      <c r="D95" s="925">
        <f>'Quarterly Model'!D183</f>
        <v>-13.613</v>
      </c>
      <c r="E95" s="528"/>
      <c r="F95" s="528"/>
      <c r="G95" s="528"/>
      <c r="H95" s="528"/>
      <c r="I95" s="925">
        <f>'Quarterly Model'!I183</f>
        <v>-17.513999999999999</v>
      </c>
      <c r="J95" s="528">
        <f>'Quarterly Model'!J183</f>
        <v>-5.3979999999999997</v>
      </c>
      <c r="K95" s="528">
        <f>'Quarterly Model'!K183</f>
        <v>-8.7769999999999992</v>
      </c>
      <c r="L95" s="528">
        <f>'Quarterly Model'!L183</f>
        <v>-11.239999999999998</v>
      </c>
      <c r="M95" s="528">
        <f>'Quarterly Model'!M183</f>
        <v>-9.2400000000000038</v>
      </c>
      <c r="N95" s="925">
        <f>'Quarterly Model'!N183</f>
        <v>-34.655000000000001</v>
      </c>
      <c r="O95" s="528">
        <f>'Quarterly Model'!O183</f>
        <v>-8.9390000000000001</v>
      </c>
      <c r="P95" s="528">
        <f>'Quarterly Model'!P183</f>
        <v>-15.536000000000001</v>
      </c>
      <c r="Q95" s="528">
        <f>'Quarterly Model'!Q183</f>
        <v>-8.1479999999999961</v>
      </c>
      <c r="R95" s="528">
        <f>'Quarterly Model'!R183</f>
        <v>-15.308</v>
      </c>
      <c r="S95" s="925">
        <f>'Quarterly Model'!S183</f>
        <v>-47.930999999999997</v>
      </c>
      <c r="T95" s="528">
        <f>'Quarterly Model'!T183</f>
        <v>-11.178000000000001</v>
      </c>
      <c r="U95" s="528">
        <f>'Quarterly Model'!U183</f>
        <v>-11.064999999999998</v>
      </c>
      <c r="V95" s="528">
        <f>'Quarterly Model'!V183</f>
        <v>-10.838000000000005</v>
      </c>
      <c r="W95" s="528">
        <f>'Quarterly Model'!W183</f>
        <v>-13.841635013999996</v>
      </c>
      <c r="X95" s="925">
        <f>'Quarterly Model'!X183</f>
        <v>-46.922635014000001</v>
      </c>
      <c r="Y95" s="528">
        <f>'Quarterly Model'!Y183</f>
        <v>-13.847801958</v>
      </c>
      <c r="Z95" s="528">
        <f>'Quarterly Model'!Z183</f>
        <v>-16.662618594000001</v>
      </c>
      <c r="AA95" s="528">
        <f>'Quarterly Model'!AA183</f>
        <v>-17.641817604000003</v>
      </c>
      <c r="AB95" s="528">
        <f>'Quarterly Model'!AB183</f>
        <v>-17.855709168059995</v>
      </c>
      <c r="AC95" s="925">
        <f>'Quarterly Model'!AC183</f>
        <v>-66.007947324059998</v>
      </c>
      <c r="AD95" s="528">
        <f>'Quarterly Model'!AD183</f>
        <v>-17.72518650624</v>
      </c>
      <c r="AE95" s="528">
        <f>'Quarterly Model'!AE183</f>
        <v>-21.328151800320001</v>
      </c>
      <c r="AF95" s="528">
        <f>'Quarterly Model'!AF183</f>
        <v>-22.581526533120002</v>
      </c>
      <c r="AG95" s="528">
        <f>'Quarterly Model'!AG183</f>
        <v>-22.855307735116799</v>
      </c>
      <c r="AH95" s="925">
        <f>'Quarterly Model'!AH183</f>
        <v>-84.490172574796802</v>
      </c>
      <c r="AI95" s="528">
        <f>'Quarterly Model'!AI183</f>
        <v>-22.3337349978624</v>
      </c>
      <c r="AJ95" s="528">
        <f>'Quarterly Model'!AJ183</f>
        <v>-26.8734712684032</v>
      </c>
      <c r="AK95" s="528">
        <f>'Quarterly Model'!AK183</f>
        <v>-28.452723431731201</v>
      </c>
      <c r="AL95" s="528">
        <f>'Quarterly Model'!AL183</f>
        <v>-28.797687746247167</v>
      </c>
      <c r="AM95" s="925">
        <f>'Quarterly Model'!AM183</f>
        <v>-106.45761744424397</v>
      </c>
    </row>
    <row r="96" spans="1:39">
      <c r="A96" s="858"/>
      <c r="B96" s="926" t="str">
        <f>'Quarterly Model'!B184</f>
        <v>Accrued expenses</v>
      </c>
      <c r="C96" s="924">
        <f>'Quarterly Model'!C184</f>
        <v>3.9089999999999998</v>
      </c>
      <c r="D96" s="925">
        <f>'Quarterly Model'!D184</f>
        <v>9.9120000000000008</v>
      </c>
      <c r="E96" s="528"/>
      <c r="F96" s="528"/>
      <c r="G96" s="528"/>
      <c r="H96" s="528"/>
      <c r="I96" s="925">
        <f>'Quarterly Model'!I184</f>
        <v>8.1129999999999995</v>
      </c>
      <c r="J96" s="528">
        <f>'Quarterly Model'!J184</f>
        <v>-5.4429999999999996</v>
      </c>
      <c r="K96" s="528">
        <f>'Quarterly Model'!K184</f>
        <v>9.2769999999999992</v>
      </c>
      <c r="L96" s="528">
        <f>'Quarterly Model'!L184</f>
        <v>10.116</v>
      </c>
      <c r="M96" s="528">
        <f>'Quarterly Model'!M184</f>
        <v>7.5</v>
      </c>
      <c r="N96" s="925">
        <f>'Quarterly Model'!N184</f>
        <v>21.45</v>
      </c>
      <c r="O96" s="528">
        <f>'Quarterly Model'!O184</f>
        <v>55.81</v>
      </c>
      <c r="P96" s="528">
        <f>'Quarterly Model'!P184</f>
        <v>-69.594000000000008</v>
      </c>
      <c r="Q96" s="528">
        <f>'Quarterly Model'!Q184</f>
        <v>13.870000000000005</v>
      </c>
      <c r="R96" s="528">
        <f>'Quarterly Model'!R184</f>
        <v>-0.49499999999999744</v>
      </c>
      <c r="S96" s="925">
        <f>'Quarterly Model'!S184</f>
        <v>-0.40899999999999892</v>
      </c>
      <c r="T96" s="528">
        <f>'Quarterly Model'!T184</f>
        <v>3.93</v>
      </c>
      <c r="U96" s="528">
        <f>'Quarterly Model'!U184</f>
        <v>13.07</v>
      </c>
      <c r="V96" s="528">
        <f>'Quarterly Model'!V184</f>
        <v>3.327999999999999</v>
      </c>
      <c r="W96" s="528">
        <f>'Quarterly Model'!W184</f>
        <v>-17.655487692620547</v>
      </c>
      <c r="X96" s="925">
        <f>'Quarterly Model'!X184</f>
        <v>2.6725123073794528</v>
      </c>
      <c r="Y96" s="528">
        <f>'Quarterly Model'!Y184</f>
        <v>-1.8879462649975807</v>
      </c>
      <c r="Z96" s="528">
        <f>'Quarterly Model'!Z184</f>
        <v>7.1436868011094816</v>
      </c>
      <c r="AA96" s="528">
        <f>'Quarterly Model'!AA184</f>
        <v>2.8452099997794775</v>
      </c>
      <c r="AB96" s="528">
        <f>'Quarterly Model'!AB184</f>
        <v>3.5231316600232674</v>
      </c>
      <c r="AC96" s="925">
        <f>'Quarterly Model'!AC184</f>
        <v>11.624082195914646</v>
      </c>
      <c r="AD96" s="528">
        <f>'Quarterly Model'!AD184</f>
        <v>-3.3638485184672646</v>
      </c>
      <c r="AE96" s="528">
        <f>'Quarterly Model'!AE184</f>
        <v>8.7947198018097339</v>
      </c>
      <c r="AF96" s="528">
        <f>'Quarterly Model'!AF184</f>
        <v>3.6117246264253211</v>
      </c>
      <c r="AG96" s="528">
        <f>'Quarterly Model'!AG184</f>
        <v>4.8364394933854271</v>
      </c>
      <c r="AH96" s="925">
        <f>'Quarterly Model'!AH184</f>
        <v>13.879035403153217</v>
      </c>
      <c r="AI96" s="528">
        <f>'Quarterly Model'!AI184</f>
        <v>-5.0330199905784312</v>
      </c>
      <c r="AJ96" s="528">
        <f>'Quarterly Model'!AJ184</f>
        <v>10.76179707150316</v>
      </c>
      <c r="AK96" s="528">
        <f>'Quarterly Model'!AK184</f>
        <v>4.5337527264659769</v>
      </c>
      <c r="AL96" s="528">
        <f>'Quarterly Model'!AL184</f>
        <v>6.4492822432947179</v>
      </c>
      <c r="AM96" s="925">
        <f>'Quarterly Model'!AM184</f>
        <v>16.711812050685424</v>
      </c>
    </row>
    <row r="97" spans="1:39">
      <c r="A97" s="858"/>
      <c r="B97" s="926" t="str">
        <f>'Quarterly Model'!B185</f>
        <v>Other current liabilities</v>
      </c>
      <c r="C97" s="924">
        <f>'Quarterly Model'!C185</f>
        <v>1.4330000000000001</v>
      </c>
      <c r="D97" s="925">
        <f>'Quarterly Model'!D185</f>
        <v>0.10299999999999999</v>
      </c>
      <c r="E97" s="528"/>
      <c r="F97" s="528"/>
      <c r="G97" s="528"/>
      <c r="H97" s="528"/>
      <c r="I97" s="925">
        <f>'Quarterly Model'!I185</f>
        <v>3.0070000000000001</v>
      </c>
      <c r="J97" s="528">
        <f>'Quarterly Model'!J185</f>
        <v>-1.931</v>
      </c>
      <c r="K97" s="528">
        <f>'Quarterly Model'!K185</f>
        <v>1.921</v>
      </c>
      <c r="L97" s="528">
        <f>'Quarterly Model'!L185</f>
        <v>1.534</v>
      </c>
      <c r="M97" s="528">
        <f>'Quarterly Model'!M185</f>
        <v>18.236000000000004</v>
      </c>
      <c r="N97" s="925">
        <f>'Quarterly Model'!N185</f>
        <v>19.760000000000005</v>
      </c>
      <c r="O97" s="528">
        <f>'Quarterly Model'!O185</f>
        <v>4.5670000000000002</v>
      </c>
      <c r="P97" s="528">
        <f>'Quarterly Model'!P185</f>
        <v>8.8789999999999996</v>
      </c>
      <c r="Q97" s="528">
        <f>'Quarterly Model'!Q185</f>
        <v>1.8090000000000011</v>
      </c>
      <c r="R97" s="528">
        <f>'Quarterly Model'!R185</f>
        <v>28.846999999999994</v>
      </c>
      <c r="S97" s="925">
        <f>'Quarterly Model'!S185</f>
        <v>44.101999999999997</v>
      </c>
      <c r="T97" s="528">
        <f>'Quarterly Model'!T185</f>
        <v>-0.36799999999999999</v>
      </c>
      <c r="U97" s="528">
        <f>'Quarterly Model'!U185</f>
        <v>4.6950000000000003</v>
      </c>
      <c r="V97" s="528">
        <f>'Quarterly Model'!V185</f>
        <v>-5.452</v>
      </c>
      <c r="W97" s="528">
        <f>'Quarterly Model'!W185</f>
        <v>-6.8905132259095367</v>
      </c>
      <c r="X97" s="925">
        <f>'Quarterly Model'!X185</f>
        <v>-8.0155132259095367</v>
      </c>
      <c r="Y97" s="528">
        <f>'Quarterly Model'!Y185</f>
        <v>-0.62206524399689833</v>
      </c>
      <c r="Z97" s="528">
        <f>'Quarterly Model'!Z185</f>
        <v>2.353795420642065</v>
      </c>
      <c r="AA97" s="528">
        <f>'Quarterly Model'!AA185</f>
        <v>0.93747702757710805</v>
      </c>
      <c r="AB97" s="528">
        <f>'Quarterly Model'!AB185</f>
        <v>1.1608475285330115</v>
      </c>
      <c r="AC97" s="925">
        <f>'Quarterly Model'!AC185</f>
        <v>3.8300547327552863</v>
      </c>
      <c r="AD97" s="528">
        <f>'Quarterly Model'!AD185</f>
        <v>-1.1083648344258492</v>
      </c>
      <c r="AE97" s="528">
        <f>'Quarterly Model'!AE185</f>
        <v>2.8977993817022885</v>
      </c>
      <c r="AF97" s="528">
        <f>'Quarterly Model'!AF185</f>
        <v>1.1900382985687088</v>
      </c>
      <c r="AG97" s="528">
        <f>'Quarterly Model'!AG185</f>
        <v>1.5935733814610984</v>
      </c>
      <c r="AH97" s="925">
        <f>'Quarterly Model'!AH185</f>
        <v>4.5730462273062464</v>
      </c>
      <c r="AI97" s="528">
        <f>'Quarterly Model'!AI185</f>
        <v>-1.6583452964348311</v>
      </c>
      <c r="AJ97" s="528">
        <f>'Quarterly Model'!AJ185</f>
        <v>3.5459377447579534</v>
      </c>
      <c r="AK97" s="528">
        <f>'Quarterly Model'!AK185</f>
        <v>1.4938401840659807</v>
      </c>
      <c r="AL97" s="528">
        <f>'Quarterly Model'!AL185</f>
        <v>2.1249939188736064</v>
      </c>
      <c r="AM97" s="925">
        <f>'Quarterly Model'!AM185</f>
        <v>5.5064265512627095</v>
      </c>
    </row>
    <row r="98" spans="1:39">
      <c r="A98" s="858"/>
      <c r="B98" s="926" t="str">
        <f>'Quarterly Model'!B186</f>
        <v>Other liabilities</v>
      </c>
      <c r="C98" s="924">
        <f>'Quarterly Model'!C186</f>
        <v>8.0000000000000002E-3</v>
      </c>
      <c r="D98" s="925">
        <f>'Quarterly Model'!D186</f>
        <v>14.288</v>
      </c>
      <c r="E98" s="528"/>
      <c r="F98" s="528"/>
      <c r="G98" s="528"/>
      <c r="H98" s="528"/>
      <c r="I98" s="925">
        <f>'Quarterly Model'!I186</f>
        <v>23.295000000000002</v>
      </c>
      <c r="J98" s="528">
        <f>'Quarterly Model'!J186</f>
        <v>5.08</v>
      </c>
      <c r="K98" s="528">
        <f>'Quarterly Model'!K186</f>
        <v>2.3079999999999998</v>
      </c>
      <c r="L98" s="528">
        <f>'Quarterly Model'!L186</f>
        <v>1.4130000000000003</v>
      </c>
      <c r="M98" s="528">
        <f>'Quarterly Model'!M186</f>
        <v>2.3100000000000005</v>
      </c>
      <c r="N98" s="925">
        <f>'Quarterly Model'!N186</f>
        <v>11.111000000000001</v>
      </c>
      <c r="O98" s="528">
        <f>'Quarterly Model'!O186</f>
        <v>-1.36</v>
      </c>
      <c r="P98" s="528">
        <f>'Quarterly Model'!P186</f>
        <v>-28.050000000000026</v>
      </c>
      <c r="Q98" s="528">
        <f>'Quarterly Model'!Q186</f>
        <v>31.786000000000026</v>
      </c>
      <c r="R98" s="528">
        <f>'Quarterly Model'!R186</f>
        <v>0.77300000000000035</v>
      </c>
      <c r="S98" s="925">
        <f>'Quarterly Model'!S186</f>
        <v>3.1490000000000018</v>
      </c>
      <c r="T98" s="528">
        <f>'Quarterly Model'!T186</f>
        <v>2.9020000000000001</v>
      </c>
      <c r="U98" s="528">
        <f>'Quarterly Model'!U186</f>
        <v>2.7939999999999996</v>
      </c>
      <c r="V98" s="528">
        <f>'Quarterly Model'!V186</f>
        <v>2.918000000000001</v>
      </c>
      <c r="W98" s="528">
        <f>'Quarterly Model'!W186</f>
        <v>0</v>
      </c>
      <c r="X98" s="925">
        <f>'Quarterly Model'!X186</f>
        <v>8.6140000000000008</v>
      </c>
      <c r="Y98" s="528">
        <f>'Quarterly Model'!Y186</f>
        <v>0</v>
      </c>
      <c r="Z98" s="528">
        <f>'Quarterly Model'!Z186</f>
        <v>0</v>
      </c>
      <c r="AA98" s="528">
        <f>'Quarterly Model'!AA186</f>
        <v>0</v>
      </c>
      <c r="AB98" s="528">
        <f>'Quarterly Model'!AB186</f>
        <v>0</v>
      </c>
      <c r="AC98" s="925">
        <f>'Quarterly Model'!AC186</f>
        <v>0</v>
      </c>
      <c r="AD98" s="528">
        <f>'Quarterly Model'!AD186</f>
        <v>0</v>
      </c>
      <c r="AE98" s="528">
        <f>'Quarterly Model'!AE186</f>
        <v>0</v>
      </c>
      <c r="AF98" s="528">
        <f>'Quarterly Model'!AF186</f>
        <v>0</v>
      </c>
      <c r="AG98" s="528">
        <f>'Quarterly Model'!AG186</f>
        <v>0</v>
      </c>
      <c r="AH98" s="925">
        <f>'Quarterly Model'!AH186</f>
        <v>0</v>
      </c>
      <c r="AI98" s="528">
        <f>'Quarterly Model'!AI186</f>
        <v>0</v>
      </c>
      <c r="AJ98" s="528">
        <f>'Quarterly Model'!AJ186</f>
        <v>0</v>
      </c>
      <c r="AK98" s="528">
        <f>'Quarterly Model'!AK186</f>
        <v>0</v>
      </c>
      <c r="AL98" s="528">
        <f>'Quarterly Model'!AL186</f>
        <v>0</v>
      </c>
      <c r="AM98" s="925">
        <f>'Quarterly Model'!AM186</f>
        <v>0</v>
      </c>
    </row>
    <row r="99" spans="1:39">
      <c r="A99" s="858"/>
      <c r="B99" s="927" t="s">
        <v>178</v>
      </c>
      <c r="C99" s="928">
        <f>'Quarterly Model'!C187</f>
        <v>-42.924999999999997</v>
      </c>
      <c r="D99" s="929">
        <f>'Quarterly Model'!D187</f>
        <v>-60.576999999999991</v>
      </c>
      <c r="E99" s="930"/>
      <c r="F99" s="930"/>
      <c r="G99" s="930"/>
      <c r="H99" s="930"/>
      <c r="I99" s="929">
        <f>'Quarterly Model'!I187</f>
        <v>-109.39399999999999</v>
      </c>
      <c r="J99" s="930">
        <f>'Quarterly Model'!J187</f>
        <v>-10.948999999999998</v>
      </c>
      <c r="K99" s="930">
        <f>'Quarterly Model'!K187</f>
        <v>0.20999999999999819</v>
      </c>
      <c r="L99" s="930">
        <f>'Quarterly Model'!L187</f>
        <v>13.629000000000016</v>
      </c>
      <c r="M99" s="930">
        <f>'Quarterly Model'!M187</f>
        <v>24.693999999999988</v>
      </c>
      <c r="N99" s="929">
        <f>'Quarterly Model'!N187</f>
        <v>27.583999999999971</v>
      </c>
      <c r="O99" s="930">
        <f>'Quarterly Model'!O187</f>
        <v>-15.510999999999976</v>
      </c>
      <c r="P99" s="930">
        <f>'Quarterly Model'!P187</f>
        <v>-20.260000000000026</v>
      </c>
      <c r="Q99" s="930">
        <f>'Quarterly Model'!Q187</f>
        <v>78.006</v>
      </c>
      <c r="R99" s="930">
        <f>'Quarterly Model'!R187</f>
        <v>-28.550000000000068</v>
      </c>
      <c r="S99" s="929">
        <f>'Quarterly Model'!S187</f>
        <v>13.684999999999917</v>
      </c>
      <c r="T99" s="930">
        <f>'Quarterly Model'!T187</f>
        <v>44.216999999999999</v>
      </c>
      <c r="U99" s="930">
        <f>'Quarterly Model'!U187</f>
        <v>46.376000000000033</v>
      </c>
      <c r="V99" s="930">
        <f>'Quarterly Model'!V187</f>
        <v>41.340999999999902</v>
      </c>
      <c r="W99" s="930">
        <f>'Quarterly Model'!W187</f>
        <v>-67.337945927798472</v>
      </c>
      <c r="X99" s="929">
        <f>'Quarterly Model'!X187</f>
        <v>64.593054072201411</v>
      </c>
      <c r="Y99" s="930">
        <f>'Quarterly Model'!Y187</f>
        <v>24.210706525076951</v>
      </c>
      <c r="Z99" s="930">
        <f>'Quarterly Model'!Z187</f>
        <v>13.681205791445404</v>
      </c>
      <c r="AA99" s="930">
        <f>'Quarterly Model'!AA187</f>
        <v>29.770091984192817</v>
      </c>
      <c r="AB99" s="930">
        <f>'Quarterly Model'!AB187</f>
        <v>61.7163336068527</v>
      </c>
      <c r="AC99" s="929">
        <f>'Quarterly Model'!AC187</f>
        <v>129.37833790756784</v>
      </c>
      <c r="AD99" s="930">
        <f>'Quarterly Model'!AD187</f>
        <v>79.998321564273638</v>
      </c>
      <c r="AE99" s="930">
        <f>'Quarterly Model'!AE187</f>
        <v>41.255580382683938</v>
      </c>
      <c r="AF99" s="930">
        <f>'Quarterly Model'!AF187</f>
        <v>100.29141570825429</v>
      </c>
      <c r="AG99" s="930">
        <f>'Quarterly Model'!AG187</f>
        <v>108.39176769141508</v>
      </c>
      <c r="AH99" s="929">
        <f>'Quarterly Model'!AH187</f>
        <v>329.93708534662693</v>
      </c>
      <c r="AI99" s="930">
        <f>'Quarterly Model'!AI187</f>
        <v>143.2815934745056</v>
      </c>
      <c r="AJ99" s="930">
        <f>'Quarterly Model'!AJ187</f>
        <v>82.842174276270725</v>
      </c>
      <c r="AK99" s="930">
        <f>'Quarterly Model'!AK187</f>
        <v>155.51075589279912</v>
      </c>
      <c r="AL99" s="930">
        <f>'Quarterly Model'!AL187</f>
        <v>173.19860758894509</v>
      </c>
      <c r="AM99" s="929">
        <f>'Quarterly Model'!AM187</f>
        <v>554.83313123252071</v>
      </c>
    </row>
    <row r="100" spans="1:39">
      <c r="A100" s="858"/>
      <c r="B100" s="923"/>
      <c r="C100" s="924"/>
      <c r="D100" s="925"/>
      <c r="E100" s="528"/>
      <c r="F100" s="528"/>
      <c r="G100" s="528"/>
      <c r="H100" s="528"/>
      <c r="I100" s="925"/>
      <c r="J100" s="528"/>
      <c r="K100" s="528"/>
      <c r="L100" s="528"/>
      <c r="M100" s="528"/>
      <c r="N100" s="925"/>
      <c r="O100" s="528"/>
      <c r="P100" s="528"/>
      <c r="Q100" s="528"/>
      <c r="R100" s="528"/>
      <c r="S100" s="925"/>
      <c r="T100" s="528"/>
      <c r="U100" s="528"/>
      <c r="V100" s="528"/>
      <c r="W100" s="528"/>
      <c r="X100" s="925"/>
      <c r="Y100" s="528"/>
      <c r="Z100" s="528"/>
      <c r="AA100" s="528"/>
      <c r="AB100" s="528"/>
      <c r="AC100" s="925"/>
      <c r="AD100" s="528"/>
      <c r="AE100" s="528"/>
      <c r="AF100" s="528"/>
      <c r="AG100" s="528"/>
      <c r="AH100" s="925"/>
      <c r="AI100" s="528"/>
      <c r="AJ100" s="528"/>
      <c r="AK100" s="528"/>
      <c r="AL100" s="528"/>
      <c r="AM100" s="925"/>
    </row>
    <row r="101" spans="1:39">
      <c r="A101" s="858"/>
      <c r="B101" s="921" t="s">
        <v>179</v>
      </c>
      <c r="C101" s="924"/>
      <c r="D101" s="925"/>
      <c r="E101" s="528"/>
      <c r="F101" s="528"/>
      <c r="G101" s="528"/>
      <c r="H101" s="528"/>
      <c r="I101" s="925"/>
      <c r="J101" s="528"/>
      <c r="K101" s="528"/>
      <c r="L101" s="528"/>
      <c r="M101" s="528"/>
      <c r="N101" s="925"/>
      <c r="O101" s="528"/>
      <c r="P101" s="528"/>
      <c r="Q101" s="528"/>
      <c r="R101" s="528"/>
      <c r="S101" s="925"/>
      <c r="T101" s="528"/>
      <c r="U101" s="528"/>
      <c r="V101" s="528"/>
      <c r="W101" s="528"/>
      <c r="X101" s="925"/>
      <c r="Y101" s="528"/>
      <c r="Z101" s="528"/>
      <c r="AA101" s="528"/>
      <c r="AB101" s="528"/>
      <c r="AC101" s="925"/>
      <c r="AD101" s="528"/>
      <c r="AE101" s="528"/>
      <c r="AF101" s="528"/>
      <c r="AG101" s="528"/>
      <c r="AH101" s="925"/>
      <c r="AI101" s="528"/>
      <c r="AJ101" s="528"/>
      <c r="AK101" s="528"/>
      <c r="AL101" s="528"/>
      <c r="AM101" s="925"/>
    </row>
    <row r="102" spans="1:39">
      <c r="A102" s="858"/>
      <c r="B102" s="923" t="str">
        <f>'Quarterly Model'!B190</f>
        <v>Purchases of property and equipment</v>
      </c>
      <c r="C102" s="924">
        <f>'Quarterly Model'!C190</f>
        <v>-13.032999999999999</v>
      </c>
      <c r="D102" s="925">
        <f>'Quarterly Model'!D190</f>
        <v>-47.930999999999997</v>
      </c>
      <c r="E102" s="528"/>
      <c r="F102" s="528"/>
      <c r="G102" s="528"/>
      <c r="H102" s="528"/>
      <c r="I102" s="925">
        <f>'Quarterly Model'!I190</f>
        <v>-28.794</v>
      </c>
      <c r="J102" s="528">
        <f>'Quarterly Model'!J190</f>
        <v>-10.42</v>
      </c>
      <c r="K102" s="528">
        <f>'Quarterly Model'!K190</f>
        <v>-10.1</v>
      </c>
      <c r="L102" s="528">
        <f>'Quarterly Model'!L190</f>
        <v>-9.9640000000000004</v>
      </c>
      <c r="M102" s="528">
        <f>'Quarterly Model'!M190</f>
        <v>-6.9480000000000022</v>
      </c>
      <c r="N102" s="925">
        <f>'Quarterly Model'!N190</f>
        <v>-37.432000000000002</v>
      </c>
      <c r="O102" s="528">
        <f>'Quarterly Model'!O190</f>
        <v>-7.5270000000000001</v>
      </c>
      <c r="P102" s="528">
        <f>'Quarterly Model'!P190</f>
        <v>-8.3129999999999988</v>
      </c>
      <c r="Q102" s="528">
        <f>'Quarterly Model'!Q190</f>
        <v>-3.8340000000000005</v>
      </c>
      <c r="R102" s="528">
        <f>'Quarterly Model'!R190</f>
        <v>-5.7590000000000012</v>
      </c>
      <c r="S102" s="925">
        <f>'Quarterly Model'!S190</f>
        <v>-25.433</v>
      </c>
      <c r="T102" s="528">
        <f>'Quarterly Model'!T190</f>
        <v>-6.508</v>
      </c>
      <c r="U102" s="528">
        <f>'Quarterly Model'!U190</f>
        <v>-7.3749999999999991</v>
      </c>
      <c r="V102" s="528">
        <f>'Quarterly Model'!V190</f>
        <v>-5.742</v>
      </c>
      <c r="W102" s="528">
        <f>'Quarterly Model'!W190</f>
        <v>-5.9403517658502007</v>
      </c>
      <c r="X102" s="925">
        <f>'Quarterly Model'!X190</f>
        <v>-25.565351765850203</v>
      </c>
      <c r="Y102" s="528">
        <f>'Quarterly Model'!Y190</f>
        <v>-9.7288435260691806</v>
      </c>
      <c r="Z102" s="528">
        <f>'Quarterly Model'!Z190</f>
        <v>-11.688982512591195</v>
      </c>
      <c r="AA102" s="528">
        <f>'Quarterly Model'!AA190</f>
        <v>-12.484919737084251</v>
      </c>
      <c r="AB102" s="528">
        <f>'Quarterly Model'!AB190</f>
        <v>-13.077182139986729</v>
      </c>
      <c r="AC102" s="925">
        <f>'Quarterly Model'!AC190</f>
        <v>-46.979927915731352</v>
      </c>
      <c r="AD102" s="528">
        <f>'Quarterly Model'!AD190</f>
        <v>-13.218991442168555</v>
      </c>
      <c r="AE102" s="528">
        <f>'Quarterly Model'!AE190</f>
        <v>-15.886398842016732</v>
      </c>
      <c r="AF102" s="528">
        <f>'Quarterly Model'!AF190</f>
        <v>-17.000966525367851</v>
      </c>
      <c r="AG102" s="528">
        <f>'Quarterly Model'!AG190</f>
        <v>-17.889030563799018</v>
      </c>
      <c r="AH102" s="925">
        <f>'Quarterly Model'!AH190</f>
        <v>-63.995387373352152</v>
      </c>
      <c r="AI102" s="528">
        <f>'Quarterly Model'!AI190</f>
        <v>-17.628170291132385</v>
      </c>
      <c r="AJ102" s="528">
        <f>'Quarterly Model'!AJ190</f>
        <v>-21.19098884009108</v>
      </c>
      <c r="AK102" s="528">
        <f>'Quarterly Model'!AK190</f>
        <v>-22.716480731113478</v>
      </c>
      <c r="AL102" s="528">
        <f>'Quarterly Model'!AL190</f>
        <v>-23.994565603846766</v>
      </c>
      <c r="AM102" s="925">
        <f>'Quarterly Model'!AM190</f>
        <v>-85.530205466183702</v>
      </c>
    </row>
    <row r="103" spans="1:39">
      <c r="A103" s="858"/>
      <c r="B103" s="923" t="str">
        <f>'Quarterly Model'!B191</f>
        <v>Payment for acquisition of intangible assets</v>
      </c>
      <c r="C103" s="924">
        <f>'Quarterly Model'!C191</f>
        <v>0</v>
      </c>
      <c r="D103" s="925">
        <f>'Quarterly Model'!D191</f>
        <v>0</v>
      </c>
      <c r="E103" s="528"/>
      <c r="F103" s="528"/>
      <c r="G103" s="528"/>
      <c r="H103" s="528"/>
      <c r="I103" s="925">
        <f>'Quarterly Model'!I191</f>
        <v>-0.4</v>
      </c>
      <c r="J103" s="528">
        <f>'Quarterly Model'!J191</f>
        <v>-0.1</v>
      </c>
      <c r="K103" s="528">
        <f>'Quarterly Model'!K191</f>
        <v>-0.01</v>
      </c>
      <c r="L103" s="528">
        <f>'Quarterly Model'!L191</f>
        <v>0</v>
      </c>
      <c r="M103" s="528">
        <f>'Quarterly Model'!M191</f>
        <v>-1.1759999999999999</v>
      </c>
      <c r="N103" s="925">
        <f>'Quarterly Model'!N191</f>
        <v>-1.286</v>
      </c>
      <c r="O103" s="528">
        <f>'Quarterly Model'!O191</f>
        <v>-0.4</v>
      </c>
      <c r="P103" s="528">
        <f>'Quarterly Model'!P191</f>
        <v>0</v>
      </c>
      <c r="Q103" s="528">
        <f>'Quarterly Model'!Q191</f>
        <v>0</v>
      </c>
      <c r="R103" s="528">
        <f>'Quarterly Model'!R191</f>
        <v>0</v>
      </c>
      <c r="S103" s="925">
        <f>'Quarterly Model'!S191</f>
        <v>-0.4</v>
      </c>
      <c r="T103" s="528">
        <f>'Quarterly Model'!T191</f>
        <v>0</v>
      </c>
      <c r="U103" s="528">
        <f>'Quarterly Model'!U191</f>
        <v>0</v>
      </c>
      <c r="V103" s="528">
        <f>'Quarterly Model'!V191</f>
        <v>0</v>
      </c>
      <c r="W103" s="528">
        <f>'Quarterly Model'!W191</f>
        <v>0</v>
      </c>
      <c r="X103" s="925">
        <f>'Quarterly Model'!X191</f>
        <v>0</v>
      </c>
      <c r="Y103" s="528">
        <f>'Quarterly Model'!Y191</f>
        <v>0</v>
      </c>
      <c r="Z103" s="528">
        <f>'Quarterly Model'!Z191</f>
        <v>0</v>
      </c>
      <c r="AA103" s="528">
        <f>'Quarterly Model'!AA191</f>
        <v>0</v>
      </c>
      <c r="AB103" s="528">
        <f>'Quarterly Model'!AB191</f>
        <v>0</v>
      </c>
      <c r="AC103" s="925">
        <f>'Quarterly Model'!AC191</f>
        <v>0</v>
      </c>
      <c r="AD103" s="528">
        <f>'Quarterly Model'!AD191</f>
        <v>0</v>
      </c>
      <c r="AE103" s="528">
        <f>'Quarterly Model'!AE191</f>
        <v>0</v>
      </c>
      <c r="AF103" s="528">
        <f>'Quarterly Model'!AF191</f>
        <v>0</v>
      </c>
      <c r="AG103" s="528">
        <f>'Quarterly Model'!AG191</f>
        <v>0</v>
      </c>
      <c r="AH103" s="925">
        <f>'Quarterly Model'!AH191</f>
        <v>0</v>
      </c>
      <c r="AI103" s="528">
        <f>'Quarterly Model'!AI191</f>
        <v>0</v>
      </c>
      <c r="AJ103" s="528">
        <f>'Quarterly Model'!AJ191</f>
        <v>0</v>
      </c>
      <c r="AK103" s="528">
        <f>'Quarterly Model'!AK191</f>
        <v>0</v>
      </c>
      <c r="AL103" s="528">
        <f>'Quarterly Model'!AL191</f>
        <v>0</v>
      </c>
      <c r="AM103" s="925">
        <f>'Quarterly Model'!AM191</f>
        <v>0</v>
      </c>
    </row>
    <row r="104" spans="1:39">
      <c r="A104" s="858"/>
      <c r="B104" s="923" t="str">
        <f>'Quarterly Model'!B192</f>
        <v>Other investing activities</v>
      </c>
      <c r="C104" s="924">
        <f>'Quarterly Model'!C192</f>
        <v>-34.758000000000003</v>
      </c>
      <c r="D104" s="925">
        <f>'Quarterly Model'!D192</f>
        <v>40</v>
      </c>
      <c r="E104" s="528"/>
      <c r="F104" s="528"/>
      <c r="G104" s="528"/>
      <c r="H104" s="528"/>
      <c r="I104" s="925">
        <f>'Quarterly Model'!I192</f>
        <v>-7.0750000000000002</v>
      </c>
      <c r="J104" s="528">
        <f>'Quarterly Model'!J192</f>
        <v>0</v>
      </c>
      <c r="K104" s="528">
        <f>'Quarterly Model'!K192</f>
        <v>0</v>
      </c>
      <c r="L104" s="528">
        <f>'Quarterly Model'!L192</f>
        <v>-0.252</v>
      </c>
      <c r="M104" s="528">
        <f>'Quarterly Model'!M192</f>
        <v>-1.6259999999999999</v>
      </c>
      <c r="N104" s="925">
        <f>'Quarterly Model'!N192</f>
        <v>-1.8779999999999999</v>
      </c>
      <c r="O104" s="528">
        <f>'Quarterly Model'!O192</f>
        <v>-73.399000000000001</v>
      </c>
      <c r="P104" s="528">
        <f>'Quarterly Model'!P192</f>
        <v>64.945999999999998</v>
      </c>
      <c r="Q104" s="528">
        <f>'Quarterly Model'!Q192</f>
        <v>-1.9999999999996021E-2</v>
      </c>
      <c r="R104" s="528">
        <f>'Quarterly Model'!R192</f>
        <v>-1.9000000000005457E-2</v>
      </c>
      <c r="S104" s="925">
        <f>'Quarterly Model'!S192</f>
        <v>-8.4920000000000044</v>
      </c>
      <c r="T104" s="528">
        <f>'Quarterly Model'!T192</f>
        <v>-162.286</v>
      </c>
      <c r="U104" s="528">
        <f>'Quarterly Model'!U192</f>
        <v>-77.974999999999994</v>
      </c>
      <c r="V104" s="528">
        <f>'Quarterly Model'!V192</f>
        <v>-99.022999999999968</v>
      </c>
      <c r="W104" s="528">
        <f>'Quarterly Model'!W192</f>
        <v>0</v>
      </c>
      <c r="X104" s="925">
        <f>'Quarterly Model'!X192</f>
        <v>-339.28399999999999</v>
      </c>
      <c r="Y104" s="528">
        <f>'Quarterly Model'!Y192</f>
        <v>0</v>
      </c>
      <c r="Z104" s="528">
        <f>'Quarterly Model'!Z192</f>
        <v>0</v>
      </c>
      <c r="AA104" s="528">
        <f>'Quarterly Model'!AA192</f>
        <v>0</v>
      </c>
      <c r="AB104" s="528">
        <f>'Quarterly Model'!AB192</f>
        <v>0</v>
      </c>
      <c r="AC104" s="925">
        <f>'Quarterly Model'!AC192</f>
        <v>0</v>
      </c>
      <c r="AD104" s="528">
        <f>'Quarterly Model'!AD192</f>
        <v>0</v>
      </c>
      <c r="AE104" s="528">
        <f>'Quarterly Model'!AE192</f>
        <v>0</v>
      </c>
      <c r="AF104" s="528">
        <f>'Quarterly Model'!AF192</f>
        <v>0</v>
      </c>
      <c r="AG104" s="528">
        <f>'Quarterly Model'!AG192</f>
        <v>0</v>
      </c>
      <c r="AH104" s="925">
        <f>'Quarterly Model'!AH192</f>
        <v>0</v>
      </c>
      <c r="AI104" s="528">
        <f>'Quarterly Model'!AI192</f>
        <v>0</v>
      </c>
      <c r="AJ104" s="528">
        <f>'Quarterly Model'!AJ192</f>
        <v>0</v>
      </c>
      <c r="AK104" s="528">
        <f>'Quarterly Model'!AK192</f>
        <v>0</v>
      </c>
      <c r="AL104" s="528">
        <f>'Quarterly Model'!AL192</f>
        <v>0</v>
      </c>
      <c r="AM104" s="925">
        <f>'Quarterly Model'!AM192</f>
        <v>0</v>
      </c>
    </row>
    <row r="105" spans="1:39">
      <c r="A105" s="858"/>
      <c r="B105" s="923" t="str">
        <f>'Quarterly Model'!B193</f>
        <v>Business acquisitions (net of cash acquired)</v>
      </c>
      <c r="C105" s="924">
        <f>'Quarterly Model'!C193</f>
        <v>0</v>
      </c>
      <c r="D105" s="925">
        <f>'Quarterly Model'!D193</f>
        <v>-2.8719999999999999</v>
      </c>
      <c r="E105" s="528"/>
      <c r="F105" s="528"/>
      <c r="G105" s="528"/>
      <c r="H105" s="528"/>
      <c r="I105" s="925">
        <f>'Quarterly Model'!I193</f>
        <v>11.715</v>
      </c>
      <c r="J105" s="528">
        <f>'Quarterly Model'!J193</f>
        <v>-3.75</v>
      </c>
      <c r="K105" s="528">
        <f>'Quarterly Model'!K193</f>
        <v>0</v>
      </c>
      <c r="L105" s="528">
        <f>'Quarterly Model'!L193</f>
        <v>-0.75</v>
      </c>
      <c r="M105" s="528">
        <f>'Quarterly Model'!M193</f>
        <v>0</v>
      </c>
      <c r="N105" s="925">
        <f>'Quarterly Model'!N193</f>
        <v>-4.5</v>
      </c>
      <c r="O105" s="528">
        <f>'Quarterly Model'!O193</f>
        <v>0</v>
      </c>
      <c r="P105" s="528">
        <f>'Quarterly Model'!P193</f>
        <v>-80.513000000000005</v>
      </c>
      <c r="Q105" s="528">
        <f>'Quarterly Model'!Q193</f>
        <v>-11.36</v>
      </c>
      <c r="R105" s="528">
        <f>'Quarterly Model'!R193</f>
        <v>3.4650000000000176</v>
      </c>
      <c r="S105" s="925">
        <f>'Quarterly Model'!S193</f>
        <v>-88.407999999999987</v>
      </c>
      <c r="T105" s="528">
        <f>'Quarterly Model'!T193</f>
        <v>-1.6</v>
      </c>
      <c r="U105" s="528">
        <f>'Quarterly Model'!U193</f>
        <v>0</v>
      </c>
      <c r="V105" s="528">
        <f>'Quarterly Model'!V193</f>
        <v>0</v>
      </c>
      <c r="W105" s="528">
        <f>'Quarterly Model'!W193</f>
        <v>0</v>
      </c>
      <c r="X105" s="925">
        <f>'Quarterly Model'!X193</f>
        <v>-1.6</v>
      </c>
      <c r="Y105" s="528">
        <f>'Quarterly Model'!Y193</f>
        <v>0</v>
      </c>
      <c r="Z105" s="528">
        <f>'Quarterly Model'!Z193</f>
        <v>0</v>
      </c>
      <c r="AA105" s="528">
        <f>'Quarterly Model'!AA193</f>
        <v>0</v>
      </c>
      <c r="AB105" s="528">
        <f>'Quarterly Model'!AB193</f>
        <v>0</v>
      </c>
      <c r="AC105" s="925">
        <f>'Quarterly Model'!AC193</f>
        <v>0</v>
      </c>
      <c r="AD105" s="528">
        <f>'Quarterly Model'!AD193</f>
        <v>0</v>
      </c>
      <c r="AE105" s="528">
        <f>'Quarterly Model'!AE193</f>
        <v>0</v>
      </c>
      <c r="AF105" s="528">
        <f>'Quarterly Model'!AF193</f>
        <v>0</v>
      </c>
      <c r="AG105" s="528">
        <f>'Quarterly Model'!AG193</f>
        <v>0</v>
      </c>
      <c r="AH105" s="925">
        <f>'Quarterly Model'!AH193</f>
        <v>0</v>
      </c>
      <c r="AI105" s="528">
        <f>'Quarterly Model'!AI193</f>
        <v>0</v>
      </c>
      <c r="AJ105" s="528">
        <f>'Quarterly Model'!AJ193</f>
        <v>0</v>
      </c>
      <c r="AK105" s="528">
        <f>'Quarterly Model'!AK193</f>
        <v>0</v>
      </c>
      <c r="AL105" s="528">
        <f>'Quarterly Model'!AL193</f>
        <v>0</v>
      </c>
      <c r="AM105" s="925">
        <f>'Quarterly Model'!AM193</f>
        <v>0</v>
      </c>
    </row>
    <row r="106" spans="1:39">
      <c r="A106" s="858"/>
      <c r="B106" s="927" t="s">
        <v>184</v>
      </c>
      <c r="C106" s="928">
        <f>'Quarterly Model'!C194</f>
        <v>-47.791000000000004</v>
      </c>
      <c r="D106" s="929">
        <f>'Quarterly Model'!D194</f>
        <v>-10.802999999999997</v>
      </c>
      <c r="E106" s="930"/>
      <c r="F106" s="930"/>
      <c r="G106" s="930"/>
      <c r="H106" s="930"/>
      <c r="I106" s="929">
        <f>'Quarterly Model'!I194</f>
        <v>-24.553999999999998</v>
      </c>
      <c r="J106" s="930">
        <f>'Quarterly Model'!J194</f>
        <v>-14.27</v>
      </c>
      <c r="K106" s="930">
        <f>'Quarterly Model'!K194</f>
        <v>-10.11</v>
      </c>
      <c r="L106" s="930">
        <f>'Quarterly Model'!L194</f>
        <v>-10.966000000000001</v>
      </c>
      <c r="M106" s="930">
        <f>'Quarterly Model'!M194</f>
        <v>-9.7500000000000018</v>
      </c>
      <c r="N106" s="929">
        <f>'Quarterly Model'!N194</f>
        <v>-45.096000000000004</v>
      </c>
      <c r="O106" s="930">
        <f>'Quarterly Model'!O194</f>
        <v>-81.326000000000008</v>
      </c>
      <c r="P106" s="930">
        <f>'Quarterly Model'!P194</f>
        <v>-23.88000000000001</v>
      </c>
      <c r="Q106" s="930">
        <f>'Quarterly Model'!Q194</f>
        <v>-15.213999999999995</v>
      </c>
      <c r="R106" s="930">
        <f>'Quarterly Model'!R194</f>
        <v>-2.3129999999999891</v>
      </c>
      <c r="S106" s="929">
        <f>'Quarterly Model'!S194</f>
        <v>-122.73299999999999</v>
      </c>
      <c r="T106" s="930">
        <f>'Quarterly Model'!T194</f>
        <v>-170.39400000000001</v>
      </c>
      <c r="U106" s="930">
        <f>'Quarterly Model'!U194</f>
        <v>-85.35</v>
      </c>
      <c r="V106" s="930">
        <f>'Quarterly Model'!V194</f>
        <v>-104.76499999999997</v>
      </c>
      <c r="W106" s="930">
        <f>'Quarterly Model'!W194</f>
        <v>-5.9403517658502007</v>
      </c>
      <c r="X106" s="929">
        <f>'Quarterly Model'!X194</f>
        <v>-366.44935176585022</v>
      </c>
      <c r="Y106" s="930">
        <f>'Quarterly Model'!Y194</f>
        <v>-9.7288435260691806</v>
      </c>
      <c r="Z106" s="930">
        <f>'Quarterly Model'!Z194</f>
        <v>-11.688982512591195</v>
      </c>
      <c r="AA106" s="930">
        <f>'Quarterly Model'!AA194</f>
        <v>-12.484919737084251</v>
      </c>
      <c r="AB106" s="930">
        <f>'Quarterly Model'!AB194</f>
        <v>-13.077182139986729</v>
      </c>
      <c r="AC106" s="929">
        <f>'Quarterly Model'!AC194</f>
        <v>-46.979927915731352</v>
      </c>
      <c r="AD106" s="930">
        <f>'Quarterly Model'!AD194</f>
        <v>-13.218991442168555</v>
      </c>
      <c r="AE106" s="930">
        <f>'Quarterly Model'!AE194</f>
        <v>-15.886398842016732</v>
      </c>
      <c r="AF106" s="930">
        <f>'Quarterly Model'!AF194</f>
        <v>-17.000966525367851</v>
      </c>
      <c r="AG106" s="930">
        <f>'Quarterly Model'!AG194</f>
        <v>-17.889030563799018</v>
      </c>
      <c r="AH106" s="929">
        <f>'Quarterly Model'!AH194</f>
        <v>-63.995387373352152</v>
      </c>
      <c r="AI106" s="930">
        <f>'Quarterly Model'!AI194</f>
        <v>-17.628170291132385</v>
      </c>
      <c r="AJ106" s="930">
        <f>'Quarterly Model'!AJ194</f>
        <v>-21.19098884009108</v>
      </c>
      <c r="AK106" s="930">
        <f>'Quarterly Model'!AK194</f>
        <v>-22.716480731113478</v>
      </c>
      <c r="AL106" s="930">
        <f>'Quarterly Model'!AL194</f>
        <v>-23.994565603846766</v>
      </c>
      <c r="AM106" s="929">
        <f>'Quarterly Model'!AM194</f>
        <v>-85.530205466183702</v>
      </c>
    </row>
    <row r="107" spans="1:39">
      <c r="A107" s="858"/>
      <c r="B107" s="923"/>
      <c r="C107" s="924"/>
      <c r="D107" s="925"/>
      <c r="E107" s="528"/>
      <c r="F107" s="528"/>
      <c r="G107" s="528"/>
      <c r="H107" s="528"/>
      <c r="I107" s="925"/>
      <c r="J107" s="528"/>
      <c r="K107" s="528"/>
      <c r="L107" s="528"/>
      <c r="M107" s="528"/>
      <c r="N107" s="925"/>
      <c r="O107" s="528"/>
      <c r="P107" s="528"/>
      <c r="Q107" s="528"/>
      <c r="R107" s="528"/>
      <c r="S107" s="925"/>
      <c r="T107" s="528"/>
      <c r="U107" s="528"/>
      <c r="V107" s="528"/>
      <c r="W107" s="528"/>
      <c r="X107" s="925"/>
      <c r="Y107" s="528"/>
      <c r="Z107" s="528"/>
      <c r="AA107" s="528"/>
      <c r="AB107" s="528"/>
      <c r="AC107" s="925"/>
      <c r="AD107" s="528"/>
      <c r="AE107" s="528"/>
      <c r="AF107" s="528"/>
      <c r="AG107" s="528"/>
      <c r="AH107" s="925"/>
      <c r="AI107" s="528"/>
      <c r="AJ107" s="528"/>
      <c r="AK107" s="528"/>
      <c r="AL107" s="528"/>
      <c r="AM107" s="925"/>
    </row>
    <row r="108" spans="1:39">
      <c r="A108" s="858"/>
      <c r="B108" s="921" t="s">
        <v>185</v>
      </c>
      <c r="C108" s="924"/>
      <c r="D108" s="925"/>
      <c r="E108" s="528"/>
      <c r="F108" s="528"/>
      <c r="G108" s="528"/>
      <c r="H108" s="528"/>
      <c r="I108" s="925"/>
      <c r="J108" s="528"/>
      <c r="K108" s="528"/>
      <c r="L108" s="528"/>
      <c r="M108" s="528"/>
      <c r="N108" s="925"/>
      <c r="O108" s="528"/>
      <c r="P108" s="528"/>
      <c r="Q108" s="528"/>
      <c r="R108" s="528"/>
      <c r="S108" s="925"/>
      <c r="T108" s="528"/>
      <c r="U108" s="528"/>
      <c r="V108" s="528"/>
      <c r="W108" s="528"/>
      <c r="X108" s="925"/>
      <c r="Y108" s="528"/>
      <c r="Z108" s="528"/>
      <c r="AA108" s="528"/>
      <c r="AB108" s="528"/>
      <c r="AC108" s="925"/>
      <c r="AD108" s="528"/>
      <c r="AE108" s="528"/>
      <c r="AF108" s="528"/>
      <c r="AG108" s="528"/>
      <c r="AH108" s="925"/>
      <c r="AI108" s="528"/>
      <c r="AJ108" s="528"/>
      <c r="AK108" s="528"/>
      <c r="AL108" s="528"/>
      <c r="AM108" s="925"/>
    </row>
    <row r="109" spans="1:39">
      <c r="A109" s="858"/>
      <c r="B109" s="923" t="str">
        <f>'Quarterly Model'!B197</f>
        <v>Proceeds from issuance of preferred stock, net</v>
      </c>
      <c r="C109" s="924">
        <f>'Quarterly Model'!C197</f>
        <v>221.75399999999999</v>
      </c>
      <c r="D109" s="925">
        <f>'Quarterly Model'!D197</f>
        <v>1E-3</v>
      </c>
      <c r="E109" s="528"/>
      <c r="F109" s="528"/>
      <c r="G109" s="528"/>
      <c r="H109" s="528"/>
      <c r="I109" s="925">
        <f>'Quarterly Model'!I197</f>
        <v>148.74799999999999</v>
      </c>
      <c r="J109" s="528">
        <f>'Quarterly Model'!J197</f>
        <v>0</v>
      </c>
      <c r="K109" s="528">
        <f>'Quarterly Model'!K197</f>
        <v>-1E-3</v>
      </c>
      <c r="L109" s="528">
        <f>'Quarterly Model'!L197</f>
        <v>1E-3</v>
      </c>
      <c r="M109" s="528">
        <f>'Quarterly Model'!M197</f>
        <v>29.952000000000002</v>
      </c>
      <c r="N109" s="925">
        <f>'Quarterly Model'!N197</f>
        <v>29.952000000000002</v>
      </c>
      <c r="O109" s="528">
        <f>'Quarterly Model'!O197</f>
        <v>0</v>
      </c>
      <c r="P109" s="528">
        <f>'Quarterly Model'!P197</f>
        <v>0</v>
      </c>
      <c r="Q109" s="528">
        <f>'Quarterly Model'!Q197</f>
        <v>0</v>
      </c>
      <c r="R109" s="528">
        <f>'Quarterly Model'!R197</f>
        <v>0</v>
      </c>
      <c r="S109" s="925">
        <f>'Quarterly Model'!S197</f>
        <v>0</v>
      </c>
      <c r="T109" s="528">
        <f>'Quarterly Model'!T197</f>
        <v>0</v>
      </c>
      <c r="U109" s="528">
        <f>'Quarterly Model'!U197</f>
        <v>0</v>
      </c>
      <c r="V109" s="528">
        <f>'Quarterly Model'!V197</f>
        <v>0</v>
      </c>
      <c r="W109" s="528">
        <f>'Quarterly Model'!W197</f>
        <v>0</v>
      </c>
      <c r="X109" s="925">
        <f>'Quarterly Model'!X197</f>
        <v>0</v>
      </c>
      <c r="Y109" s="528">
        <f>'Quarterly Model'!Y197</f>
        <v>0</v>
      </c>
      <c r="Z109" s="528">
        <f>'Quarterly Model'!Z197</f>
        <v>0</v>
      </c>
      <c r="AA109" s="528">
        <f>'Quarterly Model'!AA197</f>
        <v>0</v>
      </c>
      <c r="AB109" s="528">
        <f>'Quarterly Model'!AB197</f>
        <v>0</v>
      </c>
      <c r="AC109" s="925">
        <f>'Quarterly Model'!AC197</f>
        <v>0</v>
      </c>
      <c r="AD109" s="528">
        <f>'Quarterly Model'!AD197</f>
        <v>0</v>
      </c>
      <c r="AE109" s="528">
        <f>'Quarterly Model'!AE197</f>
        <v>0</v>
      </c>
      <c r="AF109" s="528">
        <f>'Quarterly Model'!AF197</f>
        <v>0</v>
      </c>
      <c r="AG109" s="528">
        <f>'Quarterly Model'!AG197</f>
        <v>0</v>
      </c>
      <c r="AH109" s="925">
        <f>'Quarterly Model'!AH197</f>
        <v>0</v>
      </c>
      <c r="AI109" s="528">
        <f>'Quarterly Model'!AI197</f>
        <v>0</v>
      </c>
      <c r="AJ109" s="528">
        <f>'Quarterly Model'!AJ197</f>
        <v>0</v>
      </c>
      <c r="AK109" s="528">
        <f>'Quarterly Model'!AK197</f>
        <v>0</v>
      </c>
      <c r="AL109" s="528">
        <f>'Quarterly Model'!AL197</f>
        <v>0</v>
      </c>
      <c r="AM109" s="925">
        <f>'Quarterly Model'!AM197</f>
        <v>0</v>
      </c>
    </row>
    <row r="110" spans="1:39">
      <c r="A110" s="858"/>
      <c r="B110" s="923" t="str">
        <f>'Quarterly Model'!B198</f>
        <v>Proceeds from issuance of common stock</v>
      </c>
      <c r="C110" s="924">
        <f>'Quarterly Model'!C198</f>
        <v>0</v>
      </c>
      <c r="D110" s="925">
        <f>'Quarterly Model'!D198</f>
        <v>0</v>
      </c>
      <c r="E110" s="528"/>
      <c r="F110" s="528"/>
      <c r="G110" s="528"/>
      <c r="H110" s="528"/>
      <c r="I110" s="925">
        <f>'Quarterly Model'!I198</f>
        <v>0</v>
      </c>
      <c r="J110" s="528">
        <f>'Quarterly Model'!J198</f>
        <v>0</v>
      </c>
      <c r="K110" s="528">
        <f>'Quarterly Model'!K198</f>
        <v>0</v>
      </c>
      <c r="L110" s="528">
        <f>'Quarterly Model'!L198</f>
        <v>0</v>
      </c>
      <c r="M110" s="528">
        <f>'Quarterly Model'!M198</f>
        <v>251.25700000000001</v>
      </c>
      <c r="N110" s="925">
        <f>'Quarterly Model'!N198</f>
        <v>251.25700000000001</v>
      </c>
      <c r="O110" s="528">
        <f>'Quarterly Model'!O198</f>
        <v>-5.4059999999999997</v>
      </c>
      <c r="P110" s="528">
        <f>'Quarterly Model'!P198</f>
        <v>-0.12400000000000055</v>
      </c>
      <c r="Q110" s="528">
        <f>'Quarterly Model'!Q198</f>
        <v>0</v>
      </c>
      <c r="R110" s="528">
        <f>'Quarterly Model'!R198</f>
        <v>0</v>
      </c>
      <c r="S110" s="925">
        <f>'Quarterly Model'!S198</f>
        <v>-5.53</v>
      </c>
      <c r="T110" s="528">
        <f>'Quarterly Model'!T198</f>
        <v>39.28</v>
      </c>
      <c r="U110" s="528">
        <f>'Quarterly Model'!U198</f>
        <v>17.963999999999999</v>
      </c>
      <c r="V110" s="528">
        <f>'Quarterly Model'!V198</f>
        <v>0</v>
      </c>
      <c r="W110" s="528">
        <f>'Quarterly Model'!W198</f>
        <v>0</v>
      </c>
      <c r="X110" s="925">
        <f>'Quarterly Model'!X198</f>
        <v>57.244</v>
      </c>
      <c r="Y110" s="528">
        <f>'Quarterly Model'!Y198</f>
        <v>0</v>
      </c>
      <c r="Z110" s="528">
        <f>'Quarterly Model'!Z198</f>
        <v>0</v>
      </c>
      <c r="AA110" s="528">
        <f>'Quarterly Model'!AA198</f>
        <v>0</v>
      </c>
      <c r="AB110" s="528">
        <f>'Quarterly Model'!AB198</f>
        <v>0</v>
      </c>
      <c r="AC110" s="925">
        <f>'Quarterly Model'!AC198</f>
        <v>0</v>
      </c>
      <c r="AD110" s="528">
        <f>'Quarterly Model'!AD198</f>
        <v>0</v>
      </c>
      <c r="AE110" s="528">
        <f>'Quarterly Model'!AE198</f>
        <v>0</v>
      </c>
      <c r="AF110" s="528">
        <f>'Quarterly Model'!AF198</f>
        <v>0</v>
      </c>
      <c r="AG110" s="528">
        <f>'Quarterly Model'!AG198</f>
        <v>0</v>
      </c>
      <c r="AH110" s="925">
        <f>'Quarterly Model'!AH198</f>
        <v>0</v>
      </c>
      <c r="AI110" s="528">
        <f>'Quarterly Model'!AI198</f>
        <v>0</v>
      </c>
      <c r="AJ110" s="528">
        <f>'Quarterly Model'!AJ198</f>
        <v>0</v>
      </c>
      <c r="AK110" s="528">
        <f>'Quarterly Model'!AK198</f>
        <v>0</v>
      </c>
      <c r="AL110" s="528">
        <f>'Quarterly Model'!AL198</f>
        <v>0</v>
      </c>
      <c r="AM110" s="925">
        <f>'Quarterly Model'!AM198</f>
        <v>0</v>
      </c>
    </row>
    <row r="111" spans="1:39">
      <c r="A111" s="858"/>
      <c r="B111" s="923" t="str">
        <f>'Quarterly Model'!B199</f>
        <v>Principal payments on capital lease obligation</v>
      </c>
      <c r="C111" s="924">
        <f>'Quarterly Model'!C199</f>
        <v>-0.19</v>
      </c>
      <c r="D111" s="925">
        <f>'Quarterly Model'!D199</f>
        <v>0</v>
      </c>
      <c r="E111" s="528"/>
      <c r="F111" s="528"/>
      <c r="G111" s="528"/>
      <c r="H111" s="528"/>
      <c r="I111" s="925">
        <f>'Quarterly Model'!I199</f>
        <v>0</v>
      </c>
      <c r="J111" s="528">
        <f>'Quarterly Model'!J199</f>
        <v>0</v>
      </c>
      <c r="K111" s="528">
        <f>'Quarterly Model'!K199</f>
        <v>0</v>
      </c>
      <c r="L111" s="528">
        <f>'Quarterly Model'!L199</f>
        <v>0</v>
      </c>
      <c r="M111" s="528">
        <f>'Quarterly Model'!M199</f>
        <v>0</v>
      </c>
      <c r="N111" s="925">
        <f>'Quarterly Model'!N199</f>
        <v>0</v>
      </c>
      <c r="O111" s="528">
        <f>'Quarterly Model'!O199</f>
        <v>0</v>
      </c>
      <c r="P111" s="528">
        <f>'Quarterly Model'!P199</f>
        <v>0</v>
      </c>
      <c r="Q111" s="528">
        <f>'Quarterly Model'!Q199</f>
        <v>0</v>
      </c>
      <c r="R111" s="528">
        <f>'Quarterly Model'!R199</f>
        <v>-0.16800000000000001</v>
      </c>
      <c r="S111" s="925">
        <f>'Quarterly Model'!S199</f>
        <v>-0.16800000000000001</v>
      </c>
      <c r="T111" s="528">
        <f>'Quarterly Model'!T199</f>
        <v>-0.247</v>
      </c>
      <c r="U111" s="528">
        <f>'Quarterly Model'!U199</f>
        <v>-0.38700000000000001</v>
      </c>
      <c r="V111" s="528">
        <f>'Quarterly Model'!V199</f>
        <v>-0.38600000000000001</v>
      </c>
      <c r="W111" s="528">
        <f>'Quarterly Model'!W199</f>
        <v>0</v>
      </c>
      <c r="X111" s="925">
        <f>'Quarterly Model'!X199</f>
        <v>-1.02</v>
      </c>
      <c r="Y111" s="528">
        <f>'Quarterly Model'!Y199</f>
        <v>0</v>
      </c>
      <c r="Z111" s="528">
        <f>'Quarterly Model'!Z199</f>
        <v>0</v>
      </c>
      <c r="AA111" s="528">
        <f>'Quarterly Model'!AA199</f>
        <v>0</v>
      </c>
      <c r="AB111" s="528">
        <f>'Quarterly Model'!AB199</f>
        <v>0</v>
      </c>
      <c r="AC111" s="925">
        <f>'Quarterly Model'!AC199</f>
        <v>0</v>
      </c>
      <c r="AD111" s="528">
        <f>'Quarterly Model'!AD199</f>
        <v>0</v>
      </c>
      <c r="AE111" s="528">
        <f>'Quarterly Model'!AE199</f>
        <v>0</v>
      </c>
      <c r="AF111" s="528">
        <f>'Quarterly Model'!AF199</f>
        <v>0</v>
      </c>
      <c r="AG111" s="528">
        <f>'Quarterly Model'!AG199</f>
        <v>0</v>
      </c>
      <c r="AH111" s="925">
        <f>'Quarterly Model'!AH199</f>
        <v>0</v>
      </c>
      <c r="AI111" s="528">
        <f>'Quarterly Model'!AI199</f>
        <v>0</v>
      </c>
      <c r="AJ111" s="528">
        <f>'Quarterly Model'!AJ199</f>
        <v>0</v>
      </c>
      <c r="AK111" s="528">
        <f>'Quarterly Model'!AK199</f>
        <v>0</v>
      </c>
      <c r="AL111" s="528">
        <f>'Quarterly Model'!AL199</f>
        <v>0</v>
      </c>
      <c r="AM111" s="925">
        <f>'Quarterly Model'!AM199</f>
        <v>0</v>
      </c>
    </row>
    <row r="112" spans="1:39">
      <c r="A112" s="858"/>
      <c r="B112" s="923" t="str">
        <f>'Quarterly Model'!B200</f>
        <v>Proceeds from debt</v>
      </c>
      <c r="C112" s="924">
        <f>'Quarterly Model'!C200</f>
        <v>0</v>
      </c>
      <c r="D112" s="925">
        <f>'Quarterly Model'!D200</f>
        <v>0</v>
      </c>
      <c r="E112" s="528"/>
      <c r="F112" s="528"/>
      <c r="G112" s="528"/>
      <c r="H112" s="528"/>
      <c r="I112" s="925">
        <f>'Quarterly Model'!I200</f>
        <v>30</v>
      </c>
      <c r="J112" s="528">
        <f>'Quarterly Model'!J200</f>
        <v>0</v>
      </c>
      <c r="K112" s="528">
        <f>'Quarterly Model'!K200</f>
        <v>0</v>
      </c>
      <c r="L112" s="528">
        <f>'Quarterly Model'!L200</f>
        <v>0</v>
      </c>
      <c r="M112" s="528">
        <f>'Quarterly Model'!M200</f>
        <v>0</v>
      </c>
      <c r="N112" s="925">
        <f>'Quarterly Model'!N200</f>
        <v>0</v>
      </c>
      <c r="O112" s="528">
        <f>'Quarterly Model'!O200</f>
        <v>0</v>
      </c>
      <c r="P112" s="528">
        <f>'Quarterly Model'!P200</f>
        <v>0</v>
      </c>
      <c r="Q112" s="528">
        <f>'Quarterly Model'!Q200</f>
        <v>0</v>
      </c>
      <c r="R112" s="528">
        <f>'Quarterly Model'!R200</f>
        <v>0</v>
      </c>
      <c r="S112" s="925">
        <f>'Quarterly Model'!S200</f>
        <v>0</v>
      </c>
      <c r="T112" s="528">
        <f>'Quarterly Model'!T200</f>
        <v>428.25</v>
      </c>
      <c r="U112" s="528">
        <f>'Quarterly Model'!U200</f>
        <v>-92.135999999999996</v>
      </c>
      <c r="V112" s="528">
        <f>'Quarterly Model'!V200</f>
        <v>0</v>
      </c>
      <c r="W112" s="528">
        <f>'Quarterly Model'!W200</f>
        <v>0</v>
      </c>
      <c r="X112" s="925">
        <f>'Quarterly Model'!X200</f>
        <v>336.11400000000003</v>
      </c>
      <c r="Y112" s="528">
        <f>'Quarterly Model'!Y200</f>
        <v>0</v>
      </c>
      <c r="Z112" s="528">
        <f>'Quarterly Model'!Z200</f>
        <v>0</v>
      </c>
      <c r="AA112" s="528">
        <f>'Quarterly Model'!AA200</f>
        <v>0</v>
      </c>
      <c r="AB112" s="528">
        <f>'Quarterly Model'!AB200</f>
        <v>0</v>
      </c>
      <c r="AC112" s="925">
        <f>'Quarterly Model'!AC200</f>
        <v>0</v>
      </c>
      <c r="AD112" s="528">
        <f>'Quarterly Model'!AD200</f>
        <v>0</v>
      </c>
      <c r="AE112" s="528">
        <f>'Quarterly Model'!AE200</f>
        <v>0</v>
      </c>
      <c r="AF112" s="528">
        <f>'Quarterly Model'!AF200</f>
        <v>0</v>
      </c>
      <c r="AG112" s="528">
        <f>'Quarterly Model'!AG200</f>
        <v>0</v>
      </c>
      <c r="AH112" s="925">
        <f>'Quarterly Model'!AH200</f>
        <v>0</v>
      </c>
      <c r="AI112" s="528">
        <f>'Quarterly Model'!AI200</f>
        <v>0</v>
      </c>
      <c r="AJ112" s="528">
        <f>'Quarterly Model'!AJ200</f>
        <v>0</v>
      </c>
      <c r="AK112" s="528">
        <f>'Quarterly Model'!AK200</f>
        <v>0</v>
      </c>
      <c r="AL112" s="528">
        <f>'Quarterly Model'!AL200</f>
        <v>0</v>
      </c>
      <c r="AM112" s="925">
        <f>'Quarterly Model'!AM200</f>
        <v>0</v>
      </c>
    </row>
    <row r="113" spans="1:39">
      <c r="A113" s="858"/>
      <c r="B113" s="923" t="str">
        <f>'Quarterly Model'!B202</f>
        <v>Proceeds from the share issuance/exercise of stock options</v>
      </c>
      <c r="C113" s="924">
        <f>'Quarterly Model'!C202</f>
        <v>5.6159999999999997</v>
      </c>
      <c r="D113" s="925">
        <f>'Quarterly Model'!D202</f>
        <v>18.905999999999999</v>
      </c>
      <c r="E113" s="528"/>
      <c r="F113" s="528"/>
      <c r="G113" s="528"/>
      <c r="H113" s="528"/>
      <c r="I113" s="925">
        <f>'Quarterly Model'!I202</f>
        <v>14.055999999999999</v>
      </c>
      <c r="J113" s="528">
        <f>'Quarterly Model'!J202</f>
        <v>1.7490000000000001</v>
      </c>
      <c r="K113" s="528">
        <f>'Quarterly Model'!K202</f>
        <v>6.8849999999999998</v>
      </c>
      <c r="L113" s="528">
        <f>'Quarterly Model'!L202</f>
        <v>3.5749999999999997</v>
      </c>
      <c r="M113" s="528">
        <f>'Quarterly Model'!M202</f>
        <v>1.6310000000000007</v>
      </c>
      <c r="N113" s="925">
        <f>'Quarterly Model'!N202</f>
        <v>13.84</v>
      </c>
      <c r="O113" s="528">
        <f>'Quarterly Model'!O202</f>
        <v>0.55600000000000005</v>
      </c>
      <c r="P113" s="528">
        <f>'Quarterly Model'!P202</f>
        <v>14.940000000000001</v>
      </c>
      <c r="Q113" s="528">
        <f>'Quarterly Model'!Q202</f>
        <v>32.808000000000007</v>
      </c>
      <c r="R113" s="528">
        <f>'Quarterly Model'!R202</f>
        <v>48.134999999999991</v>
      </c>
      <c r="S113" s="925">
        <f>'Quarterly Model'!S202</f>
        <v>96.438999999999993</v>
      </c>
      <c r="T113" s="528">
        <f>'Quarterly Model'!T202</f>
        <v>-34.891999999999996</v>
      </c>
      <c r="U113" s="528">
        <f>'Quarterly Model'!U202</f>
        <v>69.947000000000003</v>
      </c>
      <c r="V113" s="528">
        <f>'Quarterly Model'!V202</f>
        <v>76.833999999999989</v>
      </c>
      <c r="W113" s="528">
        <f>'Quarterly Model'!W202</f>
        <v>0</v>
      </c>
      <c r="X113" s="925">
        <f>'Quarterly Model'!X202</f>
        <v>111.889</v>
      </c>
      <c r="Y113" s="528">
        <f>'Quarterly Model'!Y202</f>
        <v>0</v>
      </c>
      <c r="Z113" s="528">
        <f>'Quarterly Model'!Z202</f>
        <v>0</v>
      </c>
      <c r="AA113" s="528">
        <f>'Quarterly Model'!AA202</f>
        <v>0</v>
      </c>
      <c r="AB113" s="528">
        <f>'Quarterly Model'!AB202</f>
        <v>0</v>
      </c>
      <c r="AC113" s="925">
        <f>'Quarterly Model'!AC202</f>
        <v>0</v>
      </c>
      <c r="AD113" s="528">
        <f>'Quarterly Model'!AD202</f>
        <v>0</v>
      </c>
      <c r="AE113" s="528">
        <f>'Quarterly Model'!AE202</f>
        <v>0</v>
      </c>
      <c r="AF113" s="528">
        <f>'Quarterly Model'!AF202</f>
        <v>0</v>
      </c>
      <c r="AG113" s="528">
        <f>'Quarterly Model'!AG202</f>
        <v>0</v>
      </c>
      <c r="AH113" s="925">
        <f>'Quarterly Model'!AH202</f>
        <v>0</v>
      </c>
      <c r="AI113" s="528">
        <f>'Quarterly Model'!AI202</f>
        <v>0</v>
      </c>
      <c r="AJ113" s="528">
        <f>'Quarterly Model'!AJ202</f>
        <v>0</v>
      </c>
      <c r="AK113" s="528">
        <f>'Quarterly Model'!AK202</f>
        <v>0</v>
      </c>
      <c r="AL113" s="528">
        <f>'Quarterly Model'!AL202</f>
        <v>0</v>
      </c>
      <c r="AM113" s="925">
        <f>'Quarterly Model'!AM202</f>
        <v>0</v>
      </c>
    </row>
    <row r="114" spans="1:39">
      <c r="A114" s="858"/>
      <c r="B114" s="923" t="str">
        <f>'Quarterly Model'!B203</f>
        <v>Excess tax benefit from share-based payment award</v>
      </c>
      <c r="C114" s="924">
        <f>'Quarterly Model'!C203</f>
        <v>0</v>
      </c>
      <c r="D114" s="925">
        <f>'Quarterly Model'!D203</f>
        <v>0</v>
      </c>
      <c r="E114" s="528"/>
      <c r="F114" s="528"/>
      <c r="G114" s="528"/>
      <c r="H114" s="528"/>
      <c r="I114" s="925">
        <f>'Quarterly Model'!I203</f>
        <v>1.3480000000000001</v>
      </c>
      <c r="J114" s="528">
        <f>'Quarterly Model'!J203</f>
        <v>0</v>
      </c>
      <c r="K114" s="528">
        <f>'Quarterly Model'!K203</f>
        <v>0</v>
      </c>
      <c r="L114" s="528">
        <f>'Quarterly Model'!L203</f>
        <v>0</v>
      </c>
      <c r="M114" s="528">
        <f>'Quarterly Model'!M203</f>
        <v>1.101</v>
      </c>
      <c r="N114" s="925">
        <f>'Quarterly Model'!N203</f>
        <v>1.101</v>
      </c>
      <c r="O114" s="528">
        <f>'Quarterly Model'!O203</f>
        <v>0</v>
      </c>
      <c r="P114" s="528">
        <f>'Quarterly Model'!P203</f>
        <v>0</v>
      </c>
      <c r="Q114" s="528">
        <f>'Quarterly Model'!Q203</f>
        <v>0</v>
      </c>
      <c r="R114" s="528">
        <f>'Quarterly Model'!R203</f>
        <v>0</v>
      </c>
      <c r="S114" s="925">
        <f>'Quarterly Model'!S203</f>
        <v>0</v>
      </c>
      <c r="T114" s="528">
        <f>'Quarterly Model'!T203</f>
        <v>-54.808</v>
      </c>
      <c r="U114" s="528">
        <f>'Quarterly Model'!U203</f>
        <v>54.808</v>
      </c>
      <c r="V114" s="528">
        <f>'Quarterly Model'!V203</f>
        <v>-73.105999999999995</v>
      </c>
      <c r="W114" s="528">
        <f>'Quarterly Model'!W203</f>
        <v>0</v>
      </c>
      <c r="X114" s="925">
        <f>'Quarterly Model'!X203</f>
        <v>-73.105999999999995</v>
      </c>
      <c r="Y114" s="528">
        <f>'Quarterly Model'!Y203</f>
        <v>0</v>
      </c>
      <c r="Z114" s="528">
        <f>'Quarterly Model'!Z203</f>
        <v>0</v>
      </c>
      <c r="AA114" s="528">
        <f>'Quarterly Model'!AA203</f>
        <v>0</v>
      </c>
      <c r="AB114" s="528">
        <f>'Quarterly Model'!AB203</f>
        <v>0</v>
      </c>
      <c r="AC114" s="925">
        <f>'Quarterly Model'!AC203</f>
        <v>0</v>
      </c>
      <c r="AD114" s="528">
        <f>'Quarterly Model'!AD203</f>
        <v>0</v>
      </c>
      <c r="AE114" s="528">
        <f>'Quarterly Model'!AE203</f>
        <v>0</v>
      </c>
      <c r="AF114" s="528">
        <f>'Quarterly Model'!AF203</f>
        <v>0</v>
      </c>
      <c r="AG114" s="528">
        <f>'Quarterly Model'!AG203</f>
        <v>0</v>
      </c>
      <c r="AH114" s="925">
        <f>'Quarterly Model'!AH203</f>
        <v>0</v>
      </c>
      <c r="AI114" s="528">
        <f>'Quarterly Model'!AI203</f>
        <v>0</v>
      </c>
      <c r="AJ114" s="528">
        <f>'Quarterly Model'!AJ203</f>
        <v>0</v>
      </c>
      <c r="AK114" s="528">
        <f>'Quarterly Model'!AK203</f>
        <v>0</v>
      </c>
      <c r="AL114" s="528">
        <f>'Quarterly Model'!AL203</f>
        <v>0</v>
      </c>
      <c r="AM114" s="925">
        <f>'Quarterly Model'!AM203</f>
        <v>0</v>
      </c>
    </row>
    <row r="115" spans="1:39">
      <c r="A115" s="858"/>
      <c r="B115" s="927" t="s">
        <v>193</v>
      </c>
      <c r="C115" s="928">
        <f>'Quarterly Model'!C204</f>
        <v>227.18</v>
      </c>
      <c r="D115" s="929">
        <f>'Quarterly Model'!D204</f>
        <v>18.907</v>
      </c>
      <c r="E115" s="930"/>
      <c r="F115" s="930"/>
      <c r="G115" s="930"/>
      <c r="H115" s="930"/>
      <c r="I115" s="929">
        <f>'Quarterly Model'!I204</f>
        <v>194.15200000000002</v>
      </c>
      <c r="J115" s="930">
        <f>'Quarterly Model'!J204</f>
        <v>1.7490000000000001</v>
      </c>
      <c r="K115" s="930">
        <f>'Quarterly Model'!K204</f>
        <v>6.8839999999999995</v>
      </c>
      <c r="L115" s="930">
        <f>'Quarterly Model'!L204</f>
        <v>-26.423999999999999</v>
      </c>
      <c r="M115" s="930">
        <f>'Quarterly Model'!M204</f>
        <v>282.55400000000003</v>
      </c>
      <c r="N115" s="929">
        <f>'Quarterly Model'!N204</f>
        <v>264.76299999999998</v>
      </c>
      <c r="O115" s="930">
        <f>'Quarterly Model'!O204</f>
        <v>-4.8499999999999996</v>
      </c>
      <c r="P115" s="930">
        <f>'Quarterly Model'!P204</f>
        <v>14.816000000000001</v>
      </c>
      <c r="Q115" s="930">
        <f>'Quarterly Model'!Q204</f>
        <v>32.808000000000007</v>
      </c>
      <c r="R115" s="930">
        <f>'Quarterly Model'!R204</f>
        <v>47.966999999999992</v>
      </c>
      <c r="S115" s="929">
        <f>'Quarterly Model'!S204</f>
        <v>90.740999999999985</v>
      </c>
      <c r="T115" s="930">
        <f>'Quarterly Model'!T204</f>
        <v>377.58300000000003</v>
      </c>
      <c r="U115" s="930">
        <f>'Quarterly Model'!U204</f>
        <v>50.196000000000005</v>
      </c>
      <c r="V115" s="930">
        <f>'Quarterly Model'!V204</f>
        <v>3.3419999999999987</v>
      </c>
      <c r="W115" s="930">
        <f>'Quarterly Model'!W204</f>
        <v>0</v>
      </c>
      <c r="X115" s="929">
        <f>'Quarterly Model'!X204</f>
        <v>431.12100000000004</v>
      </c>
      <c r="Y115" s="930">
        <f>'Quarterly Model'!Y204</f>
        <v>0</v>
      </c>
      <c r="Z115" s="930">
        <f>'Quarterly Model'!Z204</f>
        <v>0</v>
      </c>
      <c r="AA115" s="930">
        <f>'Quarterly Model'!AA204</f>
        <v>0</v>
      </c>
      <c r="AB115" s="930">
        <f>'Quarterly Model'!AB204</f>
        <v>0</v>
      </c>
      <c r="AC115" s="929">
        <f>'Quarterly Model'!AC204</f>
        <v>0</v>
      </c>
      <c r="AD115" s="930">
        <f>'Quarterly Model'!AD204</f>
        <v>0</v>
      </c>
      <c r="AE115" s="930">
        <f>'Quarterly Model'!AE204</f>
        <v>0</v>
      </c>
      <c r="AF115" s="930">
        <f>'Quarterly Model'!AF204</f>
        <v>0</v>
      </c>
      <c r="AG115" s="930">
        <f>'Quarterly Model'!AG204</f>
        <v>0</v>
      </c>
      <c r="AH115" s="929">
        <f>'Quarterly Model'!AH204</f>
        <v>0</v>
      </c>
      <c r="AI115" s="930">
        <f>'Quarterly Model'!AI204</f>
        <v>0</v>
      </c>
      <c r="AJ115" s="930">
        <f>'Quarterly Model'!AJ204</f>
        <v>0</v>
      </c>
      <c r="AK115" s="930">
        <f>'Quarterly Model'!AK204</f>
        <v>0</v>
      </c>
      <c r="AL115" s="930">
        <f>'Quarterly Model'!AL204</f>
        <v>0</v>
      </c>
      <c r="AM115" s="929">
        <f>'Quarterly Model'!AM204</f>
        <v>0</v>
      </c>
    </row>
    <row r="116" spans="1:39">
      <c r="A116" s="858"/>
      <c r="B116" s="923"/>
      <c r="C116" s="924"/>
      <c r="D116" s="925"/>
      <c r="E116" s="528"/>
      <c r="F116" s="528"/>
      <c r="G116" s="528"/>
      <c r="H116" s="528"/>
      <c r="I116" s="925"/>
      <c r="J116" s="528"/>
      <c r="K116" s="528"/>
      <c r="L116" s="528"/>
      <c r="M116" s="528"/>
      <c r="N116" s="925"/>
      <c r="O116" s="528"/>
      <c r="P116" s="528"/>
      <c r="Q116" s="528"/>
      <c r="R116" s="528"/>
      <c r="S116" s="925"/>
      <c r="T116" s="528"/>
      <c r="U116" s="528"/>
      <c r="V116" s="528"/>
      <c r="W116" s="528"/>
      <c r="X116" s="925"/>
      <c r="Y116" s="528"/>
      <c r="Z116" s="528"/>
      <c r="AA116" s="528"/>
      <c r="AB116" s="528"/>
      <c r="AC116" s="925"/>
      <c r="AD116" s="528"/>
      <c r="AE116" s="528"/>
      <c r="AF116" s="528"/>
      <c r="AG116" s="528"/>
      <c r="AH116" s="925"/>
      <c r="AI116" s="528"/>
      <c r="AJ116" s="528"/>
      <c r="AK116" s="528"/>
      <c r="AL116" s="528"/>
      <c r="AM116" s="925"/>
    </row>
    <row r="117" spans="1:39" ht="13.5" thickBot="1">
      <c r="A117" s="858"/>
      <c r="B117" s="931" t="s">
        <v>425</v>
      </c>
      <c r="C117" s="932">
        <f>'Quarterly Model'!C207</f>
        <v>136.46</v>
      </c>
      <c r="D117" s="933">
        <f>'Quarterly Model'!D207</f>
        <v>-53.232999999999997</v>
      </c>
      <c r="E117" s="934"/>
      <c r="F117" s="934"/>
      <c r="G117" s="934"/>
      <c r="H117" s="934"/>
      <c r="I117" s="933">
        <f>'Quarterly Model'!I207</f>
        <v>59.124000000000038</v>
      </c>
      <c r="J117" s="934">
        <f>'Quarterly Model'!J207</f>
        <v>-24.33</v>
      </c>
      <c r="K117" s="934">
        <f>'Quarterly Model'!K207</f>
        <v>-3.0300000000000025</v>
      </c>
      <c r="L117" s="934">
        <f>'Quarterly Model'!L207</f>
        <v>-23.856999999999985</v>
      </c>
      <c r="M117" s="934">
        <f>'Quarterly Model'!M207</f>
        <v>296.69200000000001</v>
      </c>
      <c r="N117" s="933">
        <f>'Quarterly Model'!N207</f>
        <v>245.47499999999994</v>
      </c>
      <c r="O117" s="934">
        <f>'Quarterly Model'!O207</f>
        <v>-100.12899999999998</v>
      </c>
      <c r="P117" s="934">
        <f>'Quarterly Model'!P207</f>
        <v>-28.210000000000033</v>
      </c>
      <c r="Q117" s="934">
        <f>'Quarterly Model'!Q207</f>
        <v>95.464000000000013</v>
      </c>
      <c r="R117" s="934">
        <f>'Quarterly Model'!R207</f>
        <v>14.129999999999935</v>
      </c>
      <c r="S117" s="933">
        <f>'Quarterly Model'!S207</f>
        <v>-18.745000000000086</v>
      </c>
      <c r="T117" s="934">
        <f>'Quarterly Model'!T207</f>
        <v>252.464</v>
      </c>
      <c r="U117" s="934">
        <f>'Quarterly Model'!U207</f>
        <v>12.495000000000044</v>
      </c>
      <c r="V117" s="934">
        <f>'Quarterly Model'!V207</f>
        <v>-58.577000000000069</v>
      </c>
      <c r="W117" s="934">
        <f>'Quarterly Model'!W207</f>
        <v>-73.278297693648668</v>
      </c>
      <c r="X117" s="933">
        <f>'Quarterly Model'!X207</f>
        <v>133.10070230635125</v>
      </c>
      <c r="Y117" s="934">
        <f>'Quarterly Model'!Y207</f>
        <v>14.48186299900777</v>
      </c>
      <c r="Z117" s="934">
        <f>'Quarterly Model'!Z207</f>
        <v>1.9922232788542082</v>
      </c>
      <c r="AA117" s="934">
        <f>'Quarterly Model'!AA207</f>
        <v>17.285172247108566</v>
      </c>
      <c r="AB117" s="934">
        <f>'Quarterly Model'!AB207</f>
        <v>48.639151466865968</v>
      </c>
      <c r="AC117" s="933">
        <f>'Quarterly Model'!AC207</f>
        <v>82.398409991836488</v>
      </c>
      <c r="AD117" s="934">
        <f>'Quarterly Model'!AD207</f>
        <v>66.77933012210508</v>
      </c>
      <c r="AE117" s="934">
        <f>'Quarterly Model'!AE207</f>
        <v>25.369181540667206</v>
      </c>
      <c r="AF117" s="934">
        <f>'Quarterly Model'!AF207</f>
        <v>83.290449182886448</v>
      </c>
      <c r="AG117" s="934">
        <f>'Quarterly Model'!AG207</f>
        <v>90.502737127616058</v>
      </c>
      <c r="AH117" s="933">
        <f>'Quarterly Model'!AH207</f>
        <v>265.94169797327476</v>
      </c>
      <c r="AI117" s="934">
        <f>'Quarterly Model'!AI207</f>
        <v>125.65342318337321</v>
      </c>
      <c r="AJ117" s="934">
        <f>'Quarterly Model'!AJ207</f>
        <v>61.651185436179645</v>
      </c>
      <c r="AK117" s="934">
        <f>'Quarterly Model'!AK207</f>
        <v>132.79427516168565</v>
      </c>
      <c r="AL117" s="934">
        <f>'Quarterly Model'!AL207</f>
        <v>149.20404198509834</v>
      </c>
      <c r="AM117" s="933">
        <f>'Quarterly Model'!AM207</f>
        <v>469.30292576633701</v>
      </c>
    </row>
    <row r="118" spans="1:39" ht="13.5" thickTop="1">
      <c r="A118" s="858"/>
      <c r="B118" s="923"/>
      <c r="C118" s="924"/>
      <c r="D118" s="925"/>
      <c r="E118" s="528"/>
      <c r="F118" s="528"/>
      <c r="G118" s="528"/>
      <c r="H118" s="528"/>
      <c r="I118" s="925"/>
      <c r="J118" s="528"/>
      <c r="K118" s="528"/>
      <c r="L118" s="528"/>
      <c r="M118" s="528"/>
      <c r="N118" s="925"/>
      <c r="O118" s="528"/>
      <c r="P118" s="528"/>
      <c r="Q118" s="528"/>
      <c r="R118" s="528"/>
      <c r="S118" s="925"/>
      <c r="T118" s="528"/>
      <c r="U118" s="528"/>
      <c r="V118" s="528"/>
      <c r="W118" s="528"/>
      <c r="X118" s="925"/>
      <c r="Y118" s="528"/>
      <c r="Z118" s="528"/>
      <c r="AA118" s="528"/>
      <c r="AB118" s="528"/>
      <c r="AC118" s="925"/>
      <c r="AD118" s="528"/>
      <c r="AE118" s="528"/>
      <c r="AF118" s="528"/>
      <c r="AG118" s="528"/>
      <c r="AH118" s="925"/>
      <c r="AI118" s="528"/>
      <c r="AJ118" s="528"/>
      <c r="AK118" s="528"/>
      <c r="AL118" s="528"/>
      <c r="AM118" s="925"/>
    </row>
    <row r="119" spans="1:39">
      <c r="A119" s="858"/>
      <c r="B119" s="935" t="s">
        <v>426</v>
      </c>
      <c r="C119" s="936">
        <f>'Quarterly Model'!C210</f>
        <v>219.40899999999999</v>
      </c>
      <c r="D119" s="937">
        <f>'Quarterly Model'!D210</f>
        <v>166.17599999999999</v>
      </c>
      <c r="E119" s="938"/>
      <c r="F119" s="938"/>
      <c r="G119" s="938"/>
      <c r="H119" s="938"/>
      <c r="I119" s="937">
        <f>'Quarterly Model'!I210</f>
        <v>225.3</v>
      </c>
      <c r="J119" s="938">
        <f>'Quarterly Model'!J210</f>
        <v>200.97000000000003</v>
      </c>
      <c r="K119" s="938">
        <f>'Quarterly Model'!K210</f>
        <v>197.94000000000003</v>
      </c>
      <c r="L119" s="938">
        <f>'Quarterly Model'!L210</f>
        <v>174.08300000000003</v>
      </c>
      <c r="M119" s="938">
        <f>'Quarterly Model'!M210</f>
        <v>470.77500000000003</v>
      </c>
      <c r="N119" s="937">
        <f>'Quarterly Model'!N210</f>
        <v>470.77499999999998</v>
      </c>
      <c r="O119" s="938">
        <f>'Quarterly Model'!O210</f>
        <v>370.64600000000002</v>
      </c>
      <c r="P119" s="938">
        <f>'Quarterly Model'!P210</f>
        <v>342.43599999999998</v>
      </c>
      <c r="Q119" s="938">
        <f>'Quarterly Model'!Q210</f>
        <v>437.9</v>
      </c>
      <c r="R119" s="938">
        <f>'Quarterly Model'!R210</f>
        <v>452.02999999999992</v>
      </c>
      <c r="S119" s="937">
        <f>'Quarterly Model'!S210</f>
        <v>452.02999999999992</v>
      </c>
      <c r="T119" s="938">
        <f>'Quarterly Model'!T210</f>
        <v>704.49399999999991</v>
      </c>
      <c r="U119" s="938">
        <f>'Quarterly Model'!U210</f>
        <v>716.98899999999992</v>
      </c>
      <c r="V119" s="938">
        <f>'Quarterly Model'!V210</f>
        <v>658.41199999999981</v>
      </c>
      <c r="W119" s="938">
        <f>'Quarterly Model'!W210</f>
        <v>585.1337023063511</v>
      </c>
      <c r="X119" s="937">
        <f>'Quarterly Model'!X210</f>
        <v>585.13070230635117</v>
      </c>
      <c r="Y119" s="938">
        <f>'Quarterly Model'!Y210</f>
        <v>599.61256530535888</v>
      </c>
      <c r="Z119" s="938">
        <f>'Quarterly Model'!Z210</f>
        <v>601.60478858421311</v>
      </c>
      <c r="AA119" s="938">
        <f>'Quarterly Model'!AA210</f>
        <v>618.88996083132167</v>
      </c>
      <c r="AB119" s="938">
        <f>'Quarterly Model'!AB210</f>
        <v>667.52911229818767</v>
      </c>
      <c r="AC119" s="937">
        <f>'Quarterly Model'!AC210</f>
        <v>667.52911229818767</v>
      </c>
      <c r="AD119" s="938">
        <f>'Quarterly Model'!AD210</f>
        <v>734.30844242029275</v>
      </c>
      <c r="AE119" s="938">
        <f>'Quarterly Model'!AE210</f>
        <v>759.67762396095998</v>
      </c>
      <c r="AF119" s="938">
        <f>'Quarterly Model'!AF210</f>
        <v>842.96807314384637</v>
      </c>
      <c r="AG119" s="938">
        <f>'Quarterly Model'!AG210</f>
        <v>933.47081027146237</v>
      </c>
      <c r="AH119" s="937">
        <f>'Quarterly Model'!AH210</f>
        <v>933.47081027146237</v>
      </c>
      <c r="AI119" s="938">
        <f>'Quarterly Model'!AI210</f>
        <v>1059.1242334548356</v>
      </c>
      <c r="AJ119" s="938">
        <f>'Quarterly Model'!AJ210</f>
        <v>1120.7754188910153</v>
      </c>
      <c r="AK119" s="938">
        <f>'Quarterly Model'!AK210</f>
        <v>1253.5696940527009</v>
      </c>
      <c r="AL119" s="938">
        <f>'Quarterly Model'!AL210</f>
        <v>1402.7737360377992</v>
      </c>
      <c r="AM119" s="937">
        <f>'Quarterly Model'!AM210</f>
        <v>1402.7737360377994</v>
      </c>
    </row>
    <row r="120" spans="1:39">
      <c r="A120" s="24"/>
      <c r="B120" s="24"/>
      <c r="C120" s="23"/>
      <c r="D120" s="23"/>
      <c r="E120" s="24"/>
      <c r="F120" s="24"/>
      <c r="G120" s="24"/>
      <c r="H120" s="24"/>
      <c r="I120" s="23"/>
      <c r="J120" s="24"/>
      <c r="K120" s="24"/>
      <c r="L120" s="24"/>
      <c r="M120" s="24"/>
      <c r="N120" s="23"/>
      <c r="O120" s="24"/>
      <c r="P120" s="24"/>
      <c r="Q120" s="24"/>
      <c r="R120" s="24"/>
      <c r="S120" s="23"/>
      <c r="T120" s="24"/>
      <c r="U120" s="24"/>
      <c r="V120" s="24"/>
      <c r="W120" s="24"/>
      <c r="X120" s="23"/>
      <c r="Y120" s="24"/>
      <c r="Z120" s="24"/>
      <c r="AA120" s="24"/>
      <c r="AB120" s="24"/>
      <c r="AC120" s="23"/>
      <c r="AD120" s="24"/>
      <c r="AE120" s="24"/>
      <c r="AF120" s="24"/>
      <c r="AG120" s="24"/>
      <c r="AH120" s="23"/>
      <c r="AI120" s="24"/>
      <c r="AJ120" s="24"/>
      <c r="AK120" s="24"/>
      <c r="AL120" s="24"/>
      <c r="AM120" s="23"/>
    </row>
    <row r="121" spans="1:39">
      <c r="A121" s="858"/>
      <c r="B121" s="916" t="s">
        <v>427</v>
      </c>
      <c r="C121" s="917" t="str">
        <f>C5</f>
        <v>2012A</v>
      </c>
      <c r="D121" s="917" t="str">
        <f t="shared" ref="D121:AM121" si="2">D5</f>
        <v>2013A</v>
      </c>
      <c r="E121" s="918" t="str">
        <f t="shared" si="2"/>
        <v>1Q14A</v>
      </c>
      <c r="F121" s="918" t="str">
        <f t="shared" si="2"/>
        <v>2Q14A</v>
      </c>
      <c r="G121" s="918" t="str">
        <f t="shared" si="2"/>
        <v>3Q14A</v>
      </c>
      <c r="H121" s="918" t="str">
        <f t="shared" si="2"/>
        <v>4Q14A</v>
      </c>
      <c r="I121" s="917" t="str">
        <f t="shared" si="2"/>
        <v>2014A</v>
      </c>
      <c r="J121" s="918" t="str">
        <f t="shared" si="2"/>
        <v>1Q15A</v>
      </c>
      <c r="K121" s="918" t="str">
        <f t="shared" si="2"/>
        <v>2Q15A</v>
      </c>
      <c r="L121" s="918" t="str">
        <f t="shared" si="2"/>
        <v>3Q15A</v>
      </c>
      <c r="M121" s="918" t="str">
        <f t="shared" si="2"/>
        <v>4Q15A</v>
      </c>
      <c r="N121" s="917" t="str">
        <f t="shared" si="2"/>
        <v>2015A</v>
      </c>
      <c r="O121" s="918" t="str">
        <f t="shared" si="2"/>
        <v>1Q16A</v>
      </c>
      <c r="P121" s="918" t="str">
        <f t="shared" si="2"/>
        <v>2Q16A</v>
      </c>
      <c r="Q121" s="918" t="str">
        <f t="shared" si="2"/>
        <v>3Q16A</v>
      </c>
      <c r="R121" s="918" t="str">
        <f t="shared" si="2"/>
        <v>4Q16A</v>
      </c>
      <c r="S121" s="919" t="str">
        <f t="shared" si="2"/>
        <v>2016A</v>
      </c>
      <c r="T121" s="918" t="str">
        <f t="shared" si="2"/>
        <v>1Q17A</v>
      </c>
      <c r="U121" s="918" t="str">
        <f t="shared" si="2"/>
        <v>2Q17A</v>
      </c>
      <c r="V121" s="918" t="str">
        <f t="shared" si="2"/>
        <v>3Q17A</v>
      </c>
      <c r="W121" s="918" t="str">
        <f t="shared" si="2"/>
        <v>4Q17E</v>
      </c>
      <c r="X121" s="919" t="str">
        <f t="shared" si="2"/>
        <v>2017E</v>
      </c>
      <c r="Y121" s="918" t="str">
        <f t="shared" si="2"/>
        <v>1Q18E</v>
      </c>
      <c r="Z121" s="918" t="str">
        <f t="shared" si="2"/>
        <v>2Q18E</v>
      </c>
      <c r="AA121" s="918" t="str">
        <f t="shared" si="2"/>
        <v>3Q18E</v>
      </c>
      <c r="AB121" s="918" t="str">
        <f t="shared" si="2"/>
        <v>4Q18E</v>
      </c>
      <c r="AC121" s="920" t="str">
        <f t="shared" si="2"/>
        <v>2018E</v>
      </c>
      <c r="AD121" s="918" t="str">
        <f t="shared" si="2"/>
        <v>1Q19E</v>
      </c>
      <c r="AE121" s="918" t="str">
        <f t="shared" si="2"/>
        <v>2Q19E</v>
      </c>
      <c r="AF121" s="918" t="str">
        <f t="shared" si="2"/>
        <v>3Q19E</v>
      </c>
      <c r="AG121" s="918" t="str">
        <f t="shared" si="2"/>
        <v>4Q19E</v>
      </c>
      <c r="AH121" s="920" t="str">
        <f t="shared" si="2"/>
        <v>2019E</v>
      </c>
      <c r="AI121" s="918" t="str">
        <f t="shared" si="2"/>
        <v>1Q20E</v>
      </c>
      <c r="AJ121" s="918" t="str">
        <f t="shared" si="2"/>
        <v>2Q20E</v>
      </c>
      <c r="AK121" s="918" t="str">
        <f t="shared" si="2"/>
        <v>3Q20E</v>
      </c>
      <c r="AL121" s="918" t="str">
        <f t="shared" si="2"/>
        <v>4Q20E</v>
      </c>
      <c r="AM121" s="920" t="str">
        <f t="shared" si="2"/>
        <v>2020E</v>
      </c>
    </row>
    <row r="122" spans="1:39">
      <c r="A122" s="858"/>
      <c r="B122" s="923" t="str">
        <f>'Quarterly Model'!B222</f>
        <v>Cash and cash equivalents</v>
      </c>
      <c r="C122" s="924"/>
      <c r="D122" s="939">
        <f>'Quarterly Model'!D222</f>
        <v>166.17599999999999</v>
      </c>
      <c r="E122" s="472"/>
      <c r="F122" s="472"/>
      <c r="G122" s="472"/>
      <c r="H122" s="472"/>
      <c r="I122" s="939">
        <f>'Quarterly Model'!I222</f>
        <v>225.3</v>
      </c>
      <c r="J122" s="472">
        <f>'Quarterly Model'!J222</f>
        <v>200.97</v>
      </c>
      <c r="K122" s="472">
        <f>'Quarterly Model'!K222</f>
        <v>197.94</v>
      </c>
      <c r="L122" s="472">
        <f>'Quarterly Model'!L222</f>
        <v>174.083</v>
      </c>
      <c r="M122" s="472">
        <f>'Quarterly Model'!M222</f>
        <v>470.77499999999998</v>
      </c>
      <c r="N122" s="939">
        <f>'Quarterly Model'!N222</f>
        <v>470.77499999999998</v>
      </c>
      <c r="O122" s="472">
        <f>'Quarterly Model'!O222</f>
        <v>370.64600000000002</v>
      </c>
      <c r="P122" s="472">
        <f>'Quarterly Model'!P222</f>
        <v>342.43599999999998</v>
      </c>
      <c r="Q122" s="472">
        <f>'Quarterly Model'!Q222</f>
        <v>437.9</v>
      </c>
      <c r="R122" s="472">
        <f>'Quarterly Model'!R222</f>
        <v>452.03</v>
      </c>
      <c r="S122" s="939">
        <f>'Quarterly Model'!S222</f>
        <v>452.02999999999992</v>
      </c>
      <c r="T122" s="472">
        <f>'Quarterly Model'!T222</f>
        <v>704.49400000000003</v>
      </c>
      <c r="U122" s="472">
        <f>'Quarterly Model'!U222</f>
        <v>716.98900000000003</v>
      </c>
      <c r="V122" s="472">
        <f>'Quarterly Model'!V222</f>
        <v>658.41200000000003</v>
      </c>
      <c r="W122" s="472">
        <f>'Quarterly Model'!W222</f>
        <v>585.1337023063511</v>
      </c>
      <c r="X122" s="939">
        <f>'Quarterly Model'!X222</f>
        <v>585.13070230635117</v>
      </c>
      <c r="Y122" s="472">
        <f>'Quarterly Model'!Y222</f>
        <v>599.61256530535888</v>
      </c>
      <c r="Z122" s="472">
        <f>'Quarterly Model'!Z222</f>
        <v>601.60478858421311</v>
      </c>
      <c r="AA122" s="472">
        <f>'Quarterly Model'!AA222</f>
        <v>618.88996083132167</v>
      </c>
      <c r="AB122" s="472">
        <f>'Quarterly Model'!AB222</f>
        <v>667.52911229818767</v>
      </c>
      <c r="AC122" s="939">
        <f>'Quarterly Model'!AC222</f>
        <v>667.52911229818767</v>
      </c>
      <c r="AD122" s="472">
        <f>'Quarterly Model'!AD222</f>
        <v>734.30844242029275</v>
      </c>
      <c r="AE122" s="472">
        <f>'Quarterly Model'!AE222</f>
        <v>759.67762396095998</v>
      </c>
      <c r="AF122" s="472">
        <f>'Quarterly Model'!AF222</f>
        <v>842.96807314384637</v>
      </c>
      <c r="AG122" s="472">
        <f>'Quarterly Model'!AG222</f>
        <v>933.47081027146237</v>
      </c>
      <c r="AH122" s="939">
        <f>'Quarterly Model'!AH222</f>
        <v>933.47081027146237</v>
      </c>
      <c r="AI122" s="472">
        <f>'Quarterly Model'!AI222</f>
        <v>1059.1242334548356</v>
      </c>
      <c r="AJ122" s="472">
        <f>'Quarterly Model'!AJ222</f>
        <v>1120.7754188910153</v>
      </c>
      <c r="AK122" s="472">
        <f>'Quarterly Model'!AK222</f>
        <v>1253.5696940527009</v>
      </c>
      <c r="AL122" s="472">
        <f>'Quarterly Model'!AL222</f>
        <v>1402.7737360377992</v>
      </c>
      <c r="AM122" s="939">
        <f>'Quarterly Model'!AM222</f>
        <v>1402.7737360377994</v>
      </c>
    </row>
    <row r="123" spans="1:39">
      <c r="A123" s="858"/>
      <c r="B123" s="923" t="str">
        <f>'Quarterly Model'!B223</f>
        <v>Restricted cash</v>
      </c>
      <c r="C123" s="924"/>
      <c r="D123" s="939">
        <f>'Quarterly Model'!D223</f>
        <v>10</v>
      </c>
      <c r="E123" s="472"/>
      <c r="F123" s="472"/>
      <c r="G123" s="472"/>
      <c r="H123" s="472"/>
      <c r="I123" s="939">
        <f>'Quarterly Model'!I223</f>
        <v>11.95</v>
      </c>
      <c r="J123" s="472">
        <f>'Quarterly Model'!J223</f>
        <v>11.951000000000001</v>
      </c>
      <c r="K123" s="472">
        <f>'Quarterly Model'!K223</f>
        <v>11.951000000000001</v>
      </c>
      <c r="L123" s="472">
        <f>'Quarterly Model'!L223</f>
        <v>12.016999999999999</v>
      </c>
      <c r="M123" s="472">
        <f>'Quarterly Model'!M223</f>
        <v>13.537000000000001</v>
      </c>
      <c r="N123" s="939">
        <f>'Quarterly Model'!N223</f>
        <v>13.537000000000001</v>
      </c>
      <c r="O123" s="472">
        <f>'Quarterly Model'!O223</f>
        <v>13.542</v>
      </c>
      <c r="P123" s="472">
        <f>'Quarterly Model'!P223</f>
        <v>13.545</v>
      </c>
      <c r="Q123" s="472">
        <f>'Quarterly Model'!Q223</f>
        <v>13.558999999999999</v>
      </c>
      <c r="R123" s="472">
        <f>'Quarterly Model'!R223</f>
        <v>22.131</v>
      </c>
      <c r="S123" s="939">
        <f>'Quarterly Model'!S223</f>
        <v>22.131</v>
      </c>
      <c r="T123" s="472">
        <f>'Quarterly Model'!T223</f>
        <v>22.001999999999999</v>
      </c>
      <c r="U123" s="472">
        <f>'Quarterly Model'!U223</f>
        <v>22.146999999999998</v>
      </c>
      <c r="V123" s="472">
        <f>'Quarterly Model'!V223</f>
        <v>20.533000000000001</v>
      </c>
      <c r="W123" s="472">
        <f>'Quarterly Model'!W223</f>
        <v>20.533000000000001</v>
      </c>
      <c r="X123" s="939">
        <f>'Quarterly Model'!X223</f>
        <v>20.533000000000001</v>
      </c>
      <c r="Y123" s="472">
        <f>'Quarterly Model'!Y223</f>
        <v>20.533000000000001</v>
      </c>
      <c r="Z123" s="472">
        <f>'Quarterly Model'!Z223</f>
        <v>20.533000000000001</v>
      </c>
      <c r="AA123" s="472">
        <f>'Quarterly Model'!AA223</f>
        <v>20.533000000000001</v>
      </c>
      <c r="AB123" s="472">
        <f>'Quarterly Model'!AB223</f>
        <v>20.533000000000001</v>
      </c>
      <c r="AC123" s="939">
        <f>'Quarterly Model'!AC223</f>
        <v>20.533000000000001</v>
      </c>
      <c r="AD123" s="472">
        <f>'Quarterly Model'!AD223</f>
        <v>20.533000000000001</v>
      </c>
      <c r="AE123" s="472">
        <f>'Quarterly Model'!AE223</f>
        <v>20.533000000000001</v>
      </c>
      <c r="AF123" s="472">
        <f>'Quarterly Model'!AF223</f>
        <v>20.533000000000001</v>
      </c>
      <c r="AG123" s="472">
        <f>'Quarterly Model'!AG223</f>
        <v>20.533000000000001</v>
      </c>
      <c r="AH123" s="939">
        <f>'Quarterly Model'!AH223</f>
        <v>20.533000000000001</v>
      </c>
      <c r="AI123" s="472">
        <f>'Quarterly Model'!AI223</f>
        <v>20.533000000000001</v>
      </c>
      <c r="AJ123" s="472">
        <f>'Quarterly Model'!AJ223</f>
        <v>20.533000000000001</v>
      </c>
      <c r="AK123" s="472">
        <f>'Quarterly Model'!AK223</f>
        <v>20.533000000000001</v>
      </c>
      <c r="AL123" s="472">
        <f>'Quarterly Model'!AL223</f>
        <v>20.533000000000001</v>
      </c>
      <c r="AM123" s="939">
        <f>'Quarterly Model'!AM223</f>
        <v>20.533000000000001</v>
      </c>
    </row>
    <row r="124" spans="1:39">
      <c r="A124" s="858"/>
      <c r="B124" s="923" t="str">
        <f>'Quarterly Model'!B224</f>
        <v>Settlements receivable</v>
      </c>
      <c r="C124" s="924"/>
      <c r="D124" s="939">
        <f>'Quarterly Model'!D224</f>
        <v>64.968000000000004</v>
      </c>
      <c r="E124" s="472"/>
      <c r="F124" s="472"/>
      <c r="G124" s="472"/>
      <c r="H124" s="472"/>
      <c r="I124" s="939">
        <f>'Quarterly Model'!I224</f>
        <v>115.48099999999999</v>
      </c>
      <c r="J124" s="472">
        <f>'Quarterly Model'!J224</f>
        <v>149.47999999999999</v>
      </c>
      <c r="K124" s="472">
        <f>'Quarterly Model'!K224</f>
        <v>171.845</v>
      </c>
      <c r="L124" s="472">
        <f>'Quarterly Model'!L224</f>
        <v>156.18799999999999</v>
      </c>
      <c r="M124" s="472">
        <f>'Quarterly Model'!M224</f>
        <v>142.727</v>
      </c>
      <c r="N124" s="939">
        <f>'Quarterly Model'!N224</f>
        <v>142.727</v>
      </c>
      <c r="O124" s="472">
        <f>'Quarterly Model'!O224</f>
        <v>189.04900000000001</v>
      </c>
      <c r="P124" s="472">
        <f>'Quarterly Model'!P224</f>
        <v>204.541</v>
      </c>
      <c r="Q124" s="472">
        <f>'Quarterly Model'!Q224</f>
        <v>233.81200000000001</v>
      </c>
      <c r="R124" s="472">
        <f>'Quarterly Model'!R224</f>
        <v>321.10199999999998</v>
      </c>
      <c r="S124" s="939">
        <f>'Quarterly Model'!S224</f>
        <v>321.10199999999998</v>
      </c>
      <c r="T124" s="472">
        <f>'Quarterly Model'!T224</f>
        <v>266.08800000000002</v>
      </c>
      <c r="U124" s="472">
        <f>'Quarterly Model'!U224</f>
        <v>309.02100000000002</v>
      </c>
      <c r="V124" s="472">
        <f>'Quarterly Model'!V224</f>
        <v>587.63</v>
      </c>
      <c r="W124" s="472">
        <f>'Quarterly Model'!W224</f>
        <v>404.87669823020144</v>
      </c>
      <c r="X124" s="939">
        <f>'Quarterly Model'!X224</f>
        <v>404.87669823020144</v>
      </c>
      <c r="Y124" s="472">
        <f>'Quarterly Model'!Y224</f>
        <v>362.47678754221187</v>
      </c>
      <c r="Z124" s="472">
        <f>'Quarterly Model'!Z224</f>
        <v>436.15676179604759</v>
      </c>
      <c r="AA124" s="472">
        <f>'Quarterly Model'!AA224</f>
        <v>407.39563842572846</v>
      </c>
      <c r="AB124" s="472">
        <f>'Quarterly Model'!AB224</f>
        <v>422.30159806475211</v>
      </c>
      <c r="AC124" s="939">
        <f>'Quarterly Model'!AC224</f>
        <v>422.30159806475211</v>
      </c>
      <c r="AD124" s="472">
        <f>'Quarterly Model'!AD224</f>
        <v>409.32084408850636</v>
      </c>
      <c r="AE124" s="472">
        <f>'Quarterly Model'!AE224</f>
        <v>492.52272153420995</v>
      </c>
      <c r="AF124" s="472">
        <f>'Quarterly Model'!AF224</f>
        <v>534.07090426497336</v>
      </c>
      <c r="AG124" s="472">
        <f>'Quarterly Model'!AG224</f>
        <v>540.54604552288265</v>
      </c>
      <c r="AH124" s="939">
        <f>'Quarterly Model'!AH224</f>
        <v>540.54604552288265</v>
      </c>
      <c r="AI124" s="472">
        <f>'Quarterly Model'!AI224</f>
        <v>528.21043911395111</v>
      </c>
      <c r="AJ124" s="472">
        <f>'Quarterly Model'!AJ224</f>
        <v>635.57878073497409</v>
      </c>
      <c r="AK124" s="472">
        <f>'Quarterly Model'!AK224</f>
        <v>672.92933937386647</v>
      </c>
      <c r="AL124" s="472">
        <f>'Quarterly Model'!AL224</f>
        <v>681.08801735883219</v>
      </c>
      <c r="AM124" s="939">
        <f>'Quarterly Model'!AM224</f>
        <v>681.08801735883219</v>
      </c>
    </row>
    <row r="125" spans="1:39">
      <c r="A125" s="858"/>
      <c r="B125" s="923" t="str">
        <f>'Quarterly Model'!B225</f>
        <v>Merchant cash advance receivable, net</v>
      </c>
      <c r="C125" s="924"/>
      <c r="D125" s="939">
        <f>'Quarterly Model'!D225</f>
        <v>0</v>
      </c>
      <c r="E125" s="472"/>
      <c r="F125" s="472"/>
      <c r="G125" s="472"/>
      <c r="H125" s="472"/>
      <c r="I125" s="939">
        <f>'Quarterly Model'!I225</f>
        <v>29.302</v>
      </c>
      <c r="J125" s="472">
        <f>'Quarterly Model'!J225</f>
        <v>30.693000000000001</v>
      </c>
      <c r="K125" s="472">
        <f>'Quarterly Model'!K225</f>
        <v>32.485999999999997</v>
      </c>
      <c r="L125" s="472">
        <f>'Quarterly Model'!L225</f>
        <v>43.637999999999998</v>
      </c>
      <c r="M125" s="472">
        <f>'Quarterly Model'!M225</f>
        <v>36.472999999999999</v>
      </c>
      <c r="N125" s="939">
        <f>'Quarterly Model'!N225</f>
        <v>36.472999999999999</v>
      </c>
      <c r="O125" s="472">
        <f>'Quarterly Model'!O225</f>
        <v>48.156999999999996</v>
      </c>
      <c r="P125" s="472">
        <f>'Quarterly Model'!P225</f>
        <v>21.268000000000001</v>
      </c>
      <c r="Q125" s="472">
        <f>'Quarterly Model'!Q225</f>
        <v>8.2680000000000007</v>
      </c>
      <c r="R125" s="472">
        <f>'Quarterly Model'!R225</f>
        <v>4.2119999999999997</v>
      </c>
      <c r="S125" s="939">
        <f>'Quarterly Model'!S225</f>
        <v>4.2119999999999997</v>
      </c>
      <c r="T125" s="472">
        <f>'Quarterly Model'!T225</f>
        <v>0</v>
      </c>
      <c r="U125" s="472">
        <f>'Quarterly Model'!U225</f>
        <v>0</v>
      </c>
      <c r="V125" s="472">
        <f>'Quarterly Model'!V225</f>
        <v>0</v>
      </c>
      <c r="W125" s="472">
        <f>'Quarterly Model'!W225</f>
        <v>0</v>
      </c>
      <c r="X125" s="939">
        <f>'Quarterly Model'!X225</f>
        <v>0</v>
      </c>
      <c r="Y125" s="472">
        <f>'Quarterly Model'!Y225</f>
        <v>0</v>
      </c>
      <c r="Z125" s="472">
        <f>'Quarterly Model'!Z225</f>
        <v>0</v>
      </c>
      <c r="AA125" s="472">
        <f>'Quarterly Model'!AA225</f>
        <v>0</v>
      </c>
      <c r="AB125" s="472">
        <f>'Quarterly Model'!AB225</f>
        <v>0</v>
      </c>
      <c r="AC125" s="939">
        <f>'Quarterly Model'!AC225</f>
        <v>0</v>
      </c>
      <c r="AD125" s="472">
        <f>'Quarterly Model'!AD225</f>
        <v>0</v>
      </c>
      <c r="AE125" s="472">
        <f>'Quarterly Model'!AE225</f>
        <v>0</v>
      </c>
      <c r="AF125" s="472">
        <f>'Quarterly Model'!AF225</f>
        <v>0</v>
      </c>
      <c r="AG125" s="472">
        <f>'Quarterly Model'!AG225</f>
        <v>0</v>
      </c>
      <c r="AH125" s="939">
        <f>'Quarterly Model'!AH225</f>
        <v>0</v>
      </c>
      <c r="AI125" s="472">
        <f>'Quarterly Model'!AI225</f>
        <v>0</v>
      </c>
      <c r="AJ125" s="472">
        <f>'Quarterly Model'!AJ225</f>
        <v>0</v>
      </c>
      <c r="AK125" s="472">
        <f>'Quarterly Model'!AK225</f>
        <v>0</v>
      </c>
      <c r="AL125" s="472">
        <f>'Quarterly Model'!AL225</f>
        <v>0</v>
      </c>
      <c r="AM125" s="939">
        <f>'Quarterly Model'!AM225</f>
        <v>0</v>
      </c>
    </row>
    <row r="126" spans="1:39">
      <c r="A126" s="858"/>
      <c r="B126" s="923" t="str">
        <f>'Quarterly Model'!B226</f>
        <v>Other current assets</v>
      </c>
      <c r="C126" s="924"/>
      <c r="D126" s="939">
        <f>'Quarterly Model'!D226</f>
        <v>12.657999999999999</v>
      </c>
      <c r="E126" s="472"/>
      <c r="F126" s="472"/>
      <c r="G126" s="472"/>
      <c r="H126" s="472"/>
      <c r="I126" s="939">
        <f>'Quarterly Model'!I226</f>
        <v>27.834</v>
      </c>
      <c r="J126" s="472">
        <f>'Quarterly Model'!J226</f>
        <v>24.91</v>
      </c>
      <c r="K126" s="472">
        <f>'Quarterly Model'!K226</f>
        <v>32.582999999999998</v>
      </c>
      <c r="L126" s="472">
        <f>'Quarterly Model'!L226</f>
        <v>32.561</v>
      </c>
      <c r="M126" s="472">
        <f>'Quarterly Model'!M226</f>
        <v>42.051000000000002</v>
      </c>
      <c r="N126" s="939">
        <f>'Quarterly Model'!N226</f>
        <v>42.051000000000002</v>
      </c>
      <c r="O126" s="472">
        <f>'Quarterly Model'!O226</f>
        <v>98.658000000000001</v>
      </c>
      <c r="P126" s="472">
        <f>'Quarterly Model'!P226</f>
        <v>139.238</v>
      </c>
      <c r="Q126" s="472">
        <f>'Quarterly Model'!Q226</f>
        <v>149.488</v>
      </c>
      <c r="R126" s="472">
        <f>'Quarterly Model'!R226</f>
        <v>201.95</v>
      </c>
      <c r="S126" s="939">
        <f>'Quarterly Model'!S226</f>
        <v>201.95</v>
      </c>
      <c r="T126" s="472">
        <f>'Quarterly Model'!T226</f>
        <v>350.77099999999996</v>
      </c>
      <c r="U126" s="472">
        <f>'Quarterly Model'!U226</f>
        <v>389.76</v>
      </c>
      <c r="V126" s="472">
        <f>'Quarterly Model'!V226</f>
        <v>420.30200000000002</v>
      </c>
      <c r="W126" s="472">
        <f>'Quarterly Model'!W226</f>
        <v>429.53826932318134</v>
      </c>
      <c r="X126" s="939">
        <f>'Quarterly Model'!X226</f>
        <v>429.53826932318134</v>
      </c>
      <c r="Y126" s="472">
        <f>'Quarterly Model'!Y226</f>
        <v>437.37886431106796</v>
      </c>
      <c r="Z126" s="472">
        <f>'Quarterly Model'!Z226</f>
        <v>525.92645267938371</v>
      </c>
      <c r="AA126" s="472">
        <f>'Quarterly Model'!AA226</f>
        <v>559.07046628161982</v>
      </c>
      <c r="AB126" s="472">
        <f>'Quarterly Model'!AB226</f>
        <v>574.89672252096636</v>
      </c>
      <c r="AC126" s="939">
        <f>'Quarterly Model'!AC226</f>
        <v>574.89672252096636</v>
      </c>
      <c r="AD126" s="472">
        <f>'Quarterly Model'!AD226</f>
        <v>573.13844893910505</v>
      </c>
      <c r="AE126" s="472">
        <f>'Quarterly Model'!AE226</f>
        <v>689.23715348434325</v>
      </c>
      <c r="AF126" s="472">
        <f>'Quarterly Model'!AF226</f>
        <v>733.45516729419592</v>
      </c>
      <c r="AG126" s="472">
        <f>'Quarterly Model'!AG226</f>
        <v>756.34248117072991</v>
      </c>
      <c r="AH126" s="939">
        <f>'Quarterly Model'!AH226</f>
        <v>756.34248117072991</v>
      </c>
      <c r="AI126" s="472">
        <f>'Quarterly Model'!AI226</f>
        <v>738.02803941717866</v>
      </c>
      <c r="AJ126" s="472">
        <f>'Quarterly Model'!AJ226</f>
        <v>887.62641839537753</v>
      </c>
      <c r="AK126" s="472">
        <f>'Quarterly Model'!AK226</f>
        <v>945.538667210791</v>
      </c>
      <c r="AL126" s="472">
        <f>'Quarterly Model'!AL226</f>
        <v>977.57922840188871</v>
      </c>
      <c r="AM126" s="939">
        <f>'Quarterly Model'!AM226</f>
        <v>977.57922840188871</v>
      </c>
    </row>
    <row r="127" spans="1:39">
      <c r="A127" s="940"/>
      <c r="B127" s="941" t="str">
        <f>'Quarterly Model'!B227</f>
        <v>Total current assets</v>
      </c>
      <c r="C127" s="924"/>
      <c r="D127" s="939">
        <f>'Quarterly Model'!D227</f>
        <v>253.80199999999999</v>
      </c>
      <c r="E127" s="942"/>
      <c r="F127" s="942"/>
      <c r="G127" s="942"/>
      <c r="H127" s="942"/>
      <c r="I127" s="939">
        <f>'Quarterly Model'!I227</f>
        <v>409.86700000000002</v>
      </c>
      <c r="J127" s="942">
        <f>'Quarterly Model'!J227</f>
        <v>418.00399999999996</v>
      </c>
      <c r="K127" s="942">
        <f>'Quarterly Model'!K227</f>
        <v>446.80499999999995</v>
      </c>
      <c r="L127" s="942">
        <f>'Quarterly Model'!L227</f>
        <v>418.48699999999997</v>
      </c>
      <c r="M127" s="942">
        <f>'Quarterly Model'!M227</f>
        <v>705.56299999999999</v>
      </c>
      <c r="N127" s="939">
        <f>'Quarterly Model'!N227</f>
        <v>705.56299999999999</v>
      </c>
      <c r="O127" s="942">
        <f>'Quarterly Model'!O227</f>
        <v>720.05200000000002</v>
      </c>
      <c r="P127" s="942">
        <f>'Quarterly Model'!P227</f>
        <v>721.02800000000002</v>
      </c>
      <c r="Q127" s="942">
        <f>'Quarterly Model'!Q227</f>
        <v>843.02700000000004</v>
      </c>
      <c r="R127" s="942">
        <f>'Quarterly Model'!R227</f>
        <v>1001.425</v>
      </c>
      <c r="S127" s="939">
        <f>'Quarterly Model'!S227</f>
        <v>1001.425</v>
      </c>
      <c r="T127" s="942">
        <f>'Quarterly Model'!T227</f>
        <v>1343.355</v>
      </c>
      <c r="U127" s="942">
        <f>'Quarterly Model'!U227</f>
        <v>1437.9170000000001</v>
      </c>
      <c r="V127" s="942">
        <f>'Quarterly Model'!V227</f>
        <v>1686.877</v>
      </c>
      <c r="W127" s="942">
        <f>'Quarterly Model'!W227</f>
        <v>1440.0816698597339</v>
      </c>
      <c r="X127" s="939">
        <f>'Quarterly Model'!X227</f>
        <v>1440.078669859734</v>
      </c>
      <c r="Y127" s="942">
        <f>'Quarterly Model'!Y227</f>
        <v>1420.0012171586386</v>
      </c>
      <c r="Z127" s="942">
        <f>'Quarterly Model'!Z227</f>
        <v>1584.2210030596443</v>
      </c>
      <c r="AA127" s="942">
        <f>'Quarterly Model'!AA227</f>
        <v>1605.8890655386699</v>
      </c>
      <c r="AB127" s="942">
        <f>'Quarterly Model'!AB227</f>
        <v>1685.2604328839061</v>
      </c>
      <c r="AC127" s="939">
        <f>'Quarterly Model'!AC227</f>
        <v>1685.2604328839061</v>
      </c>
      <c r="AD127" s="942">
        <f>'Quarterly Model'!AD227</f>
        <v>1737.3007354479041</v>
      </c>
      <c r="AE127" s="942">
        <f>'Quarterly Model'!AE227</f>
        <v>1961.9704989795132</v>
      </c>
      <c r="AF127" s="942">
        <f>'Quarterly Model'!AF227</f>
        <v>2131.0271447030154</v>
      </c>
      <c r="AG127" s="942">
        <f>'Quarterly Model'!AG227</f>
        <v>2250.8923369650752</v>
      </c>
      <c r="AH127" s="939">
        <f>'Quarterly Model'!AH227</f>
        <v>2250.8923369650752</v>
      </c>
      <c r="AI127" s="942">
        <f>'Quarterly Model'!AI227</f>
        <v>2345.8957119859651</v>
      </c>
      <c r="AJ127" s="942">
        <f>'Quarterly Model'!AJ227</f>
        <v>2664.5136180213667</v>
      </c>
      <c r="AK127" s="942">
        <f>'Quarterly Model'!AK227</f>
        <v>2892.5707006373582</v>
      </c>
      <c r="AL127" s="942">
        <f>'Quarterly Model'!AL227</f>
        <v>3081.9739817985201</v>
      </c>
      <c r="AM127" s="939">
        <f>'Quarterly Model'!AM227</f>
        <v>3081.9739817985201</v>
      </c>
    </row>
    <row r="128" spans="1:39">
      <c r="A128" s="858"/>
      <c r="B128" s="923" t="str">
        <f>'Quarterly Model'!B228</f>
        <v>Property and equipment, net of accumulated depreciation</v>
      </c>
      <c r="C128" s="924"/>
      <c r="D128" s="939">
        <f>'Quarterly Model'!D228</f>
        <v>51.655999999999999</v>
      </c>
      <c r="E128" s="472"/>
      <c r="F128" s="472"/>
      <c r="G128" s="472"/>
      <c r="H128" s="472"/>
      <c r="I128" s="939">
        <f>'Quarterly Model'!I228</f>
        <v>63.732999999999997</v>
      </c>
      <c r="J128" s="472">
        <f>'Quarterly Model'!J228</f>
        <v>73.980999999999995</v>
      </c>
      <c r="K128" s="472">
        <f>'Quarterly Model'!K228</f>
        <v>81.293999999999997</v>
      </c>
      <c r="L128" s="472">
        <f>'Quarterly Model'!L228</f>
        <v>85.012</v>
      </c>
      <c r="M128" s="472">
        <f>'Quarterly Model'!M228</f>
        <v>87.221999999999994</v>
      </c>
      <c r="N128" s="939">
        <f>'Quarterly Model'!N228</f>
        <v>87.221999999999994</v>
      </c>
      <c r="O128" s="472">
        <f>'Quarterly Model'!O228</f>
        <v>89.039000000000001</v>
      </c>
      <c r="P128" s="472">
        <f>'Quarterly Model'!P228</f>
        <v>86.325000000000003</v>
      </c>
      <c r="Q128" s="472">
        <f>'Quarterly Model'!Q228</f>
        <v>89.956999999999994</v>
      </c>
      <c r="R128" s="472">
        <f>'Quarterly Model'!R228</f>
        <v>88.328000000000003</v>
      </c>
      <c r="S128" s="939">
        <f>'Quarterly Model'!S228</f>
        <v>88.328000000000003</v>
      </c>
      <c r="T128" s="472">
        <f>'Quarterly Model'!T228</f>
        <v>91.013000000000005</v>
      </c>
      <c r="U128" s="472">
        <f>'Quarterly Model'!U228</f>
        <v>87.441999999999993</v>
      </c>
      <c r="V128" s="472">
        <f>'Quarterly Model'!V228</f>
        <v>88.665999999999997</v>
      </c>
      <c r="W128" s="472">
        <f>'Quarterly Model'!W228</f>
        <v>85.066438950605743</v>
      </c>
      <c r="X128" s="939">
        <f>'Quarterly Model'!X228</f>
        <v>85.066438950605743</v>
      </c>
      <c r="Y128" s="472">
        <f>'Quarterly Model'!Y228</f>
        <v>85.00720281809285</v>
      </c>
      <c r="Z128" s="472">
        <f>'Quarterly Model'!Z228</f>
        <v>87.524927622205269</v>
      </c>
      <c r="AA128" s="472">
        <f>'Quarterly Model'!AA228</f>
        <v>90.193420095042114</v>
      </c>
      <c r="AB128" s="472">
        <f>'Quarterly Model'!AB228</f>
        <v>90.072518768757547</v>
      </c>
      <c r="AC128" s="939">
        <f>'Quarterly Model'!AC228</f>
        <v>90.072518768757547</v>
      </c>
      <c r="AD128" s="472">
        <f>'Quarterly Model'!AD228</f>
        <v>90.955188950826511</v>
      </c>
      <c r="AE128" s="472">
        <f>'Quarterly Model'!AE228</f>
        <v>95.606555983826595</v>
      </c>
      <c r="AF128" s="472">
        <f>'Quarterly Model'!AF228</f>
        <v>100.57867242310427</v>
      </c>
      <c r="AG128" s="472">
        <f>'Quarterly Model'!AG228</f>
        <v>101.83423000258711</v>
      </c>
      <c r="AH128" s="939">
        <f>'Quarterly Model'!AH228</f>
        <v>101.83423000258711</v>
      </c>
      <c r="AI128" s="472">
        <f>'Quarterly Model'!AI228</f>
        <v>103.9369199844446</v>
      </c>
      <c r="AJ128" s="472">
        <f>'Quarterly Model'!AJ228</f>
        <v>111.32114843831243</v>
      </c>
      <c r="AK128" s="472">
        <f>'Quarterly Model'!AK228</f>
        <v>119.25124695353873</v>
      </c>
      <c r="AL128" s="472">
        <f>'Quarterly Model'!AL228</f>
        <v>122.30792400529701</v>
      </c>
      <c r="AM128" s="939">
        <f>'Quarterly Model'!AM228</f>
        <v>122.30792400529701</v>
      </c>
    </row>
    <row r="129" spans="1:39">
      <c r="A129" s="858"/>
      <c r="B129" s="923" t="str">
        <f>'Quarterly Model'!B229</f>
        <v>Goodwill</v>
      </c>
      <c r="C129" s="924"/>
      <c r="D129" s="939">
        <f>'Quarterly Model'!D229</f>
        <v>0.60199999999999998</v>
      </c>
      <c r="E129" s="472"/>
      <c r="F129" s="472"/>
      <c r="G129" s="472"/>
      <c r="H129" s="472"/>
      <c r="I129" s="939">
        <f>'Quarterly Model'!I229</f>
        <v>40.267000000000003</v>
      </c>
      <c r="J129" s="472">
        <f>'Quarterly Model'!J229</f>
        <v>54.279000000000003</v>
      </c>
      <c r="K129" s="472">
        <f>'Quarterly Model'!K229</f>
        <v>54.279000000000003</v>
      </c>
      <c r="L129" s="472">
        <f>'Quarterly Model'!L229</f>
        <v>56.899000000000001</v>
      </c>
      <c r="M129" s="472">
        <f>'Quarterly Model'!M229</f>
        <v>56.698999999999998</v>
      </c>
      <c r="N129" s="939">
        <f>'Quarterly Model'!N229</f>
        <v>56.698999999999998</v>
      </c>
      <c r="O129" s="472">
        <f>'Quarterly Model'!O229</f>
        <v>56.698999999999998</v>
      </c>
      <c r="P129" s="472">
        <f>'Quarterly Model'!P229</f>
        <v>56.698999999999998</v>
      </c>
      <c r="Q129" s="472">
        <f>'Quarterly Model'!Q229</f>
        <v>56.698999999999998</v>
      </c>
      <c r="R129" s="472">
        <f>'Quarterly Model'!R229</f>
        <v>57.173000000000002</v>
      </c>
      <c r="S129" s="939">
        <f>'Quarterly Model'!S229</f>
        <v>57.173000000000002</v>
      </c>
      <c r="T129" s="472">
        <f>'Quarterly Model'!T229</f>
        <v>58.103000000000002</v>
      </c>
      <c r="U129" s="472">
        <f>'Quarterly Model'!U229</f>
        <v>57.960999999999999</v>
      </c>
      <c r="V129" s="472">
        <f>'Quarterly Model'!V229</f>
        <v>57.960999999999999</v>
      </c>
      <c r="W129" s="472">
        <f>'Quarterly Model'!W229</f>
        <v>57.960999999999999</v>
      </c>
      <c r="X129" s="939">
        <f>'Quarterly Model'!X229</f>
        <v>57.960999999999999</v>
      </c>
      <c r="Y129" s="472">
        <f>'Quarterly Model'!Y229</f>
        <v>57.960999999999999</v>
      </c>
      <c r="Z129" s="472">
        <f>'Quarterly Model'!Z229</f>
        <v>57.960999999999999</v>
      </c>
      <c r="AA129" s="472">
        <f>'Quarterly Model'!AA229</f>
        <v>57.960999999999999</v>
      </c>
      <c r="AB129" s="472">
        <f>'Quarterly Model'!AB229</f>
        <v>57.960999999999999</v>
      </c>
      <c r="AC129" s="939">
        <f>'Quarterly Model'!AC229</f>
        <v>57.960999999999999</v>
      </c>
      <c r="AD129" s="472">
        <f>'Quarterly Model'!AD229</f>
        <v>57.960999999999999</v>
      </c>
      <c r="AE129" s="472">
        <f>'Quarterly Model'!AE229</f>
        <v>57.960999999999999</v>
      </c>
      <c r="AF129" s="472">
        <f>'Quarterly Model'!AF229</f>
        <v>57.960999999999999</v>
      </c>
      <c r="AG129" s="472">
        <f>'Quarterly Model'!AG229</f>
        <v>57.960999999999999</v>
      </c>
      <c r="AH129" s="939">
        <f>'Quarterly Model'!AH229</f>
        <v>57.960999999999999</v>
      </c>
      <c r="AI129" s="472">
        <f>'Quarterly Model'!AI229</f>
        <v>57.960999999999999</v>
      </c>
      <c r="AJ129" s="472">
        <f>'Quarterly Model'!AJ229</f>
        <v>57.960999999999999</v>
      </c>
      <c r="AK129" s="472">
        <f>'Quarterly Model'!AK229</f>
        <v>57.960999999999999</v>
      </c>
      <c r="AL129" s="472">
        <f>'Quarterly Model'!AL229</f>
        <v>57.960999999999999</v>
      </c>
      <c r="AM129" s="939">
        <f>'Quarterly Model'!AM229</f>
        <v>57.960999999999999</v>
      </c>
    </row>
    <row r="130" spans="1:39">
      <c r="A130" s="858"/>
      <c r="B130" s="923" t="str">
        <f>'Quarterly Model'!B230</f>
        <v>Acquired intangible assets, net of accumulated amortization</v>
      </c>
      <c r="C130" s="924"/>
      <c r="D130" s="939">
        <f>'Quarterly Model'!D230</f>
        <v>0.61199999999999999</v>
      </c>
      <c r="E130" s="472"/>
      <c r="F130" s="472"/>
      <c r="G130" s="472"/>
      <c r="H130" s="472"/>
      <c r="I130" s="939">
        <f>'Quarterly Model'!I230</f>
        <v>10.279</v>
      </c>
      <c r="J130" s="472">
        <f>'Quarterly Model'!J230</f>
        <v>21.259</v>
      </c>
      <c r="K130" s="472">
        <f>'Quarterly Model'!K230</f>
        <v>19.617999999999999</v>
      </c>
      <c r="L130" s="472">
        <f>'Quarterly Model'!L230</f>
        <v>20.725999999999999</v>
      </c>
      <c r="M130" s="472">
        <f>'Quarterly Model'!M230</f>
        <v>26.776</v>
      </c>
      <c r="N130" s="939">
        <f>'Quarterly Model'!N230</f>
        <v>26.776</v>
      </c>
      <c r="O130" s="472">
        <f>'Quarterly Model'!O230</f>
        <v>24.463000000000001</v>
      </c>
      <c r="P130" s="472">
        <f>'Quarterly Model'!P230</f>
        <v>22.329000000000001</v>
      </c>
      <c r="Q130" s="472">
        <f>'Quarterly Model'!Q230</f>
        <v>20.251999999999999</v>
      </c>
      <c r="R130" s="472">
        <f>'Quarterly Model'!R230</f>
        <v>19.292000000000002</v>
      </c>
      <c r="S130" s="939">
        <f>'Quarterly Model'!S230</f>
        <v>19.292000000000002</v>
      </c>
      <c r="T130" s="472">
        <f>'Quarterly Model'!T230</f>
        <v>18.395</v>
      </c>
      <c r="U130" s="472">
        <f>'Quarterly Model'!U230</f>
        <v>16.452000000000002</v>
      </c>
      <c r="V130" s="472">
        <f>'Quarterly Model'!V230</f>
        <v>14.648</v>
      </c>
      <c r="W130" s="472">
        <f>'Quarterly Model'!W230</f>
        <v>13.548</v>
      </c>
      <c r="X130" s="939">
        <f>'Quarterly Model'!X230</f>
        <v>13.548</v>
      </c>
      <c r="Y130" s="472">
        <f>'Quarterly Model'!Y230</f>
        <v>12.548</v>
      </c>
      <c r="Z130" s="472">
        <f>'Quarterly Model'!Z230</f>
        <v>11.548</v>
      </c>
      <c r="AA130" s="472">
        <f>'Quarterly Model'!AA230</f>
        <v>10.548</v>
      </c>
      <c r="AB130" s="472">
        <f>'Quarterly Model'!AB230</f>
        <v>9.548</v>
      </c>
      <c r="AC130" s="939">
        <f>'Quarterly Model'!AC230</f>
        <v>9.548</v>
      </c>
      <c r="AD130" s="472">
        <f>'Quarterly Model'!AD230</f>
        <v>8.548</v>
      </c>
      <c r="AE130" s="472">
        <f>'Quarterly Model'!AE230</f>
        <v>7.548</v>
      </c>
      <c r="AF130" s="472">
        <f>'Quarterly Model'!AF230</f>
        <v>6.548</v>
      </c>
      <c r="AG130" s="472">
        <f>'Quarterly Model'!AG230</f>
        <v>5.548</v>
      </c>
      <c r="AH130" s="939">
        <f>'Quarterly Model'!AH230</f>
        <v>5.548</v>
      </c>
      <c r="AI130" s="472">
        <f>'Quarterly Model'!AI230</f>
        <v>4.548</v>
      </c>
      <c r="AJ130" s="472">
        <f>'Quarterly Model'!AJ230</f>
        <v>3.548</v>
      </c>
      <c r="AK130" s="472">
        <f>'Quarterly Model'!AK230</f>
        <v>2.548</v>
      </c>
      <c r="AL130" s="472">
        <f>'Quarterly Model'!AL230</f>
        <v>1.548</v>
      </c>
      <c r="AM130" s="939">
        <f>'Quarterly Model'!AM230</f>
        <v>1.548</v>
      </c>
    </row>
    <row r="131" spans="1:39">
      <c r="A131" s="858"/>
      <c r="B131" s="923" t="str">
        <f>'Quarterly Model'!B231</f>
        <v>Restricted cash</v>
      </c>
      <c r="C131" s="924"/>
      <c r="D131" s="939">
        <f>'Quarterly Model'!D231</f>
        <v>9.27</v>
      </c>
      <c r="E131" s="472"/>
      <c r="F131" s="472"/>
      <c r="G131" s="472"/>
      <c r="H131" s="472"/>
      <c r="I131" s="939">
        <f>'Quarterly Model'!I231</f>
        <v>14.394</v>
      </c>
      <c r="J131" s="472">
        <f>'Quarterly Model'!J231</f>
        <v>14.394</v>
      </c>
      <c r="K131" s="472">
        <f>'Quarterly Model'!K231</f>
        <v>14.394</v>
      </c>
      <c r="L131" s="472">
        <f>'Quarterly Model'!L231</f>
        <v>14.579000000000001</v>
      </c>
      <c r="M131" s="472">
        <f>'Quarterly Model'!M231</f>
        <v>14.686</v>
      </c>
      <c r="N131" s="939">
        <f>'Quarterly Model'!N231</f>
        <v>14.686</v>
      </c>
      <c r="O131" s="472">
        <f>'Quarterly Model'!O231</f>
        <v>14.994</v>
      </c>
      <c r="P131" s="472">
        <f>'Quarterly Model'!P231</f>
        <v>23.131</v>
      </c>
      <c r="Q131" s="472">
        <f>'Quarterly Model'!Q231</f>
        <v>23.137</v>
      </c>
      <c r="R131" s="472">
        <f>'Quarterly Model'!R231</f>
        <v>14.584</v>
      </c>
      <c r="S131" s="939">
        <f>'Quarterly Model'!S231</f>
        <v>14.584</v>
      </c>
      <c r="T131" s="472">
        <f>'Quarterly Model'!T231</f>
        <v>14.494</v>
      </c>
      <c r="U131" s="472">
        <f>'Quarterly Model'!U231</f>
        <v>14.565</v>
      </c>
      <c r="V131" s="472">
        <f>'Quarterly Model'!V231</f>
        <v>14.565</v>
      </c>
      <c r="W131" s="472">
        <f>'Quarterly Model'!W231</f>
        <v>14.565</v>
      </c>
      <c r="X131" s="939">
        <f>'Quarterly Model'!X231</f>
        <v>14.565</v>
      </c>
      <c r="Y131" s="472">
        <f>'Quarterly Model'!Y231</f>
        <v>14.565</v>
      </c>
      <c r="Z131" s="472">
        <f>'Quarterly Model'!Z231</f>
        <v>14.565</v>
      </c>
      <c r="AA131" s="472">
        <f>'Quarterly Model'!AA231</f>
        <v>14.565</v>
      </c>
      <c r="AB131" s="472">
        <f>'Quarterly Model'!AB231</f>
        <v>14.565</v>
      </c>
      <c r="AC131" s="939">
        <f>'Quarterly Model'!AC231</f>
        <v>14.565</v>
      </c>
      <c r="AD131" s="472">
        <f>'Quarterly Model'!AD231</f>
        <v>14.565</v>
      </c>
      <c r="AE131" s="472">
        <f>'Quarterly Model'!AE231</f>
        <v>14.565</v>
      </c>
      <c r="AF131" s="472">
        <f>'Quarterly Model'!AF231</f>
        <v>14.565</v>
      </c>
      <c r="AG131" s="472">
        <f>'Quarterly Model'!AG231</f>
        <v>14.565</v>
      </c>
      <c r="AH131" s="939">
        <f>'Quarterly Model'!AH231</f>
        <v>14.565</v>
      </c>
      <c r="AI131" s="472">
        <f>'Quarterly Model'!AI231</f>
        <v>14.565</v>
      </c>
      <c r="AJ131" s="472">
        <f>'Quarterly Model'!AJ231</f>
        <v>14.565</v>
      </c>
      <c r="AK131" s="472">
        <f>'Quarterly Model'!AK231</f>
        <v>14.565</v>
      </c>
      <c r="AL131" s="472">
        <f>'Quarterly Model'!AL231</f>
        <v>14.565</v>
      </c>
      <c r="AM131" s="939">
        <f>'Quarterly Model'!AM231</f>
        <v>14.565</v>
      </c>
    </row>
    <row r="132" spans="1:39">
      <c r="A132" s="858"/>
      <c r="B132" s="923" t="str">
        <f>'Quarterly Model'!B232</f>
        <v>Other assets</v>
      </c>
      <c r="C132" s="924"/>
      <c r="D132" s="939">
        <f>'Quarterly Model'!D232</f>
        <v>2.399</v>
      </c>
      <c r="E132" s="472"/>
      <c r="F132" s="472"/>
      <c r="G132" s="472"/>
      <c r="H132" s="472"/>
      <c r="I132" s="939">
        <f>'Quarterly Model'!I232</f>
        <v>3.3479999999999999</v>
      </c>
      <c r="J132" s="472">
        <f>'Quarterly Model'!J232</f>
        <v>2.6040000000000001</v>
      </c>
      <c r="K132" s="472">
        <f>'Quarterly Model'!K232</f>
        <v>2.169</v>
      </c>
      <c r="L132" s="472">
        <f>'Quarterly Model'!L232</f>
        <v>2.2429999999999999</v>
      </c>
      <c r="M132" s="472">
        <f>'Quarterly Model'!M232</f>
        <v>3.8260000000000001</v>
      </c>
      <c r="N132" s="939">
        <f>'Quarterly Model'!N232</f>
        <v>3.8260000000000001</v>
      </c>
      <c r="O132" s="472">
        <f>'Quarterly Model'!O232</f>
        <v>39.822000000000003</v>
      </c>
      <c r="P132" s="472">
        <f>'Quarterly Model'!P232</f>
        <v>23.78</v>
      </c>
      <c r="Q132" s="472">
        <f>'Quarterly Model'!Q232</f>
        <v>19.135999999999999</v>
      </c>
      <c r="R132" s="472">
        <f>'Quarterly Model'!R232</f>
        <v>30.56</v>
      </c>
      <c r="S132" s="939">
        <f>'Quarterly Model'!S232</f>
        <v>30.56</v>
      </c>
      <c r="T132" s="472">
        <f>'Quarterly Model'!T232</f>
        <v>65.753</v>
      </c>
      <c r="U132" s="472">
        <f>'Quarterly Model'!U232</f>
        <v>127.37700000000001</v>
      </c>
      <c r="V132" s="472">
        <f>'Quarterly Model'!V232</f>
        <v>221.13500000000002</v>
      </c>
      <c r="W132" s="472">
        <f>'Quarterly Model'!W232</f>
        <v>221.13500000000002</v>
      </c>
      <c r="X132" s="939">
        <f>'Quarterly Model'!X232</f>
        <v>221.13500000000002</v>
      </c>
      <c r="Y132" s="472">
        <f>'Quarterly Model'!Y232</f>
        <v>221.13500000000002</v>
      </c>
      <c r="Z132" s="472">
        <f>'Quarterly Model'!Z232</f>
        <v>221.13500000000002</v>
      </c>
      <c r="AA132" s="472">
        <f>'Quarterly Model'!AA232</f>
        <v>221.13500000000002</v>
      </c>
      <c r="AB132" s="472">
        <f>'Quarterly Model'!AB232</f>
        <v>221.13500000000002</v>
      </c>
      <c r="AC132" s="939">
        <f>'Quarterly Model'!AC232</f>
        <v>221.13500000000002</v>
      </c>
      <c r="AD132" s="472">
        <f>'Quarterly Model'!AD232</f>
        <v>221.13500000000002</v>
      </c>
      <c r="AE132" s="472">
        <f>'Quarterly Model'!AE232</f>
        <v>221.13500000000002</v>
      </c>
      <c r="AF132" s="472">
        <f>'Quarterly Model'!AF232</f>
        <v>221.13500000000002</v>
      </c>
      <c r="AG132" s="472">
        <f>'Quarterly Model'!AG232</f>
        <v>221.13500000000002</v>
      </c>
      <c r="AH132" s="939">
        <f>'Quarterly Model'!AH232</f>
        <v>221.13500000000002</v>
      </c>
      <c r="AI132" s="472">
        <f>'Quarterly Model'!AI232</f>
        <v>221.13500000000002</v>
      </c>
      <c r="AJ132" s="472">
        <f>'Quarterly Model'!AJ232</f>
        <v>221.13500000000002</v>
      </c>
      <c r="AK132" s="472">
        <f>'Quarterly Model'!AK232</f>
        <v>221.13500000000002</v>
      </c>
      <c r="AL132" s="472">
        <f>'Quarterly Model'!AL232</f>
        <v>221.13500000000002</v>
      </c>
      <c r="AM132" s="939">
        <f>'Quarterly Model'!AM232</f>
        <v>221.13500000000002</v>
      </c>
    </row>
    <row r="133" spans="1:39">
      <c r="A133" s="858"/>
      <c r="B133" s="927" t="str">
        <f>'Quarterly Model'!B233</f>
        <v>Total Assets</v>
      </c>
      <c r="C133" s="928"/>
      <c r="D133" s="943">
        <f>'Quarterly Model'!D233</f>
        <v>318.34099999999995</v>
      </c>
      <c r="E133" s="944"/>
      <c r="F133" s="944"/>
      <c r="G133" s="944"/>
      <c r="H133" s="944"/>
      <c r="I133" s="943">
        <f>'Quarterly Model'!I233</f>
        <v>541.88800000000003</v>
      </c>
      <c r="J133" s="944">
        <f>'Quarterly Model'!J233</f>
        <v>584.52100000000007</v>
      </c>
      <c r="K133" s="944">
        <f>'Quarterly Model'!K233</f>
        <v>618.55899999999997</v>
      </c>
      <c r="L133" s="944">
        <f>'Quarterly Model'!L233</f>
        <v>597.94599999999991</v>
      </c>
      <c r="M133" s="944">
        <f>'Quarterly Model'!M233</f>
        <v>894.77199999999993</v>
      </c>
      <c r="N133" s="943">
        <f>'Quarterly Model'!N233</f>
        <v>894.77199999999993</v>
      </c>
      <c r="O133" s="944">
        <f>'Quarterly Model'!O233</f>
        <v>945.06899999999996</v>
      </c>
      <c r="P133" s="944">
        <f>'Quarterly Model'!P233</f>
        <v>933.29199999999992</v>
      </c>
      <c r="Q133" s="944">
        <f>'Quarterly Model'!Q233</f>
        <v>1052.2079999999999</v>
      </c>
      <c r="R133" s="944">
        <f>'Quarterly Model'!R233</f>
        <v>1211.3619999999999</v>
      </c>
      <c r="S133" s="943">
        <f>'Quarterly Model'!S233</f>
        <v>1211.3619999999999</v>
      </c>
      <c r="T133" s="944">
        <f>'Quarterly Model'!T233</f>
        <v>1591.1129999999998</v>
      </c>
      <c r="U133" s="944">
        <f>'Quarterly Model'!U233</f>
        <v>1741.7140000000002</v>
      </c>
      <c r="V133" s="944">
        <f>'Quarterly Model'!V233</f>
        <v>2083.8519999999999</v>
      </c>
      <c r="W133" s="944">
        <f>'Quarterly Model'!W233</f>
        <v>1832.3571088103397</v>
      </c>
      <c r="X133" s="943">
        <f>'Quarterly Model'!X233</f>
        <v>1832.3541088103398</v>
      </c>
      <c r="Y133" s="944">
        <f>'Quarterly Model'!Y233</f>
        <v>1811.2174199767314</v>
      </c>
      <c r="Z133" s="944">
        <f>'Quarterly Model'!Z233</f>
        <v>1976.9549306818496</v>
      </c>
      <c r="AA133" s="944">
        <f>'Quarterly Model'!AA233</f>
        <v>2000.291485633712</v>
      </c>
      <c r="AB133" s="944">
        <f>'Quarterly Model'!AB233</f>
        <v>2078.541951652664</v>
      </c>
      <c r="AC133" s="943">
        <f>'Quarterly Model'!AC233</f>
        <v>2078.541951652664</v>
      </c>
      <c r="AD133" s="944">
        <f>'Quarterly Model'!AD233</f>
        <v>2130.464924398731</v>
      </c>
      <c r="AE133" s="944">
        <f>'Quarterly Model'!AE233</f>
        <v>2358.7860549633397</v>
      </c>
      <c r="AF133" s="944">
        <f>'Quarterly Model'!AF233</f>
        <v>2531.8148171261196</v>
      </c>
      <c r="AG133" s="944">
        <f>'Quarterly Model'!AG233</f>
        <v>2651.935566967662</v>
      </c>
      <c r="AH133" s="943">
        <f>'Quarterly Model'!AH233</f>
        <v>2651.935566967662</v>
      </c>
      <c r="AI133" s="944">
        <f>'Quarterly Model'!AI233</f>
        <v>2748.0416319704095</v>
      </c>
      <c r="AJ133" s="944">
        <f>'Quarterly Model'!AJ233</f>
        <v>3073.0437664596789</v>
      </c>
      <c r="AK133" s="944">
        <f>'Quarterly Model'!AK233</f>
        <v>3308.0309475908966</v>
      </c>
      <c r="AL133" s="944">
        <f>'Quarterly Model'!AL233</f>
        <v>3499.490905803817</v>
      </c>
      <c r="AM133" s="943">
        <f>'Quarterly Model'!AM233</f>
        <v>3499.490905803817</v>
      </c>
    </row>
    <row r="134" spans="1:39">
      <c r="A134" s="858"/>
      <c r="B134" s="923"/>
      <c r="C134" s="924"/>
      <c r="D134" s="939"/>
      <c r="E134" s="472"/>
      <c r="F134" s="472"/>
      <c r="G134" s="472"/>
      <c r="H134" s="472"/>
      <c r="I134" s="939"/>
      <c r="J134" s="472"/>
      <c r="K134" s="472"/>
      <c r="L134" s="472"/>
      <c r="M134" s="472"/>
      <c r="N134" s="939"/>
      <c r="O134" s="472"/>
      <c r="P134" s="472"/>
      <c r="Q134" s="472"/>
      <c r="R134" s="472"/>
      <c r="S134" s="939"/>
      <c r="T134" s="472"/>
      <c r="U134" s="472"/>
      <c r="V134" s="472"/>
      <c r="W134" s="472"/>
      <c r="X134" s="939"/>
      <c r="Y134" s="472"/>
      <c r="Z134" s="472"/>
      <c r="AA134" s="472"/>
      <c r="AB134" s="472"/>
      <c r="AC134" s="939"/>
      <c r="AD134" s="472"/>
      <c r="AE134" s="472"/>
      <c r="AF134" s="472"/>
      <c r="AG134" s="472"/>
      <c r="AH134" s="939"/>
      <c r="AI134" s="472"/>
      <c r="AJ134" s="472"/>
      <c r="AK134" s="472"/>
      <c r="AL134" s="472"/>
      <c r="AM134" s="939"/>
    </row>
    <row r="135" spans="1:39">
      <c r="A135" s="858"/>
      <c r="B135" s="941" t="str">
        <f>'Quarterly Model'!B235</f>
        <v>Current liabilities</v>
      </c>
      <c r="C135" s="924"/>
      <c r="D135" s="939"/>
      <c r="E135" s="472"/>
      <c r="F135" s="472"/>
      <c r="G135" s="472"/>
      <c r="H135" s="472"/>
      <c r="I135" s="939"/>
      <c r="J135" s="472"/>
      <c r="K135" s="472"/>
      <c r="L135" s="472"/>
      <c r="M135" s="472"/>
      <c r="N135" s="939"/>
      <c r="O135" s="472"/>
      <c r="P135" s="472"/>
      <c r="Q135" s="472"/>
      <c r="R135" s="472"/>
      <c r="S135" s="939"/>
      <c r="T135" s="472"/>
      <c r="U135" s="472"/>
      <c r="V135" s="472"/>
      <c r="W135" s="472"/>
      <c r="X135" s="939"/>
      <c r="Y135" s="472"/>
      <c r="Z135" s="472"/>
      <c r="AA135" s="472"/>
      <c r="AB135" s="472"/>
      <c r="AC135" s="939"/>
      <c r="AD135" s="472"/>
      <c r="AE135" s="472"/>
      <c r="AF135" s="472"/>
      <c r="AG135" s="472"/>
      <c r="AH135" s="939"/>
      <c r="AI135" s="472"/>
      <c r="AJ135" s="472"/>
      <c r="AK135" s="472"/>
      <c r="AL135" s="472"/>
      <c r="AM135" s="939"/>
    </row>
    <row r="136" spans="1:39">
      <c r="A136" s="858"/>
      <c r="B136" s="923" t="str">
        <f>'Quarterly Model'!B236</f>
        <v>Accounts payable</v>
      </c>
      <c r="C136" s="924"/>
      <c r="D136" s="939">
        <f>'Quarterly Model'!D236</f>
        <v>4.5410000000000004</v>
      </c>
      <c r="E136" s="472"/>
      <c r="F136" s="472"/>
      <c r="G136" s="472"/>
      <c r="H136" s="472"/>
      <c r="I136" s="939">
        <f>'Quarterly Model'!I236</f>
        <v>5.4359999999999999</v>
      </c>
      <c r="J136" s="472">
        <f>'Quarterly Model'!J236</f>
        <v>10.125</v>
      </c>
      <c r="K136" s="472">
        <f>'Quarterly Model'!K236</f>
        <v>8.8640000000000008</v>
      </c>
      <c r="L136" s="472">
        <f>'Quarterly Model'!L236</f>
        <v>7.5279999999999996</v>
      </c>
      <c r="M136" s="472">
        <f>'Quarterly Model'!M236</f>
        <v>18.869</v>
      </c>
      <c r="N136" s="939">
        <f>'Quarterly Model'!N236</f>
        <v>18.869</v>
      </c>
      <c r="O136" s="472">
        <f>'Quarterly Model'!O236</f>
        <v>19.579999999999998</v>
      </c>
      <c r="P136" s="472">
        <f>'Quarterly Model'!P236</f>
        <v>16.210999999999999</v>
      </c>
      <c r="Q136" s="472">
        <f>'Quarterly Model'!Q236</f>
        <v>13.718999999999999</v>
      </c>
      <c r="R136" s="472">
        <f>'Quarterly Model'!R236</f>
        <v>12.602</v>
      </c>
      <c r="S136" s="939">
        <f>'Quarterly Model'!S236</f>
        <v>12.602</v>
      </c>
      <c r="T136" s="472">
        <f>'Quarterly Model'!T236</f>
        <v>9.8260000000000005</v>
      </c>
      <c r="U136" s="472">
        <f>'Quarterly Model'!U236</f>
        <v>11.375</v>
      </c>
      <c r="V136" s="472">
        <f>'Quarterly Model'!V236</f>
        <v>13.529</v>
      </c>
      <c r="W136" s="472">
        <f>'Quarterly Model'!W236</f>
        <v>16.138694714522693</v>
      </c>
      <c r="X136" s="939">
        <f>'Quarterly Model'!X236</f>
        <v>16.138694714522693</v>
      </c>
      <c r="Y136" s="472">
        <f>'Quarterly Model'!Y236</f>
        <v>15.429627338498257</v>
      </c>
      <c r="Z136" s="472">
        <f>'Quarterly Model'!Z236</f>
        <v>18.112624915873479</v>
      </c>
      <c r="AA136" s="472">
        <f>'Quarterly Model'!AA236</f>
        <v>19.181217611643188</v>
      </c>
      <c r="AB136" s="472">
        <f>'Quarterly Model'!AB236</f>
        <v>20.504421437873127</v>
      </c>
      <c r="AC136" s="939">
        <f>'Quarterly Model'!AC236</f>
        <v>20.504421437873127</v>
      </c>
      <c r="AD136" s="472">
        <f>'Quarterly Model'!AD236</f>
        <v>19.241040542688417</v>
      </c>
      <c r="AE136" s="472">
        <f>'Quarterly Model'!AE236</f>
        <v>22.544126551202211</v>
      </c>
      <c r="AF136" s="472">
        <f>'Quarterly Model'!AF236</f>
        <v>23.900603772647663</v>
      </c>
      <c r="AG136" s="472">
        <f>'Quarterly Model'!AG236</f>
        <v>25.717054550117304</v>
      </c>
      <c r="AH136" s="939">
        <f>'Quarterly Model'!AH236</f>
        <v>25.717054550117304</v>
      </c>
      <c r="AI136" s="472">
        <f>'Quarterly Model'!AI236</f>
        <v>23.826772848586696</v>
      </c>
      <c r="AJ136" s="472">
        <f>'Quarterly Model'!AJ236</f>
        <v>27.868645942261846</v>
      </c>
      <c r="AK136" s="472">
        <f>'Quarterly Model'!AK236</f>
        <v>29.571414823399991</v>
      </c>
      <c r="AL136" s="472">
        <f>'Quarterly Model'!AL236</f>
        <v>31.993610688969206</v>
      </c>
      <c r="AM136" s="939">
        <f>'Quarterly Model'!AM236</f>
        <v>31.993610688969206</v>
      </c>
    </row>
    <row r="137" spans="1:39">
      <c r="A137" s="858"/>
      <c r="B137" s="923" t="str">
        <f>'Quarterly Model'!B237</f>
        <v>Customers payable</v>
      </c>
      <c r="C137" s="924"/>
      <c r="D137" s="939">
        <f>'Quarterly Model'!D237</f>
        <v>95.793999999999997</v>
      </c>
      <c r="E137" s="472"/>
      <c r="F137" s="472"/>
      <c r="G137" s="472"/>
      <c r="H137" s="472"/>
      <c r="I137" s="939">
        <f>'Quarterly Model'!I237</f>
        <v>148.648</v>
      </c>
      <c r="J137" s="472">
        <f>'Quarterly Model'!J237</f>
        <v>187.29900000000001</v>
      </c>
      <c r="K137" s="472">
        <f>'Quarterly Model'!K237</f>
        <v>215.892</v>
      </c>
      <c r="L137" s="472">
        <f>'Quarterly Model'!L237</f>
        <v>238.08500000000001</v>
      </c>
      <c r="M137" s="472">
        <f>'Quarterly Model'!M237</f>
        <v>224.81100000000001</v>
      </c>
      <c r="N137" s="939">
        <f>'Quarterly Model'!N237</f>
        <v>224.81100000000001</v>
      </c>
      <c r="O137" s="472">
        <f>'Quarterly Model'!O237</f>
        <v>283.86</v>
      </c>
      <c r="P137" s="472">
        <f>'Quarterly Model'!P237</f>
        <v>310.24200000000002</v>
      </c>
      <c r="Q137" s="472">
        <f>'Quarterly Model'!Q237</f>
        <v>364.43400000000003</v>
      </c>
      <c r="R137" s="472">
        <f>'Quarterly Model'!R237</f>
        <v>388.05799999999999</v>
      </c>
      <c r="S137" s="939">
        <f>'Quarterly Model'!S237</f>
        <v>388.05799999999999</v>
      </c>
      <c r="T137" s="472">
        <f>'Quarterly Model'!T237</f>
        <v>363.03899999999999</v>
      </c>
      <c r="U137" s="472">
        <f>'Quarterly Model'!U237</f>
        <v>465.92599999999999</v>
      </c>
      <c r="V137" s="472">
        <f>'Quarterly Model'!V237</f>
        <v>808.755</v>
      </c>
      <c r="W137" s="472">
        <f>'Quarterly Model'!W237</f>
        <v>557.23168333333319</v>
      </c>
      <c r="X137" s="939">
        <f>'Quarterly Model'!X237</f>
        <v>557.23168333333319</v>
      </c>
      <c r="Y137" s="472">
        <f>'Quarterly Model'!Y237</f>
        <v>498.87669844749519</v>
      </c>
      <c r="Z137" s="472">
        <f>'Quarterly Model'!Z237</f>
        <v>600.2824258229881</v>
      </c>
      <c r="AA137" s="472">
        <f>'Quarterly Model'!AA237</f>
        <v>560.69850000000008</v>
      </c>
      <c r="AB137" s="472">
        <f>'Quarterly Model'!AB237</f>
        <v>581.21356796429495</v>
      </c>
      <c r="AC137" s="939">
        <f>'Quarterly Model'!AC237</f>
        <v>581.21356796429495</v>
      </c>
      <c r="AD137" s="472">
        <f>'Quarterly Model'!AD237</f>
        <v>563.34816000000001</v>
      </c>
      <c r="AE137" s="472">
        <f>'Quarterly Model'!AE237</f>
        <v>677.85888</v>
      </c>
      <c r="AF137" s="472">
        <f>'Quarterly Model'!AF237</f>
        <v>735.04163194326122</v>
      </c>
      <c r="AG137" s="472">
        <f>'Quarterly Model'!AG237</f>
        <v>743.95336699429743</v>
      </c>
      <c r="AH137" s="939">
        <f>'Quarterly Model'!AH237</f>
        <v>743.95336699429743</v>
      </c>
      <c r="AI137" s="472">
        <f>'Quarterly Model'!AI237</f>
        <v>726.97587544135524</v>
      </c>
      <c r="AJ137" s="472">
        <f>'Quarterly Model'!AJ237</f>
        <v>874.74689313567046</v>
      </c>
      <c r="AK137" s="472">
        <f>'Quarterly Model'!AK237</f>
        <v>926.15245624850911</v>
      </c>
      <c r="AL137" s="472">
        <f>'Quarterly Model'!AL237</f>
        <v>937.3812424128148</v>
      </c>
      <c r="AM137" s="939">
        <f>'Quarterly Model'!AM237</f>
        <v>937.3812424128148</v>
      </c>
    </row>
    <row r="138" spans="1:39">
      <c r="A138" s="858"/>
      <c r="B138" s="923" t="str">
        <f>'Quarterly Model'!B238</f>
        <v>Accrued transaction losses</v>
      </c>
      <c r="C138" s="924"/>
      <c r="D138" s="939">
        <f>'Quarterly Model'!D238</f>
        <v>7.4880000000000004</v>
      </c>
      <c r="E138" s="472"/>
      <c r="F138" s="472"/>
      <c r="G138" s="472"/>
      <c r="H138" s="472"/>
      <c r="I138" s="939">
        <f>'Quarterly Model'!I238</f>
        <v>8.452</v>
      </c>
      <c r="J138" s="472">
        <f>'Quarterly Model'!J238</f>
        <v>16.811</v>
      </c>
      <c r="K138" s="472">
        <f>'Quarterly Model'!K238</f>
        <v>15.843999999999999</v>
      </c>
      <c r="L138" s="472">
        <f>'Quarterly Model'!L238</f>
        <v>16.004000000000001</v>
      </c>
      <c r="M138" s="472">
        <f>'Quarterly Model'!M238</f>
        <v>17.175999999999998</v>
      </c>
      <c r="N138" s="939">
        <f>'Quarterly Model'!N238</f>
        <v>17.175999999999998</v>
      </c>
      <c r="O138" s="472">
        <f>'Quarterly Model'!O238</f>
        <v>15.419</v>
      </c>
      <c r="P138" s="472">
        <f>'Quarterly Model'!P238</f>
        <v>16.093</v>
      </c>
      <c r="Q138" s="472">
        <f>'Quarterly Model'!Q238</f>
        <v>21.428000000000001</v>
      </c>
      <c r="R138" s="472">
        <f>'Quarterly Model'!R238</f>
        <v>20.064</v>
      </c>
      <c r="S138" s="939">
        <f>'Quarterly Model'!S238</f>
        <v>20.064</v>
      </c>
      <c r="T138" s="472">
        <f>'Quarterly Model'!T238</f>
        <v>20.443999999999999</v>
      </c>
      <c r="U138" s="472">
        <f>'Quarterly Model'!U238</f>
        <v>22.454999999999998</v>
      </c>
      <c r="V138" s="472">
        <f>'Quarterly Model'!V238</f>
        <v>26.72</v>
      </c>
      <c r="W138" s="472">
        <f>'Quarterly Model'!W238</f>
        <v>27.923620436</v>
      </c>
      <c r="X138" s="939">
        <f>'Quarterly Model'!X238</f>
        <v>27.923620436</v>
      </c>
      <c r="Y138" s="472">
        <f>'Quarterly Model'!Y238</f>
        <v>29.127777127999998</v>
      </c>
      <c r="Z138" s="472">
        <f>'Quarterly Model'!Z238</f>
        <v>30.576700483999993</v>
      </c>
      <c r="AA138" s="472">
        <f>'Quarterly Model'!AA238</f>
        <v>32.110771579999991</v>
      </c>
      <c r="AB138" s="472">
        <f>'Quarterly Model'!AB238</f>
        <v>33.663441942439995</v>
      </c>
      <c r="AC138" s="939">
        <f>'Quarterly Model'!AC238</f>
        <v>33.663441942439995</v>
      </c>
      <c r="AD138" s="472">
        <f>'Quarterly Model'!AD238</f>
        <v>35.204762508199998</v>
      </c>
      <c r="AE138" s="472">
        <f>'Quarterly Model'!AE238</f>
        <v>37.059384403879996</v>
      </c>
      <c r="AF138" s="472">
        <f>'Quarterly Model'!AF238</f>
        <v>39.022995406760003</v>
      </c>
      <c r="AG138" s="472">
        <f>'Quarterly Model'!AG238</f>
        <v>41.010413470683204</v>
      </c>
      <c r="AH138" s="939">
        <f>'Quarterly Model'!AH238</f>
        <v>41.010413470683204</v>
      </c>
      <c r="AI138" s="472">
        <f>'Quarterly Model'!AI238</f>
        <v>42.952477383540803</v>
      </c>
      <c r="AJ138" s="472">
        <f>'Quarterly Model'!AJ238</f>
        <v>45.2893009720976</v>
      </c>
      <c r="AK138" s="472">
        <f>'Quarterly Model'!AK238</f>
        <v>47.763450835726402</v>
      </c>
      <c r="AL138" s="472">
        <f>'Quarterly Model'!AL238</f>
        <v>50.267597596269638</v>
      </c>
      <c r="AM138" s="939">
        <f>'Quarterly Model'!AM238</f>
        <v>50.267597596269638</v>
      </c>
    </row>
    <row r="139" spans="1:39">
      <c r="A139" s="858"/>
      <c r="B139" s="923" t="str">
        <f>'Quarterly Model'!B239</f>
        <v>Accrued expenses</v>
      </c>
      <c r="C139" s="924"/>
      <c r="D139" s="939">
        <f>'Quarterly Model'!D239</f>
        <v>9.2720000000000002</v>
      </c>
      <c r="E139" s="472"/>
      <c r="F139" s="472"/>
      <c r="G139" s="472"/>
      <c r="H139" s="472"/>
      <c r="I139" s="939">
        <f>'Quarterly Model'!I239</f>
        <v>17.367999999999999</v>
      </c>
      <c r="J139" s="472">
        <f>'Quarterly Model'!J239</f>
        <v>15.586</v>
      </c>
      <c r="K139" s="472">
        <f>'Quarterly Model'!K239</f>
        <v>26.594999999999999</v>
      </c>
      <c r="L139" s="472">
        <f>'Quarterly Model'!L239</f>
        <v>35.668999999999997</v>
      </c>
      <c r="M139" s="472">
        <f>'Quarterly Model'!M239</f>
        <v>44.401000000000003</v>
      </c>
      <c r="N139" s="939">
        <f>'Quarterly Model'!N239</f>
        <v>44.401000000000003</v>
      </c>
      <c r="O139" s="472">
        <f>'Quarterly Model'!O239</f>
        <v>97.334999999999994</v>
      </c>
      <c r="P139" s="472">
        <f>'Quarterly Model'!P239</f>
        <v>26.132999999999999</v>
      </c>
      <c r="Q139" s="472">
        <f>'Quarterly Model'!Q239</f>
        <v>41.942999999999998</v>
      </c>
      <c r="R139" s="472">
        <f>'Quarterly Model'!R239</f>
        <v>39.542999999999999</v>
      </c>
      <c r="S139" s="939">
        <f>'Quarterly Model'!S239</f>
        <v>39.542999999999999</v>
      </c>
      <c r="T139" s="472">
        <f>'Quarterly Model'!T239</f>
        <v>45.475000000000001</v>
      </c>
      <c r="U139" s="472">
        <f>'Quarterly Model'!U239</f>
        <v>56.698999999999998</v>
      </c>
      <c r="V139" s="472">
        <f>'Quarterly Model'!V239</f>
        <v>60.625999999999998</v>
      </c>
      <c r="W139" s="472">
        <f>'Quarterly Model'!W239</f>
        <v>42.970512307379451</v>
      </c>
      <c r="X139" s="939">
        <f>'Quarterly Model'!X239</f>
        <v>42.970512307379451</v>
      </c>
      <c r="Y139" s="472">
        <f>'Quarterly Model'!Y239</f>
        <v>41.08256604238187</v>
      </c>
      <c r="Z139" s="472">
        <f>'Quarterly Model'!Z239</f>
        <v>48.226252843491352</v>
      </c>
      <c r="AA139" s="472">
        <f>'Quarterly Model'!AA239</f>
        <v>51.07146284327083</v>
      </c>
      <c r="AB139" s="472">
        <f>'Quarterly Model'!AB239</f>
        <v>54.594594503294097</v>
      </c>
      <c r="AC139" s="939">
        <f>'Quarterly Model'!AC239</f>
        <v>54.594594503294097</v>
      </c>
      <c r="AD139" s="472">
        <f>'Quarterly Model'!AD239</f>
        <v>51.230745984826832</v>
      </c>
      <c r="AE139" s="472">
        <f>'Quarterly Model'!AE239</f>
        <v>60.025465786636566</v>
      </c>
      <c r="AF139" s="472">
        <f>'Quarterly Model'!AF239</f>
        <v>63.637190413061887</v>
      </c>
      <c r="AG139" s="472">
        <f>'Quarterly Model'!AG239</f>
        <v>68.473629906447314</v>
      </c>
      <c r="AH139" s="939">
        <f>'Quarterly Model'!AH239</f>
        <v>68.473629906447314</v>
      </c>
      <c r="AI139" s="472">
        <f>'Quarterly Model'!AI239</f>
        <v>63.440609915868883</v>
      </c>
      <c r="AJ139" s="472">
        <f>'Quarterly Model'!AJ239</f>
        <v>74.202406987372044</v>
      </c>
      <c r="AK139" s="472">
        <f>'Quarterly Model'!AK239</f>
        <v>78.73615971383802</v>
      </c>
      <c r="AL139" s="472">
        <f>'Quarterly Model'!AL239</f>
        <v>85.185441957132738</v>
      </c>
      <c r="AM139" s="939">
        <f>'Quarterly Model'!AM239</f>
        <v>85.185441957132738</v>
      </c>
    </row>
    <row r="140" spans="1:39">
      <c r="A140" s="858"/>
      <c r="B140" s="923" t="str">
        <f>'Quarterly Model'!B240</f>
        <v>Other current liabilities</v>
      </c>
      <c r="C140" s="924"/>
      <c r="D140" s="939">
        <f>'Quarterly Model'!D240</f>
        <v>12.646000000000001</v>
      </c>
      <c r="E140" s="472"/>
      <c r="F140" s="472"/>
      <c r="G140" s="472"/>
      <c r="H140" s="472"/>
      <c r="I140" s="939">
        <f>'Quarterly Model'!I240</f>
        <v>11.202</v>
      </c>
      <c r="J140" s="472">
        <f>'Quarterly Model'!J240</f>
        <v>9.1660000000000004</v>
      </c>
      <c r="K140" s="472">
        <f>'Quarterly Model'!K240</f>
        <v>10.952</v>
      </c>
      <c r="L140" s="472">
        <f>'Quarterly Model'!L240</f>
        <v>13.954000000000001</v>
      </c>
      <c r="M140" s="472">
        <f>'Quarterly Model'!M240</f>
        <v>28.945</v>
      </c>
      <c r="N140" s="939">
        <f>'Quarterly Model'!N240</f>
        <v>28.945</v>
      </c>
      <c r="O140" s="472">
        <f>'Quarterly Model'!O240</f>
        <v>33.738</v>
      </c>
      <c r="P140" s="472">
        <f>'Quarterly Model'!P240</f>
        <v>42.79</v>
      </c>
      <c r="Q140" s="472">
        <f>'Quarterly Model'!Q240</f>
        <v>44.5</v>
      </c>
      <c r="R140" s="472">
        <f>'Quarterly Model'!R240</f>
        <v>117.197</v>
      </c>
      <c r="S140" s="939">
        <f>'Quarterly Model'!S240</f>
        <v>117.197</v>
      </c>
      <c r="T140" s="472">
        <f>'Quarterly Model'!T240</f>
        <v>116.11200000000001</v>
      </c>
      <c r="U140" s="472">
        <f>'Quarterly Model'!U240</f>
        <v>68.472999999999999</v>
      </c>
      <c r="V140" s="472">
        <f>'Quarterly Model'!V240</f>
        <v>21.048999999999999</v>
      </c>
      <c r="W140" s="472">
        <f>'Quarterly Model'!W240</f>
        <v>14.158486774090463</v>
      </c>
      <c r="X140" s="939">
        <f>'Quarterly Model'!X240</f>
        <v>14.158486774090463</v>
      </c>
      <c r="Y140" s="472">
        <f>'Quarterly Model'!Y240</f>
        <v>13.536421530093564</v>
      </c>
      <c r="Z140" s="472">
        <f>'Quarterly Model'!Z240</f>
        <v>15.890216950735629</v>
      </c>
      <c r="AA140" s="472">
        <f>'Quarterly Model'!AA240</f>
        <v>16.827693978312737</v>
      </c>
      <c r="AB140" s="472">
        <f>'Quarterly Model'!AB240</f>
        <v>17.988541506845749</v>
      </c>
      <c r="AC140" s="939">
        <f>'Quarterly Model'!AC240</f>
        <v>17.988541506845749</v>
      </c>
      <c r="AD140" s="472">
        <f>'Quarterly Model'!AD240</f>
        <v>16.8801766724199</v>
      </c>
      <c r="AE140" s="472">
        <f>'Quarterly Model'!AE240</f>
        <v>19.777976054122188</v>
      </c>
      <c r="AF140" s="472">
        <f>'Quarterly Model'!AF240</f>
        <v>20.968014352690897</v>
      </c>
      <c r="AG140" s="472">
        <f>'Quarterly Model'!AG240</f>
        <v>22.561587734151995</v>
      </c>
      <c r="AH140" s="939">
        <f>'Quarterly Model'!AH240</f>
        <v>22.561587734151995</v>
      </c>
      <c r="AI140" s="472">
        <f>'Quarterly Model'!AI240</f>
        <v>20.903242437717164</v>
      </c>
      <c r="AJ140" s="472">
        <f>'Quarterly Model'!AJ240</f>
        <v>24.449180182475118</v>
      </c>
      <c r="AK140" s="472">
        <f>'Quarterly Model'!AK240</f>
        <v>25.943020366541099</v>
      </c>
      <c r="AL140" s="472">
        <f>'Quarterly Model'!AL240</f>
        <v>28.068014285414705</v>
      </c>
      <c r="AM140" s="939">
        <f>'Quarterly Model'!AM240</f>
        <v>28.068014285414705</v>
      </c>
    </row>
    <row r="141" spans="1:39">
      <c r="A141" s="940"/>
      <c r="B141" s="941" t="str">
        <f>'Quarterly Model'!B241</f>
        <v>Total current liabilities</v>
      </c>
      <c r="C141" s="924"/>
      <c r="D141" s="939">
        <f>'Quarterly Model'!D241</f>
        <v>129.74099999999999</v>
      </c>
      <c r="E141" s="942"/>
      <c r="F141" s="942"/>
      <c r="G141" s="942"/>
      <c r="H141" s="942"/>
      <c r="I141" s="939">
        <f>'Quarterly Model'!I241</f>
        <v>191.10599999999999</v>
      </c>
      <c r="J141" s="942">
        <f>'Quarterly Model'!J241</f>
        <v>238.98700000000002</v>
      </c>
      <c r="K141" s="942">
        <f>'Quarterly Model'!K241</f>
        <v>278.14699999999999</v>
      </c>
      <c r="L141" s="942">
        <f>'Quarterly Model'!L241</f>
        <v>311.24</v>
      </c>
      <c r="M141" s="942">
        <f>'Quarterly Model'!M241</f>
        <v>334.202</v>
      </c>
      <c r="N141" s="939">
        <f>'Quarterly Model'!N241</f>
        <v>334.202</v>
      </c>
      <c r="O141" s="942">
        <f>'Quarterly Model'!O241</f>
        <v>449.93199999999996</v>
      </c>
      <c r="P141" s="942">
        <f>'Quarterly Model'!P241</f>
        <v>411.46900000000005</v>
      </c>
      <c r="Q141" s="942">
        <f>'Quarterly Model'!Q241</f>
        <v>486.024</v>
      </c>
      <c r="R141" s="942">
        <f>'Quarterly Model'!R241</f>
        <v>577.46399999999994</v>
      </c>
      <c r="S141" s="939">
        <f>'Quarterly Model'!S241</f>
        <v>577.46399999999994</v>
      </c>
      <c r="T141" s="942">
        <f>'Quarterly Model'!T241</f>
        <v>554.89600000000007</v>
      </c>
      <c r="U141" s="942">
        <f>'Quarterly Model'!U241</f>
        <v>624.92799999999988</v>
      </c>
      <c r="V141" s="942">
        <f>'Quarterly Model'!V241</f>
        <v>930.67899999999997</v>
      </c>
      <c r="W141" s="942">
        <f>'Quarterly Model'!W241</f>
        <v>658.42299756532566</v>
      </c>
      <c r="X141" s="939">
        <f>'Quarterly Model'!X241</f>
        <v>658.42299756532566</v>
      </c>
      <c r="Y141" s="942">
        <f>'Quarterly Model'!Y241</f>
        <v>598.05309048646882</v>
      </c>
      <c r="Z141" s="942">
        <f>'Quarterly Model'!Z241</f>
        <v>713.08822101708847</v>
      </c>
      <c r="AA141" s="942">
        <f>'Quarterly Model'!AA241</f>
        <v>679.88964601322687</v>
      </c>
      <c r="AB141" s="942">
        <f>'Quarterly Model'!AB241</f>
        <v>707.96456735474794</v>
      </c>
      <c r="AC141" s="939">
        <f>'Quarterly Model'!AC241</f>
        <v>707.96456735474794</v>
      </c>
      <c r="AD141" s="942">
        <f>'Quarterly Model'!AD241</f>
        <v>685.90488570813523</v>
      </c>
      <c r="AE141" s="942">
        <f>'Quarterly Model'!AE241</f>
        <v>817.26583279584099</v>
      </c>
      <c r="AF141" s="942">
        <f>'Quarterly Model'!AF241</f>
        <v>882.5704358884218</v>
      </c>
      <c r="AG141" s="942">
        <f>'Quarterly Model'!AG241</f>
        <v>901.71605265569724</v>
      </c>
      <c r="AH141" s="939">
        <f>'Quarterly Model'!AH241</f>
        <v>901.71605265569724</v>
      </c>
      <c r="AI141" s="942">
        <f>'Quarterly Model'!AI241</f>
        <v>878.09897802706871</v>
      </c>
      <c r="AJ141" s="942">
        <f>'Quarterly Model'!AJ241</f>
        <v>1046.5564272198772</v>
      </c>
      <c r="AK141" s="942">
        <f>'Quarterly Model'!AK241</f>
        <v>1108.1665019880147</v>
      </c>
      <c r="AL141" s="942">
        <f>'Quarterly Model'!AL241</f>
        <v>1132.895906940601</v>
      </c>
      <c r="AM141" s="939">
        <f>'Quarterly Model'!AM241</f>
        <v>1132.895906940601</v>
      </c>
    </row>
    <row r="142" spans="1:39">
      <c r="A142" s="858"/>
      <c r="B142" s="923" t="str">
        <f>'Quarterly Model'!B242</f>
        <v>Debt</v>
      </c>
      <c r="C142" s="924"/>
      <c r="D142" s="939">
        <f>'Quarterly Model'!D242</f>
        <v>0</v>
      </c>
      <c r="E142" s="472"/>
      <c r="F142" s="472"/>
      <c r="G142" s="472"/>
      <c r="H142" s="472"/>
      <c r="I142" s="939">
        <f>'Quarterly Model'!I242</f>
        <v>30</v>
      </c>
      <c r="J142" s="472">
        <f>'Quarterly Model'!J242</f>
        <v>30</v>
      </c>
      <c r="K142" s="472">
        <f>'Quarterly Model'!K242</f>
        <v>30</v>
      </c>
      <c r="L142" s="472">
        <f>'Quarterly Model'!L242</f>
        <v>0</v>
      </c>
      <c r="M142" s="472">
        <f>'Quarterly Model'!M242</f>
        <v>0</v>
      </c>
      <c r="N142" s="939">
        <f>'Quarterly Model'!N242</f>
        <v>0</v>
      </c>
      <c r="O142" s="472">
        <f>'Quarterly Model'!O242</f>
        <v>0</v>
      </c>
      <c r="P142" s="472">
        <f>'Quarterly Model'!P242</f>
        <v>0</v>
      </c>
      <c r="Q142" s="472">
        <f>'Quarterly Model'!Q242</f>
        <v>0</v>
      </c>
      <c r="R142" s="472">
        <f>'Quarterly Model'!R242</f>
        <v>0</v>
      </c>
      <c r="S142" s="939">
        <f>'Quarterly Model'!S242</f>
        <v>0</v>
      </c>
      <c r="T142" s="472">
        <f>'Quarterly Model'!T242</f>
        <v>345.73899999999998</v>
      </c>
      <c r="U142" s="472">
        <f>'Quarterly Model'!U242</f>
        <v>349.96</v>
      </c>
      <c r="V142" s="472">
        <f>'Quarterly Model'!V242</f>
        <v>354.23700000000002</v>
      </c>
      <c r="W142" s="472">
        <f>'Quarterly Model'!W242</f>
        <v>354.23700000000002</v>
      </c>
      <c r="X142" s="939">
        <f>'Quarterly Model'!X242</f>
        <v>354.23700000000002</v>
      </c>
      <c r="Y142" s="472">
        <f>'Quarterly Model'!Y242</f>
        <v>354.23700000000002</v>
      </c>
      <c r="Z142" s="472">
        <f>'Quarterly Model'!Z242</f>
        <v>354.23700000000002</v>
      </c>
      <c r="AA142" s="472">
        <f>'Quarterly Model'!AA242</f>
        <v>354.23700000000002</v>
      </c>
      <c r="AB142" s="472">
        <f>'Quarterly Model'!AB242</f>
        <v>354.23700000000002</v>
      </c>
      <c r="AC142" s="939">
        <f>'Quarterly Model'!AC242</f>
        <v>354.23700000000002</v>
      </c>
      <c r="AD142" s="472">
        <f>'Quarterly Model'!AD242</f>
        <v>354.23700000000002</v>
      </c>
      <c r="AE142" s="472">
        <f>'Quarterly Model'!AE242</f>
        <v>354.23700000000002</v>
      </c>
      <c r="AF142" s="472">
        <f>'Quarterly Model'!AF242</f>
        <v>354.23700000000002</v>
      </c>
      <c r="AG142" s="472">
        <f>'Quarterly Model'!AG242</f>
        <v>354.23700000000002</v>
      </c>
      <c r="AH142" s="939">
        <f>'Quarterly Model'!AH242</f>
        <v>354.23700000000002</v>
      </c>
      <c r="AI142" s="472">
        <f>'Quarterly Model'!AI242</f>
        <v>354.23700000000002</v>
      </c>
      <c r="AJ142" s="472">
        <f>'Quarterly Model'!AJ242</f>
        <v>354.23700000000002</v>
      </c>
      <c r="AK142" s="472">
        <f>'Quarterly Model'!AK242</f>
        <v>354.23700000000002</v>
      </c>
      <c r="AL142" s="472">
        <f>'Quarterly Model'!AL242</f>
        <v>354.23700000000002</v>
      </c>
      <c r="AM142" s="939">
        <f>'Quarterly Model'!AM242</f>
        <v>354.23700000000002</v>
      </c>
    </row>
    <row r="143" spans="1:39">
      <c r="A143" s="858"/>
      <c r="B143" s="923" t="str">
        <f>'Quarterly Model'!B243</f>
        <v>Other long-term liabilities</v>
      </c>
      <c r="C143" s="924"/>
      <c r="D143" s="939">
        <f>'Quarterly Model'!D243</f>
        <v>26.306000000000001</v>
      </c>
      <c r="E143" s="472"/>
      <c r="F143" s="472"/>
      <c r="G143" s="472"/>
      <c r="H143" s="472"/>
      <c r="I143" s="939">
        <f>'Quarterly Model'!I243</f>
        <v>47.11</v>
      </c>
      <c r="J143" s="472">
        <f>'Quarterly Model'!J243</f>
        <v>47.406999999999996</v>
      </c>
      <c r="K143" s="472">
        <f>'Quarterly Model'!K243</f>
        <v>48.365000000000002</v>
      </c>
      <c r="L143" s="472">
        <f>'Quarterly Model'!L243</f>
        <v>50.244</v>
      </c>
      <c r="M143" s="472">
        <f>'Quarterly Model'!M243</f>
        <v>52.521999999999998</v>
      </c>
      <c r="N143" s="939">
        <f>'Quarterly Model'!N243</f>
        <v>52.521999999999998</v>
      </c>
      <c r="O143" s="472">
        <f>'Quarterly Model'!O243</f>
        <v>50.253</v>
      </c>
      <c r="P143" s="472">
        <f>'Quarterly Model'!P243</f>
        <v>50.363999999999997</v>
      </c>
      <c r="Q143" s="472">
        <f>'Quarterly Model'!Q243</f>
        <v>55.795000000000002</v>
      </c>
      <c r="R143" s="472">
        <f>'Quarterly Model'!R243</f>
        <v>57.744999999999997</v>
      </c>
      <c r="S143" s="939">
        <f>'Quarterly Model'!S243</f>
        <v>57.744999999999997</v>
      </c>
      <c r="T143" s="472">
        <f>'Quarterly Model'!T243</f>
        <v>62.545000000000002</v>
      </c>
      <c r="U143" s="472">
        <f>'Quarterly Model'!U243</f>
        <v>63.082000000000001</v>
      </c>
      <c r="V143" s="472">
        <f>'Quarterly Model'!V243</f>
        <v>66.027000000000001</v>
      </c>
      <c r="W143" s="472">
        <f>'Quarterly Model'!W243</f>
        <v>66.027000000000001</v>
      </c>
      <c r="X143" s="939">
        <f>'Quarterly Model'!X243</f>
        <v>66.027000000000001</v>
      </c>
      <c r="Y143" s="472">
        <f>'Quarterly Model'!Y243</f>
        <v>66.027000000000001</v>
      </c>
      <c r="Z143" s="472">
        <f>'Quarterly Model'!Z243</f>
        <v>66.027000000000001</v>
      </c>
      <c r="AA143" s="472">
        <f>'Quarterly Model'!AA243</f>
        <v>66.027000000000001</v>
      </c>
      <c r="AB143" s="472">
        <f>'Quarterly Model'!AB243</f>
        <v>66.027000000000001</v>
      </c>
      <c r="AC143" s="939">
        <f>'Quarterly Model'!AC243</f>
        <v>66.027000000000001</v>
      </c>
      <c r="AD143" s="472">
        <f>'Quarterly Model'!AD243</f>
        <v>66.027000000000001</v>
      </c>
      <c r="AE143" s="472">
        <f>'Quarterly Model'!AE243</f>
        <v>66.027000000000001</v>
      </c>
      <c r="AF143" s="472">
        <f>'Quarterly Model'!AF243</f>
        <v>66.027000000000001</v>
      </c>
      <c r="AG143" s="472">
        <f>'Quarterly Model'!AG243</f>
        <v>66.027000000000001</v>
      </c>
      <c r="AH143" s="939">
        <f>'Quarterly Model'!AH243</f>
        <v>66.027000000000001</v>
      </c>
      <c r="AI143" s="472">
        <f>'Quarterly Model'!AI243</f>
        <v>66.027000000000001</v>
      </c>
      <c r="AJ143" s="472">
        <f>'Quarterly Model'!AJ243</f>
        <v>66.027000000000001</v>
      </c>
      <c r="AK143" s="472">
        <f>'Quarterly Model'!AK243</f>
        <v>66.027000000000001</v>
      </c>
      <c r="AL143" s="472">
        <f>'Quarterly Model'!AL243</f>
        <v>66.027000000000001</v>
      </c>
      <c r="AM143" s="939">
        <f>'Quarterly Model'!AM243</f>
        <v>66.027000000000001</v>
      </c>
    </row>
    <row r="144" spans="1:39">
      <c r="A144" s="858"/>
      <c r="B144" s="927" t="str">
        <f>'Quarterly Model'!B244</f>
        <v>Total liabilities</v>
      </c>
      <c r="C144" s="928"/>
      <c r="D144" s="943">
        <f>'Quarterly Model'!D244</f>
        <v>156.047</v>
      </c>
      <c r="E144" s="944"/>
      <c r="F144" s="944"/>
      <c r="G144" s="944"/>
      <c r="H144" s="944"/>
      <c r="I144" s="943">
        <f>'Quarterly Model'!I244</f>
        <v>268.21600000000001</v>
      </c>
      <c r="J144" s="944">
        <f>'Quarterly Model'!J244</f>
        <v>316.39400000000001</v>
      </c>
      <c r="K144" s="944">
        <f>'Quarterly Model'!K244</f>
        <v>356.512</v>
      </c>
      <c r="L144" s="944">
        <f>'Quarterly Model'!L244</f>
        <v>361.48400000000004</v>
      </c>
      <c r="M144" s="944">
        <f>'Quarterly Model'!M244</f>
        <v>386.72399999999999</v>
      </c>
      <c r="N144" s="943">
        <f>'Quarterly Model'!N244</f>
        <v>386.72399999999999</v>
      </c>
      <c r="O144" s="944">
        <f>'Quarterly Model'!O244</f>
        <v>500.18499999999995</v>
      </c>
      <c r="P144" s="944">
        <f>'Quarterly Model'!P244</f>
        <v>461.83300000000003</v>
      </c>
      <c r="Q144" s="944">
        <f>'Quarterly Model'!Q244</f>
        <v>541.81899999999996</v>
      </c>
      <c r="R144" s="944">
        <f>'Quarterly Model'!R244</f>
        <v>635.20899999999995</v>
      </c>
      <c r="S144" s="943">
        <f>'Quarterly Model'!S244</f>
        <v>635.20899999999995</v>
      </c>
      <c r="T144" s="944">
        <f>'Quarterly Model'!T244</f>
        <v>963.18</v>
      </c>
      <c r="U144" s="944">
        <f>'Quarterly Model'!U244</f>
        <v>1037.97</v>
      </c>
      <c r="V144" s="944">
        <f>'Quarterly Model'!V244</f>
        <v>1350.943</v>
      </c>
      <c r="W144" s="944">
        <f>'Quarterly Model'!W244</f>
        <v>1078.6869975653258</v>
      </c>
      <c r="X144" s="943">
        <f>'Quarterly Model'!X244</f>
        <v>1078.6869975653258</v>
      </c>
      <c r="Y144" s="944">
        <f>'Quarterly Model'!Y244</f>
        <v>1018.3170904864689</v>
      </c>
      <c r="Z144" s="944">
        <f>'Quarterly Model'!Z244</f>
        <v>1133.3522210170886</v>
      </c>
      <c r="AA144" s="944">
        <f>'Quarterly Model'!AA244</f>
        <v>1100.153646013227</v>
      </c>
      <c r="AB144" s="944">
        <f>'Quarterly Model'!AB244</f>
        <v>1128.2285673547481</v>
      </c>
      <c r="AC144" s="943">
        <f>'Quarterly Model'!AC244</f>
        <v>1128.2285673547481</v>
      </c>
      <c r="AD144" s="944">
        <f>'Quarterly Model'!AD244</f>
        <v>1106.1688857081353</v>
      </c>
      <c r="AE144" s="944">
        <f>'Quarterly Model'!AE244</f>
        <v>1237.529832795841</v>
      </c>
      <c r="AF144" s="944">
        <f>'Quarterly Model'!AF244</f>
        <v>1302.8344358884219</v>
      </c>
      <c r="AG144" s="944">
        <f>'Quarterly Model'!AG244</f>
        <v>1321.9800526556974</v>
      </c>
      <c r="AH144" s="943">
        <f>'Quarterly Model'!AH244</f>
        <v>1321.9800526556974</v>
      </c>
      <c r="AI144" s="944">
        <f>'Quarterly Model'!AI244</f>
        <v>1298.3629780270687</v>
      </c>
      <c r="AJ144" s="944">
        <f>'Quarterly Model'!AJ244</f>
        <v>1466.8204272198773</v>
      </c>
      <c r="AK144" s="944">
        <f>'Quarterly Model'!AK244</f>
        <v>1528.4305019880148</v>
      </c>
      <c r="AL144" s="944">
        <f>'Quarterly Model'!AL244</f>
        <v>1553.1599069406011</v>
      </c>
      <c r="AM144" s="943">
        <f>'Quarterly Model'!AM244</f>
        <v>1553.1599069406011</v>
      </c>
    </row>
    <row r="145" spans="1:39">
      <c r="A145" s="858"/>
      <c r="B145" s="923"/>
      <c r="C145" s="924"/>
      <c r="D145" s="939"/>
      <c r="E145" s="472"/>
      <c r="F145" s="472"/>
      <c r="G145" s="472"/>
      <c r="H145" s="472"/>
      <c r="I145" s="939"/>
      <c r="J145" s="472"/>
      <c r="K145" s="472"/>
      <c r="L145" s="472"/>
      <c r="M145" s="472"/>
      <c r="N145" s="939"/>
      <c r="O145" s="472"/>
      <c r="P145" s="472"/>
      <c r="Q145" s="472"/>
      <c r="R145" s="472"/>
      <c r="S145" s="939"/>
      <c r="T145" s="472"/>
      <c r="U145" s="472"/>
      <c r="V145" s="472"/>
      <c r="W145" s="472"/>
      <c r="X145" s="939"/>
      <c r="Y145" s="472"/>
      <c r="Z145" s="472"/>
      <c r="AA145" s="472"/>
      <c r="AB145" s="472"/>
      <c r="AC145" s="939"/>
      <c r="AD145" s="472"/>
      <c r="AE145" s="472"/>
      <c r="AF145" s="472"/>
      <c r="AG145" s="472"/>
      <c r="AH145" s="939"/>
      <c r="AI145" s="472"/>
      <c r="AJ145" s="472"/>
      <c r="AK145" s="472"/>
      <c r="AL145" s="472"/>
      <c r="AM145" s="939"/>
    </row>
    <row r="146" spans="1:39">
      <c r="A146" s="858"/>
      <c r="B146" s="923" t="str">
        <f>'Quarterly Model'!B246</f>
        <v>Convertible preferred stock</v>
      </c>
      <c r="C146" s="924"/>
      <c r="D146" s="939">
        <f>'Quarterly Model'!D246</f>
        <v>366.197</v>
      </c>
      <c r="E146" s="472"/>
      <c r="F146" s="472"/>
      <c r="G146" s="472"/>
      <c r="H146" s="472"/>
      <c r="I146" s="939">
        <f>'Quarterly Model'!I246</f>
        <v>514.94500000000005</v>
      </c>
      <c r="J146" s="472">
        <f>'Quarterly Model'!J246</f>
        <v>514.94500000000005</v>
      </c>
      <c r="K146" s="472">
        <f>'Quarterly Model'!K246</f>
        <v>514.94500000000005</v>
      </c>
      <c r="L146" s="472">
        <f>'Quarterly Model'!L246</f>
        <v>0</v>
      </c>
      <c r="M146" s="472">
        <f>'Quarterly Model'!M246</f>
        <v>0</v>
      </c>
      <c r="N146" s="939">
        <f>'Quarterly Model'!N246</f>
        <v>0</v>
      </c>
      <c r="O146" s="472">
        <f>'Quarterly Model'!O246</f>
        <v>0</v>
      </c>
      <c r="P146" s="472">
        <f>'Quarterly Model'!P246</f>
        <v>0</v>
      </c>
      <c r="Q146" s="472">
        <f>'Quarterly Model'!Q246</f>
        <v>0</v>
      </c>
      <c r="R146" s="472">
        <f>'Quarterly Model'!R246</f>
        <v>0</v>
      </c>
      <c r="S146" s="939">
        <f>'Quarterly Model'!S246</f>
        <v>0</v>
      </c>
      <c r="T146" s="472">
        <f>'Quarterly Model'!T246</f>
        <v>0</v>
      </c>
      <c r="U146" s="472">
        <f>'Quarterly Model'!U246</f>
        <v>0</v>
      </c>
      <c r="V146" s="472">
        <f>'Quarterly Model'!V246</f>
        <v>0</v>
      </c>
      <c r="W146" s="472">
        <f>'Quarterly Model'!W246</f>
        <v>0</v>
      </c>
      <c r="X146" s="939">
        <f>'Quarterly Model'!X246</f>
        <v>0</v>
      </c>
      <c r="Y146" s="472">
        <f>'Quarterly Model'!Y246</f>
        <v>0</v>
      </c>
      <c r="Z146" s="472">
        <f>'Quarterly Model'!Z246</f>
        <v>0</v>
      </c>
      <c r="AA146" s="472">
        <f>'Quarterly Model'!AA246</f>
        <v>0</v>
      </c>
      <c r="AB146" s="472">
        <f>'Quarterly Model'!AB246</f>
        <v>0</v>
      </c>
      <c r="AC146" s="939">
        <f>'Quarterly Model'!AC246</f>
        <v>0</v>
      </c>
      <c r="AD146" s="472">
        <f>'Quarterly Model'!AD246</f>
        <v>0</v>
      </c>
      <c r="AE146" s="472">
        <f>'Quarterly Model'!AE246</f>
        <v>0</v>
      </c>
      <c r="AF146" s="472">
        <f>'Quarterly Model'!AF246</f>
        <v>0</v>
      </c>
      <c r="AG146" s="472">
        <f>'Quarterly Model'!AG246</f>
        <v>0</v>
      </c>
      <c r="AH146" s="939">
        <f>'Quarterly Model'!AH246</f>
        <v>0</v>
      </c>
      <c r="AI146" s="472">
        <f>'Quarterly Model'!AI246</f>
        <v>0</v>
      </c>
      <c r="AJ146" s="472">
        <f>'Quarterly Model'!AJ246</f>
        <v>0</v>
      </c>
      <c r="AK146" s="472">
        <f>'Quarterly Model'!AK246</f>
        <v>0</v>
      </c>
      <c r="AL146" s="472">
        <f>'Quarterly Model'!AL246</f>
        <v>0</v>
      </c>
      <c r="AM146" s="939">
        <f>'Quarterly Model'!AM246</f>
        <v>0</v>
      </c>
    </row>
    <row r="147" spans="1:39">
      <c r="A147" s="940"/>
      <c r="B147" s="923" t="str">
        <f>'Quarterly Model'!B247</f>
        <v>Common Stock</v>
      </c>
      <c r="C147" s="924"/>
      <c r="D147" s="939">
        <f>'Quarterly Model'!D247</f>
        <v>0</v>
      </c>
      <c r="E147" s="472"/>
      <c r="F147" s="472"/>
      <c r="G147" s="472"/>
      <c r="H147" s="472"/>
      <c r="I147" s="939">
        <f>'Quarterly Model'!I247</f>
        <v>0</v>
      </c>
      <c r="J147" s="472">
        <f>'Quarterly Model'!J247</f>
        <v>0</v>
      </c>
      <c r="K147" s="472">
        <f>'Quarterly Model'!K247</f>
        <v>0</v>
      </c>
      <c r="L147" s="472">
        <f>'Quarterly Model'!L247</f>
        <v>0</v>
      </c>
      <c r="M147" s="472">
        <f>'Quarterly Model'!M247</f>
        <v>0</v>
      </c>
      <c r="N147" s="939">
        <f>'Quarterly Model'!N247</f>
        <v>0</v>
      </c>
      <c r="O147" s="472">
        <f>'Quarterly Model'!O247</f>
        <v>0</v>
      </c>
      <c r="P147" s="472">
        <f>'Quarterly Model'!P247</f>
        <v>0</v>
      </c>
      <c r="Q147" s="472">
        <f>'Quarterly Model'!Q247</f>
        <v>0</v>
      </c>
      <c r="R147" s="472">
        <f>'Quarterly Model'!R247</f>
        <v>0</v>
      </c>
      <c r="S147" s="939">
        <f>'Quarterly Model'!S247</f>
        <v>0</v>
      </c>
      <c r="T147" s="472">
        <f>'Quarterly Model'!T247</f>
        <v>0</v>
      </c>
      <c r="U147" s="472">
        <f>'Quarterly Model'!U247</f>
        <v>0</v>
      </c>
      <c r="V147" s="472">
        <f>'Quarterly Model'!V247</f>
        <v>0</v>
      </c>
      <c r="W147" s="472">
        <f>'Quarterly Model'!W247</f>
        <v>0</v>
      </c>
      <c r="X147" s="939">
        <f>'Quarterly Model'!X247</f>
        <v>0</v>
      </c>
      <c r="Y147" s="472">
        <f>'Quarterly Model'!Y247</f>
        <v>0</v>
      </c>
      <c r="Z147" s="472">
        <f>'Quarterly Model'!Z247</f>
        <v>0</v>
      </c>
      <c r="AA147" s="472">
        <f>'Quarterly Model'!AA247</f>
        <v>0</v>
      </c>
      <c r="AB147" s="472">
        <f>'Quarterly Model'!AB247</f>
        <v>0</v>
      </c>
      <c r="AC147" s="939">
        <f>'Quarterly Model'!AC247</f>
        <v>0</v>
      </c>
      <c r="AD147" s="472">
        <f>'Quarterly Model'!AD247</f>
        <v>0</v>
      </c>
      <c r="AE147" s="472">
        <f>'Quarterly Model'!AE247</f>
        <v>0</v>
      </c>
      <c r="AF147" s="472">
        <f>'Quarterly Model'!AF247</f>
        <v>0</v>
      </c>
      <c r="AG147" s="472">
        <f>'Quarterly Model'!AG247</f>
        <v>0</v>
      </c>
      <c r="AH147" s="939">
        <f>'Quarterly Model'!AH247</f>
        <v>0</v>
      </c>
      <c r="AI147" s="472">
        <f>'Quarterly Model'!AI247</f>
        <v>0</v>
      </c>
      <c r="AJ147" s="472">
        <f>'Quarterly Model'!AJ247</f>
        <v>0</v>
      </c>
      <c r="AK147" s="472">
        <f>'Quarterly Model'!AK247</f>
        <v>0</v>
      </c>
      <c r="AL147" s="472">
        <f>'Quarterly Model'!AL247</f>
        <v>0</v>
      </c>
      <c r="AM147" s="939">
        <f>'Quarterly Model'!AM247</f>
        <v>0</v>
      </c>
    </row>
    <row r="148" spans="1:39">
      <c r="A148" s="858"/>
      <c r="B148" s="923" t="str">
        <f>'Quarterly Model'!B248</f>
        <v>Additional Paid-in Capital</v>
      </c>
      <c r="C148" s="924"/>
      <c r="D148" s="939">
        <f>'Quarterly Model'!D248</f>
        <v>38.329000000000001</v>
      </c>
      <c r="E148" s="472"/>
      <c r="F148" s="472"/>
      <c r="G148" s="472"/>
      <c r="H148" s="472"/>
      <c r="I148" s="939">
        <f>'Quarterly Model'!I248</f>
        <v>155.166</v>
      </c>
      <c r="J148" s="472">
        <f>'Quarterly Model'!J248</f>
        <v>197.82599999999999</v>
      </c>
      <c r="K148" s="472">
        <f>'Quarterly Model'!K248</f>
        <v>221.49100000000001</v>
      </c>
      <c r="L148" s="472">
        <f>'Quarterly Model'!L248</f>
        <v>764.899</v>
      </c>
      <c r="M148" s="472">
        <f>'Quarterly Model'!M248</f>
        <v>1116.8820000000001</v>
      </c>
      <c r="N148" s="939">
        <f>'Quarterly Model'!N248</f>
        <v>1116.8820000000001</v>
      </c>
      <c r="O148" s="472">
        <f>'Quarterly Model'!O248</f>
        <v>1149.634</v>
      </c>
      <c r="P148" s="472">
        <f>'Quarterly Model'!P248</f>
        <v>1203.136</v>
      </c>
      <c r="Q148" s="472">
        <f>'Quarterly Model'!Q248</f>
        <v>1274.248</v>
      </c>
      <c r="R148" s="472">
        <f>'Quarterly Model'!R248</f>
        <v>1357.3810000000001</v>
      </c>
      <c r="S148" s="939">
        <f>'Quarterly Model'!S248</f>
        <v>1357.3810000000001</v>
      </c>
      <c r="T148" s="472">
        <f>'Quarterly Model'!T248</f>
        <v>1424.1869999999999</v>
      </c>
      <c r="U148" s="472">
        <f>'Quarterly Model'!U248</f>
        <v>1515.2370000000001</v>
      </c>
      <c r="V148" s="472">
        <f>'Quarterly Model'!V248</f>
        <v>1560.374</v>
      </c>
      <c r="W148" s="472">
        <f>'Quarterly Model'!W248</f>
        <v>1601.422</v>
      </c>
      <c r="X148" s="939">
        <f>'Quarterly Model'!X248</f>
        <v>1601.422</v>
      </c>
      <c r="Y148" s="472">
        <f>'Quarterly Model'!Y248</f>
        <v>1643.47</v>
      </c>
      <c r="Z148" s="472">
        <f>'Quarterly Model'!Z248</f>
        <v>1686.518</v>
      </c>
      <c r="AA148" s="472">
        <f>'Quarterly Model'!AA248</f>
        <v>1730.566</v>
      </c>
      <c r="AB148" s="472">
        <f>'Quarterly Model'!AB248</f>
        <v>1775.614</v>
      </c>
      <c r="AC148" s="939">
        <f>'Quarterly Model'!AC248</f>
        <v>1775.614</v>
      </c>
      <c r="AD148" s="472">
        <f>'Quarterly Model'!AD248</f>
        <v>1821.662</v>
      </c>
      <c r="AE148" s="472">
        <f>'Quarterly Model'!AE248</f>
        <v>1869.21</v>
      </c>
      <c r="AF148" s="472">
        <f>'Quarterly Model'!AF248</f>
        <v>1918.258</v>
      </c>
      <c r="AG148" s="472">
        <f>'Quarterly Model'!AG248</f>
        <v>1968.806</v>
      </c>
      <c r="AH148" s="939">
        <f>'Quarterly Model'!AH248</f>
        <v>1968.806</v>
      </c>
      <c r="AI148" s="472">
        <f>'Quarterly Model'!AI248</f>
        <v>2020.354</v>
      </c>
      <c r="AJ148" s="472">
        <f>'Quarterly Model'!AJ248</f>
        <v>2073.402</v>
      </c>
      <c r="AK148" s="472">
        <f>'Quarterly Model'!AK248</f>
        <v>2127.9499999999998</v>
      </c>
      <c r="AL148" s="472">
        <f>'Quarterly Model'!AL248</f>
        <v>2183.9979999999996</v>
      </c>
      <c r="AM148" s="939">
        <f>'Quarterly Model'!AM248</f>
        <v>2183.9979999999996</v>
      </c>
    </row>
    <row r="149" spans="1:39">
      <c r="A149" s="858"/>
      <c r="B149" s="923" t="str">
        <f>'Quarterly Model'!B249</f>
        <v>Accumulated other comprehensive loss</v>
      </c>
      <c r="C149" s="924"/>
      <c r="D149" s="939">
        <f>'Quarterly Model'!D249</f>
        <v>-0.69299999999999995</v>
      </c>
      <c r="E149" s="472"/>
      <c r="F149" s="472"/>
      <c r="G149" s="472"/>
      <c r="H149" s="472"/>
      <c r="I149" s="939">
        <f>'Quarterly Model'!I249</f>
        <v>-0.80700000000000005</v>
      </c>
      <c r="J149" s="472">
        <f>'Quarterly Model'!J249</f>
        <v>-1.034</v>
      </c>
      <c r="K149" s="472">
        <f>'Quarterly Model'!K249</f>
        <v>-1.159</v>
      </c>
      <c r="L149" s="472">
        <f>'Quarterly Model'!L249</f>
        <v>-1.2769999999999999</v>
      </c>
      <c r="M149" s="472">
        <f>'Quarterly Model'!M249</f>
        <v>-1.1850000000000001</v>
      </c>
      <c r="N149" s="939">
        <f>'Quarterly Model'!N249</f>
        <v>-1.1850000000000001</v>
      </c>
      <c r="O149" s="472">
        <f>'Quarterly Model'!O249</f>
        <v>-0.34599999999999997</v>
      </c>
      <c r="P149" s="472">
        <f>'Quarterly Model'!P249</f>
        <v>7.1999999999999995E-2</v>
      </c>
      <c r="Q149" s="472">
        <f>'Quarterly Model'!Q249</f>
        <v>0.21299999999999999</v>
      </c>
      <c r="R149" s="472">
        <f>'Quarterly Model'!R249</f>
        <v>-1.9890000000000001</v>
      </c>
      <c r="S149" s="939">
        <f>'Quarterly Model'!S249</f>
        <v>-1.9890000000000001</v>
      </c>
      <c r="T149" s="472">
        <f>'Quarterly Model'!T249</f>
        <v>-1.242</v>
      </c>
      <c r="U149" s="472">
        <f>'Quarterly Model'!U249</f>
        <v>-0.51900000000000002</v>
      </c>
      <c r="V149" s="472">
        <f>'Quarterly Model'!V249</f>
        <v>-0.39300000000000002</v>
      </c>
      <c r="W149" s="472">
        <f>'Quarterly Model'!W249</f>
        <v>-0.39300000000000002</v>
      </c>
      <c r="X149" s="939">
        <f>'Quarterly Model'!X249</f>
        <v>-0.39300000000000002</v>
      </c>
      <c r="Y149" s="472">
        <f>'Quarterly Model'!Y249</f>
        <v>-0.39300000000000002</v>
      </c>
      <c r="Z149" s="472">
        <f>'Quarterly Model'!Z249</f>
        <v>-0.39300000000000002</v>
      </c>
      <c r="AA149" s="472">
        <f>'Quarterly Model'!AA249</f>
        <v>-0.39300000000000002</v>
      </c>
      <c r="AB149" s="472">
        <f>'Quarterly Model'!AB249</f>
        <v>-0.39300000000000002</v>
      </c>
      <c r="AC149" s="939">
        <f>'Quarterly Model'!AC249</f>
        <v>-0.39300000000000002</v>
      </c>
      <c r="AD149" s="472">
        <f>'Quarterly Model'!AD249</f>
        <v>-0.39300000000000002</v>
      </c>
      <c r="AE149" s="472">
        <f>'Quarterly Model'!AE249</f>
        <v>-0.39300000000000002</v>
      </c>
      <c r="AF149" s="472">
        <f>'Quarterly Model'!AF249</f>
        <v>-0.39300000000000002</v>
      </c>
      <c r="AG149" s="472">
        <f>'Quarterly Model'!AG249</f>
        <v>-0.39300000000000002</v>
      </c>
      <c r="AH149" s="939">
        <f>'Quarterly Model'!AH249</f>
        <v>-0.39300000000000002</v>
      </c>
      <c r="AI149" s="472">
        <f>'Quarterly Model'!AI249</f>
        <v>-0.39300000000000002</v>
      </c>
      <c r="AJ149" s="472">
        <f>'Quarterly Model'!AJ249</f>
        <v>-0.39300000000000002</v>
      </c>
      <c r="AK149" s="472">
        <f>'Quarterly Model'!AK249</f>
        <v>-0.39300000000000002</v>
      </c>
      <c r="AL149" s="472">
        <f>'Quarterly Model'!AL249</f>
        <v>-0.39300000000000002</v>
      </c>
      <c r="AM149" s="939">
        <f>'Quarterly Model'!AM249</f>
        <v>-0.39300000000000002</v>
      </c>
    </row>
    <row r="150" spans="1:39">
      <c r="A150" s="858"/>
      <c r="B150" s="923" t="str">
        <f>'Quarterly Model'!B250</f>
        <v>Accumulated deficit</v>
      </c>
      <c r="C150" s="924"/>
      <c r="D150" s="939">
        <f>'Quarterly Model'!D250</f>
        <v>-241.53899999999999</v>
      </c>
      <c r="E150" s="472"/>
      <c r="F150" s="472"/>
      <c r="G150" s="472"/>
      <c r="H150" s="472"/>
      <c r="I150" s="939">
        <f>'Quarterly Model'!I250</f>
        <v>-395.63200000000001</v>
      </c>
      <c r="J150" s="472">
        <f>'Quarterly Model'!J250</f>
        <v>-443.61</v>
      </c>
      <c r="K150" s="472">
        <f>'Quarterly Model'!K250</f>
        <v>-473.23</v>
      </c>
      <c r="L150" s="472">
        <f>'Quarterly Model'!L250</f>
        <v>-527.16</v>
      </c>
      <c r="M150" s="472">
        <f>'Quarterly Model'!M250</f>
        <v>-607.649</v>
      </c>
      <c r="N150" s="939">
        <f>'Quarterly Model'!N250</f>
        <v>-607.649</v>
      </c>
      <c r="O150" s="472">
        <f>'Quarterly Model'!O250</f>
        <v>-704.404</v>
      </c>
      <c r="P150" s="472">
        <f>'Quarterly Model'!P250</f>
        <v>-731.74900000000002</v>
      </c>
      <c r="Q150" s="472">
        <f>'Quarterly Model'!Q250</f>
        <v>-764.072</v>
      </c>
      <c r="R150" s="472">
        <f>'Quarterly Model'!R250</f>
        <v>-779.23900000000003</v>
      </c>
      <c r="S150" s="939">
        <f>'Quarterly Model'!S250</f>
        <v>-779.23900000000003</v>
      </c>
      <c r="T150" s="472">
        <f>'Quarterly Model'!T250</f>
        <v>-795.01199999999994</v>
      </c>
      <c r="U150" s="472">
        <f>'Quarterly Model'!U250</f>
        <v>-810.97400000000005</v>
      </c>
      <c r="V150" s="472">
        <f>'Quarterly Model'!V250</f>
        <v>-827.072</v>
      </c>
      <c r="W150" s="472">
        <f>'Quarterly Model'!W250</f>
        <v>-847.35888875498597</v>
      </c>
      <c r="X150" s="939">
        <f>'Quarterly Model'!X250</f>
        <v>-847.35888875498597</v>
      </c>
      <c r="Y150" s="472">
        <f>'Quarterly Model'!Y250</f>
        <v>-850.17367050973712</v>
      </c>
      <c r="Z150" s="472">
        <f>'Quarterly Model'!Z250</f>
        <v>-842.51929033523868</v>
      </c>
      <c r="AA150" s="472">
        <f>'Quarterly Model'!AA250</f>
        <v>-830.03216037951461</v>
      </c>
      <c r="AB150" s="472">
        <f>'Quarterly Model'!AB250</f>
        <v>-824.90461570208413</v>
      </c>
      <c r="AC150" s="939">
        <f>'Quarterly Model'!AC250</f>
        <v>-824.90461570208413</v>
      </c>
      <c r="AD150" s="472">
        <f>'Quarterly Model'!AD250</f>
        <v>-796.96996130940443</v>
      </c>
      <c r="AE150" s="472">
        <f>'Quarterly Model'!AE250</f>
        <v>-747.55777783250119</v>
      </c>
      <c r="AF150" s="472">
        <f>'Quarterly Model'!AF250</f>
        <v>-688.88161876230174</v>
      </c>
      <c r="AG150" s="472">
        <f>'Quarterly Model'!AG250</f>
        <v>-638.45448568803511</v>
      </c>
      <c r="AH150" s="939">
        <f>'Quarterly Model'!AH250</f>
        <v>-638.45448568803511</v>
      </c>
      <c r="AI150" s="472">
        <f>'Quarterly Model'!AI250</f>
        <v>-570.27934605665871</v>
      </c>
      <c r="AJ150" s="472">
        <f>'Quarterly Model'!AJ250</f>
        <v>-466.78266076019764</v>
      </c>
      <c r="AK150" s="472">
        <f>'Quarterly Model'!AK250</f>
        <v>-347.95355439711739</v>
      </c>
      <c r="AL150" s="472">
        <f>'Quarterly Model'!AL250</f>
        <v>-237.27100113678375</v>
      </c>
      <c r="AM150" s="939">
        <f>'Quarterly Model'!AM250</f>
        <v>-237.27100113678375</v>
      </c>
    </row>
    <row r="151" spans="1:39">
      <c r="A151" s="858"/>
      <c r="B151" s="923"/>
      <c r="C151" s="924"/>
      <c r="D151" s="939"/>
      <c r="E151" s="472"/>
      <c r="F151" s="472"/>
      <c r="G151" s="472"/>
      <c r="H151" s="472"/>
      <c r="I151" s="939"/>
      <c r="J151" s="472"/>
      <c r="K151" s="472"/>
      <c r="L151" s="472"/>
      <c r="M151" s="472"/>
      <c r="N151" s="939"/>
      <c r="O151" s="472"/>
      <c r="P151" s="472"/>
      <c r="Q151" s="472"/>
      <c r="R151" s="472"/>
      <c r="S151" s="939"/>
      <c r="T151" s="472"/>
      <c r="U151" s="472"/>
      <c r="V151" s="472"/>
      <c r="W151" s="472"/>
      <c r="X151" s="939"/>
      <c r="Y151" s="472"/>
      <c r="Z151" s="472"/>
      <c r="AA151" s="472"/>
      <c r="AB151" s="472"/>
      <c r="AC151" s="939"/>
      <c r="AD151" s="472"/>
      <c r="AE151" s="472"/>
      <c r="AF151" s="472"/>
      <c r="AG151" s="472"/>
      <c r="AH151" s="939"/>
      <c r="AI151" s="472"/>
      <c r="AJ151" s="472"/>
      <c r="AK151" s="472"/>
      <c r="AL151" s="472"/>
      <c r="AM151" s="939"/>
    </row>
    <row r="152" spans="1:39">
      <c r="A152" s="858"/>
      <c r="B152" s="941" t="str">
        <f>'Quarterly Model'!B252</f>
        <v>Total stockholders' equity</v>
      </c>
      <c r="C152" s="924"/>
      <c r="D152" s="939">
        <f>'Quarterly Model'!D252</f>
        <v>162.29400000000004</v>
      </c>
      <c r="E152" s="472"/>
      <c r="F152" s="472"/>
      <c r="G152" s="472"/>
      <c r="H152" s="472"/>
      <c r="I152" s="939">
        <f>'Quarterly Model'!I252</f>
        <v>273.67200000000008</v>
      </c>
      <c r="J152" s="472">
        <f>'Quarterly Model'!J252</f>
        <v>268.12700000000007</v>
      </c>
      <c r="K152" s="472">
        <f>'Quarterly Model'!K252</f>
        <v>262.04700000000003</v>
      </c>
      <c r="L152" s="472">
        <f>'Quarterly Model'!L252</f>
        <v>236.46199999999999</v>
      </c>
      <c r="M152" s="472">
        <f>'Quarterly Model'!M252</f>
        <v>508.04800000000012</v>
      </c>
      <c r="N152" s="939">
        <f>'Quarterly Model'!N252</f>
        <v>508.04800000000012</v>
      </c>
      <c r="O152" s="472">
        <f>'Quarterly Model'!O252</f>
        <v>444.88400000000001</v>
      </c>
      <c r="P152" s="472">
        <f>'Quarterly Model'!P252</f>
        <v>471.45899999999983</v>
      </c>
      <c r="Q152" s="472">
        <f>'Quarterly Model'!Q252</f>
        <v>510.38900000000001</v>
      </c>
      <c r="R152" s="472">
        <f>'Quarterly Model'!R252</f>
        <v>576.15300000000002</v>
      </c>
      <c r="S152" s="939">
        <f>'Quarterly Model'!S252</f>
        <v>576.15300000000002</v>
      </c>
      <c r="T152" s="472">
        <f>'Quarterly Model'!T252</f>
        <v>627.93299999999999</v>
      </c>
      <c r="U152" s="472">
        <f>'Quarterly Model'!U252</f>
        <v>703.74400000000003</v>
      </c>
      <c r="V152" s="472">
        <f>'Quarterly Model'!V252</f>
        <v>732.90899999999999</v>
      </c>
      <c r="W152" s="472">
        <f>'Quarterly Model'!W252</f>
        <v>753.67011124501403</v>
      </c>
      <c r="X152" s="939">
        <f>'Quarterly Model'!X252</f>
        <v>753.67011124501403</v>
      </c>
      <c r="Y152" s="472">
        <f>'Quarterly Model'!Y252</f>
        <v>792.90332949026288</v>
      </c>
      <c r="Z152" s="472">
        <f>'Quarterly Model'!Z252</f>
        <v>843.60570966476132</v>
      </c>
      <c r="AA152" s="472">
        <f>'Quarterly Model'!AA252</f>
        <v>900.14083962048539</v>
      </c>
      <c r="AB152" s="472">
        <f>'Quarterly Model'!AB252</f>
        <v>950.31638429791587</v>
      </c>
      <c r="AC152" s="939">
        <f>'Quarterly Model'!AC252</f>
        <v>950.31638429791587</v>
      </c>
      <c r="AD152" s="472">
        <f>'Quarterly Model'!AD252</f>
        <v>1024.2990386905956</v>
      </c>
      <c r="AE152" s="472">
        <f>'Quarterly Model'!AE252</f>
        <v>1121.2592221674988</v>
      </c>
      <c r="AF152" s="472">
        <f>'Quarterly Model'!AF252</f>
        <v>1228.9833812376983</v>
      </c>
      <c r="AG152" s="472">
        <f>'Quarterly Model'!AG252</f>
        <v>1329.9585143119648</v>
      </c>
      <c r="AH152" s="939">
        <f>'Quarterly Model'!AH252</f>
        <v>1329.9585143119648</v>
      </c>
      <c r="AI152" s="472">
        <f>'Quarterly Model'!AI252</f>
        <v>1449.6816539433412</v>
      </c>
      <c r="AJ152" s="472">
        <f>'Quarterly Model'!AJ252</f>
        <v>1606.2263392398024</v>
      </c>
      <c r="AK152" s="472">
        <f>'Quarterly Model'!AK252</f>
        <v>1779.6034456028824</v>
      </c>
      <c r="AL152" s="472">
        <f>'Quarterly Model'!AL252</f>
        <v>1946.3339988632158</v>
      </c>
      <c r="AM152" s="939">
        <f>'Quarterly Model'!AM252</f>
        <v>1946.3339988632158</v>
      </c>
    </row>
    <row r="153" spans="1:39">
      <c r="A153" s="858"/>
      <c r="B153" s="945" t="str">
        <f>'Quarterly Model'!B253</f>
        <v>Total Liabilities &amp; Stockholders' Equity</v>
      </c>
      <c r="C153" s="946"/>
      <c r="D153" s="947">
        <f>'Quarterly Model'!D253</f>
        <v>318.34100000000001</v>
      </c>
      <c r="E153" s="948"/>
      <c r="F153" s="948"/>
      <c r="G153" s="948"/>
      <c r="H153" s="948"/>
      <c r="I153" s="947">
        <f>'Quarterly Model'!I253</f>
        <v>541.88800000000015</v>
      </c>
      <c r="J153" s="948">
        <f>'Quarterly Model'!J253</f>
        <v>584.52100000000007</v>
      </c>
      <c r="K153" s="948">
        <f>'Quarterly Model'!K253</f>
        <v>618.55899999999997</v>
      </c>
      <c r="L153" s="948">
        <f>'Quarterly Model'!L253</f>
        <v>597.94600000000003</v>
      </c>
      <c r="M153" s="948">
        <f>'Quarterly Model'!M253</f>
        <v>894.77200000000016</v>
      </c>
      <c r="N153" s="947">
        <f>'Quarterly Model'!N253</f>
        <v>894.77200000000016</v>
      </c>
      <c r="O153" s="948">
        <f>'Quarterly Model'!O253</f>
        <v>945.06899999999996</v>
      </c>
      <c r="P153" s="948">
        <f>'Quarterly Model'!P253</f>
        <v>933.29199999999992</v>
      </c>
      <c r="Q153" s="948">
        <f>'Quarterly Model'!Q253</f>
        <v>1052.2080000000001</v>
      </c>
      <c r="R153" s="948">
        <f>'Quarterly Model'!R253</f>
        <v>1211.3620000000001</v>
      </c>
      <c r="S153" s="947">
        <f>'Quarterly Model'!S253</f>
        <v>1211.3620000000001</v>
      </c>
      <c r="T153" s="948">
        <f>'Quarterly Model'!T253</f>
        <v>1591.1129999999998</v>
      </c>
      <c r="U153" s="948">
        <f>'Quarterly Model'!U253</f>
        <v>1741.7139999999999</v>
      </c>
      <c r="V153" s="948">
        <f>'Quarterly Model'!V253</f>
        <v>2083.8519999999999</v>
      </c>
      <c r="W153" s="948">
        <f>'Quarterly Model'!W253</f>
        <v>1832.3571088103399</v>
      </c>
      <c r="X153" s="947">
        <f>'Quarterly Model'!X253</f>
        <v>1832.3571088103399</v>
      </c>
      <c r="Y153" s="948">
        <f>'Quarterly Model'!Y253</f>
        <v>1811.2204199767318</v>
      </c>
      <c r="Z153" s="948">
        <f>'Quarterly Model'!Z253</f>
        <v>1976.95793068185</v>
      </c>
      <c r="AA153" s="948">
        <f>'Quarterly Model'!AA253</f>
        <v>2000.2944856337124</v>
      </c>
      <c r="AB153" s="948">
        <f>'Quarterly Model'!AB253</f>
        <v>2078.5449516526642</v>
      </c>
      <c r="AC153" s="947">
        <f>'Quarterly Model'!AC253</f>
        <v>2078.5449516526642</v>
      </c>
      <c r="AD153" s="948">
        <f>'Quarterly Model'!AD253</f>
        <v>2130.4679243987312</v>
      </c>
      <c r="AE153" s="948">
        <f>'Quarterly Model'!AE253</f>
        <v>2358.7890549633398</v>
      </c>
      <c r="AF153" s="948">
        <f>'Quarterly Model'!AF253</f>
        <v>2531.8178171261202</v>
      </c>
      <c r="AG153" s="948">
        <f>'Quarterly Model'!AG253</f>
        <v>2651.9385669676622</v>
      </c>
      <c r="AH153" s="947">
        <f>'Quarterly Model'!AH253</f>
        <v>2651.9385669676622</v>
      </c>
      <c r="AI153" s="948">
        <f>'Quarterly Model'!AI253</f>
        <v>2748.0446319704097</v>
      </c>
      <c r="AJ153" s="948">
        <f>'Quarterly Model'!AJ253</f>
        <v>3073.0467664596799</v>
      </c>
      <c r="AK153" s="948">
        <f>'Quarterly Model'!AK253</f>
        <v>3308.0339475908972</v>
      </c>
      <c r="AL153" s="948">
        <f>'Quarterly Model'!AL253</f>
        <v>3499.4939058038171</v>
      </c>
      <c r="AM153" s="947">
        <f>'Quarterly Model'!AM253</f>
        <v>3499.4939058038171</v>
      </c>
    </row>
    <row r="154" spans="1:39">
      <c r="A154" s="949"/>
      <c r="B154" s="949"/>
      <c r="C154" s="949"/>
      <c r="D154" s="949"/>
      <c r="E154" s="949"/>
      <c r="F154" s="949"/>
      <c r="G154" s="949"/>
      <c r="H154" s="949"/>
      <c r="I154" s="949"/>
      <c r="J154" s="949"/>
      <c r="K154" s="949"/>
      <c r="L154" s="949"/>
      <c r="M154" s="949"/>
      <c r="N154" s="949"/>
      <c r="O154" s="949"/>
      <c r="P154" s="949"/>
      <c r="Q154" s="949"/>
      <c r="R154" s="949"/>
      <c r="S154" s="949"/>
      <c r="T154" s="949"/>
      <c r="U154" s="949"/>
      <c r="V154" s="949"/>
      <c r="W154" s="949"/>
      <c r="X154" s="949"/>
      <c r="Y154" s="949"/>
      <c r="Z154" s="949"/>
      <c r="AA154" s="949"/>
      <c r="AB154" s="949"/>
      <c r="AC154" s="949"/>
      <c r="AD154" s="949"/>
      <c r="AE154" s="949"/>
      <c r="AF154" s="949"/>
      <c r="AG154" s="949"/>
      <c r="AH154" s="949"/>
      <c r="AI154" s="949"/>
      <c r="AJ154" s="949"/>
      <c r="AK154" s="949"/>
      <c r="AL154" s="949"/>
      <c r="AM154" s="949"/>
    </row>
    <row r="155" spans="1:39">
      <c r="A155" s="949"/>
      <c r="B155" s="950" t="s">
        <v>200</v>
      </c>
      <c r="C155" s="951"/>
      <c r="D155" s="951">
        <f t="shared" ref="D155:AM155" si="3">D153-D133</f>
        <v>0</v>
      </c>
      <c r="E155" s="951">
        <f t="shared" si="3"/>
        <v>0</v>
      </c>
      <c r="F155" s="951">
        <f t="shared" si="3"/>
        <v>0</v>
      </c>
      <c r="G155" s="951">
        <f t="shared" si="3"/>
        <v>0</v>
      </c>
      <c r="H155" s="951">
        <f t="shared" si="3"/>
        <v>0</v>
      </c>
      <c r="I155" s="951">
        <f t="shared" si="3"/>
        <v>0</v>
      </c>
      <c r="J155" s="951">
        <f t="shared" si="3"/>
        <v>0</v>
      </c>
      <c r="K155" s="951">
        <f t="shared" si="3"/>
        <v>0</v>
      </c>
      <c r="L155" s="951">
        <f t="shared" si="3"/>
        <v>0</v>
      </c>
      <c r="M155" s="951">
        <f t="shared" si="3"/>
        <v>0</v>
      </c>
      <c r="N155" s="951">
        <f t="shared" si="3"/>
        <v>0</v>
      </c>
      <c r="O155" s="951">
        <f t="shared" si="3"/>
        <v>0</v>
      </c>
      <c r="P155" s="951">
        <f t="shared" si="3"/>
        <v>0</v>
      </c>
      <c r="Q155" s="951">
        <f t="shared" si="3"/>
        <v>0</v>
      </c>
      <c r="R155" s="951">
        <f t="shared" si="3"/>
        <v>0</v>
      </c>
      <c r="S155" s="951">
        <f t="shared" si="3"/>
        <v>0</v>
      </c>
      <c r="T155" s="951">
        <f t="shared" si="3"/>
        <v>0</v>
      </c>
      <c r="U155" s="951">
        <f t="shared" si="3"/>
        <v>0</v>
      </c>
      <c r="V155" s="951">
        <f t="shared" si="3"/>
        <v>0</v>
      </c>
      <c r="W155" s="951">
        <f t="shared" si="3"/>
        <v>0</v>
      </c>
      <c r="X155" s="951">
        <f t="shared" si="3"/>
        <v>3.0000000001564331E-3</v>
      </c>
      <c r="Y155" s="951">
        <f t="shared" si="3"/>
        <v>3.0000000003838068E-3</v>
      </c>
      <c r="Z155" s="951">
        <f t="shared" si="3"/>
        <v>3.0000000003838068E-3</v>
      </c>
      <c r="AA155" s="951">
        <f t="shared" si="3"/>
        <v>3.0000000003838068E-3</v>
      </c>
      <c r="AB155" s="951">
        <f t="shared" si="3"/>
        <v>3.0000000001564331E-3</v>
      </c>
      <c r="AC155" s="951">
        <f t="shared" si="3"/>
        <v>3.0000000001564331E-3</v>
      </c>
      <c r="AD155" s="951">
        <f t="shared" si="3"/>
        <v>3.0000000001564331E-3</v>
      </c>
      <c r="AE155" s="951">
        <f t="shared" si="3"/>
        <v>3.0000000001564331E-3</v>
      </c>
      <c r="AF155" s="951">
        <f t="shared" si="3"/>
        <v>3.0000000006111804E-3</v>
      </c>
      <c r="AG155" s="951">
        <f t="shared" si="3"/>
        <v>3.0000000001564331E-3</v>
      </c>
      <c r="AH155" s="951">
        <f t="shared" si="3"/>
        <v>3.0000000001564331E-3</v>
      </c>
      <c r="AI155" s="951">
        <f t="shared" si="3"/>
        <v>3.0000000001564331E-3</v>
      </c>
      <c r="AJ155" s="951">
        <f t="shared" si="3"/>
        <v>3.0000000010659278E-3</v>
      </c>
      <c r="AK155" s="951">
        <f t="shared" si="3"/>
        <v>3.0000000006111804E-3</v>
      </c>
      <c r="AL155" s="951">
        <f t="shared" si="3"/>
        <v>3.0000000001564331E-3</v>
      </c>
      <c r="AM155" s="951">
        <f t="shared" si="3"/>
        <v>3.0000000001564331E-3</v>
      </c>
    </row>
  </sheetData>
  <pageMargins left="0" right="0" top="0" bottom="0" header="0" footer="0"/>
  <pageSetup paperSize="5" scale="34" orientation="landscape" r:id="rId1"/>
  <headerFooter alignWithMargins="0"/>
  <rowBreaks count="2" manualBreakCount="2">
    <brk id="73" max="16383" man="1"/>
    <brk id="120" max="16383" man="1"/>
  </row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43"/>
  <sheetViews>
    <sheetView workbookViewId="0">
      <selection activeCell="B42" sqref="B42"/>
    </sheetView>
  </sheetViews>
  <sheetFormatPr defaultRowHeight="12.75"/>
  <cols>
    <col min="1" max="1" width="29.5703125" bestFit="1" customWidth="1"/>
    <col min="2" max="2" width="19.85546875" style="1016" customWidth="1"/>
    <col min="3" max="3" width="12" bestFit="1" customWidth="1"/>
    <col min="257" max="257" width="29.5703125" bestFit="1" customWidth="1"/>
    <col min="258" max="258" width="19.85546875" customWidth="1"/>
    <col min="259" max="259" width="12" bestFit="1" customWidth="1"/>
    <col min="513" max="513" width="29.5703125" bestFit="1" customWidth="1"/>
    <col min="514" max="514" width="19.85546875" customWidth="1"/>
    <col min="515" max="515" width="12" bestFit="1" customWidth="1"/>
    <col min="769" max="769" width="29.5703125" bestFit="1" customWidth="1"/>
    <col min="770" max="770" width="19.85546875" customWidth="1"/>
    <col min="771" max="771" width="12" bestFit="1" customWidth="1"/>
    <col min="1025" max="1025" width="29.5703125" bestFit="1" customWidth="1"/>
    <col min="1026" max="1026" width="19.85546875" customWidth="1"/>
    <col min="1027" max="1027" width="12" bestFit="1" customWidth="1"/>
    <col min="1281" max="1281" width="29.5703125" bestFit="1" customWidth="1"/>
    <col min="1282" max="1282" width="19.85546875" customWidth="1"/>
    <col min="1283" max="1283" width="12" bestFit="1" customWidth="1"/>
    <col min="1537" max="1537" width="29.5703125" bestFit="1" customWidth="1"/>
    <col min="1538" max="1538" width="19.85546875" customWidth="1"/>
    <col min="1539" max="1539" width="12" bestFit="1" customWidth="1"/>
    <col min="1793" max="1793" width="29.5703125" bestFit="1" customWidth="1"/>
    <col min="1794" max="1794" width="19.85546875" customWidth="1"/>
    <col min="1795" max="1795" width="12" bestFit="1" customWidth="1"/>
    <col min="2049" max="2049" width="29.5703125" bestFit="1" customWidth="1"/>
    <col min="2050" max="2050" width="19.85546875" customWidth="1"/>
    <col min="2051" max="2051" width="12" bestFit="1" customWidth="1"/>
    <col min="2305" max="2305" width="29.5703125" bestFit="1" customWidth="1"/>
    <col min="2306" max="2306" width="19.85546875" customWidth="1"/>
    <col min="2307" max="2307" width="12" bestFit="1" customWidth="1"/>
    <col min="2561" max="2561" width="29.5703125" bestFit="1" customWidth="1"/>
    <col min="2562" max="2562" width="19.85546875" customWidth="1"/>
    <col min="2563" max="2563" width="12" bestFit="1" customWidth="1"/>
    <col min="2817" max="2817" width="29.5703125" bestFit="1" customWidth="1"/>
    <col min="2818" max="2818" width="19.85546875" customWidth="1"/>
    <col min="2819" max="2819" width="12" bestFit="1" customWidth="1"/>
    <col min="3073" max="3073" width="29.5703125" bestFit="1" customWidth="1"/>
    <col min="3074" max="3074" width="19.85546875" customWidth="1"/>
    <col min="3075" max="3075" width="12" bestFit="1" customWidth="1"/>
    <col min="3329" max="3329" width="29.5703125" bestFit="1" customWidth="1"/>
    <col min="3330" max="3330" width="19.85546875" customWidth="1"/>
    <col min="3331" max="3331" width="12" bestFit="1" customWidth="1"/>
    <col min="3585" max="3585" width="29.5703125" bestFit="1" customWidth="1"/>
    <col min="3586" max="3586" width="19.85546875" customWidth="1"/>
    <col min="3587" max="3587" width="12" bestFit="1" customWidth="1"/>
    <col min="3841" max="3841" width="29.5703125" bestFit="1" customWidth="1"/>
    <col min="3842" max="3842" width="19.85546875" customWidth="1"/>
    <col min="3843" max="3843" width="12" bestFit="1" customWidth="1"/>
    <col min="4097" max="4097" width="29.5703125" bestFit="1" customWidth="1"/>
    <col min="4098" max="4098" width="19.85546875" customWidth="1"/>
    <col min="4099" max="4099" width="12" bestFit="1" customWidth="1"/>
    <col min="4353" max="4353" width="29.5703125" bestFit="1" customWidth="1"/>
    <col min="4354" max="4354" width="19.85546875" customWidth="1"/>
    <col min="4355" max="4355" width="12" bestFit="1" customWidth="1"/>
    <col min="4609" max="4609" width="29.5703125" bestFit="1" customWidth="1"/>
    <col min="4610" max="4610" width="19.85546875" customWidth="1"/>
    <col min="4611" max="4611" width="12" bestFit="1" customWidth="1"/>
    <col min="4865" max="4865" width="29.5703125" bestFit="1" customWidth="1"/>
    <col min="4866" max="4866" width="19.85546875" customWidth="1"/>
    <col min="4867" max="4867" width="12" bestFit="1" customWidth="1"/>
    <col min="5121" max="5121" width="29.5703125" bestFit="1" customWidth="1"/>
    <col min="5122" max="5122" width="19.85546875" customWidth="1"/>
    <col min="5123" max="5123" width="12" bestFit="1" customWidth="1"/>
    <col min="5377" max="5377" width="29.5703125" bestFit="1" customWidth="1"/>
    <col min="5378" max="5378" width="19.85546875" customWidth="1"/>
    <col min="5379" max="5379" width="12" bestFit="1" customWidth="1"/>
    <col min="5633" max="5633" width="29.5703125" bestFit="1" customWidth="1"/>
    <col min="5634" max="5634" width="19.85546875" customWidth="1"/>
    <col min="5635" max="5635" width="12" bestFit="1" customWidth="1"/>
    <col min="5889" max="5889" width="29.5703125" bestFit="1" customWidth="1"/>
    <col min="5890" max="5890" width="19.85546875" customWidth="1"/>
    <col min="5891" max="5891" width="12" bestFit="1" customWidth="1"/>
    <col min="6145" max="6145" width="29.5703125" bestFit="1" customWidth="1"/>
    <col min="6146" max="6146" width="19.85546875" customWidth="1"/>
    <col min="6147" max="6147" width="12" bestFit="1" customWidth="1"/>
    <col min="6401" max="6401" width="29.5703125" bestFit="1" customWidth="1"/>
    <col min="6402" max="6402" width="19.85546875" customWidth="1"/>
    <col min="6403" max="6403" width="12" bestFit="1" customWidth="1"/>
    <col min="6657" max="6657" width="29.5703125" bestFit="1" customWidth="1"/>
    <col min="6658" max="6658" width="19.85546875" customWidth="1"/>
    <col min="6659" max="6659" width="12" bestFit="1" customWidth="1"/>
    <col min="6913" max="6913" width="29.5703125" bestFit="1" customWidth="1"/>
    <col min="6914" max="6914" width="19.85546875" customWidth="1"/>
    <col min="6915" max="6915" width="12" bestFit="1" customWidth="1"/>
    <col min="7169" max="7169" width="29.5703125" bestFit="1" customWidth="1"/>
    <col min="7170" max="7170" width="19.85546875" customWidth="1"/>
    <col min="7171" max="7171" width="12" bestFit="1" customWidth="1"/>
    <col min="7425" max="7425" width="29.5703125" bestFit="1" customWidth="1"/>
    <col min="7426" max="7426" width="19.85546875" customWidth="1"/>
    <col min="7427" max="7427" width="12" bestFit="1" customWidth="1"/>
    <col min="7681" max="7681" width="29.5703125" bestFit="1" customWidth="1"/>
    <col min="7682" max="7682" width="19.85546875" customWidth="1"/>
    <col min="7683" max="7683" width="12" bestFit="1" customWidth="1"/>
    <col min="7937" max="7937" width="29.5703125" bestFit="1" customWidth="1"/>
    <col min="7938" max="7938" width="19.85546875" customWidth="1"/>
    <col min="7939" max="7939" width="12" bestFit="1" customWidth="1"/>
    <col min="8193" max="8193" width="29.5703125" bestFit="1" customWidth="1"/>
    <col min="8194" max="8194" width="19.85546875" customWidth="1"/>
    <col min="8195" max="8195" width="12" bestFit="1" customWidth="1"/>
    <col min="8449" max="8449" width="29.5703125" bestFit="1" customWidth="1"/>
    <col min="8450" max="8450" width="19.85546875" customWidth="1"/>
    <col min="8451" max="8451" width="12" bestFit="1" customWidth="1"/>
    <col min="8705" max="8705" width="29.5703125" bestFit="1" customWidth="1"/>
    <col min="8706" max="8706" width="19.85546875" customWidth="1"/>
    <col min="8707" max="8707" width="12" bestFit="1" customWidth="1"/>
    <col min="8961" max="8961" width="29.5703125" bestFit="1" customWidth="1"/>
    <col min="8962" max="8962" width="19.85546875" customWidth="1"/>
    <col min="8963" max="8963" width="12" bestFit="1" customWidth="1"/>
    <col min="9217" max="9217" width="29.5703125" bestFit="1" customWidth="1"/>
    <col min="9218" max="9218" width="19.85546875" customWidth="1"/>
    <col min="9219" max="9219" width="12" bestFit="1" customWidth="1"/>
    <col min="9473" max="9473" width="29.5703125" bestFit="1" customWidth="1"/>
    <col min="9474" max="9474" width="19.85546875" customWidth="1"/>
    <col min="9475" max="9475" width="12" bestFit="1" customWidth="1"/>
    <col min="9729" max="9729" width="29.5703125" bestFit="1" customWidth="1"/>
    <col min="9730" max="9730" width="19.85546875" customWidth="1"/>
    <col min="9731" max="9731" width="12" bestFit="1" customWidth="1"/>
    <col min="9985" max="9985" width="29.5703125" bestFit="1" customWidth="1"/>
    <col min="9986" max="9986" width="19.85546875" customWidth="1"/>
    <col min="9987" max="9987" width="12" bestFit="1" customWidth="1"/>
    <col min="10241" max="10241" width="29.5703125" bestFit="1" customWidth="1"/>
    <col min="10242" max="10242" width="19.85546875" customWidth="1"/>
    <col min="10243" max="10243" width="12" bestFit="1" customWidth="1"/>
    <col min="10497" max="10497" width="29.5703125" bestFit="1" customWidth="1"/>
    <col min="10498" max="10498" width="19.85546875" customWidth="1"/>
    <col min="10499" max="10499" width="12" bestFit="1" customWidth="1"/>
    <col min="10753" max="10753" width="29.5703125" bestFit="1" customWidth="1"/>
    <col min="10754" max="10754" width="19.85546875" customWidth="1"/>
    <col min="10755" max="10755" width="12" bestFit="1" customWidth="1"/>
    <col min="11009" max="11009" width="29.5703125" bestFit="1" customWidth="1"/>
    <col min="11010" max="11010" width="19.85546875" customWidth="1"/>
    <col min="11011" max="11011" width="12" bestFit="1" customWidth="1"/>
    <col min="11265" max="11265" width="29.5703125" bestFit="1" customWidth="1"/>
    <col min="11266" max="11266" width="19.85546875" customWidth="1"/>
    <col min="11267" max="11267" width="12" bestFit="1" customWidth="1"/>
    <col min="11521" max="11521" width="29.5703125" bestFit="1" customWidth="1"/>
    <col min="11522" max="11522" width="19.85546875" customWidth="1"/>
    <col min="11523" max="11523" width="12" bestFit="1" customWidth="1"/>
    <col min="11777" max="11777" width="29.5703125" bestFit="1" customWidth="1"/>
    <col min="11778" max="11778" width="19.85546875" customWidth="1"/>
    <col min="11779" max="11779" width="12" bestFit="1" customWidth="1"/>
    <col min="12033" max="12033" width="29.5703125" bestFit="1" customWidth="1"/>
    <col min="12034" max="12034" width="19.85546875" customWidth="1"/>
    <col min="12035" max="12035" width="12" bestFit="1" customWidth="1"/>
    <col min="12289" max="12289" width="29.5703125" bestFit="1" customWidth="1"/>
    <col min="12290" max="12290" width="19.85546875" customWidth="1"/>
    <col min="12291" max="12291" width="12" bestFit="1" customWidth="1"/>
    <col min="12545" max="12545" width="29.5703125" bestFit="1" customWidth="1"/>
    <col min="12546" max="12546" width="19.85546875" customWidth="1"/>
    <col min="12547" max="12547" width="12" bestFit="1" customWidth="1"/>
    <col min="12801" max="12801" width="29.5703125" bestFit="1" customWidth="1"/>
    <col min="12802" max="12802" width="19.85546875" customWidth="1"/>
    <col min="12803" max="12803" width="12" bestFit="1" customWidth="1"/>
    <col min="13057" max="13057" width="29.5703125" bestFit="1" customWidth="1"/>
    <col min="13058" max="13058" width="19.85546875" customWidth="1"/>
    <col min="13059" max="13059" width="12" bestFit="1" customWidth="1"/>
    <col min="13313" max="13313" width="29.5703125" bestFit="1" customWidth="1"/>
    <col min="13314" max="13314" width="19.85546875" customWidth="1"/>
    <col min="13315" max="13315" width="12" bestFit="1" customWidth="1"/>
    <col min="13569" max="13569" width="29.5703125" bestFit="1" customWidth="1"/>
    <col min="13570" max="13570" width="19.85546875" customWidth="1"/>
    <col min="13571" max="13571" width="12" bestFit="1" customWidth="1"/>
    <col min="13825" max="13825" width="29.5703125" bestFit="1" customWidth="1"/>
    <col min="13826" max="13826" width="19.85546875" customWidth="1"/>
    <col min="13827" max="13827" width="12" bestFit="1" customWidth="1"/>
    <col min="14081" max="14081" width="29.5703125" bestFit="1" customWidth="1"/>
    <col min="14082" max="14082" width="19.85546875" customWidth="1"/>
    <col min="14083" max="14083" width="12" bestFit="1" customWidth="1"/>
    <col min="14337" max="14337" width="29.5703125" bestFit="1" customWidth="1"/>
    <col min="14338" max="14338" width="19.85546875" customWidth="1"/>
    <col min="14339" max="14339" width="12" bestFit="1" customWidth="1"/>
    <col min="14593" max="14593" width="29.5703125" bestFit="1" customWidth="1"/>
    <col min="14594" max="14594" width="19.85546875" customWidth="1"/>
    <col min="14595" max="14595" width="12" bestFit="1" customWidth="1"/>
    <col min="14849" max="14849" width="29.5703125" bestFit="1" customWidth="1"/>
    <col min="14850" max="14850" width="19.85546875" customWidth="1"/>
    <col min="14851" max="14851" width="12" bestFit="1" customWidth="1"/>
    <col min="15105" max="15105" width="29.5703125" bestFit="1" customWidth="1"/>
    <col min="15106" max="15106" width="19.85546875" customWidth="1"/>
    <col min="15107" max="15107" width="12" bestFit="1" customWidth="1"/>
    <col min="15361" max="15361" width="29.5703125" bestFit="1" customWidth="1"/>
    <col min="15362" max="15362" width="19.85546875" customWidth="1"/>
    <col min="15363" max="15363" width="12" bestFit="1" customWidth="1"/>
    <col min="15617" max="15617" width="29.5703125" bestFit="1" customWidth="1"/>
    <col min="15618" max="15618" width="19.85546875" customWidth="1"/>
    <col min="15619" max="15619" width="12" bestFit="1" customWidth="1"/>
    <col min="15873" max="15873" width="29.5703125" bestFit="1" customWidth="1"/>
    <col min="15874" max="15874" width="19.85546875" customWidth="1"/>
    <col min="15875" max="15875" width="12" bestFit="1" customWidth="1"/>
    <col min="16129" max="16129" width="29.5703125" bestFit="1" customWidth="1"/>
    <col min="16130" max="16130" width="19.85546875" customWidth="1"/>
    <col min="16131" max="16131" width="12" bestFit="1" customWidth="1"/>
  </cols>
  <sheetData>
    <row r="1" spans="1:2">
      <c r="A1" t="s">
        <v>755</v>
      </c>
      <c r="B1" s="1015">
        <v>6.1</v>
      </c>
    </row>
    <row r="2" spans="1:2">
      <c r="A2" t="s">
        <v>756</v>
      </c>
      <c r="B2" s="1018">
        <v>43088.525185185186</v>
      </c>
    </row>
    <row r="3" spans="1:2">
      <c r="A3" t="s">
        <v>757</v>
      </c>
      <c r="B3" s="1016" t="s">
        <v>460</v>
      </c>
    </row>
    <row r="4" spans="1:2">
      <c r="A4" t="s">
        <v>758</v>
      </c>
      <c r="B4" s="1016" t="s">
        <v>759</v>
      </c>
    </row>
    <row r="5" spans="1:2">
      <c r="A5" t="s">
        <v>760</v>
      </c>
      <c r="B5" s="1016" t="s">
        <v>761</v>
      </c>
    </row>
    <row r="6" spans="1:2">
      <c r="A6" t="s">
        <v>762</v>
      </c>
    </row>
    <row r="7" spans="1:2">
      <c r="A7" t="s">
        <v>763</v>
      </c>
      <c r="B7" s="1016" t="s">
        <v>432</v>
      </c>
    </row>
    <row r="8" spans="1:2">
      <c r="A8" t="s">
        <v>764</v>
      </c>
      <c r="B8" s="1016" t="s">
        <v>765</v>
      </c>
    </row>
    <row r="9" spans="1:2">
      <c r="A9" t="s">
        <v>766</v>
      </c>
      <c r="B9" s="1016" t="s">
        <v>803</v>
      </c>
    </row>
    <row r="10" spans="1:2">
      <c r="A10" t="s">
        <v>767</v>
      </c>
    </row>
    <row r="11" spans="1:2">
      <c r="A11" t="s">
        <v>768</v>
      </c>
    </row>
    <row r="12" spans="1:2">
      <c r="A12" t="s">
        <v>769</v>
      </c>
    </row>
    <row r="13" spans="1:2">
      <c r="A13" t="s">
        <v>770</v>
      </c>
    </row>
    <row r="14" spans="1:2">
      <c r="A14" t="s">
        <v>771</v>
      </c>
    </row>
    <row r="15" spans="1:2">
      <c r="A15" t="s">
        <v>772</v>
      </c>
    </row>
    <row r="16" spans="1:2">
      <c r="A16" t="s">
        <v>773</v>
      </c>
    </row>
    <row r="17" spans="1:4">
      <c r="A17" t="s">
        <v>774</v>
      </c>
      <c r="B17" s="1016" t="s">
        <v>804</v>
      </c>
    </row>
    <row r="18" spans="1:4">
      <c r="A18" t="s">
        <v>775</v>
      </c>
      <c r="B18" s="1016" t="s">
        <v>807</v>
      </c>
    </row>
    <row r="19" spans="1:4">
      <c r="A19" t="s">
        <v>776</v>
      </c>
      <c r="B19" s="1016" t="s">
        <v>431</v>
      </c>
    </row>
    <row r="20" spans="1:4">
      <c r="A20" t="s">
        <v>777</v>
      </c>
      <c r="B20" s="1017">
        <v>852234103</v>
      </c>
    </row>
    <row r="21" spans="1:4">
      <c r="A21" t="s">
        <v>778</v>
      </c>
      <c r="B21" s="1016" t="s">
        <v>431</v>
      </c>
    </row>
    <row r="22" spans="1:4">
      <c r="A22" t="s">
        <v>779</v>
      </c>
      <c r="B22" s="1017" t="s">
        <v>433</v>
      </c>
    </row>
    <row r="23" spans="1:4">
      <c r="A23" t="s">
        <v>436</v>
      </c>
      <c r="B23" s="1015">
        <v>36.61</v>
      </c>
    </row>
    <row r="24" spans="1:4">
      <c r="A24" t="s">
        <v>434</v>
      </c>
      <c r="B24" s="1016" t="s">
        <v>435</v>
      </c>
      <c r="D24" t="s">
        <v>139</v>
      </c>
    </row>
    <row r="25" spans="1:4">
      <c r="A25" t="s">
        <v>780</v>
      </c>
      <c r="B25" s="1016" t="s">
        <v>808</v>
      </c>
    </row>
    <row r="26" spans="1:4">
      <c r="A26" t="s">
        <v>781</v>
      </c>
      <c r="B26" s="1016">
        <v>0</v>
      </c>
    </row>
    <row r="27" spans="1:4">
      <c r="A27" t="s">
        <v>782</v>
      </c>
      <c r="B27" s="1016" t="s">
        <v>783</v>
      </c>
    </row>
    <row r="28" spans="1:4">
      <c r="A28" t="s">
        <v>784</v>
      </c>
      <c r="B28" s="1016" t="s">
        <v>785</v>
      </c>
    </row>
    <row r="29" spans="1:4">
      <c r="A29" t="s">
        <v>786</v>
      </c>
    </row>
    <row r="30" spans="1:4">
      <c r="A30" t="s">
        <v>787</v>
      </c>
    </row>
    <row r="31" spans="1:4">
      <c r="A31" t="s">
        <v>788</v>
      </c>
    </row>
    <row r="32" spans="1:4">
      <c r="A32" t="s">
        <v>789</v>
      </c>
      <c r="B32" s="1015"/>
    </row>
    <row r="33" spans="1:2">
      <c r="A33" t="s">
        <v>790</v>
      </c>
      <c r="B33" s="1015"/>
    </row>
    <row r="34" spans="1:2">
      <c r="A34" t="s">
        <v>791</v>
      </c>
      <c r="B34" s="1015"/>
    </row>
    <row r="35" spans="1:2">
      <c r="A35" t="s">
        <v>792</v>
      </c>
      <c r="B35" s="1016">
        <v>1000000</v>
      </c>
    </row>
    <row r="36" spans="1:2">
      <c r="A36" t="s">
        <v>793</v>
      </c>
      <c r="B36" s="1016" t="s">
        <v>805</v>
      </c>
    </row>
    <row r="37" spans="1:2">
      <c r="A37" t="s">
        <v>794</v>
      </c>
      <c r="B37" s="1016" t="s">
        <v>795</v>
      </c>
    </row>
    <row r="38" spans="1:2">
      <c r="A38" t="s">
        <v>796</v>
      </c>
      <c r="B38" s="1016" t="s">
        <v>797</v>
      </c>
    </row>
    <row r="39" spans="1:2">
      <c r="A39" t="s">
        <v>798</v>
      </c>
      <c r="B39" s="1016" t="s">
        <v>806</v>
      </c>
    </row>
    <row r="40" spans="1:2">
      <c r="A40" t="s">
        <v>799</v>
      </c>
      <c r="B40" s="1016">
        <v>1500005525</v>
      </c>
    </row>
    <row r="41" spans="1:2">
      <c r="A41" t="s">
        <v>800</v>
      </c>
      <c r="B41" s="1016">
        <v>1</v>
      </c>
    </row>
    <row r="42" spans="1:2">
      <c r="A42" s="81" t="s">
        <v>801</v>
      </c>
    </row>
    <row r="43" spans="1:2">
      <c r="A43" t="s">
        <v>802</v>
      </c>
    </row>
  </sheetData>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13"/>
  <sheetViews>
    <sheetView workbookViewId="0">
      <selection activeCell="E11" sqref="E11"/>
    </sheetView>
  </sheetViews>
  <sheetFormatPr defaultRowHeight="12.75"/>
  <cols>
    <col min="1" max="1" width="28.5703125" bestFit="1" customWidth="1"/>
    <col min="257" max="257" width="28.5703125" bestFit="1" customWidth="1"/>
    <col min="513" max="513" width="28.5703125" bestFit="1" customWidth="1"/>
    <col min="769" max="769" width="28.5703125" bestFit="1" customWidth="1"/>
    <col min="1025" max="1025" width="28.5703125" bestFit="1" customWidth="1"/>
    <col min="1281" max="1281" width="28.5703125" bestFit="1" customWidth="1"/>
    <col min="1537" max="1537" width="28.5703125" bestFit="1" customWidth="1"/>
    <col min="1793" max="1793" width="28.5703125" bestFit="1" customWidth="1"/>
    <col min="2049" max="2049" width="28.5703125" bestFit="1" customWidth="1"/>
    <col min="2305" max="2305" width="28.5703125" bestFit="1" customWidth="1"/>
    <col min="2561" max="2561" width="28.5703125" bestFit="1" customWidth="1"/>
    <col min="2817" max="2817" width="28.5703125" bestFit="1" customWidth="1"/>
    <col min="3073" max="3073" width="28.5703125" bestFit="1" customWidth="1"/>
    <col min="3329" max="3329" width="28.5703125" bestFit="1" customWidth="1"/>
    <col min="3585" max="3585" width="28.5703125" bestFit="1" customWidth="1"/>
    <col min="3841" max="3841" width="28.5703125" bestFit="1" customWidth="1"/>
    <col min="4097" max="4097" width="28.5703125" bestFit="1" customWidth="1"/>
    <col min="4353" max="4353" width="28.5703125" bestFit="1" customWidth="1"/>
    <col min="4609" max="4609" width="28.5703125" bestFit="1" customWidth="1"/>
    <col min="4865" max="4865" width="28.5703125" bestFit="1" customWidth="1"/>
    <col min="5121" max="5121" width="28.5703125" bestFit="1" customWidth="1"/>
    <col min="5377" max="5377" width="28.5703125" bestFit="1" customWidth="1"/>
    <col min="5633" max="5633" width="28.5703125" bestFit="1" customWidth="1"/>
    <col min="5889" max="5889" width="28.5703125" bestFit="1" customWidth="1"/>
    <col min="6145" max="6145" width="28.5703125" bestFit="1" customWidth="1"/>
    <col min="6401" max="6401" width="28.5703125" bestFit="1" customWidth="1"/>
    <col min="6657" max="6657" width="28.5703125" bestFit="1" customWidth="1"/>
    <col min="6913" max="6913" width="28.5703125" bestFit="1" customWidth="1"/>
    <col min="7169" max="7169" width="28.5703125" bestFit="1" customWidth="1"/>
    <col min="7425" max="7425" width="28.5703125" bestFit="1" customWidth="1"/>
    <col min="7681" max="7681" width="28.5703125" bestFit="1" customWidth="1"/>
    <col min="7937" max="7937" width="28.5703125" bestFit="1" customWidth="1"/>
    <col min="8193" max="8193" width="28.5703125" bestFit="1" customWidth="1"/>
    <col min="8449" max="8449" width="28.5703125" bestFit="1" customWidth="1"/>
    <col min="8705" max="8705" width="28.5703125" bestFit="1" customWidth="1"/>
    <col min="8961" max="8961" width="28.5703125" bestFit="1" customWidth="1"/>
    <col min="9217" max="9217" width="28.5703125" bestFit="1" customWidth="1"/>
    <col min="9473" max="9473" width="28.5703125" bestFit="1" customWidth="1"/>
    <col min="9729" max="9729" width="28.5703125" bestFit="1" customWidth="1"/>
    <col min="9985" max="9985" width="28.5703125" bestFit="1" customWidth="1"/>
    <col min="10241" max="10241" width="28.5703125" bestFit="1" customWidth="1"/>
    <col min="10497" max="10497" width="28.5703125" bestFit="1" customWidth="1"/>
    <col min="10753" max="10753" width="28.5703125" bestFit="1" customWidth="1"/>
    <col min="11009" max="11009" width="28.5703125" bestFit="1" customWidth="1"/>
    <col min="11265" max="11265" width="28.5703125" bestFit="1" customWidth="1"/>
    <col min="11521" max="11521" width="28.5703125" bestFit="1" customWidth="1"/>
    <col min="11777" max="11777" width="28.5703125" bestFit="1" customWidth="1"/>
    <col min="12033" max="12033" width="28.5703125" bestFit="1" customWidth="1"/>
    <col min="12289" max="12289" width="28.5703125" bestFit="1" customWidth="1"/>
    <col min="12545" max="12545" width="28.5703125" bestFit="1" customWidth="1"/>
    <col min="12801" max="12801" width="28.5703125" bestFit="1" customWidth="1"/>
    <col min="13057" max="13057" width="28.5703125" bestFit="1" customWidth="1"/>
    <col min="13313" max="13313" width="28.5703125" bestFit="1" customWidth="1"/>
    <col min="13569" max="13569" width="28.5703125" bestFit="1" customWidth="1"/>
    <col min="13825" max="13825" width="28.5703125" bestFit="1" customWidth="1"/>
    <col min="14081" max="14081" width="28.5703125" bestFit="1" customWidth="1"/>
    <col min="14337" max="14337" width="28.5703125" bestFit="1" customWidth="1"/>
    <col min="14593" max="14593" width="28.5703125" bestFit="1" customWidth="1"/>
    <col min="14849" max="14849" width="28.5703125" bestFit="1" customWidth="1"/>
    <col min="15105" max="15105" width="28.5703125" bestFit="1" customWidth="1"/>
    <col min="15361" max="15361" width="28.5703125" bestFit="1" customWidth="1"/>
    <col min="15617" max="15617" width="28.5703125" bestFit="1" customWidth="1"/>
    <col min="15873" max="15873" width="28.5703125" bestFit="1" customWidth="1"/>
    <col min="16129" max="16129" width="28.5703125" bestFit="1" customWidth="1"/>
  </cols>
  <sheetData>
    <row r="1" spans="1:1">
      <c r="A1" s="954" t="s">
        <v>809</v>
      </c>
    </row>
    <row r="2" spans="1:1">
      <c r="A2" s="954" t="s">
        <v>814</v>
      </c>
    </row>
    <row r="3" spans="1:1">
      <c r="A3" s="954" t="s">
        <v>815</v>
      </c>
    </row>
    <row r="4" spans="1:1">
      <c r="A4" s="954" t="s">
        <v>816</v>
      </c>
    </row>
    <row r="5" spans="1:1">
      <c r="A5" s="954" t="s">
        <v>817</v>
      </c>
    </row>
    <row r="6" spans="1:1">
      <c r="A6" s="954" t="s">
        <v>810</v>
      </c>
    </row>
    <row r="7" spans="1:1">
      <c r="A7" s="954" t="s">
        <v>818</v>
      </c>
    </row>
    <row r="8" spans="1:1">
      <c r="A8" s="954" t="s">
        <v>819</v>
      </c>
    </row>
    <row r="9" spans="1:1">
      <c r="A9" s="954" t="s">
        <v>820</v>
      </c>
    </row>
    <row r="10" spans="1:1">
      <c r="A10" s="954" t="s">
        <v>811</v>
      </c>
    </row>
    <row r="11" spans="1:1">
      <c r="A11" s="954" t="s">
        <v>821</v>
      </c>
    </row>
    <row r="12" spans="1:1">
      <c r="A12" s="954" t="s">
        <v>812</v>
      </c>
    </row>
    <row r="13" spans="1:1">
      <c r="A13" s="954" t="s">
        <v>813</v>
      </c>
    </row>
  </sheetData>
  <pageMargins left="0.75" right="0.75" top="1" bottom="1" header="0.5" footer="0.5"/>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F2"/>
  <sheetViews>
    <sheetView workbookViewId="0"/>
  </sheetViews>
  <sheetFormatPr defaultRowHeight="12.75"/>
  <sheetData>
    <row r="1" spans="1:6">
      <c r="A1" t="s">
        <v>441</v>
      </c>
    </row>
    <row r="2" spans="1:6">
      <c r="A2" s="954" t="s">
        <v>438</v>
      </c>
      <c r="B2" s="954" t="s">
        <v>435</v>
      </c>
      <c r="C2" s="954" t="s">
        <v>439</v>
      </c>
      <c r="D2" s="954" t="s">
        <v>442</v>
      </c>
      <c r="E2" s="954" t="s">
        <v>440</v>
      </c>
      <c r="F2" s="954" t="s">
        <v>433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109</vt:i4>
      </vt:variant>
    </vt:vector>
  </HeadingPairs>
  <TitlesOfParts>
    <vt:vector size="118" baseType="lpstr">
      <vt:lpstr>ImportantDisclosures</vt:lpstr>
      <vt:lpstr>Portfolio Manager's Snapshot</vt:lpstr>
      <vt:lpstr>Quarterly Model</vt:lpstr>
      <vt:lpstr>Segment Detail</vt:lpstr>
      <vt:lpstr>Price Target</vt:lpstr>
      <vt:lpstr>DCF Analysis</vt:lpstr>
      <vt:lpstr>Presentation Format</vt:lpstr>
      <vt:lpstr>IndexInformation</vt:lpstr>
      <vt:lpstr>ModPubIndex</vt:lpstr>
      <vt:lpstr>_Switch</vt:lpstr>
      <vt:lpstr>_Toggle</vt:lpstr>
      <vt:lpstr>AdditionalInstructions</vt:lpstr>
      <vt:lpstr>ImportantDisclosures!Address</vt:lpstr>
      <vt:lpstr>ModPubIndex!ANA</vt:lpstr>
      <vt:lpstr>ImportantDisclosures!Authors</vt:lpstr>
      <vt:lpstr>IndexInformation!Authors</vt:lpstr>
      <vt:lpstr>ModPubIndex!BRO</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'Quarterly Model'!FC_Balance_Q</vt:lpstr>
      <vt:lpstr>FC_DCF</vt:lpstr>
      <vt:lpstr>'Quarterly Model'!FC_Income_Q</vt:lpstr>
      <vt:lpstr>'Segment Detail'!FC_Revenue</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Linking_1</vt:lpstr>
      <vt:lpstr>Linking_2</vt:lpstr>
      <vt:lpstr>Linking_23</vt:lpstr>
      <vt:lpstr>Linking_24</vt:lpstr>
      <vt:lpstr>Linking_25</vt:lpstr>
      <vt:lpstr>Linking_28</vt:lpstr>
      <vt:lpstr>Linking_3</vt:lpstr>
      <vt:lpstr>Linking_4</vt:lpstr>
      <vt:lpstr>Linking_5</vt:lpstr>
      <vt:lpstr>Linking_Range_10</vt:lpstr>
      <vt:lpstr>Linking_Range_18</vt:lpstr>
      <vt:lpstr>Linking_Range_19</vt:lpstr>
      <vt:lpstr>Linking_Range_20</vt:lpstr>
      <vt:lpstr>Linking_Range_21</vt:lpstr>
      <vt:lpstr>Linking_Range_22</vt:lpstr>
      <vt:lpstr>Linking_Range_23</vt:lpstr>
      <vt:lpstr>Linking_Range_24</vt:lpstr>
      <vt:lpstr>Linking_Range_25</vt:lpstr>
      <vt:lpstr>Linking_Range_26</vt:lpstr>
      <vt:lpstr>Linking_Range_27</vt:lpstr>
      <vt:lpstr>Linking_Range_28</vt:lpstr>
      <vt:lpstr>Linking_Range_30</vt:lpstr>
      <vt:lpstr>Linking_Range_31</vt:lpstr>
      <vt:lpstr>Linking_Range_32</vt:lpstr>
      <vt:lpstr>Linking_Range_33</vt:lpstr>
      <vt:lpstr>Linking_Range_34</vt:lpstr>
      <vt:lpstr>Linking_Range_35</vt:lpstr>
      <vt:lpstr>Linking_Range_43</vt:lpstr>
      <vt:lpstr>Linking_Range_8</vt:lpstr>
      <vt:lpstr>IndexInformation!MacroVersion</vt:lpstr>
      <vt:lpstr>ImportantDisclosures!ModelPrice</vt:lpstr>
      <vt:lpstr>IndexInformation!Multiplier</vt:lpstr>
      <vt:lpstr>IndexInformation!NextYearEPS</vt:lpstr>
      <vt:lpstr>IndexInformation!NextYearTotalRevenue</vt:lpstr>
      <vt:lpstr>IndexInformation!NextYearTotalRevenueActual</vt:lpstr>
      <vt:lpstr>ObjectType</vt:lpstr>
      <vt:lpstr>'Quarterly Model'!PA_Balance_Q</vt:lpstr>
      <vt:lpstr>'Quarterly Model'!PA_Cash_Q</vt:lpstr>
      <vt:lpstr>PA_DCF</vt:lpstr>
      <vt:lpstr>'Quarterly Model'!PA_Income_Q</vt:lpstr>
      <vt:lpstr>'Segment Detail'!PA_Revenue</vt:lpstr>
      <vt:lpstr>ModPubIndex!PANA</vt:lpstr>
      <vt:lpstr>IndexInformation!PathName</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2017-11-14T13:35:19Z</dcterms:created>
  <dc:creator>Hussain, Danyal (Research)</dc:creator>
  <cp:lastModifiedBy>Hussain, Danyal (Research)</cp:lastModifiedBy>
  <cp:lastPrinted>2017-12-18T22:31:53Z</cp:lastPrinted>
  <dcterms:modified xsi:type="dcterms:W3CDTF">2017-12-19T17:36:18Z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ERModPubTicket" pid="2">
    <vt:lpwstr>NA</vt:lpwstr>
  </property>
  <property fmtid="{D5CDD505-2E9C-101B-9397-08002B2CF9AE}" name="ERCompanyUploadState" pid="3">
    <vt:lpwstr>P</vt:lpwstr>
  </property>
  <property fmtid="{D5CDD505-2E9C-101B-9397-08002B2CF9AE}" name="ModelId" pid="4">
    <vt:lpwstr>739603</vt:lpwstr>
  </property>
  <property fmtid="{D5CDD505-2E9C-101B-9397-08002B2CF9AE}" name="ERModPubCompanyName" pid="5">
    <vt:lpwstr>Square Inc</vt:lpwstr>
  </property>
  <property fmtid="{D5CDD505-2E9C-101B-9397-08002B2CF9AE}" name="MSDH34TAG" pid="6">
    <vt:lpwstr>.TEZUF76X5TAHATHESADREYAK-00-INB160+*94600-06=22c74d44/-e4e3/-11e7/-ac86/-d8cb34fed4a4,MD=20171219124751/-0500,ZZ=000Z-bead.</vt:lpwstr>
  </property>
</Properties>
</file>